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ode\"/>
    </mc:Choice>
  </mc:AlternateContent>
  <bookViews>
    <workbookView xWindow="0" yWindow="0" windowWidth="28800" windowHeight="12315"/>
  </bookViews>
  <sheets>
    <sheet name="Sheet1" sheetId="1" r:id="rId1"/>
  </sheets>
  <externalReferences>
    <externalReference r:id="rId2"/>
    <externalReference r:id="rId3"/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  <c r="CJ7" i="1"/>
  <c r="CK7" i="1" s="1"/>
  <c r="CI7" i="1"/>
  <c r="CH7" i="1"/>
  <c r="CC7" i="1"/>
  <c r="CB7" i="1"/>
  <c r="CA7" i="1"/>
  <c r="BY7" i="1"/>
  <c r="BX7" i="1"/>
  <c r="BW7" i="1"/>
  <c r="BU7" i="1"/>
  <c r="BT7" i="1"/>
  <c r="BS7" i="1"/>
  <c r="BR7" i="1"/>
  <c r="BQ7" i="1"/>
  <c r="BZ7" i="1" s="1"/>
  <c r="CD7" i="1" s="1"/>
  <c r="CF7" i="1" s="1"/>
  <c r="F7" i="1"/>
  <c r="CG7" i="1" s="1"/>
</calcChain>
</file>

<file path=xl/comments1.xml><?xml version="1.0" encoding="utf-8"?>
<comments xmlns="http://schemas.openxmlformats.org/spreadsheetml/2006/main">
  <authors>
    <author>Author</author>
  </authors>
  <commentList>
    <comment ref="CD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CẤP QUẢN LÝ M&amp;M  KHÔNG ĐƯƠC HƯỞNG PHỤ
 CẤP THỨ 7</t>
        </r>
      </text>
    </comment>
  </commentList>
</comments>
</file>

<file path=xl/sharedStrings.xml><?xml version="1.0" encoding="utf-8"?>
<sst xmlns="http://schemas.openxmlformats.org/spreadsheetml/2006/main" count="112" uniqueCount="40">
  <si>
    <t>A</t>
  </si>
  <si>
    <t>D</t>
  </si>
  <si>
    <t>B</t>
  </si>
  <si>
    <t>C</t>
  </si>
  <si>
    <t>Nghỉ chế độ có hưởng lương</t>
  </si>
  <si>
    <t>Nghỉ hưởng 70% 
( hết hàng)</t>
  </si>
  <si>
    <t>Nghỉ thứ 7 hàng tuần</t>
  </si>
  <si>
    <t>Nghỉ phép năm có hưởng lương</t>
  </si>
  <si>
    <t>TỔNG CỘNG NGÀY CÔNG 
(trừ cột nghỉ thứ 7)</t>
  </si>
  <si>
    <t>Giờ làm thêm</t>
  </si>
  <si>
    <t>Hưởng phụ cấp thứ 7 
(Cty cho nghỉ nhưng có vào làm)</t>
  </si>
  <si>
    <t>Trả/thu tiền cơm ngày CN, Lễ ( làm việc trên 12h)</t>
  </si>
  <si>
    <t>Tiền phụ cấp làm thứ 7 (KẾ TOÁN TÍNH)</t>
  </si>
  <si>
    <t>Số phép năm còn lại cuối tháng</t>
  </si>
  <si>
    <t>Số tiền cơm ngày CN, Lễ  (KẾ TOÁN TÍNH)</t>
  </si>
  <si>
    <t>mức  phụ cấp thứ bảy/ ngày</t>
  </si>
  <si>
    <t>Ca ngày phụ cấp 1 phần cơm cho 4 h tăng ca</t>
  </si>
  <si>
    <t>Ca ngày</t>
  </si>
  <si>
    <t>Ca đêm phụ cấp 01 phần cơm ( 8h)</t>
  </si>
  <si>
    <t>Ca đêm phụ cấp 02 phần cơm (8h + 4 h TC)</t>
  </si>
  <si>
    <t>Thường</t>
  </si>
  <si>
    <t>Chủ nhật</t>
  </si>
  <si>
    <t>Ngày lễ</t>
  </si>
  <si>
    <t>ngày</t>
  </si>
  <si>
    <t>giờ</t>
  </si>
  <si>
    <t>lần</t>
  </si>
  <si>
    <t>VNĐ</t>
  </si>
  <si>
    <t>VND</t>
  </si>
  <si>
    <t>BẢNG CHẤM CÔNG THÁNG 05/2018</t>
  </si>
  <si>
    <t>Mã số</t>
  </si>
  <si>
    <t>Họ và tên</t>
  </si>
  <si>
    <t>Bộ 
phận</t>
  </si>
  <si>
    <t>Ngày nhận việc</t>
  </si>
  <si>
    <t>Ngày phép còn lại đầu tháng 05</t>
  </si>
  <si>
    <t>NC</t>
  </si>
  <si>
    <t>TC</t>
  </si>
  <si>
    <t>A001</t>
  </si>
  <si>
    <t>Tống Viết Cường</t>
  </si>
  <si>
    <t>Gián tiếp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</si>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</sst>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0.0"/>
    <numFmt numFmtId="167" formatCode="_-* #,##0_-;\-* #,##0_-;_-* &quot;-&quot;??_-;_-@_-"/>
    <numFmt numFmtId="168" formatCode="_-* #,##0.0_-;\-* #,##0.0_-;_-* &quot;-&quot;??_-;_-@_-"/>
    <numFmt numFmtId="170" formatCode="_(* #,##0_);_(* \(#,##0\);_(* &quot;-&quot;??_);_(@_)"/>
    <numFmt numFmtId="171" formatCode="_-* #,##0.0\ _₫_-;\-* #,##0.0\ _₫_-;_-* &quot;-&quot;?\ _₫_-;_-@_-"/>
    <numFmt numFmtId="172" formatCode="#,##0.0"/>
  </numFmts>
  <fonts count="1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47">
    <xf numFmtId="0" fontId="0" fillId="0" borderId="0" xfId="0"/>
    <xf numFmtId="165" fontId="3" fillId="0" borderId="1" xfId="2" applyNumberFormat="1" applyFont="1" applyFill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center" vertical="center"/>
    </xf>
    <xf numFmtId="166" fontId="3" fillId="0" borderId="2" xfId="0" applyNumberFormat="1" applyFont="1" applyFill="1" applyBorder="1" applyAlignment="1">
      <alignment horizontal="center" vertical="center"/>
    </xf>
    <xf numFmtId="166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7" fontId="3" fillId="0" borderId="1" xfId="2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8" fontId="3" fillId="0" borderId="1" xfId="2" applyNumberFormat="1" applyFont="1" applyFill="1" applyBorder="1" applyAlignment="1">
      <alignment horizontal="center" vertical="center"/>
    </xf>
    <xf numFmtId="170" fontId="3" fillId="0" borderId="1" xfId="1" applyNumberFormat="1" applyFont="1" applyFill="1" applyBorder="1" applyAlignment="1">
      <alignment horizontal="right" vertical="center"/>
    </xf>
    <xf numFmtId="170" fontId="3" fillId="0" borderId="0" xfId="1" applyNumberFormat="1" applyFont="1" applyFill="1" applyBorder="1"/>
    <xf numFmtId="171" fontId="3" fillId="0" borderId="0" xfId="0" applyNumberFormat="1" applyFont="1" applyFill="1" applyBorder="1"/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right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8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8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12" fillId="7" borderId="0" xfId="0" applyFont="1" applyFill="1" applyBorder="1" applyAlignment="1">
      <alignment horizontal="center" vertical="center"/>
    </xf>
    <xf numFmtId="0" fontId="12" fillId="7" borderId="0" xfId="0" applyNumberFormat="1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166" fontId="13" fillId="7" borderId="0" xfId="0" applyNumberFormat="1" applyFont="1" applyFill="1" applyBorder="1" applyAlignment="1">
      <alignment horizontal="center" vertical="center"/>
    </xf>
    <xf numFmtId="166" fontId="12" fillId="7" borderId="0" xfId="0" applyNumberFormat="1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166" fontId="12" fillId="9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 vertical="center"/>
    </xf>
    <xf numFmtId="0" fontId="11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 vertical="center"/>
    </xf>
    <xf numFmtId="0" fontId="6" fillId="7" borderId="0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166" fontId="5" fillId="7" borderId="0" xfId="0" applyNumberFormat="1" applyFont="1" applyFill="1" applyBorder="1" applyAlignment="1">
      <alignment horizontal="center" vertical="center"/>
    </xf>
    <xf numFmtId="166" fontId="6" fillId="7" borderId="0" xfId="0" applyNumberFormat="1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166" fontId="6" fillId="9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NumberFormat="1" applyFont="1" applyFill="1" applyBorder="1" applyAlignment="1">
      <alignment horizontal="center" vertical="center"/>
    </xf>
    <xf numFmtId="0" fontId="6" fillId="9" borderId="2" xfId="0" applyNumberFormat="1" applyFont="1" applyFill="1" applyBorder="1" applyAlignment="1">
      <alignment horizontal="center" vertical="center"/>
    </xf>
    <xf numFmtId="166" fontId="6" fillId="7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right" vertical="center"/>
    </xf>
    <xf numFmtId="0" fontId="6" fillId="10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164" fontId="5" fillId="2" borderId="3" xfId="2" applyFont="1" applyFill="1" applyBorder="1" applyAlignment="1">
      <alignment horizontal="center" vertical="center" wrapText="1"/>
    </xf>
    <xf numFmtId="3" fontId="6" fillId="7" borderId="3" xfId="0" applyNumberFormat="1" applyFont="1" applyFill="1" applyBorder="1" applyAlignment="1">
      <alignment horizontal="center" vertical="center"/>
    </xf>
    <xf numFmtId="0" fontId="6" fillId="7" borderId="3" xfId="0" applyNumberFormat="1" applyFont="1" applyFill="1" applyBorder="1" applyAlignment="1">
      <alignment horizontal="center" vertical="center"/>
    </xf>
    <xf numFmtId="3" fontId="5" fillId="7" borderId="3" xfId="0" applyNumberFormat="1" applyFont="1" applyFill="1" applyBorder="1" applyAlignment="1">
      <alignment horizontal="center" vertical="center"/>
    </xf>
    <xf numFmtId="3" fontId="6" fillId="9" borderId="3" xfId="0" applyNumberFormat="1" applyFont="1" applyFill="1" applyBorder="1" applyAlignment="1">
      <alignment horizontal="center" vertical="center"/>
    </xf>
    <xf numFmtId="3" fontId="6" fillId="7" borderId="5" xfId="0" applyNumberFormat="1" applyFont="1" applyFill="1" applyBorder="1" applyAlignment="1">
      <alignment horizontal="center" vertical="center"/>
    </xf>
    <xf numFmtId="3" fontId="6" fillId="7" borderId="7" xfId="0" applyNumberFormat="1" applyFont="1" applyFill="1" applyBorder="1" applyAlignment="1">
      <alignment horizontal="center" vertical="center"/>
    </xf>
    <xf numFmtId="3" fontId="6" fillId="9" borderId="5" xfId="0" applyNumberFormat="1" applyFont="1" applyFill="1" applyBorder="1" applyAlignment="1">
      <alignment horizontal="center" vertical="center"/>
    </xf>
    <xf numFmtId="3" fontId="6" fillId="9" borderId="7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164" fontId="5" fillId="2" borderId="2" xfId="2" applyFont="1" applyFill="1" applyBorder="1" applyAlignment="1">
      <alignment horizontal="center" vertical="center" wrapText="1"/>
    </xf>
    <xf numFmtId="172" fontId="6" fillId="7" borderId="2" xfId="0" applyNumberFormat="1" applyFont="1" applyFill="1" applyBorder="1" applyAlignment="1">
      <alignment horizontal="center" vertical="center"/>
    </xf>
    <xf numFmtId="0" fontId="6" fillId="7" borderId="2" xfId="0" applyNumberFormat="1" applyFont="1" applyFill="1" applyBorder="1" applyAlignment="1">
      <alignment horizontal="center" vertical="center"/>
    </xf>
    <xf numFmtId="172" fontId="5" fillId="7" borderId="2" xfId="0" applyNumberFormat="1" applyFont="1" applyFill="1" applyBorder="1" applyAlignment="1">
      <alignment horizontal="center" vertical="center"/>
    </xf>
    <xf numFmtId="166" fontId="5" fillId="7" borderId="2" xfId="0" applyNumberFormat="1" applyFont="1" applyFill="1" applyBorder="1" applyAlignment="1">
      <alignment horizontal="center" vertical="center"/>
    </xf>
    <xf numFmtId="166" fontId="6" fillId="7" borderId="2" xfId="0" applyNumberFormat="1" applyFont="1" applyFill="1" applyBorder="1" applyAlignment="1">
      <alignment horizontal="center" vertical="center"/>
    </xf>
    <xf numFmtId="172" fontId="6" fillId="9" borderId="2" xfId="0" applyNumberFormat="1" applyFont="1" applyFill="1" applyBorder="1" applyAlignment="1">
      <alignment horizontal="center" vertical="center"/>
    </xf>
    <xf numFmtId="166" fontId="6" fillId="9" borderId="2" xfId="0" applyNumberFormat="1" applyFont="1" applyFill="1" applyBorder="1" applyAlignment="1">
      <alignment horizontal="center" vertical="center"/>
    </xf>
    <xf numFmtId="172" fontId="6" fillId="7" borderId="11" xfId="0" applyNumberFormat="1" applyFont="1" applyFill="1" applyBorder="1" applyAlignment="1">
      <alignment horizontal="center" vertical="center"/>
    </xf>
    <xf numFmtId="172" fontId="6" fillId="9" borderId="11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164" fontId="5" fillId="2" borderId="8" xfId="2" applyFont="1" applyFill="1" applyBorder="1" applyAlignment="1">
      <alignment horizontal="center" vertical="center" wrapText="1"/>
    </xf>
    <xf numFmtId="172" fontId="6" fillId="7" borderId="8" xfId="0" applyNumberFormat="1" applyFont="1" applyFill="1" applyBorder="1" applyAlignment="1">
      <alignment horizontal="center" vertical="center"/>
    </xf>
    <xf numFmtId="166" fontId="6" fillId="7" borderId="8" xfId="0" applyNumberFormat="1" applyFont="1" applyFill="1" applyBorder="1" applyAlignment="1">
      <alignment horizontal="center" vertical="center"/>
    </xf>
    <xf numFmtId="172" fontId="5" fillId="7" borderId="8" xfId="0" applyNumberFormat="1" applyFont="1" applyFill="1" applyBorder="1" applyAlignment="1">
      <alignment horizontal="center" vertical="center"/>
    </xf>
    <xf numFmtId="166" fontId="5" fillId="7" borderId="8" xfId="0" applyNumberFormat="1" applyFont="1" applyFill="1" applyBorder="1" applyAlignment="1">
      <alignment horizontal="center" vertical="center"/>
    </xf>
    <xf numFmtId="172" fontId="6" fillId="9" borderId="8" xfId="0" applyNumberFormat="1" applyFont="1" applyFill="1" applyBorder="1" applyAlignment="1">
      <alignment horizontal="center" vertical="center"/>
    </xf>
    <xf numFmtId="166" fontId="6" fillId="9" borderId="8" xfId="0" applyNumberFormat="1" applyFont="1" applyFill="1" applyBorder="1" applyAlignment="1">
      <alignment horizontal="center" vertical="center"/>
    </xf>
    <xf numFmtId="172" fontId="6" fillId="7" borderId="13" xfId="0" applyNumberFormat="1" applyFont="1" applyFill="1" applyBorder="1" applyAlignment="1">
      <alignment horizontal="center" vertical="center"/>
    </xf>
    <xf numFmtId="172" fontId="6" fillId="9" borderId="13" xfId="0" applyNumberFormat="1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3">
    <cellStyle name="Comma" xfId="1" builtinId="3"/>
    <cellStyle name="Comma 5" xfId="2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%20ACCOUNTING\A.%20INTERNAL\5.%20SALARY-HR\2018%20PAYROLL\2018%2004%20SALARY\2018%2004%20UNG%20LUONG%20(v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hung/AppData/Local/Microsoft/Windows/INetCache/Content.Outlook/8PG1AW3O/Copy%20of%202018%2003%20PAYROLL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INH\CHAM%20CONG\2018%2005%20PAYROLL-%20V%20(CHUYEN%20KHOA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PLuong "/>
      <sheetName val="TAM UNG"/>
      <sheetName val="T42018_dieu chinh"/>
      <sheetName val="CK"/>
      <sheetName val="TM"/>
      <sheetName val="TM (2)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D9" t="str">
            <v>A001</v>
          </cell>
          <cell r="E9" t="str">
            <v>Tống Viết Cường</v>
          </cell>
          <cell r="F9" t="str">
            <v>Gián tiếp</v>
          </cell>
          <cell r="G9" t="str">
            <v>QUANLY</v>
          </cell>
          <cell r="H9" t="str">
            <v>T4/05</v>
          </cell>
          <cell r="I9" t="str">
            <v>1.I</v>
          </cell>
          <cell r="J9">
            <v>16540</v>
          </cell>
          <cell r="K9">
            <v>0</v>
          </cell>
          <cell r="L9">
            <v>26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27</v>
          </cell>
          <cell r="S9">
            <v>0</v>
          </cell>
          <cell r="T9">
            <v>0</v>
          </cell>
          <cell r="U9">
            <v>0</v>
          </cell>
          <cell r="V9">
            <v>16540</v>
          </cell>
          <cell r="W9">
            <v>0</v>
          </cell>
          <cell r="X9">
            <v>16540</v>
          </cell>
          <cell r="Y9">
            <v>63460.169099999999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63460.169099999999</v>
          </cell>
          <cell r="AE9">
            <v>80000</v>
          </cell>
          <cell r="AF9">
            <v>1744.05</v>
          </cell>
          <cell r="AH9">
            <v>0</v>
          </cell>
          <cell r="AI9">
            <v>9000</v>
          </cell>
          <cell r="AJ9">
            <v>10744.05</v>
          </cell>
          <cell r="AK9">
            <v>9645.9500000000007</v>
          </cell>
          <cell r="AL9">
            <v>715</v>
          </cell>
          <cell r="AM9">
            <v>0</v>
          </cell>
          <cell r="AN9">
            <v>77540.95</v>
          </cell>
          <cell r="AO9">
            <v>77540</v>
          </cell>
          <cell r="AP9">
            <v>77540</v>
          </cell>
          <cell r="AQ9">
            <v>1</v>
          </cell>
          <cell r="AR9">
            <v>16</v>
          </cell>
        </row>
        <row r="10">
          <cell r="D10" t="str">
            <v>A003</v>
          </cell>
          <cell r="E10" t="str">
            <v>Tống Phước Tiến</v>
          </cell>
          <cell r="F10" t="str">
            <v>Gián tiếp</v>
          </cell>
          <cell r="G10" t="str">
            <v>QUANLY</v>
          </cell>
          <cell r="H10" t="str">
            <v>T4/05</v>
          </cell>
          <cell r="I10" t="str">
            <v>3.II</v>
          </cell>
          <cell r="J10">
            <v>6770</v>
          </cell>
          <cell r="K10">
            <v>0</v>
          </cell>
          <cell r="L10">
            <v>26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27</v>
          </cell>
          <cell r="S10">
            <v>0</v>
          </cell>
          <cell r="T10">
            <v>0</v>
          </cell>
          <cell r="U10">
            <v>0</v>
          </cell>
          <cell r="V10">
            <v>6770</v>
          </cell>
          <cell r="W10">
            <v>0</v>
          </cell>
          <cell r="X10">
            <v>6770</v>
          </cell>
          <cell r="Y10">
            <v>16599.160150000003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16599.160150000003</v>
          </cell>
          <cell r="AE10">
            <v>23369</v>
          </cell>
          <cell r="AF10">
            <v>577.5</v>
          </cell>
          <cell r="AH10">
            <v>2</v>
          </cell>
          <cell r="AI10">
            <v>16200</v>
          </cell>
          <cell r="AJ10">
            <v>16777.5</v>
          </cell>
          <cell r="AK10">
            <v>6591.5</v>
          </cell>
          <cell r="AL10">
            <v>409</v>
          </cell>
          <cell r="AM10">
            <v>0</v>
          </cell>
          <cell r="AN10">
            <v>22382.5</v>
          </cell>
          <cell r="AO10">
            <v>22380</v>
          </cell>
          <cell r="AP10">
            <v>22380</v>
          </cell>
          <cell r="AQ10">
            <v>1</v>
          </cell>
          <cell r="AR10">
            <v>16</v>
          </cell>
        </row>
        <row r="11">
          <cell r="D11" t="str">
            <v>A005</v>
          </cell>
          <cell r="E11" t="str">
            <v>Trần Thanh Bình</v>
          </cell>
          <cell r="F11" t="str">
            <v>Kho</v>
          </cell>
          <cell r="G11" t="str">
            <v>QUANLY</v>
          </cell>
          <cell r="H11" t="str">
            <v>T4/05</v>
          </cell>
          <cell r="I11" t="str">
            <v>3.II</v>
          </cell>
          <cell r="J11">
            <v>6770</v>
          </cell>
          <cell r="K11">
            <v>0</v>
          </cell>
          <cell r="L11">
            <v>26</v>
          </cell>
          <cell r="M11">
            <v>1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27</v>
          </cell>
          <cell r="S11">
            <v>0</v>
          </cell>
          <cell r="T11">
            <v>0</v>
          </cell>
          <cell r="U11">
            <v>0</v>
          </cell>
          <cell r="V11">
            <v>6770</v>
          </cell>
          <cell r="W11">
            <v>0</v>
          </cell>
          <cell r="X11">
            <v>6770</v>
          </cell>
          <cell r="Y11">
            <v>14607.769920000002</v>
          </cell>
          <cell r="Z11">
            <v>0</v>
          </cell>
          <cell r="AA11">
            <v>0</v>
          </cell>
          <cell r="AB11">
            <v>-450</v>
          </cell>
          <cell r="AC11">
            <v>0</v>
          </cell>
          <cell r="AD11">
            <v>14157.769920000002</v>
          </cell>
          <cell r="AE11">
            <v>20928</v>
          </cell>
          <cell r="AF11">
            <v>577.5</v>
          </cell>
          <cell r="AH11">
            <v>2</v>
          </cell>
          <cell r="AI11">
            <v>16200</v>
          </cell>
          <cell r="AJ11">
            <v>16777.5</v>
          </cell>
          <cell r="AK11">
            <v>4150.5</v>
          </cell>
          <cell r="AL11">
            <v>208</v>
          </cell>
          <cell r="AM11">
            <v>1000</v>
          </cell>
          <cell r="AN11">
            <v>19142.5</v>
          </cell>
          <cell r="AO11">
            <v>19140</v>
          </cell>
          <cell r="AP11">
            <v>20140</v>
          </cell>
          <cell r="AQ11">
            <v>1</v>
          </cell>
          <cell r="AR11">
            <v>4</v>
          </cell>
        </row>
        <row r="12">
          <cell r="D12" t="str">
            <v>A010</v>
          </cell>
          <cell r="E12" t="str">
            <v>Dương Khánh Linh</v>
          </cell>
          <cell r="F12" t="str">
            <v>Gián tiếp</v>
          </cell>
          <cell r="G12" t="str">
            <v>QUANLY</v>
          </cell>
          <cell r="H12" t="str">
            <v>T11/13</v>
          </cell>
          <cell r="I12" t="str">
            <v>4.III</v>
          </cell>
          <cell r="J12">
            <v>4810</v>
          </cell>
          <cell r="K12">
            <v>0</v>
          </cell>
          <cell r="L12">
            <v>26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27</v>
          </cell>
          <cell r="S12">
            <v>0</v>
          </cell>
          <cell r="T12">
            <v>0</v>
          </cell>
          <cell r="U12">
            <v>0</v>
          </cell>
          <cell r="V12">
            <v>4810</v>
          </cell>
          <cell r="W12">
            <v>0</v>
          </cell>
          <cell r="X12">
            <v>4810</v>
          </cell>
          <cell r="Y12">
            <v>7033.1383200000018</v>
          </cell>
          <cell r="Z12">
            <v>0</v>
          </cell>
          <cell r="AA12">
            <v>0</v>
          </cell>
          <cell r="AB12">
            <v>-300</v>
          </cell>
          <cell r="AC12">
            <v>0</v>
          </cell>
          <cell r="AD12">
            <v>6733.1383200000018</v>
          </cell>
          <cell r="AE12">
            <v>11543</v>
          </cell>
          <cell r="AF12">
            <v>505.05</v>
          </cell>
          <cell r="AH12">
            <v>1</v>
          </cell>
          <cell r="AI12">
            <v>12600</v>
          </cell>
          <cell r="AJ12">
            <v>13105.05</v>
          </cell>
          <cell r="AK12">
            <v>-1562.0499999999993</v>
          </cell>
          <cell r="AL12">
            <v>0</v>
          </cell>
          <cell r="AM12">
            <v>3000</v>
          </cell>
          <cell r="AN12">
            <v>8037.9500000000007</v>
          </cell>
          <cell r="AO12">
            <v>8040</v>
          </cell>
          <cell r="AP12">
            <v>11040</v>
          </cell>
          <cell r="AQ12">
            <v>1</v>
          </cell>
          <cell r="AR12">
            <v>3</v>
          </cell>
        </row>
        <row r="13">
          <cell r="D13" t="str">
            <v>A032</v>
          </cell>
          <cell r="E13" t="str">
            <v>Lý Tuệ Vân</v>
          </cell>
          <cell r="F13" t="str">
            <v>Gián tiếp</v>
          </cell>
          <cell r="G13" t="str">
            <v>QUANLY</v>
          </cell>
          <cell r="H13" t="str">
            <v>T3/14</v>
          </cell>
          <cell r="I13" t="str">
            <v>4.III</v>
          </cell>
          <cell r="J13">
            <v>4740</v>
          </cell>
          <cell r="K13">
            <v>0</v>
          </cell>
          <cell r="L13">
            <v>22</v>
          </cell>
          <cell r="M13">
            <v>4</v>
          </cell>
          <cell r="N13">
            <v>0</v>
          </cell>
          <cell r="O13">
            <v>0</v>
          </cell>
          <cell r="P13">
            <v>0</v>
          </cell>
          <cell r="Q13">
            <v>1</v>
          </cell>
          <cell r="R13">
            <v>27</v>
          </cell>
          <cell r="S13">
            <v>0</v>
          </cell>
          <cell r="T13">
            <v>0</v>
          </cell>
          <cell r="U13">
            <v>0</v>
          </cell>
          <cell r="V13">
            <v>4740</v>
          </cell>
          <cell r="W13">
            <v>0</v>
          </cell>
          <cell r="X13">
            <v>4740</v>
          </cell>
          <cell r="Y13">
            <v>13614.849759999997</v>
          </cell>
          <cell r="Z13">
            <v>0</v>
          </cell>
          <cell r="AA13">
            <v>0</v>
          </cell>
          <cell r="AB13">
            <v>-150</v>
          </cell>
          <cell r="AC13">
            <v>0</v>
          </cell>
          <cell r="AD13">
            <v>13464.849759999997</v>
          </cell>
          <cell r="AE13">
            <v>18205</v>
          </cell>
          <cell r="AF13">
            <v>497.7</v>
          </cell>
          <cell r="AH13">
            <v>1</v>
          </cell>
          <cell r="AI13">
            <v>12600</v>
          </cell>
          <cell r="AJ13">
            <v>13097.7</v>
          </cell>
          <cell r="AK13">
            <v>5107.2999999999993</v>
          </cell>
          <cell r="AL13">
            <v>261</v>
          </cell>
          <cell r="AM13">
            <v>0</v>
          </cell>
          <cell r="AN13">
            <v>17446.3</v>
          </cell>
          <cell r="AO13">
            <v>17450</v>
          </cell>
          <cell r="AP13">
            <v>17450</v>
          </cell>
          <cell r="AQ13">
            <v>1</v>
          </cell>
          <cell r="AR13">
            <v>12</v>
          </cell>
        </row>
        <row r="14">
          <cell r="D14" t="str">
            <v>A034</v>
          </cell>
          <cell r="E14" t="str">
            <v>Võ Thái Nguyên</v>
          </cell>
          <cell r="F14" t="str">
            <v>SON</v>
          </cell>
          <cell r="G14" t="str">
            <v>QUANLY</v>
          </cell>
          <cell r="H14" t="str">
            <v>T4/14</v>
          </cell>
          <cell r="I14" t="str">
            <v>3.X</v>
          </cell>
          <cell r="J14">
            <v>8925.2000000000007</v>
          </cell>
          <cell r="K14">
            <v>2</v>
          </cell>
          <cell r="L14">
            <v>13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16</v>
          </cell>
          <cell r="S14">
            <v>10</v>
          </cell>
          <cell r="T14">
            <v>0</v>
          </cell>
          <cell r="U14">
            <v>0</v>
          </cell>
          <cell r="V14">
            <v>5289</v>
          </cell>
          <cell r="W14">
            <v>620</v>
          </cell>
          <cell r="X14">
            <v>5909</v>
          </cell>
          <cell r="Y14">
            <v>2490.033280000001</v>
          </cell>
          <cell r="Z14">
            <v>0</v>
          </cell>
          <cell r="AA14">
            <v>32</v>
          </cell>
          <cell r="AB14">
            <v>-300</v>
          </cell>
          <cell r="AC14">
            <v>0</v>
          </cell>
          <cell r="AD14">
            <v>2222.033280000001</v>
          </cell>
          <cell r="AE14">
            <v>8131</v>
          </cell>
          <cell r="AF14">
            <v>497.7</v>
          </cell>
          <cell r="AH14">
            <v>0</v>
          </cell>
          <cell r="AI14">
            <v>9000</v>
          </cell>
          <cell r="AJ14">
            <v>9497.7000000000007</v>
          </cell>
          <cell r="AK14">
            <v>-1366.7000000000007</v>
          </cell>
          <cell r="AL14">
            <v>0</v>
          </cell>
          <cell r="AM14">
            <v>3000</v>
          </cell>
          <cell r="AN14">
            <v>4633.3</v>
          </cell>
          <cell r="AO14">
            <v>4640</v>
          </cell>
          <cell r="AP14">
            <v>7640</v>
          </cell>
          <cell r="AQ14">
            <v>1</v>
          </cell>
          <cell r="AR14">
            <v>7</v>
          </cell>
        </row>
        <row r="15">
          <cell r="D15" t="str">
            <v>A042</v>
          </cell>
          <cell r="E15" t="str">
            <v>Phạm Hoàng Khanh</v>
          </cell>
          <cell r="F15" t="str">
            <v>Gián tiếp</v>
          </cell>
          <cell r="G15" t="str">
            <v>QUANLY</v>
          </cell>
          <cell r="H15" t="str">
            <v>T7/13</v>
          </cell>
          <cell r="I15" t="str">
            <v>3.X</v>
          </cell>
          <cell r="J15">
            <v>8841</v>
          </cell>
          <cell r="K15">
            <v>0</v>
          </cell>
          <cell r="L15">
            <v>15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16</v>
          </cell>
          <cell r="S15">
            <v>0</v>
          </cell>
          <cell r="T15">
            <v>0</v>
          </cell>
          <cell r="U15">
            <v>0</v>
          </cell>
          <cell r="V15">
            <v>5239</v>
          </cell>
          <cell r="W15">
            <v>0</v>
          </cell>
          <cell r="X15">
            <v>5239</v>
          </cell>
          <cell r="Y15">
            <v>11769.705422222227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11769.705422222227</v>
          </cell>
          <cell r="AE15">
            <v>17009</v>
          </cell>
          <cell r="AF15">
            <v>710.85</v>
          </cell>
          <cell r="AH15">
            <v>3</v>
          </cell>
          <cell r="AI15">
            <v>19800</v>
          </cell>
          <cell r="AJ15">
            <v>20510.849999999999</v>
          </cell>
          <cell r="AK15">
            <v>-3501.8499999999985</v>
          </cell>
          <cell r="AL15">
            <v>0</v>
          </cell>
          <cell r="AM15">
            <v>0</v>
          </cell>
          <cell r="AN15">
            <v>16298.15</v>
          </cell>
          <cell r="AO15">
            <v>16300</v>
          </cell>
          <cell r="AP15">
            <v>16300</v>
          </cell>
          <cell r="AQ15">
            <v>1</v>
          </cell>
          <cell r="AR15">
            <v>8.5</v>
          </cell>
        </row>
        <row r="16">
          <cell r="D16" t="str">
            <v>A293</v>
          </cell>
          <cell r="E16" t="str">
            <v>Nguyễn Văn Hồng</v>
          </cell>
          <cell r="F16" t="str">
            <v>Gián tiếp</v>
          </cell>
          <cell r="G16" t="str">
            <v>QUANLY</v>
          </cell>
          <cell r="H16" t="str">
            <v>T4/13</v>
          </cell>
          <cell r="I16" t="str">
            <v>3.VIII</v>
          </cell>
          <cell r="J16">
            <v>7864.5</v>
          </cell>
          <cell r="K16">
            <v>0</v>
          </cell>
          <cell r="L16">
            <v>24.5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1.5</v>
          </cell>
          <cell r="R16">
            <v>27</v>
          </cell>
          <cell r="S16">
            <v>0</v>
          </cell>
          <cell r="T16">
            <v>0</v>
          </cell>
          <cell r="U16">
            <v>0</v>
          </cell>
          <cell r="V16">
            <v>7865</v>
          </cell>
          <cell r="W16">
            <v>0</v>
          </cell>
          <cell r="X16">
            <v>7865</v>
          </cell>
          <cell r="Y16">
            <v>12317.625599999998</v>
          </cell>
          <cell r="Z16">
            <v>64</v>
          </cell>
          <cell r="AA16">
            <v>0</v>
          </cell>
          <cell r="AB16">
            <v>0</v>
          </cell>
          <cell r="AC16">
            <v>0</v>
          </cell>
          <cell r="AD16">
            <v>12381.625599999998</v>
          </cell>
          <cell r="AE16">
            <v>20247</v>
          </cell>
          <cell r="AF16">
            <v>676.2</v>
          </cell>
          <cell r="AH16">
            <v>2</v>
          </cell>
          <cell r="AI16">
            <v>16200</v>
          </cell>
          <cell r="AJ16">
            <v>16876.2</v>
          </cell>
          <cell r="AK16">
            <v>3370.7999999999993</v>
          </cell>
          <cell r="AL16">
            <v>169</v>
          </cell>
          <cell r="AM16">
            <v>0</v>
          </cell>
          <cell r="AN16">
            <v>19401.8</v>
          </cell>
          <cell r="AO16">
            <v>19400</v>
          </cell>
          <cell r="AP16">
            <v>19400</v>
          </cell>
          <cell r="AQ16">
            <v>1</v>
          </cell>
          <cell r="AR16">
            <v>4</v>
          </cell>
        </row>
        <row r="17">
          <cell r="D17" t="str">
            <v>A451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W17" t="e">
            <v>#N/A</v>
          </cell>
          <cell r="X17" t="e">
            <v>#N/A</v>
          </cell>
          <cell r="Y17" t="e">
            <v>#N/A</v>
          </cell>
          <cell r="Z17" t="e">
            <v>#N/A</v>
          </cell>
          <cell r="AA17" t="e">
            <v>#N/A</v>
          </cell>
          <cell r="AB17" t="e">
            <v>#N/A</v>
          </cell>
          <cell r="AC17" t="e">
            <v>#N/A</v>
          </cell>
          <cell r="AD17" t="e">
            <v>#N/A</v>
          </cell>
          <cell r="AE17" t="e">
            <v>#N/A</v>
          </cell>
          <cell r="AF17">
            <v>465.78</v>
          </cell>
          <cell r="AH17">
            <v>1</v>
          </cell>
          <cell r="AI17">
            <v>12600</v>
          </cell>
          <cell r="AJ17">
            <v>13065.78</v>
          </cell>
          <cell r="AK17" t="e">
            <v>#N/A</v>
          </cell>
          <cell r="AL17" t="e">
            <v>#N/A</v>
          </cell>
          <cell r="AM17" t="e">
            <v>#N/A</v>
          </cell>
          <cell r="AN17" t="e">
            <v>#N/A</v>
          </cell>
          <cell r="AO17" t="e">
            <v>#N/A</v>
          </cell>
          <cell r="AP17" t="e">
            <v>#N/A</v>
          </cell>
          <cell r="AQ17">
            <v>1</v>
          </cell>
          <cell r="AR17" t="e">
            <v>#N/A</v>
          </cell>
        </row>
        <row r="18">
          <cell r="D18" t="str">
            <v>A573</v>
          </cell>
          <cell r="E18" t="str">
            <v>Trần Kim Phú</v>
          </cell>
          <cell r="F18" t="str">
            <v>Gián tiếp</v>
          </cell>
          <cell r="G18" t="str">
            <v>QUANLY</v>
          </cell>
          <cell r="H18" t="str">
            <v>T10/14</v>
          </cell>
          <cell r="I18" t="str">
            <v>3.VII</v>
          </cell>
          <cell r="J18">
            <v>8116</v>
          </cell>
          <cell r="K18">
            <v>0</v>
          </cell>
          <cell r="L18">
            <v>12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13</v>
          </cell>
          <cell r="S18">
            <v>0</v>
          </cell>
          <cell r="T18">
            <v>0</v>
          </cell>
          <cell r="U18">
            <v>0</v>
          </cell>
          <cell r="V18">
            <v>3908</v>
          </cell>
          <cell r="W18">
            <v>0</v>
          </cell>
          <cell r="X18">
            <v>3908</v>
          </cell>
          <cell r="Y18">
            <v>17562.422222222223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17562.422222222223</v>
          </cell>
          <cell r="AE18">
            <v>21470</v>
          </cell>
          <cell r="AF18">
            <v>866.25</v>
          </cell>
          <cell r="AH18">
            <v>0</v>
          </cell>
          <cell r="AI18">
            <v>9000</v>
          </cell>
          <cell r="AJ18">
            <v>9866.25</v>
          </cell>
          <cell r="AK18">
            <v>11603.75</v>
          </cell>
          <cell r="AL18">
            <v>991</v>
          </cell>
          <cell r="AM18">
            <v>15000</v>
          </cell>
          <cell r="AN18">
            <v>4612.75</v>
          </cell>
          <cell r="AO18">
            <v>4610</v>
          </cell>
          <cell r="AP18">
            <v>19610</v>
          </cell>
          <cell r="AQ18">
            <v>1</v>
          </cell>
          <cell r="AR18">
            <v>3</v>
          </cell>
        </row>
        <row r="19">
          <cell r="D19" t="str">
            <v>A605</v>
          </cell>
          <cell r="E19" t="str">
            <v>Cao Trần Thanh Hòa</v>
          </cell>
          <cell r="F19" t="str">
            <v>Gián tiếp</v>
          </cell>
          <cell r="G19" t="str">
            <v>QUANLY</v>
          </cell>
          <cell r="H19" t="str">
            <v>T5/15</v>
          </cell>
          <cell r="I19" t="str">
            <v>4.III</v>
          </cell>
          <cell r="J19">
            <v>4586.4000000000005</v>
          </cell>
          <cell r="K19">
            <v>0</v>
          </cell>
          <cell r="L19">
            <v>25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  <cell r="Q19">
            <v>1</v>
          </cell>
          <cell r="R19">
            <v>27</v>
          </cell>
          <cell r="S19">
            <v>0</v>
          </cell>
          <cell r="T19">
            <v>0</v>
          </cell>
          <cell r="U19">
            <v>0</v>
          </cell>
          <cell r="V19">
            <v>4586</v>
          </cell>
          <cell r="W19">
            <v>0</v>
          </cell>
          <cell r="X19">
            <v>4586</v>
          </cell>
          <cell r="Y19">
            <v>4213.3920000000007</v>
          </cell>
          <cell r="Z19">
            <v>0</v>
          </cell>
          <cell r="AA19">
            <v>0</v>
          </cell>
          <cell r="AB19">
            <v>-450</v>
          </cell>
          <cell r="AC19">
            <v>0</v>
          </cell>
          <cell r="AD19">
            <v>3763.3920000000007</v>
          </cell>
          <cell r="AE19">
            <v>8349</v>
          </cell>
          <cell r="AF19">
            <v>473.65499999999997</v>
          </cell>
          <cell r="AH19">
            <v>0</v>
          </cell>
          <cell r="AI19">
            <v>9000</v>
          </cell>
          <cell r="AJ19">
            <v>9473.6550000000007</v>
          </cell>
          <cell r="AK19">
            <v>-1124.6550000000007</v>
          </cell>
          <cell r="AL19">
            <v>0</v>
          </cell>
          <cell r="AM19">
            <v>0</v>
          </cell>
          <cell r="AN19">
            <v>7875.3450000000003</v>
          </cell>
          <cell r="AO19">
            <v>7880</v>
          </cell>
          <cell r="AP19">
            <v>7880</v>
          </cell>
          <cell r="AQ19">
            <v>1</v>
          </cell>
          <cell r="AR19">
            <v>4.5</v>
          </cell>
        </row>
        <row r="20">
          <cell r="D20" t="str">
            <v>A613</v>
          </cell>
          <cell r="E20" t="str">
            <v>Mai Thị Tuyết Nhung</v>
          </cell>
          <cell r="F20" t="str">
            <v>Gián tiếp</v>
          </cell>
          <cell r="G20" t="str">
            <v>QUANLY</v>
          </cell>
          <cell r="H20" t="str">
            <v>T7/15</v>
          </cell>
          <cell r="I20" t="str">
            <v>2.VI</v>
          </cell>
          <cell r="J20">
            <v>11281.2</v>
          </cell>
          <cell r="K20">
            <v>0</v>
          </cell>
          <cell r="L20">
            <v>24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  <cell r="Q20">
            <v>2</v>
          </cell>
          <cell r="R20">
            <v>27</v>
          </cell>
          <cell r="S20">
            <v>0</v>
          </cell>
          <cell r="T20">
            <v>0</v>
          </cell>
          <cell r="U20">
            <v>0</v>
          </cell>
          <cell r="V20">
            <v>11281</v>
          </cell>
          <cell r="W20">
            <v>0</v>
          </cell>
          <cell r="X20">
            <v>11281</v>
          </cell>
          <cell r="Y20">
            <v>17468.996650000001</v>
          </cell>
          <cell r="Z20">
            <v>256</v>
          </cell>
          <cell r="AA20">
            <v>0</v>
          </cell>
          <cell r="AB20">
            <v>0</v>
          </cell>
          <cell r="AC20">
            <v>0</v>
          </cell>
          <cell r="AD20">
            <v>17724.996650000001</v>
          </cell>
          <cell r="AE20">
            <v>29006</v>
          </cell>
          <cell r="AF20">
            <v>1158.1500000000001</v>
          </cell>
          <cell r="AH20">
            <v>1</v>
          </cell>
          <cell r="AI20">
            <v>12600</v>
          </cell>
          <cell r="AJ20">
            <v>13758.15</v>
          </cell>
          <cell r="AK20">
            <v>15247.85</v>
          </cell>
          <cell r="AL20">
            <v>1537</v>
          </cell>
          <cell r="AM20">
            <v>5000</v>
          </cell>
          <cell r="AN20">
            <v>21310.85</v>
          </cell>
          <cell r="AO20">
            <v>21310</v>
          </cell>
          <cell r="AP20">
            <v>26310</v>
          </cell>
          <cell r="AQ20">
            <v>3</v>
          </cell>
          <cell r="AR20">
            <v>5</v>
          </cell>
        </row>
        <row r="21">
          <cell r="D21" t="str">
            <v>A068</v>
          </cell>
          <cell r="E21" t="str">
            <v>Nguyễn Văn Phúc cd</v>
          </cell>
          <cell r="F21" t="str">
            <v>CD</v>
          </cell>
          <cell r="G21" t="str">
            <v xml:space="preserve">Công nhân </v>
          </cell>
          <cell r="H21" t="str">
            <v>T9/03</v>
          </cell>
          <cell r="I21" t="str">
            <v>7.X</v>
          </cell>
          <cell r="J21">
            <v>6402.4000000000005</v>
          </cell>
          <cell r="K21">
            <v>3</v>
          </cell>
          <cell r="L21">
            <v>20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  <cell r="Q21">
            <v>3</v>
          </cell>
          <cell r="R21">
            <v>27</v>
          </cell>
          <cell r="S21">
            <v>61</v>
          </cell>
          <cell r="T21">
            <v>38</v>
          </cell>
          <cell r="U21">
            <v>0</v>
          </cell>
          <cell r="V21">
            <v>6402</v>
          </cell>
          <cell r="W21">
            <v>4965</v>
          </cell>
          <cell r="X21">
            <v>11367</v>
          </cell>
          <cell r="Y21">
            <v>2788.9267800000025</v>
          </cell>
          <cell r="Z21">
            <v>16</v>
          </cell>
          <cell r="AA21">
            <v>48</v>
          </cell>
          <cell r="AB21">
            <v>-150</v>
          </cell>
          <cell r="AC21">
            <v>0</v>
          </cell>
          <cell r="AD21">
            <v>2702.9267800000025</v>
          </cell>
          <cell r="AE21">
            <v>14070</v>
          </cell>
          <cell r="AF21">
            <v>473.55</v>
          </cell>
          <cell r="AH21">
            <v>0</v>
          </cell>
          <cell r="AI21">
            <v>9000</v>
          </cell>
          <cell r="AJ21">
            <v>9473.5499999999993</v>
          </cell>
          <cell r="AK21">
            <v>4596.4500000000007</v>
          </cell>
          <cell r="AL21">
            <v>230</v>
          </cell>
          <cell r="AM21">
            <v>3000</v>
          </cell>
          <cell r="AN21">
            <v>10366.450000000001</v>
          </cell>
          <cell r="AO21">
            <v>10370</v>
          </cell>
          <cell r="AP21">
            <v>13370</v>
          </cell>
          <cell r="AQ21">
            <v>1</v>
          </cell>
          <cell r="AR21">
            <v>9.5</v>
          </cell>
        </row>
        <row r="22">
          <cell r="D22" t="str">
            <v>A086</v>
          </cell>
          <cell r="E22" t="str">
            <v>Nguyễn Tấn Hưng</v>
          </cell>
          <cell r="F22" t="str">
            <v>CD</v>
          </cell>
          <cell r="G22" t="str">
            <v xml:space="preserve">Công nhân </v>
          </cell>
          <cell r="H22" t="str">
            <v>T4/06</v>
          </cell>
          <cell r="I22" t="str">
            <v>7.VII</v>
          </cell>
          <cell r="J22">
            <v>4919.2</v>
          </cell>
          <cell r="K22">
            <v>3</v>
          </cell>
          <cell r="L22">
            <v>19</v>
          </cell>
          <cell r="M22">
            <v>1</v>
          </cell>
          <cell r="N22">
            <v>0</v>
          </cell>
          <cell r="O22">
            <v>0</v>
          </cell>
          <cell r="P22">
            <v>0</v>
          </cell>
          <cell r="Q22">
            <v>4</v>
          </cell>
          <cell r="R22">
            <v>27</v>
          </cell>
          <cell r="S22">
            <v>57</v>
          </cell>
          <cell r="T22">
            <v>41</v>
          </cell>
          <cell r="U22">
            <v>0</v>
          </cell>
          <cell r="V22">
            <v>4919</v>
          </cell>
          <cell r="W22">
            <v>3815</v>
          </cell>
          <cell r="X22">
            <v>8734</v>
          </cell>
          <cell r="Y22">
            <v>1762.3840000000009</v>
          </cell>
          <cell r="Z22">
            <v>48</v>
          </cell>
          <cell r="AA22">
            <v>48</v>
          </cell>
          <cell r="AB22">
            <v>-70</v>
          </cell>
          <cell r="AC22">
            <v>0</v>
          </cell>
          <cell r="AD22">
            <v>1788.3840000000009</v>
          </cell>
          <cell r="AE22">
            <v>10522</v>
          </cell>
          <cell r="AF22">
            <v>473.55</v>
          </cell>
          <cell r="AH22">
            <v>0</v>
          </cell>
          <cell r="AI22">
            <v>9000</v>
          </cell>
          <cell r="AJ22">
            <v>9473.5499999999993</v>
          </cell>
          <cell r="AK22">
            <v>1048.4500000000007</v>
          </cell>
          <cell r="AL22">
            <v>52</v>
          </cell>
          <cell r="AM22">
            <v>2000</v>
          </cell>
          <cell r="AN22">
            <v>7996.4500000000007</v>
          </cell>
          <cell r="AO22">
            <v>8000</v>
          </cell>
          <cell r="AP22">
            <v>10000</v>
          </cell>
          <cell r="AQ22">
            <v>1</v>
          </cell>
          <cell r="AR22">
            <v>10</v>
          </cell>
        </row>
        <row r="23">
          <cell r="D23" t="str">
            <v>A094</v>
          </cell>
          <cell r="E23" t="str">
            <v>Trần Thanh Trực</v>
          </cell>
          <cell r="F23" t="str">
            <v>CD</v>
          </cell>
          <cell r="G23" t="str">
            <v>Công nhân</v>
          </cell>
          <cell r="H23" t="str">
            <v>T5/07</v>
          </cell>
          <cell r="I23" t="str">
            <v>7.VII</v>
          </cell>
          <cell r="J23">
            <v>4970</v>
          </cell>
          <cell r="K23">
            <v>6</v>
          </cell>
          <cell r="L23">
            <v>19.5</v>
          </cell>
          <cell r="M23">
            <v>1</v>
          </cell>
          <cell r="N23">
            <v>0</v>
          </cell>
          <cell r="O23">
            <v>0</v>
          </cell>
          <cell r="P23">
            <v>0</v>
          </cell>
          <cell r="Q23">
            <v>0.5</v>
          </cell>
          <cell r="R23">
            <v>27</v>
          </cell>
          <cell r="S23">
            <v>42.5</v>
          </cell>
          <cell r="T23">
            <v>25</v>
          </cell>
          <cell r="U23">
            <v>0</v>
          </cell>
          <cell r="V23">
            <v>4970</v>
          </cell>
          <cell r="W23">
            <v>2617</v>
          </cell>
          <cell r="X23">
            <v>7587</v>
          </cell>
          <cell r="Y23">
            <v>3530</v>
          </cell>
          <cell r="Z23">
            <v>16</v>
          </cell>
          <cell r="AA23">
            <v>96</v>
          </cell>
          <cell r="AB23">
            <v>-300</v>
          </cell>
          <cell r="AC23">
            <v>0</v>
          </cell>
          <cell r="AD23">
            <v>3342</v>
          </cell>
          <cell r="AE23">
            <v>10929</v>
          </cell>
          <cell r="AF23">
            <v>473.55</v>
          </cell>
          <cell r="AH23">
            <v>0</v>
          </cell>
          <cell r="AI23">
            <v>9000</v>
          </cell>
          <cell r="AJ23">
            <v>9473.5499999999993</v>
          </cell>
          <cell r="AK23">
            <v>1455.4500000000007</v>
          </cell>
          <cell r="AL23">
            <v>73</v>
          </cell>
          <cell r="AM23">
            <v>2000</v>
          </cell>
          <cell r="AN23">
            <v>8382.4500000000007</v>
          </cell>
          <cell r="AO23">
            <v>8380</v>
          </cell>
          <cell r="AP23">
            <v>10380</v>
          </cell>
          <cell r="AQ23">
            <v>1</v>
          </cell>
          <cell r="AR23">
            <v>13</v>
          </cell>
        </row>
        <row r="24">
          <cell r="D24" t="str">
            <v>A424</v>
          </cell>
          <cell r="E24" t="str">
            <v>Nguyễn Văn Song</v>
          </cell>
          <cell r="F24" t="str">
            <v>CD</v>
          </cell>
          <cell r="G24" t="str">
            <v>QUANLY</v>
          </cell>
          <cell r="H24" t="str">
            <v>T9/13</v>
          </cell>
          <cell r="I24" t="str">
            <v>5.VIII</v>
          </cell>
          <cell r="J24">
            <v>5724</v>
          </cell>
          <cell r="K24">
            <v>9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5</v>
          </cell>
          <cell r="Q24">
            <v>0</v>
          </cell>
          <cell r="R24">
            <v>16</v>
          </cell>
          <cell r="S24">
            <v>64</v>
          </cell>
          <cell r="T24">
            <v>12</v>
          </cell>
          <cell r="U24">
            <v>0</v>
          </cell>
          <cell r="V24">
            <v>3710</v>
          </cell>
          <cell r="W24">
            <v>3180</v>
          </cell>
          <cell r="X24">
            <v>6890</v>
          </cell>
          <cell r="Y24">
            <v>1356.1738903703711</v>
          </cell>
          <cell r="Z24">
            <v>0</v>
          </cell>
          <cell r="AA24">
            <v>304</v>
          </cell>
          <cell r="AB24">
            <v>-150</v>
          </cell>
          <cell r="AC24">
            <v>0</v>
          </cell>
          <cell r="AD24">
            <v>1510.1738903703711</v>
          </cell>
          <cell r="AE24">
            <v>8400</v>
          </cell>
          <cell r="AF24">
            <v>473.65499999999997</v>
          </cell>
          <cell r="AH24">
            <v>0</v>
          </cell>
          <cell r="AI24">
            <v>9000</v>
          </cell>
          <cell r="AJ24">
            <v>9473.6550000000007</v>
          </cell>
          <cell r="AK24">
            <v>-1073.6550000000007</v>
          </cell>
          <cell r="AL24">
            <v>0</v>
          </cell>
          <cell r="AM24">
            <v>0</v>
          </cell>
          <cell r="AN24">
            <v>7926.3450000000003</v>
          </cell>
          <cell r="AO24">
            <v>7930</v>
          </cell>
          <cell r="AP24">
            <v>7930</v>
          </cell>
          <cell r="AQ24">
            <v>1</v>
          </cell>
          <cell r="AR24">
            <v>4</v>
          </cell>
        </row>
        <row r="25">
          <cell r="D25" t="str">
            <v>A594</v>
          </cell>
          <cell r="E25" t="str">
            <v>Nguyễn Viết Lợi</v>
          </cell>
          <cell r="F25" t="str">
            <v>CD</v>
          </cell>
          <cell r="G25" t="str">
            <v>QUANLY</v>
          </cell>
          <cell r="H25" t="str">
            <v>T3/15</v>
          </cell>
          <cell r="I25" t="str">
            <v>5.II</v>
          </cell>
          <cell r="J25">
            <v>6125</v>
          </cell>
          <cell r="K25">
            <v>0</v>
          </cell>
          <cell r="L25">
            <v>25.5</v>
          </cell>
          <cell r="M25">
            <v>1</v>
          </cell>
          <cell r="N25">
            <v>0</v>
          </cell>
          <cell r="O25">
            <v>0</v>
          </cell>
          <cell r="P25">
            <v>0</v>
          </cell>
          <cell r="Q25">
            <v>0.5</v>
          </cell>
          <cell r="R25">
            <v>27</v>
          </cell>
          <cell r="S25">
            <v>0</v>
          </cell>
          <cell r="T25">
            <v>0</v>
          </cell>
          <cell r="U25">
            <v>0</v>
          </cell>
          <cell r="V25">
            <v>6125</v>
          </cell>
          <cell r="W25">
            <v>0</v>
          </cell>
          <cell r="X25">
            <v>6125</v>
          </cell>
          <cell r="Y25">
            <v>11475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11475</v>
          </cell>
          <cell r="AE25">
            <v>17600</v>
          </cell>
          <cell r="AF25">
            <v>643.125</v>
          </cell>
          <cell r="AH25">
            <v>1</v>
          </cell>
          <cell r="AI25">
            <v>12600</v>
          </cell>
          <cell r="AJ25">
            <v>13243.125</v>
          </cell>
          <cell r="AK25">
            <v>4356.875</v>
          </cell>
          <cell r="AL25">
            <v>218</v>
          </cell>
          <cell r="AM25">
            <v>2000</v>
          </cell>
          <cell r="AN25">
            <v>14738.875</v>
          </cell>
          <cell r="AO25">
            <v>14740</v>
          </cell>
          <cell r="AP25">
            <v>16740</v>
          </cell>
          <cell r="AQ25">
            <v>1</v>
          </cell>
          <cell r="AR25">
            <v>5.5</v>
          </cell>
        </row>
        <row r="26">
          <cell r="D26" t="str">
            <v>A028</v>
          </cell>
          <cell r="E26" t="str">
            <v>Nguyễn Trung Lập</v>
          </cell>
          <cell r="F26" t="str">
            <v>CII.2</v>
          </cell>
          <cell r="G26" t="str">
            <v xml:space="preserve">Công nhân </v>
          </cell>
          <cell r="H26" t="str">
            <v>T8/08</v>
          </cell>
          <cell r="I26" t="str">
            <v>7.IV</v>
          </cell>
          <cell r="J26">
            <v>4740</v>
          </cell>
          <cell r="K26">
            <v>14</v>
          </cell>
          <cell r="L26">
            <v>8.5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  <cell r="Q26">
            <v>3.5</v>
          </cell>
          <cell r="R26">
            <v>27</v>
          </cell>
          <cell r="S26">
            <v>58.5</v>
          </cell>
          <cell r="T26">
            <v>0</v>
          </cell>
          <cell r="U26">
            <v>0</v>
          </cell>
          <cell r="V26">
            <v>4740</v>
          </cell>
          <cell r="W26">
            <v>1926</v>
          </cell>
          <cell r="X26">
            <v>6666</v>
          </cell>
          <cell r="Y26">
            <v>1174.95424</v>
          </cell>
          <cell r="Z26">
            <v>0</v>
          </cell>
          <cell r="AA26">
            <v>224</v>
          </cell>
          <cell r="AB26">
            <v>-210</v>
          </cell>
          <cell r="AC26">
            <v>0</v>
          </cell>
          <cell r="AD26">
            <v>1188.95424</v>
          </cell>
          <cell r="AE26">
            <v>7855</v>
          </cell>
          <cell r="AF26">
            <v>466.2</v>
          </cell>
          <cell r="AH26">
            <v>0</v>
          </cell>
          <cell r="AI26">
            <v>9000</v>
          </cell>
          <cell r="AJ26">
            <v>9466.2000000000007</v>
          </cell>
          <cell r="AK26">
            <v>-1611.2000000000007</v>
          </cell>
          <cell r="AL26">
            <v>0</v>
          </cell>
          <cell r="AM26">
            <v>2000</v>
          </cell>
          <cell r="AN26">
            <v>5388.8</v>
          </cell>
          <cell r="AO26">
            <v>5390</v>
          </cell>
          <cell r="AP26">
            <v>7390</v>
          </cell>
          <cell r="AQ26">
            <v>1</v>
          </cell>
          <cell r="AR26">
            <v>0</v>
          </cell>
        </row>
        <row r="27">
          <cell r="D27" t="str">
            <v>A033</v>
          </cell>
          <cell r="E27" t="str">
            <v>Hà Công Hoàng Minh</v>
          </cell>
          <cell r="F27" t="str">
            <v>CII.1</v>
          </cell>
          <cell r="G27" t="str">
            <v>Công nhân</v>
          </cell>
          <cell r="H27" t="str">
            <v>T4/08</v>
          </cell>
          <cell r="I27" t="str">
            <v>7.IV</v>
          </cell>
          <cell r="J27">
            <v>4740</v>
          </cell>
          <cell r="K27">
            <v>5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9</v>
          </cell>
          <cell r="Q27">
            <v>1</v>
          </cell>
          <cell r="R27">
            <v>16</v>
          </cell>
          <cell r="S27">
            <v>56</v>
          </cell>
          <cell r="T27">
            <v>0</v>
          </cell>
          <cell r="U27">
            <v>0</v>
          </cell>
          <cell r="V27">
            <v>3283</v>
          </cell>
          <cell r="W27">
            <v>1843</v>
          </cell>
          <cell r="X27">
            <v>5126</v>
          </cell>
          <cell r="Y27">
            <v>651.11191703703662</v>
          </cell>
          <cell r="Z27">
            <v>0</v>
          </cell>
          <cell r="AA27">
            <v>368</v>
          </cell>
          <cell r="AB27">
            <v>-70</v>
          </cell>
          <cell r="AC27">
            <v>0</v>
          </cell>
          <cell r="AD27">
            <v>949.11191703703662</v>
          </cell>
          <cell r="AE27">
            <v>6075</v>
          </cell>
          <cell r="AF27">
            <v>466.2</v>
          </cell>
          <cell r="AH27">
            <v>0</v>
          </cell>
          <cell r="AI27">
            <v>9000</v>
          </cell>
          <cell r="AJ27">
            <v>9466.2000000000007</v>
          </cell>
          <cell r="AK27">
            <v>-3391.2000000000007</v>
          </cell>
          <cell r="AL27">
            <v>0</v>
          </cell>
          <cell r="AM27">
            <v>2000</v>
          </cell>
          <cell r="AN27">
            <v>3608.8</v>
          </cell>
          <cell r="AO27">
            <v>3610</v>
          </cell>
          <cell r="AP27">
            <v>5610</v>
          </cell>
          <cell r="AQ27">
            <v>1</v>
          </cell>
          <cell r="AR27">
            <v>7</v>
          </cell>
        </row>
        <row r="28">
          <cell r="D28" t="str">
            <v>A328</v>
          </cell>
          <cell r="E28" t="str">
            <v>Bùi Thị Bé Tư</v>
          </cell>
          <cell r="F28" t="str">
            <v>CII.4</v>
          </cell>
          <cell r="G28" t="str">
            <v>Công Nhân</v>
          </cell>
          <cell r="H28" t="str">
            <v>T10/12</v>
          </cell>
          <cell r="I28" t="str">
            <v>7.I</v>
          </cell>
          <cell r="J28">
            <v>4510</v>
          </cell>
          <cell r="K28">
            <v>15</v>
          </cell>
          <cell r="L28">
            <v>0</v>
          </cell>
          <cell r="M28">
            <v>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16</v>
          </cell>
          <cell r="S28">
            <v>60</v>
          </cell>
          <cell r="T28">
            <v>24</v>
          </cell>
          <cell r="U28">
            <v>0</v>
          </cell>
          <cell r="V28">
            <v>2673</v>
          </cell>
          <cell r="W28">
            <v>2881</v>
          </cell>
          <cell r="X28">
            <v>5554</v>
          </cell>
          <cell r="Y28">
            <v>0</v>
          </cell>
          <cell r="Z28">
            <v>0</v>
          </cell>
          <cell r="AA28">
            <v>240</v>
          </cell>
          <cell r="AB28">
            <v>70</v>
          </cell>
          <cell r="AC28">
            <v>0</v>
          </cell>
          <cell r="AD28">
            <v>310</v>
          </cell>
          <cell r="AE28">
            <v>5864</v>
          </cell>
          <cell r="AF28">
            <v>466.2</v>
          </cell>
          <cell r="AH28">
            <v>0</v>
          </cell>
          <cell r="AI28">
            <v>9000</v>
          </cell>
          <cell r="AJ28">
            <v>9466.2000000000007</v>
          </cell>
          <cell r="AK28">
            <v>-3602.2000000000007</v>
          </cell>
          <cell r="AL28">
            <v>0</v>
          </cell>
          <cell r="AM28">
            <v>1000</v>
          </cell>
          <cell r="AN28">
            <v>4397.8</v>
          </cell>
          <cell r="AO28">
            <v>4400</v>
          </cell>
          <cell r="AP28">
            <v>5400</v>
          </cell>
          <cell r="AQ28">
            <v>1</v>
          </cell>
          <cell r="AR28">
            <v>7</v>
          </cell>
        </row>
        <row r="29">
          <cell r="D29" t="str">
            <v>A610</v>
          </cell>
          <cell r="E29" t="str">
            <v>Nguyễn Hồng Thành Tài</v>
          </cell>
          <cell r="F29" t="str">
            <v>CI.1</v>
          </cell>
          <cell r="G29" t="str">
            <v>Công Nhân</v>
          </cell>
          <cell r="H29" t="str">
            <v>T6/15</v>
          </cell>
          <cell r="I29" t="str">
            <v>7.I</v>
          </cell>
          <cell r="J29">
            <v>4290</v>
          </cell>
          <cell r="K29">
            <v>1</v>
          </cell>
          <cell r="L29">
            <v>0</v>
          </cell>
          <cell r="M29">
            <v>1</v>
          </cell>
          <cell r="N29">
            <v>0</v>
          </cell>
          <cell r="O29">
            <v>0</v>
          </cell>
          <cell r="P29">
            <v>8</v>
          </cell>
          <cell r="Q29">
            <v>1</v>
          </cell>
          <cell r="R29">
            <v>11</v>
          </cell>
          <cell r="S29">
            <v>36</v>
          </cell>
          <cell r="T29">
            <v>12</v>
          </cell>
          <cell r="U29">
            <v>0</v>
          </cell>
          <cell r="V29">
            <v>2129</v>
          </cell>
          <cell r="W29">
            <v>1549</v>
          </cell>
          <cell r="X29">
            <v>3678</v>
          </cell>
          <cell r="Y29">
            <v>216.51788888888834</v>
          </cell>
          <cell r="Z29">
            <v>64</v>
          </cell>
          <cell r="AA29">
            <v>272</v>
          </cell>
          <cell r="AB29">
            <v>-70</v>
          </cell>
          <cell r="AC29">
            <v>0</v>
          </cell>
          <cell r="AD29">
            <v>482.51788888888836</v>
          </cell>
          <cell r="AE29">
            <v>4161</v>
          </cell>
          <cell r="AF29">
            <v>443.1</v>
          </cell>
          <cell r="AH29">
            <v>0</v>
          </cell>
          <cell r="AI29">
            <v>9000</v>
          </cell>
          <cell r="AJ29">
            <v>9443.1</v>
          </cell>
          <cell r="AK29">
            <v>-5282.1</v>
          </cell>
          <cell r="AL29">
            <v>0</v>
          </cell>
          <cell r="AM29">
            <v>2000</v>
          </cell>
          <cell r="AN29">
            <v>1717.9</v>
          </cell>
          <cell r="AO29">
            <v>1720</v>
          </cell>
          <cell r="AP29">
            <v>3720</v>
          </cell>
          <cell r="AQ29">
            <v>1</v>
          </cell>
          <cell r="AR29">
            <v>0</v>
          </cell>
        </row>
        <row r="30">
          <cell r="D30" t="str">
            <v>A007</v>
          </cell>
          <cell r="E30" t="str">
            <v>Đào Thanh Điền</v>
          </cell>
          <cell r="F30" t="str">
            <v>CII.1</v>
          </cell>
          <cell r="G30" t="str">
            <v>QUANLY</v>
          </cell>
          <cell r="H30" t="str">
            <v>T2/05</v>
          </cell>
          <cell r="I30" t="str">
            <v>4.X</v>
          </cell>
          <cell r="J30">
            <v>7072.4999999999991</v>
          </cell>
          <cell r="K30">
            <v>5</v>
          </cell>
          <cell r="L30">
            <v>1</v>
          </cell>
          <cell r="M30">
            <v>1</v>
          </cell>
          <cell r="N30">
            <v>0</v>
          </cell>
          <cell r="O30">
            <v>0</v>
          </cell>
          <cell r="P30">
            <v>9</v>
          </cell>
          <cell r="Q30">
            <v>0</v>
          </cell>
          <cell r="R30">
            <v>16</v>
          </cell>
          <cell r="S30">
            <v>56</v>
          </cell>
          <cell r="T30">
            <v>24</v>
          </cell>
          <cell r="U30">
            <v>12</v>
          </cell>
          <cell r="V30">
            <v>4898</v>
          </cell>
          <cell r="W30">
            <v>5501</v>
          </cell>
          <cell r="X30">
            <v>10399</v>
          </cell>
          <cell r="Y30">
            <v>3064.9037037037028</v>
          </cell>
          <cell r="Z30">
            <v>48</v>
          </cell>
          <cell r="AA30">
            <v>368</v>
          </cell>
          <cell r="AB30">
            <v>-150</v>
          </cell>
          <cell r="AC30">
            <v>0</v>
          </cell>
          <cell r="AD30">
            <v>3330.9037037037028</v>
          </cell>
          <cell r="AE30">
            <v>13730</v>
          </cell>
          <cell r="AF30">
            <v>522.9</v>
          </cell>
          <cell r="AH30">
            <v>1</v>
          </cell>
          <cell r="AI30">
            <v>12600</v>
          </cell>
          <cell r="AJ30">
            <v>13122.9</v>
          </cell>
          <cell r="AK30">
            <v>607.10000000000036</v>
          </cell>
          <cell r="AL30">
            <v>30</v>
          </cell>
          <cell r="AM30">
            <v>0</v>
          </cell>
          <cell r="AN30">
            <v>13177.1</v>
          </cell>
          <cell r="AO30">
            <v>13180</v>
          </cell>
          <cell r="AP30">
            <v>13180</v>
          </cell>
          <cell r="AQ30">
            <v>1</v>
          </cell>
          <cell r="AR30">
            <v>14.5</v>
          </cell>
        </row>
        <row r="31">
          <cell r="D31" t="str">
            <v>A023</v>
          </cell>
          <cell r="E31" t="str">
            <v>Nguyễn Văn Mừng</v>
          </cell>
          <cell r="F31" t="str">
            <v>CI.1</v>
          </cell>
          <cell r="G31" t="str">
            <v xml:space="preserve">Công nhân </v>
          </cell>
          <cell r="H31" t="str">
            <v>T10/07</v>
          </cell>
          <cell r="I31" t="str">
            <v>7.V</v>
          </cell>
          <cell r="J31">
            <v>4740</v>
          </cell>
          <cell r="K31">
            <v>7</v>
          </cell>
          <cell r="L31">
            <v>2</v>
          </cell>
          <cell r="M31">
            <v>1</v>
          </cell>
          <cell r="N31">
            <v>0</v>
          </cell>
          <cell r="O31">
            <v>0</v>
          </cell>
          <cell r="P31">
            <v>6</v>
          </cell>
          <cell r="Q31">
            <v>0</v>
          </cell>
          <cell r="R31">
            <v>16</v>
          </cell>
          <cell r="S31">
            <v>52</v>
          </cell>
          <cell r="T31">
            <v>20</v>
          </cell>
          <cell r="U31">
            <v>0</v>
          </cell>
          <cell r="V31">
            <v>3125</v>
          </cell>
          <cell r="W31">
            <v>2589</v>
          </cell>
          <cell r="X31">
            <v>5714</v>
          </cell>
          <cell r="Y31">
            <v>926.17296592592629</v>
          </cell>
          <cell r="Z31">
            <v>16</v>
          </cell>
          <cell r="AA31">
            <v>304</v>
          </cell>
          <cell r="AB31">
            <v>-70</v>
          </cell>
          <cell r="AC31">
            <v>0</v>
          </cell>
          <cell r="AD31">
            <v>1176.1729659259263</v>
          </cell>
          <cell r="AE31">
            <v>6890</v>
          </cell>
          <cell r="AF31">
            <v>466.2</v>
          </cell>
          <cell r="AH31">
            <v>0</v>
          </cell>
          <cell r="AI31">
            <v>9000</v>
          </cell>
          <cell r="AJ31">
            <v>9466.2000000000007</v>
          </cell>
          <cell r="AK31">
            <v>-2576.2000000000007</v>
          </cell>
          <cell r="AL31">
            <v>0</v>
          </cell>
          <cell r="AM31">
            <v>2000</v>
          </cell>
          <cell r="AN31">
            <v>4423.8</v>
          </cell>
          <cell r="AO31">
            <v>4430</v>
          </cell>
          <cell r="AP31">
            <v>6430</v>
          </cell>
          <cell r="AQ31">
            <v>1</v>
          </cell>
          <cell r="AR31">
            <v>3</v>
          </cell>
        </row>
        <row r="32">
          <cell r="D32" t="str">
            <v>A026</v>
          </cell>
          <cell r="E32" t="str">
            <v>Nguyễn Văn Bình</v>
          </cell>
          <cell r="F32" t="str">
            <v>CII.1</v>
          </cell>
          <cell r="G32" t="str">
            <v xml:space="preserve">Công nhân </v>
          </cell>
          <cell r="H32" t="str">
            <v>T6/08</v>
          </cell>
          <cell r="I32" t="str">
            <v>7.IV</v>
          </cell>
          <cell r="J32">
            <v>4740</v>
          </cell>
          <cell r="K32">
            <v>7</v>
          </cell>
          <cell r="L32">
            <v>1</v>
          </cell>
          <cell r="M32">
            <v>1</v>
          </cell>
          <cell r="N32">
            <v>0</v>
          </cell>
          <cell r="O32">
            <v>0</v>
          </cell>
          <cell r="P32">
            <v>5</v>
          </cell>
          <cell r="Q32">
            <v>2</v>
          </cell>
          <cell r="R32">
            <v>16</v>
          </cell>
          <cell r="S32">
            <v>48</v>
          </cell>
          <cell r="T32">
            <v>0</v>
          </cell>
          <cell r="U32">
            <v>0</v>
          </cell>
          <cell r="V32">
            <v>3072</v>
          </cell>
          <cell r="W32">
            <v>1580</v>
          </cell>
          <cell r="X32">
            <v>4652</v>
          </cell>
          <cell r="Y32">
            <v>644.57917629629617</v>
          </cell>
          <cell r="Z32">
            <v>0</v>
          </cell>
          <cell r="AA32">
            <v>272</v>
          </cell>
          <cell r="AB32">
            <v>-70</v>
          </cell>
          <cell r="AC32">
            <v>0</v>
          </cell>
          <cell r="AD32">
            <v>846.57917629629617</v>
          </cell>
          <cell r="AE32">
            <v>5499</v>
          </cell>
          <cell r="AF32">
            <v>466.2</v>
          </cell>
          <cell r="AH32">
            <v>0</v>
          </cell>
          <cell r="AI32">
            <v>9000</v>
          </cell>
          <cell r="AJ32">
            <v>9466.2000000000007</v>
          </cell>
          <cell r="AK32">
            <v>-3967.2000000000007</v>
          </cell>
          <cell r="AL32">
            <v>0</v>
          </cell>
          <cell r="AM32">
            <v>2000</v>
          </cell>
          <cell r="AN32">
            <v>3032.8</v>
          </cell>
          <cell r="AO32">
            <v>3030</v>
          </cell>
          <cell r="AP32">
            <v>5030</v>
          </cell>
          <cell r="AQ32">
            <v>1</v>
          </cell>
          <cell r="AR32">
            <v>0</v>
          </cell>
        </row>
        <row r="33">
          <cell r="D33" t="str">
            <v>A027</v>
          </cell>
          <cell r="E33" t="str">
            <v>Đỗ Tấn Lạnh</v>
          </cell>
          <cell r="F33" t="str">
            <v>CII.1</v>
          </cell>
          <cell r="G33" t="str">
            <v xml:space="preserve">Công nhân </v>
          </cell>
          <cell r="H33" t="str">
            <v>T8/08</v>
          </cell>
          <cell r="I33" t="str">
            <v>7.IV</v>
          </cell>
          <cell r="J33">
            <v>4740</v>
          </cell>
          <cell r="K33">
            <v>13</v>
          </cell>
          <cell r="L33">
            <v>1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1</v>
          </cell>
          <cell r="R33">
            <v>16</v>
          </cell>
          <cell r="S33">
            <v>52</v>
          </cell>
          <cell r="T33">
            <v>0</v>
          </cell>
          <cell r="U33">
            <v>11</v>
          </cell>
          <cell r="V33">
            <v>2809</v>
          </cell>
          <cell r="W33">
            <v>2436</v>
          </cell>
          <cell r="X33">
            <v>5245</v>
          </cell>
          <cell r="Y33">
            <v>704.33365333333336</v>
          </cell>
          <cell r="Z33">
            <v>0</v>
          </cell>
          <cell r="AA33">
            <v>208</v>
          </cell>
          <cell r="AB33">
            <v>-70</v>
          </cell>
          <cell r="AC33">
            <v>0</v>
          </cell>
          <cell r="AD33">
            <v>842.33365333333336</v>
          </cell>
          <cell r="AE33">
            <v>6087</v>
          </cell>
          <cell r="AF33">
            <v>466.2</v>
          </cell>
          <cell r="AH33">
            <v>0</v>
          </cell>
          <cell r="AI33">
            <v>9000</v>
          </cell>
          <cell r="AJ33">
            <v>9466.2000000000007</v>
          </cell>
          <cell r="AK33">
            <v>-3379.2000000000007</v>
          </cell>
          <cell r="AL33">
            <v>0</v>
          </cell>
          <cell r="AM33">
            <v>0</v>
          </cell>
          <cell r="AN33">
            <v>5620.8</v>
          </cell>
          <cell r="AO33">
            <v>5620</v>
          </cell>
          <cell r="AP33">
            <v>5620</v>
          </cell>
          <cell r="AQ33">
            <v>1</v>
          </cell>
          <cell r="AR33">
            <v>8.5</v>
          </cell>
        </row>
        <row r="34">
          <cell r="D34" t="str">
            <v>A059</v>
          </cell>
          <cell r="E34" t="str">
            <v>Ngô Nhật Thanh</v>
          </cell>
          <cell r="F34" t="str">
            <v>CII.1</v>
          </cell>
          <cell r="G34" t="str">
            <v>Công nhân</v>
          </cell>
          <cell r="H34" t="str">
            <v>T6/09</v>
          </cell>
          <cell r="I34" t="str">
            <v>7.II</v>
          </cell>
          <cell r="J34">
            <v>4740</v>
          </cell>
          <cell r="K34">
            <v>7</v>
          </cell>
          <cell r="L34">
            <v>1</v>
          </cell>
          <cell r="M34">
            <v>1</v>
          </cell>
          <cell r="N34">
            <v>0</v>
          </cell>
          <cell r="O34">
            <v>0</v>
          </cell>
          <cell r="P34">
            <v>5</v>
          </cell>
          <cell r="Q34">
            <v>1</v>
          </cell>
          <cell r="R34">
            <v>15</v>
          </cell>
          <cell r="S34">
            <v>48</v>
          </cell>
          <cell r="T34">
            <v>20</v>
          </cell>
          <cell r="U34">
            <v>8</v>
          </cell>
          <cell r="V34">
            <v>2897</v>
          </cell>
          <cell r="W34">
            <v>2984</v>
          </cell>
          <cell r="X34">
            <v>5881</v>
          </cell>
          <cell r="Y34">
            <v>573.60833333333335</v>
          </cell>
          <cell r="Z34">
            <v>32</v>
          </cell>
          <cell r="AA34">
            <v>272</v>
          </cell>
          <cell r="AB34">
            <v>-70</v>
          </cell>
          <cell r="AC34">
            <v>0</v>
          </cell>
          <cell r="AD34">
            <v>807.60833333333335</v>
          </cell>
          <cell r="AE34">
            <v>6689</v>
          </cell>
          <cell r="AF34">
            <v>466.2</v>
          </cell>
          <cell r="AH34">
            <v>0</v>
          </cell>
          <cell r="AI34">
            <v>9000</v>
          </cell>
          <cell r="AJ34">
            <v>9466.2000000000007</v>
          </cell>
          <cell r="AK34">
            <v>-2777.2000000000007</v>
          </cell>
          <cell r="AL34">
            <v>0</v>
          </cell>
          <cell r="AM34">
            <v>2000</v>
          </cell>
          <cell r="AN34">
            <v>4222.8</v>
          </cell>
          <cell r="AO34">
            <v>4220</v>
          </cell>
          <cell r="AP34">
            <v>6220</v>
          </cell>
          <cell r="AQ34">
            <v>1</v>
          </cell>
          <cell r="AR34">
            <v>7</v>
          </cell>
        </row>
        <row r="35">
          <cell r="D35" t="str">
            <v>A082</v>
          </cell>
          <cell r="E35" t="str">
            <v>Bùi Văn Đá</v>
          </cell>
          <cell r="F35" t="str">
            <v>CII.1</v>
          </cell>
          <cell r="G35" t="str">
            <v xml:space="preserve">Công nhân </v>
          </cell>
          <cell r="H35" t="str">
            <v>T4/10</v>
          </cell>
          <cell r="I35" t="str">
            <v>7.I</v>
          </cell>
          <cell r="J35">
            <v>4740</v>
          </cell>
          <cell r="K35">
            <v>4</v>
          </cell>
          <cell r="L35">
            <v>1</v>
          </cell>
          <cell r="M35">
            <v>1</v>
          </cell>
          <cell r="N35">
            <v>0</v>
          </cell>
          <cell r="O35">
            <v>0</v>
          </cell>
          <cell r="P35">
            <v>9</v>
          </cell>
          <cell r="Q35">
            <v>1</v>
          </cell>
          <cell r="R35">
            <v>16</v>
          </cell>
          <cell r="S35">
            <v>52</v>
          </cell>
          <cell r="T35">
            <v>0</v>
          </cell>
          <cell r="U35">
            <v>0</v>
          </cell>
          <cell r="V35">
            <v>3283</v>
          </cell>
          <cell r="W35">
            <v>1712</v>
          </cell>
          <cell r="X35">
            <v>4995</v>
          </cell>
          <cell r="Y35">
            <v>245.63851851851871</v>
          </cell>
          <cell r="Z35">
            <v>0</v>
          </cell>
          <cell r="AA35">
            <v>352</v>
          </cell>
          <cell r="AB35">
            <v>-70</v>
          </cell>
          <cell r="AC35">
            <v>0</v>
          </cell>
          <cell r="AD35">
            <v>527.63851851851871</v>
          </cell>
          <cell r="AE35">
            <v>5523</v>
          </cell>
          <cell r="AF35">
            <v>466.2</v>
          </cell>
          <cell r="AH35">
            <v>0</v>
          </cell>
          <cell r="AI35">
            <v>9000</v>
          </cell>
          <cell r="AJ35">
            <v>9466.2000000000007</v>
          </cell>
          <cell r="AK35">
            <v>-3943.2000000000007</v>
          </cell>
          <cell r="AL35">
            <v>0</v>
          </cell>
          <cell r="AM35">
            <v>2000</v>
          </cell>
          <cell r="AN35">
            <v>3056.8</v>
          </cell>
          <cell r="AO35">
            <v>3060</v>
          </cell>
          <cell r="AP35">
            <v>5060</v>
          </cell>
          <cell r="AQ35">
            <v>1</v>
          </cell>
          <cell r="AR35">
            <v>0</v>
          </cell>
        </row>
        <row r="36">
          <cell r="D36" t="str">
            <v>A172</v>
          </cell>
          <cell r="E36" t="str">
            <v>Trần Văn Ướt</v>
          </cell>
          <cell r="F36" t="str">
            <v>CII.1</v>
          </cell>
          <cell r="G36" t="str">
            <v>Công nhân</v>
          </cell>
          <cell r="H36" t="str">
            <v>T9/10</v>
          </cell>
          <cell r="I36" t="str">
            <v>7.I</v>
          </cell>
          <cell r="J36">
            <v>4740</v>
          </cell>
          <cell r="K36">
            <v>8</v>
          </cell>
          <cell r="L36">
            <v>1</v>
          </cell>
          <cell r="M36">
            <v>1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16</v>
          </cell>
          <cell r="S36">
            <v>56</v>
          </cell>
          <cell r="T36">
            <v>0</v>
          </cell>
          <cell r="U36">
            <v>0</v>
          </cell>
          <cell r="V36">
            <v>3125</v>
          </cell>
          <cell r="W36">
            <v>1843</v>
          </cell>
          <cell r="X36">
            <v>4968</v>
          </cell>
          <cell r="Y36">
            <v>258.95525925925932</v>
          </cell>
          <cell r="Z36">
            <v>0</v>
          </cell>
          <cell r="AA36">
            <v>320</v>
          </cell>
          <cell r="AB36">
            <v>-70</v>
          </cell>
          <cell r="AC36">
            <v>0</v>
          </cell>
          <cell r="AD36">
            <v>508.95525925925926</v>
          </cell>
          <cell r="AE36">
            <v>5477</v>
          </cell>
          <cell r="AF36">
            <v>466.2</v>
          </cell>
          <cell r="AH36">
            <v>0</v>
          </cell>
          <cell r="AI36">
            <v>9000</v>
          </cell>
          <cell r="AJ36">
            <v>9466.2000000000007</v>
          </cell>
          <cell r="AK36">
            <v>-3989.2000000000007</v>
          </cell>
          <cell r="AL36">
            <v>0</v>
          </cell>
          <cell r="AM36">
            <v>1000</v>
          </cell>
          <cell r="AN36">
            <v>4010.8</v>
          </cell>
          <cell r="AO36">
            <v>4010</v>
          </cell>
          <cell r="AP36">
            <v>5010</v>
          </cell>
          <cell r="AQ36">
            <v>1</v>
          </cell>
          <cell r="AR36">
            <v>1.5</v>
          </cell>
        </row>
        <row r="37">
          <cell r="D37" t="str">
            <v>A173</v>
          </cell>
          <cell r="E37" t="str">
            <v>Lê Thị Lệ Hồng</v>
          </cell>
          <cell r="F37" t="str">
            <v>CII.1</v>
          </cell>
          <cell r="G37" t="str">
            <v>Công nhân</v>
          </cell>
          <cell r="H37" t="str">
            <v>T9/10</v>
          </cell>
          <cell r="I37" t="str">
            <v>7.I</v>
          </cell>
          <cell r="J37">
            <v>4740</v>
          </cell>
          <cell r="K37">
            <v>8</v>
          </cell>
          <cell r="L37">
            <v>1</v>
          </cell>
          <cell r="M37">
            <v>1</v>
          </cell>
          <cell r="N37">
            <v>0</v>
          </cell>
          <cell r="O37">
            <v>0</v>
          </cell>
          <cell r="P37">
            <v>5</v>
          </cell>
          <cell r="Q37">
            <v>0</v>
          </cell>
          <cell r="R37">
            <v>15</v>
          </cell>
          <cell r="S37">
            <v>52</v>
          </cell>
          <cell r="T37">
            <v>0</v>
          </cell>
          <cell r="U37">
            <v>0</v>
          </cell>
          <cell r="V37">
            <v>2897</v>
          </cell>
          <cell r="W37">
            <v>1712</v>
          </cell>
          <cell r="X37">
            <v>4609</v>
          </cell>
          <cell r="Y37">
            <v>66.015555555555792</v>
          </cell>
          <cell r="Z37">
            <v>0</v>
          </cell>
          <cell r="AA37">
            <v>288</v>
          </cell>
          <cell r="AB37">
            <v>-70</v>
          </cell>
          <cell r="AC37">
            <v>0</v>
          </cell>
          <cell r="AD37">
            <v>284.01555555555581</v>
          </cell>
          <cell r="AE37">
            <v>4893</v>
          </cell>
          <cell r="AF37">
            <v>466.2</v>
          </cell>
          <cell r="AH37">
            <v>0</v>
          </cell>
          <cell r="AI37">
            <v>9000</v>
          </cell>
          <cell r="AJ37">
            <v>9466.2000000000007</v>
          </cell>
          <cell r="AK37">
            <v>-4573.2000000000007</v>
          </cell>
          <cell r="AL37">
            <v>0</v>
          </cell>
          <cell r="AM37">
            <v>1000</v>
          </cell>
          <cell r="AN37">
            <v>3426.8</v>
          </cell>
          <cell r="AO37">
            <v>3430</v>
          </cell>
          <cell r="AP37">
            <v>4430</v>
          </cell>
          <cell r="AQ37">
            <v>1</v>
          </cell>
          <cell r="AR37">
            <v>0</v>
          </cell>
        </row>
        <row r="38">
          <cell r="D38" t="str">
            <v>A178</v>
          </cell>
          <cell r="E38" t="str">
            <v>Phạm Thanh Tú</v>
          </cell>
          <cell r="F38" t="str">
            <v>CII.1</v>
          </cell>
          <cell r="G38" t="str">
            <v>Công nhân</v>
          </cell>
          <cell r="H38" t="str">
            <v>T9/10</v>
          </cell>
          <cell r="I38" t="str">
            <v>7.I</v>
          </cell>
          <cell r="J38">
            <v>4740</v>
          </cell>
          <cell r="K38">
            <v>5</v>
          </cell>
          <cell r="L38">
            <v>1</v>
          </cell>
          <cell r="M38">
            <v>1</v>
          </cell>
          <cell r="N38">
            <v>0</v>
          </cell>
          <cell r="O38">
            <v>0</v>
          </cell>
          <cell r="P38">
            <v>7</v>
          </cell>
          <cell r="Q38">
            <v>2</v>
          </cell>
          <cell r="R38">
            <v>16</v>
          </cell>
          <cell r="S38">
            <v>48</v>
          </cell>
          <cell r="T38">
            <v>8</v>
          </cell>
          <cell r="U38">
            <v>0</v>
          </cell>
          <cell r="V38">
            <v>3178</v>
          </cell>
          <cell r="W38">
            <v>1931</v>
          </cell>
          <cell r="X38">
            <v>5109</v>
          </cell>
          <cell r="Y38">
            <v>182.98074074074114</v>
          </cell>
          <cell r="Z38">
            <v>16</v>
          </cell>
          <cell r="AA38">
            <v>304</v>
          </cell>
          <cell r="AB38">
            <v>-70</v>
          </cell>
          <cell r="AC38">
            <v>0</v>
          </cell>
          <cell r="AD38">
            <v>432.98074074074111</v>
          </cell>
          <cell r="AE38">
            <v>5542</v>
          </cell>
          <cell r="AF38">
            <v>466.2</v>
          </cell>
          <cell r="AH38">
            <v>0</v>
          </cell>
          <cell r="AI38">
            <v>9000</v>
          </cell>
          <cell r="AJ38">
            <v>9466.2000000000007</v>
          </cell>
          <cell r="AK38">
            <v>-3924.2000000000007</v>
          </cell>
          <cell r="AL38">
            <v>0</v>
          </cell>
          <cell r="AM38">
            <v>2000</v>
          </cell>
          <cell r="AN38">
            <v>3075.8</v>
          </cell>
          <cell r="AO38">
            <v>3080</v>
          </cell>
          <cell r="AP38">
            <v>5080</v>
          </cell>
          <cell r="AQ38">
            <v>1</v>
          </cell>
          <cell r="AR38">
            <v>7</v>
          </cell>
        </row>
        <row r="39">
          <cell r="D39" t="str">
            <v>A355</v>
          </cell>
          <cell r="E39" t="str">
            <v>Đặng Văn Thật</v>
          </cell>
          <cell r="F39" t="str">
            <v>CII.1</v>
          </cell>
          <cell r="G39" t="str">
            <v>Công Nhân</v>
          </cell>
          <cell r="H39" t="str">
            <v>T3/13</v>
          </cell>
          <cell r="I39" t="str">
            <v>7.I</v>
          </cell>
          <cell r="J39">
            <v>4510</v>
          </cell>
          <cell r="K39">
            <v>4</v>
          </cell>
          <cell r="L39">
            <v>1</v>
          </cell>
          <cell r="M39">
            <v>1</v>
          </cell>
          <cell r="N39">
            <v>0</v>
          </cell>
          <cell r="O39">
            <v>0</v>
          </cell>
          <cell r="P39">
            <v>9</v>
          </cell>
          <cell r="Q39">
            <v>1</v>
          </cell>
          <cell r="R39">
            <v>16</v>
          </cell>
          <cell r="S39">
            <v>44.5</v>
          </cell>
          <cell r="T39">
            <v>11.5</v>
          </cell>
          <cell r="U39">
            <v>11.5</v>
          </cell>
          <cell r="V39">
            <v>3124</v>
          </cell>
          <cell r="W39">
            <v>2594</v>
          </cell>
          <cell r="X39">
            <v>5718</v>
          </cell>
          <cell r="Y39">
            <v>82.308148148148405</v>
          </cell>
          <cell r="Z39">
            <v>0</v>
          </cell>
          <cell r="AA39">
            <v>352</v>
          </cell>
          <cell r="AB39">
            <v>0</v>
          </cell>
          <cell r="AC39">
            <v>0</v>
          </cell>
          <cell r="AD39">
            <v>434.3081481481484</v>
          </cell>
          <cell r="AE39">
            <v>6152</v>
          </cell>
          <cell r="AF39">
            <v>443.1</v>
          </cell>
          <cell r="AH39">
            <v>0</v>
          </cell>
          <cell r="AI39">
            <v>9000</v>
          </cell>
          <cell r="AJ39">
            <v>9443.1</v>
          </cell>
          <cell r="AK39">
            <v>-3291.1000000000004</v>
          </cell>
          <cell r="AL39">
            <v>0</v>
          </cell>
          <cell r="AM39">
            <v>2000</v>
          </cell>
          <cell r="AN39">
            <v>3708.8999999999996</v>
          </cell>
          <cell r="AO39">
            <v>3710</v>
          </cell>
          <cell r="AP39">
            <v>5710</v>
          </cell>
          <cell r="AQ39">
            <v>1</v>
          </cell>
          <cell r="AR39">
            <v>2</v>
          </cell>
        </row>
        <row r="40">
          <cell r="D40" t="str">
            <v>A356</v>
          </cell>
          <cell r="E40" t="str">
            <v>Nguyễn Văn Tùng</v>
          </cell>
          <cell r="F40" t="str">
            <v>CII.1</v>
          </cell>
          <cell r="G40" t="str">
            <v>Công Nhân</v>
          </cell>
          <cell r="H40" t="str">
            <v>T3/13</v>
          </cell>
          <cell r="I40" t="str">
            <v>7.I</v>
          </cell>
          <cell r="J40">
            <v>4510</v>
          </cell>
          <cell r="K40">
            <v>4</v>
          </cell>
          <cell r="L40">
            <v>1</v>
          </cell>
          <cell r="M40">
            <v>1</v>
          </cell>
          <cell r="N40">
            <v>0</v>
          </cell>
          <cell r="O40">
            <v>0</v>
          </cell>
          <cell r="P40">
            <v>9</v>
          </cell>
          <cell r="Q40">
            <v>1</v>
          </cell>
          <cell r="R40">
            <v>16</v>
          </cell>
          <cell r="S40">
            <v>52</v>
          </cell>
          <cell r="T40">
            <v>0</v>
          </cell>
          <cell r="U40">
            <v>0</v>
          </cell>
          <cell r="V40">
            <v>3124</v>
          </cell>
          <cell r="W40">
            <v>1629</v>
          </cell>
          <cell r="X40">
            <v>4753</v>
          </cell>
          <cell r="Y40">
            <v>0</v>
          </cell>
          <cell r="Z40">
            <v>0</v>
          </cell>
          <cell r="AA40">
            <v>352</v>
          </cell>
          <cell r="AB40">
            <v>-70</v>
          </cell>
          <cell r="AC40">
            <v>0</v>
          </cell>
          <cell r="AD40">
            <v>282</v>
          </cell>
          <cell r="AE40">
            <v>5035</v>
          </cell>
          <cell r="AF40">
            <v>443.1</v>
          </cell>
          <cell r="AH40">
            <v>0</v>
          </cell>
          <cell r="AI40">
            <v>9000</v>
          </cell>
          <cell r="AJ40">
            <v>9443.1</v>
          </cell>
          <cell r="AK40">
            <v>-4408.1000000000004</v>
          </cell>
          <cell r="AL40">
            <v>0</v>
          </cell>
          <cell r="AM40">
            <v>1000</v>
          </cell>
          <cell r="AN40">
            <v>3591.8999999999996</v>
          </cell>
          <cell r="AO40">
            <v>3590</v>
          </cell>
          <cell r="AP40">
            <v>4590</v>
          </cell>
          <cell r="AQ40">
            <v>1</v>
          </cell>
          <cell r="AR40">
            <v>1</v>
          </cell>
        </row>
        <row r="41">
          <cell r="D41" t="str">
            <v>A015</v>
          </cell>
          <cell r="E41" t="str">
            <v>Nguyễn Văn Năm</v>
          </cell>
          <cell r="F41" t="str">
            <v>CII.4</v>
          </cell>
          <cell r="G41" t="str">
            <v xml:space="preserve">Công nhân </v>
          </cell>
          <cell r="H41" t="str">
            <v>T6/06</v>
          </cell>
          <cell r="I41" t="str">
            <v>7.VII</v>
          </cell>
          <cell r="J41">
            <v>5013.8</v>
          </cell>
          <cell r="K41">
            <v>15</v>
          </cell>
          <cell r="L41">
            <v>0</v>
          </cell>
          <cell r="M41">
            <v>1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16</v>
          </cell>
          <cell r="S41">
            <v>60</v>
          </cell>
          <cell r="T41">
            <v>24</v>
          </cell>
          <cell r="U41">
            <v>0</v>
          </cell>
          <cell r="V41">
            <v>2971</v>
          </cell>
          <cell r="W41">
            <v>3203</v>
          </cell>
          <cell r="X41">
            <v>6174</v>
          </cell>
          <cell r="Y41">
            <v>1207.5527585185187</v>
          </cell>
          <cell r="Z41">
            <v>0</v>
          </cell>
          <cell r="AA41">
            <v>240</v>
          </cell>
          <cell r="AB41">
            <v>70</v>
          </cell>
          <cell r="AC41">
            <v>0</v>
          </cell>
          <cell r="AD41">
            <v>1517.5527585185187</v>
          </cell>
          <cell r="AE41">
            <v>7692</v>
          </cell>
          <cell r="AF41">
            <v>466.2</v>
          </cell>
          <cell r="AH41">
            <v>0</v>
          </cell>
          <cell r="AI41">
            <v>9000</v>
          </cell>
          <cell r="AJ41">
            <v>9466.2000000000007</v>
          </cell>
          <cell r="AK41">
            <v>-1774.2000000000007</v>
          </cell>
          <cell r="AL41">
            <v>0</v>
          </cell>
          <cell r="AM41">
            <v>2000</v>
          </cell>
          <cell r="AN41">
            <v>5225.8</v>
          </cell>
          <cell r="AO41">
            <v>5230</v>
          </cell>
          <cell r="AP41">
            <v>7230</v>
          </cell>
          <cell r="AQ41">
            <v>1</v>
          </cell>
          <cell r="AR41">
            <v>4</v>
          </cell>
        </row>
        <row r="42">
          <cell r="D42" t="str">
            <v>A038</v>
          </cell>
          <cell r="E42" t="str">
            <v>Nguyễn Văn Chung</v>
          </cell>
          <cell r="F42" t="str">
            <v>CII.1</v>
          </cell>
          <cell r="G42" t="str">
            <v>QUANLY</v>
          </cell>
          <cell r="H42" t="str">
            <v>T10/08</v>
          </cell>
          <cell r="I42" t="str">
            <v>7.IV</v>
          </cell>
          <cell r="J42">
            <v>4740</v>
          </cell>
          <cell r="K42">
            <v>8</v>
          </cell>
          <cell r="L42">
            <v>1</v>
          </cell>
          <cell r="M42">
            <v>1</v>
          </cell>
          <cell r="N42">
            <v>0</v>
          </cell>
          <cell r="O42">
            <v>0</v>
          </cell>
          <cell r="P42">
            <v>5</v>
          </cell>
          <cell r="Q42">
            <v>1</v>
          </cell>
          <cell r="R42">
            <v>16</v>
          </cell>
          <cell r="S42">
            <v>52</v>
          </cell>
          <cell r="T42">
            <v>23</v>
          </cell>
          <cell r="U42">
            <v>0</v>
          </cell>
          <cell r="V42">
            <v>3072</v>
          </cell>
          <cell r="W42">
            <v>2721</v>
          </cell>
          <cell r="X42">
            <v>5793</v>
          </cell>
          <cell r="Y42">
            <v>1457.9173333333331</v>
          </cell>
          <cell r="Z42">
            <v>32</v>
          </cell>
          <cell r="AA42">
            <v>288</v>
          </cell>
          <cell r="AB42">
            <v>-150</v>
          </cell>
          <cell r="AC42">
            <v>0</v>
          </cell>
          <cell r="AD42">
            <v>1627.9173333333331</v>
          </cell>
          <cell r="AE42">
            <v>7421</v>
          </cell>
          <cell r="AF42">
            <v>489.3</v>
          </cell>
          <cell r="AH42">
            <v>0</v>
          </cell>
          <cell r="AI42">
            <v>9000</v>
          </cell>
          <cell r="AJ42">
            <v>9489.2999999999993</v>
          </cell>
          <cell r="AK42">
            <v>-2068.2999999999993</v>
          </cell>
          <cell r="AL42">
            <v>0</v>
          </cell>
          <cell r="AM42">
            <v>3000</v>
          </cell>
          <cell r="AN42">
            <v>3931.7</v>
          </cell>
          <cell r="AO42">
            <v>3930</v>
          </cell>
          <cell r="AP42">
            <v>6930</v>
          </cell>
          <cell r="AQ42">
            <v>1</v>
          </cell>
          <cell r="AR42">
            <v>4</v>
          </cell>
        </row>
        <row r="43">
          <cell r="D43" t="str">
            <v>A049</v>
          </cell>
          <cell r="E43" t="str">
            <v>Phạm Tấn Việt</v>
          </cell>
          <cell r="F43" t="str">
            <v>CI.1</v>
          </cell>
          <cell r="G43" t="str">
            <v xml:space="preserve">Công nhân </v>
          </cell>
          <cell r="H43" t="str">
            <v>T4/09</v>
          </cell>
          <cell r="I43" t="str">
            <v>7.II</v>
          </cell>
          <cell r="J43">
            <v>4740</v>
          </cell>
          <cell r="K43">
            <v>9</v>
          </cell>
          <cell r="L43">
            <v>0</v>
          </cell>
          <cell r="M43">
            <v>1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16</v>
          </cell>
          <cell r="S43">
            <v>60</v>
          </cell>
          <cell r="T43">
            <v>12</v>
          </cell>
          <cell r="U43">
            <v>0</v>
          </cell>
          <cell r="V43">
            <v>3125</v>
          </cell>
          <cell r="W43">
            <v>2502</v>
          </cell>
          <cell r="X43">
            <v>5627</v>
          </cell>
          <cell r="Y43">
            <v>342.97362962963018</v>
          </cell>
          <cell r="Z43">
            <v>16</v>
          </cell>
          <cell r="AA43">
            <v>336</v>
          </cell>
          <cell r="AB43">
            <v>-70</v>
          </cell>
          <cell r="AC43">
            <v>0</v>
          </cell>
          <cell r="AD43">
            <v>624.97362962963018</v>
          </cell>
          <cell r="AE43">
            <v>6252</v>
          </cell>
          <cell r="AF43">
            <v>466.2</v>
          </cell>
          <cell r="AH43">
            <v>0</v>
          </cell>
          <cell r="AI43">
            <v>9000</v>
          </cell>
          <cell r="AJ43">
            <v>9466.2000000000007</v>
          </cell>
          <cell r="AK43">
            <v>-3214.2000000000007</v>
          </cell>
          <cell r="AL43">
            <v>0</v>
          </cell>
          <cell r="AM43">
            <v>2000</v>
          </cell>
          <cell r="AN43">
            <v>3785.8</v>
          </cell>
          <cell r="AO43">
            <v>3790</v>
          </cell>
          <cell r="AP43">
            <v>5790</v>
          </cell>
          <cell r="AQ43">
            <v>1</v>
          </cell>
          <cell r="AR43">
            <v>6</v>
          </cell>
        </row>
        <row r="44">
          <cell r="D44" t="str">
            <v>A123</v>
          </cell>
          <cell r="E44" t="str">
            <v>Phạm Thị Kim Xuyến</v>
          </cell>
          <cell r="F44" t="str">
            <v>CI.1</v>
          </cell>
          <cell r="G44" t="str">
            <v>Công nhân</v>
          </cell>
          <cell r="H44" t="str">
            <v>T8/10</v>
          </cell>
          <cell r="I44" t="str">
            <v>7.I</v>
          </cell>
          <cell r="J44">
            <v>4740</v>
          </cell>
          <cell r="K44">
            <v>5</v>
          </cell>
          <cell r="L44">
            <v>2</v>
          </cell>
          <cell r="M44">
            <v>1</v>
          </cell>
          <cell r="N44">
            <v>0</v>
          </cell>
          <cell r="O44">
            <v>0</v>
          </cell>
          <cell r="P44">
            <v>7</v>
          </cell>
          <cell r="Q44">
            <v>1</v>
          </cell>
          <cell r="R44">
            <v>16</v>
          </cell>
          <cell r="S44">
            <v>50</v>
          </cell>
          <cell r="T44">
            <v>20</v>
          </cell>
          <cell r="U44">
            <v>0</v>
          </cell>
          <cell r="V44">
            <v>3178</v>
          </cell>
          <cell r="W44">
            <v>2524</v>
          </cell>
          <cell r="X44">
            <v>5702</v>
          </cell>
          <cell r="Y44">
            <v>318.66074074074061</v>
          </cell>
          <cell r="Z44">
            <v>0</v>
          </cell>
          <cell r="AA44">
            <v>304</v>
          </cell>
          <cell r="AB44">
            <v>-140</v>
          </cell>
          <cell r="AC44">
            <v>0</v>
          </cell>
          <cell r="AD44">
            <v>482.66074074074061</v>
          </cell>
          <cell r="AE44">
            <v>6185</v>
          </cell>
          <cell r="AF44">
            <v>466.2</v>
          </cell>
          <cell r="AH44">
            <v>0</v>
          </cell>
          <cell r="AI44">
            <v>9000</v>
          </cell>
          <cell r="AJ44">
            <v>9466.2000000000007</v>
          </cell>
          <cell r="AK44">
            <v>-3281.2000000000007</v>
          </cell>
          <cell r="AL44">
            <v>0</v>
          </cell>
          <cell r="AM44">
            <v>2000</v>
          </cell>
          <cell r="AN44">
            <v>3718.8</v>
          </cell>
          <cell r="AO44">
            <v>3720</v>
          </cell>
          <cell r="AP44">
            <v>5720</v>
          </cell>
          <cell r="AQ44">
            <v>1</v>
          </cell>
          <cell r="AR44">
            <v>1</v>
          </cell>
        </row>
        <row r="45">
          <cell r="D45" t="str">
            <v>A133</v>
          </cell>
          <cell r="E45" t="str">
            <v>Trần Thị Nương</v>
          </cell>
          <cell r="F45" t="str">
            <v>CII.1</v>
          </cell>
          <cell r="G45" t="str">
            <v>Công nhân</v>
          </cell>
          <cell r="H45" t="str">
            <v>T9/10</v>
          </cell>
          <cell r="I45" t="str">
            <v>7.I</v>
          </cell>
          <cell r="J45">
            <v>4740</v>
          </cell>
          <cell r="K45">
            <v>5</v>
          </cell>
          <cell r="L45">
            <v>1</v>
          </cell>
          <cell r="M45">
            <v>1</v>
          </cell>
          <cell r="N45">
            <v>0</v>
          </cell>
          <cell r="O45">
            <v>0</v>
          </cell>
          <cell r="P45">
            <v>8</v>
          </cell>
          <cell r="Q45">
            <v>1</v>
          </cell>
          <cell r="R45">
            <v>16</v>
          </cell>
          <cell r="S45">
            <v>52</v>
          </cell>
          <cell r="T45">
            <v>0</v>
          </cell>
          <cell r="U45">
            <v>0</v>
          </cell>
          <cell r="V45">
            <v>3230</v>
          </cell>
          <cell r="W45">
            <v>1712</v>
          </cell>
          <cell r="X45">
            <v>4942</v>
          </cell>
          <cell r="Y45">
            <v>63.883851851851901</v>
          </cell>
          <cell r="Z45">
            <v>16</v>
          </cell>
          <cell r="AA45">
            <v>336</v>
          </cell>
          <cell r="AB45">
            <v>-140</v>
          </cell>
          <cell r="AC45">
            <v>0</v>
          </cell>
          <cell r="AD45">
            <v>275.88385185185189</v>
          </cell>
          <cell r="AE45">
            <v>5218</v>
          </cell>
          <cell r="AF45">
            <v>466.2</v>
          </cell>
          <cell r="AH45">
            <v>0</v>
          </cell>
          <cell r="AI45">
            <v>9000</v>
          </cell>
          <cell r="AJ45">
            <v>9466.2000000000007</v>
          </cell>
          <cell r="AK45">
            <v>-4248.2000000000007</v>
          </cell>
          <cell r="AL45">
            <v>0</v>
          </cell>
          <cell r="AM45">
            <v>2000</v>
          </cell>
          <cell r="AN45">
            <v>2751.8</v>
          </cell>
          <cell r="AO45">
            <v>2750</v>
          </cell>
          <cell r="AP45">
            <v>4750</v>
          </cell>
          <cell r="AQ45">
            <v>1</v>
          </cell>
          <cell r="AR45">
            <v>2</v>
          </cell>
        </row>
        <row r="46">
          <cell r="D46" t="str">
            <v>A187</v>
          </cell>
          <cell r="E46" t="str">
            <v>Trần Thị Hồng</v>
          </cell>
          <cell r="F46" t="str">
            <v>CII.4</v>
          </cell>
          <cell r="G46" t="str">
            <v xml:space="preserve">Công nhân </v>
          </cell>
          <cell r="H46" t="str">
            <v>T10/10</v>
          </cell>
          <cell r="I46" t="str">
            <v>7.I</v>
          </cell>
          <cell r="J46">
            <v>4740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  <cell r="O46">
            <v>0</v>
          </cell>
          <cell r="P46">
            <v>15</v>
          </cell>
          <cell r="Q46">
            <v>0</v>
          </cell>
          <cell r="R46">
            <v>16</v>
          </cell>
          <cell r="S46">
            <v>60</v>
          </cell>
          <cell r="T46">
            <v>24</v>
          </cell>
          <cell r="U46">
            <v>0</v>
          </cell>
          <cell r="V46">
            <v>3599</v>
          </cell>
          <cell r="W46">
            <v>3028</v>
          </cell>
          <cell r="X46">
            <v>6627</v>
          </cell>
          <cell r="Y46">
            <v>63.883851851851901</v>
          </cell>
          <cell r="Z46">
            <v>0</v>
          </cell>
          <cell r="AA46">
            <v>480</v>
          </cell>
          <cell r="AB46">
            <v>70</v>
          </cell>
          <cell r="AC46">
            <v>0</v>
          </cell>
          <cell r="AD46">
            <v>613.88385185185189</v>
          </cell>
          <cell r="AE46">
            <v>7241</v>
          </cell>
          <cell r="AF46">
            <v>466.2</v>
          </cell>
          <cell r="AH46">
            <v>0</v>
          </cell>
          <cell r="AI46">
            <v>9000</v>
          </cell>
          <cell r="AJ46">
            <v>9466.2000000000007</v>
          </cell>
          <cell r="AK46">
            <v>-2225.2000000000007</v>
          </cell>
          <cell r="AL46">
            <v>0</v>
          </cell>
          <cell r="AM46">
            <v>2000</v>
          </cell>
          <cell r="AN46">
            <v>4774.8</v>
          </cell>
          <cell r="AO46">
            <v>4780</v>
          </cell>
          <cell r="AP46">
            <v>6780</v>
          </cell>
          <cell r="AQ46">
            <v>1</v>
          </cell>
          <cell r="AR46">
            <v>2</v>
          </cell>
        </row>
        <row r="47">
          <cell r="D47" t="str">
            <v>A228</v>
          </cell>
          <cell r="E47" t="str">
            <v>Lê Hoàng Thảo</v>
          </cell>
          <cell r="F47" t="str">
            <v>CII.2</v>
          </cell>
          <cell r="G47" t="str">
            <v>Công nhân</v>
          </cell>
          <cell r="H47" t="str">
            <v>T3/10</v>
          </cell>
          <cell r="I47" t="str">
            <v>7.I</v>
          </cell>
          <cell r="J47">
            <v>4740</v>
          </cell>
          <cell r="K47">
            <v>22</v>
          </cell>
          <cell r="L47">
            <v>4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27</v>
          </cell>
          <cell r="S47">
            <v>104.5</v>
          </cell>
          <cell r="T47">
            <v>40</v>
          </cell>
          <cell r="U47">
            <v>0</v>
          </cell>
          <cell r="V47">
            <v>4740</v>
          </cell>
          <cell r="W47">
            <v>5195</v>
          </cell>
          <cell r="X47">
            <v>9935</v>
          </cell>
          <cell r="Y47">
            <v>317.26000000000022</v>
          </cell>
          <cell r="Z47">
            <v>32</v>
          </cell>
          <cell r="AA47">
            <v>352</v>
          </cell>
          <cell r="AB47">
            <v>-70</v>
          </cell>
          <cell r="AC47">
            <v>0</v>
          </cell>
          <cell r="AD47">
            <v>631.26000000000022</v>
          </cell>
          <cell r="AE47">
            <v>10566</v>
          </cell>
          <cell r="AF47">
            <v>466.2</v>
          </cell>
          <cell r="AH47">
            <v>0</v>
          </cell>
          <cell r="AI47">
            <v>9000</v>
          </cell>
          <cell r="AJ47">
            <v>9466.2000000000007</v>
          </cell>
          <cell r="AK47">
            <v>1099.7999999999993</v>
          </cell>
          <cell r="AL47">
            <v>55</v>
          </cell>
          <cell r="AM47">
            <v>2000</v>
          </cell>
          <cell r="AN47">
            <v>8044.7999999999993</v>
          </cell>
          <cell r="AO47">
            <v>8050</v>
          </cell>
          <cell r="AP47">
            <v>10050</v>
          </cell>
          <cell r="AQ47">
            <v>1</v>
          </cell>
          <cell r="AR47">
            <v>3</v>
          </cell>
        </row>
        <row r="48">
          <cell r="D48" t="str">
            <v>A326</v>
          </cell>
          <cell r="E48" t="str">
            <v>Nguyễn Lê Thọ</v>
          </cell>
          <cell r="F48" t="str">
            <v>Gián tiếp</v>
          </cell>
          <cell r="G48" t="str">
            <v>QUANLY</v>
          </cell>
          <cell r="H48" t="str">
            <v>T3/12</v>
          </cell>
          <cell r="I48" t="str">
            <v>4.X</v>
          </cell>
          <cell r="J48">
            <v>8373</v>
          </cell>
          <cell r="K48">
            <v>0</v>
          </cell>
          <cell r="L48">
            <v>15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16</v>
          </cell>
          <cell r="S48">
            <v>0</v>
          </cell>
          <cell r="T48">
            <v>0</v>
          </cell>
          <cell r="U48">
            <v>0</v>
          </cell>
          <cell r="V48">
            <v>4962</v>
          </cell>
          <cell r="W48">
            <v>0</v>
          </cell>
          <cell r="X48">
            <v>4962</v>
          </cell>
          <cell r="Y48">
            <v>4638.2222222222226</v>
          </cell>
          <cell r="Z48">
            <v>16</v>
          </cell>
          <cell r="AA48">
            <v>0</v>
          </cell>
          <cell r="AB48">
            <v>-300</v>
          </cell>
          <cell r="AC48">
            <v>0</v>
          </cell>
          <cell r="AD48">
            <v>4354.2222222222226</v>
          </cell>
          <cell r="AE48">
            <v>9316</v>
          </cell>
          <cell r="AF48">
            <v>577.5</v>
          </cell>
          <cell r="AH48">
            <v>2</v>
          </cell>
          <cell r="AI48">
            <v>16200</v>
          </cell>
          <cell r="AJ48">
            <v>16777.5</v>
          </cell>
          <cell r="AK48">
            <v>-7461.5</v>
          </cell>
          <cell r="AL48">
            <v>0</v>
          </cell>
          <cell r="AM48">
            <v>0</v>
          </cell>
          <cell r="AN48">
            <v>8738.5</v>
          </cell>
          <cell r="AO48">
            <v>8740</v>
          </cell>
          <cell r="AP48">
            <v>8740</v>
          </cell>
          <cell r="AQ48">
            <v>1</v>
          </cell>
          <cell r="AR48">
            <v>1.5</v>
          </cell>
        </row>
        <row r="49">
          <cell r="D49" t="str">
            <v>A416</v>
          </cell>
          <cell r="E49" t="str">
            <v>Huỳnh Ngọc Tịnh</v>
          </cell>
          <cell r="F49" t="str">
            <v>CI.1</v>
          </cell>
          <cell r="G49" t="str">
            <v>Công Nhân</v>
          </cell>
          <cell r="H49" t="str">
            <v>T8/13</v>
          </cell>
          <cell r="I49" t="str">
            <v>7.I</v>
          </cell>
          <cell r="J49">
            <v>4510</v>
          </cell>
          <cell r="K49">
            <v>4</v>
          </cell>
          <cell r="L49">
            <v>1</v>
          </cell>
          <cell r="M49">
            <v>1</v>
          </cell>
          <cell r="N49">
            <v>0</v>
          </cell>
          <cell r="O49">
            <v>0</v>
          </cell>
          <cell r="P49">
            <v>9</v>
          </cell>
          <cell r="Q49">
            <v>1</v>
          </cell>
          <cell r="R49">
            <v>16</v>
          </cell>
          <cell r="S49">
            <v>54.5</v>
          </cell>
          <cell r="T49">
            <v>20</v>
          </cell>
          <cell r="U49">
            <v>0</v>
          </cell>
          <cell r="V49">
            <v>3124</v>
          </cell>
          <cell r="W49">
            <v>2542</v>
          </cell>
          <cell r="X49">
            <v>5666</v>
          </cell>
          <cell r="Y49">
            <v>0</v>
          </cell>
          <cell r="Z49">
            <v>0</v>
          </cell>
          <cell r="AA49">
            <v>352</v>
          </cell>
          <cell r="AB49">
            <v>-70</v>
          </cell>
          <cell r="AC49">
            <v>0</v>
          </cell>
          <cell r="AD49">
            <v>282</v>
          </cell>
          <cell r="AE49">
            <v>5948</v>
          </cell>
          <cell r="AF49">
            <v>443.1</v>
          </cell>
          <cell r="AH49">
            <v>0</v>
          </cell>
          <cell r="AI49">
            <v>9000</v>
          </cell>
          <cell r="AJ49">
            <v>9443.1</v>
          </cell>
          <cell r="AK49">
            <v>-3495.1000000000004</v>
          </cell>
          <cell r="AL49">
            <v>0</v>
          </cell>
          <cell r="AM49">
            <v>2000</v>
          </cell>
          <cell r="AN49">
            <v>3504.8999999999996</v>
          </cell>
          <cell r="AO49">
            <v>3510</v>
          </cell>
          <cell r="AP49">
            <v>5510</v>
          </cell>
          <cell r="AQ49">
            <v>1</v>
          </cell>
          <cell r="AR49">
            <v>0</v>
          </cell>
        </row>
        <row r="50">
          <cell r="D50" t="str">
            <v>A490</v>
          </cell>
          <cell r="E50" t="str">
            <v>Lâm Huỳnh Lộc</v>
          </cell>
          <cell r="F50" t="str">
            <v>CI.1</v>
          </cell>
          <cell r="G50" t="str">
            <v>Kỹ thuật</v>
          </cell>
          <cell r="H50" t="str">
            <v>T5/14</v>
          </cell>
          <cell r="I50" t="str">
            <v>5.I</v>
          </cell>
          <cell r="J50">
            <v>4436</v>
          </cell>
          <cell r="K50">
            <v>4</v>
          </cell>
          <cell r="L50">
            <v>1</v>
          </cell>
          <cell r="M50">
            <v>1</v>
          </cell>
          <cell r="N50">
            <v>0</v>
          </cell>
          <cell r="O50">
            <v>1</v>
          </cell>
          <cell r="P50">
            <v>8</v>
          </cell>
          <cell r="Q50">
            <v>1</v>
          </cell>
          <cell r="R50">
            <v>16</v>
          </cell>
          <cell r="S50">
            <v>51</v>
          </cell>
          <cell r="T50">
            <v>20</v>
          </cell>
          <cell r="U50">
            <v>0</v>
          </cell>
          <cell r="V50">
            <v>3072</v>
          </cell>
          <cell r="W50">
            <v>2393</v>
          </cell>
          <cell r="X50">
            <v>5465</v>
          </cell>
          <cell r="Y50">
            <v>994.00948148148177</v>
          </cell>
          <cell r="Z50">
            <v>0</v>
          </cell>
          <cell r="AA50">
            <v>336</v>
          </cell>
          <cell r="AB50">
            <v>-150</v>
          </cell>
          <cell r="AC50">
            <v>0</v>
          </cell>
          <cell r="AD50">
            <v>1180.0094814814818</v>
          </cell>
          <cell r="AE50">
            <v>6645</v>
          </cell>
          <cell r="AF50">
            <v>443.1</v>
          </cell>
          <cell r="AH50">
            <v>0</v>
          </cell>
          <cell r="AI50">
            <v>9000</v>
          </cell>
          <cell r="AJ50">
            <v>9443.1</v>
          </cell>
          <cell r="AK50">
            <v>-2798.1000000000004</v>
          </cell>
          <cell r="AL50">
            <v>0</v>
          </cell>
          <cell r="AM50">
            <v>2000</v>
          </cell>
          <cell r="AN50">
            <v>4201.8999999999996</v>
          </cell>
          <cell r="AO50">
            <v>4200</v>
          </cell>
          <cell r="AP50">
            <v>6200</v>
          </cell>
          <cell r="AQ50">
            <v>1</v>
          </cell>
          <cell r="AR50">
            <v>0.5</v>
          </cell>
        </row>
        <row r="51">
          <cell r="D51" t="str">
            <v>A538</v>
          </cell>
          <cell r="E51" t="str">
            <v>Lê Bảo Trung</v>
          </cell>
          <cell r="F51" t="str">
            <v>CII.4</v>
          </cell>
          <cell r="G51" t="str">
            <v>QUANLY</v>
          </cell>
          <cell r="H51" t="str">
            <v>T7/14</v>
          </cell>
          <cell r="I51" t="str">
            <v>4.V</v>
          </cell>
          <cell r="J51">
            <v>5172.8</v>
          </cell>
          <cell r="K51">
            <v>3</v>
          </cell>
          <cell r="L51">
            <v>17</v>
          </cell>
          <cell r="M51">
            <v>1</v>
          </cell>
          <cell r="N51">
            <v>0</v>
          </cell>
          <cell r="O51">
            <v>0</v>
          </cell>
          <cell r="P51">
            <v>0</v>
          </cell>
          <cell r="Q51">
            <v>1</v>
          </cell>
          <cell r="R51">
            <v>22</v>
          </cell>
          <cell r="S51">
            <v>22</v>
          </cell>
          <cell r="T51">
            <v>15</v>
          </cell>
          <cell r="U51">
            <v>0</v>
          </cell>
          <cell r="V51">
            <v>4215</v>
          </cell>
          <cell r="W51">
            <v>1509</v>
          </cell>
          <cell r="X51">
            <v>5724</v>
          </cell>
          <cell r="Y51">
            <v>5969.9371925925943</v>
          </cell>
          <cell r="Z51">
            <v>16</v>
          </cell>
          <cell r="AA51">
            <v>48</v>
          </cell>
          <cell r="AB51">
            <v>300</v>
          </cell>
          <cell r="AC51">
            <v>0</v>
          </cell>
          <cell r="AD51">
            <v>6333.9371925925943</v>
          </cell>
          <cell r="AE51">
            <v>12058</v>
          </cell>
          <cell r="AF51">
            <v>489.3</v>
          </cell>
          <cell r="AH51">
            <v>0</v>
          </cell>
          <cell r="AI51">
            <v>9000</v>
          </cell>
          <cell r="AJ51">
            <v>9489.2999999999993</v>
          </cell>
          <cell r="AK51">
            <v>2568.7000000000007</v>
          </cell>
          <cell r="AL51">
            <v>128</v>
          </cell>
          <cell r="AM51">
            <v>0</v>
          </cell>
          <cell r="AN51">
            <v>11440.7</v>
          </cell>
          <cell r="AO51">
            <v>11440</v>
          </cell>
          <cell r="AP51">
            <v>11440</v>
          </cell>
          <cell r="AQ51">
            <v>1</v>
          </cell>
          <cell r="AR51">
            <v>1</v>
          </cell>
        </row>
        <row r="52">
          <cell r="D52" t="str">
            <v>A330</v>
          </cell>
          <cell r="E52" t="str">
            <v>Nguyễn Thị Tuyết Nhung</v>
          </cell>
          <cell r="F52" t="str">
            <v>CII.4</v>
          </cell>
          <cell r="G52" t="str">
            <v>Công Nhân</v>
          </cell>
          <cell r="H52" t="str">
            <v>T11/12</v>
          </cell>
          <cell r="I52" t="str">
            <v>7.I</v>
          </cell>
          <cell r="J52">
            <v>4510</v>
          </cell>
          <cell r="K52">
            <v>0</v>
          </cell>
          <cell r="L52">
            <v>0</v>
          </cell>
          <cell r="M52">
            <v>1</v>
          </cell>
          <cell r="N52">
            <v>0</v>
          </cell>
          <cell r="O52">
            <v>0</v>
          </cell>
          <cell r="P52">
            <v>14</v>
          </cell>
          <cell r="Q52">
            <v>1</v>
          </cell>
          <cell r="R52">
            <v>16</v>
          </cell>
          <cell r="S52">
            <v>56</v>
          </cell>
          <cell r="T52">
            <v>24</v>
          </cell>
          <cell r="U52">
            <v>0</v>
          </cell>
          <cell r="V52">
            <v>3374</v>
          </cell>
          <cell r="W52">
            <v>2756</v>
          </cell>
          <cell r="X52">
            <v>6130</v>
          </cell>
          <cell r="Y52">
            <v>0</v>
          </cell>
          <cell r="Z52">
            <v>0</v>
          </cell>
          <cell r="AA52">
            <v>448</v>
          </cell>
          <cell r="AB52">
            <v>70</v>
          </cell>
          <cell r="AC52">
            <v>0</v>
          </cell>
          <cell r="AD52">
            <v>518</v>
          </cell>
          <cell r="AE52">
            <v>6648</v>
          </cell>
          <cell r="AF52">
            <v>466.2</v>
          </cell>
          <cell r="AH52">
            <v>0</v>
          </cell>
          <cell r="AI52">
            <v>9000</v>
          </cell>
          <cell r="AJ52">
            <v>9466.2000000000007</v>
          </cell>
          <cell r="AK52">
            <v>-2818.2000000000007</v>
          </cell>
          <cell r="AL52">
            <v>0</v>
          </cell>
          <cell r="AM52">
            <v>2000</v>
          </cell>
          <cell r="AN52">
            <v>4181.8</v>
          </cell>
          <cell r="AO52">
            <v>4180</v>
          </cell>
          <cell r="AP52">
            <v>6180</v>
          </cell>
          <cell r="AQ52">
            <v>1</v>
          </cell>
          <cell r="AR52">
            <v>3.5</v>
          </cell>
        </row>
        <row r="53">
          <cell r="D53" t="str">
            <v>A280</v>
          </cell>
          <cell r="E53" t="str">
            <v>Trần Tâm</v>
          </cell>
          <cell r="F53" t="str">
            <v>CII.4</v>
          </cell>
          <cell r="G53" t="str">
            <v>Công Nhân</v>
          </cell>
          <cell r="H53" t="str">
            <v>T2/12</v>
          </cell>
          <cell r="I53" t="str">
            <v>7.I</v>
          </cell>
          <cell r="J53">
            <v>4740</v>
          </cell>
          <cell r="K53">
            <v>0</v>
          </cell>
          <cell r="L53">
            <v>1</v>
          </cell>
          <cell r="M53">
            <v>1</v>
          </cell>
          <cell r="N53">
            <v>0</v>
          </cell>
          <cell r="O53">
            <v>0</v>
          </cell>
          <cell r="P53">
            <v>13</v>
          </cell>
          <cell r="Q53">
            <v>0</v>
          </cell>
          <cell r="R53">
            <v>15</v>
          </cell>
          <cell r="S53">
            <v>52</v>
          </cell>
          <cell r="T53">
            <v>24</v>
          </cell>
          <cell r="U53">
            <v>0</v>
          </cell>
          <cell r="V53">
            <v>3318</v>
          </cell>
          <cell r="W53">
            <v>2765</v>
          </cell>
          <cell r="X53">
            <v>6083</v>
          </cell>
          <cell r="Y53">
            <v>0</v>
          </cell>
          <cell r="Z53">
            <v>0</v>
          </cell>
          <cell r="AA53">
            <v>416</v>
          </cell>
          <cell r="AB53">
            <v>0</v>
          </cell>
          <cell r="AC53">
            <v>0</v>
          </cell>
          <cell r="AD53">
            <v>416</v>
          </cell>
          <cell r="AE53">
            <v>6499</v>
          </cell>
          <cell r="AF53">
            <v>466.2</v>
          </cell>
          <cell r="AH53">
            <v>0</v>
          </cell>
          <cell r="AI53">
            <v>9000</v>
          </cell>
          <cell r="AJ53">
            <v>9466.2000000000007</v>
          </cell>
          <cell r="AK53">
            <v>-2967.2000000000007</v>
          </cell>
          <cell r="AL53">
            <v>0</v>
          </cell>
          <cell r="AM53">
            <v>2000</v>
          </cell>
          <cell r="AN53">
            <v>4032.8</v>
          </cell>
          <cell r="AO53">
            <v>4030</v>
          </cell>
          <cell r="AP53">
            <v>6030</v>
          </cell>
          <cell r="AQ53">
            <v>1</v>
          </cell>
          <cell r="AR53">
            <v>1</v>
          </cell>
        </row>
        <row r="54">
          <cell r="D54" t="str">
            <v>A030</v>
          </cell>
          <cell r="E54" t="str">
            <v>Phạm Tấn Minh</v>
          </cell>
          <cell r="F54" t="str">
            <v>CII.2</v>
          </cell>
          <cell r="G54" t="str">
            <v>Công nhân</v>
          </cell>
          <cell r="H54" t="str">
            <v>T11/07</v>
          </cell>
          <cell r="I54" t="str">
            <v>7.V</v>
          </cell>
          <cell r="J54">
            <v>4740</v>
          </cell>
          <cell r="K54">
            <v>10</v>
          </cell>
          <cell r="L54">
            <v>4</v>
          </cell>
          <cell r="M54">
            <v>1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15</v>
          </cell>
          <cell r="S54">
            <v>42</v>
          </cell>
          <cell r="T54">
            <v>0</v>
          </cell>
          <cell r="U54">
            <v>0</v>
          </cell>
          <cell r="V54">
            <v>2633</v>
          </cell>
          <cell r="W54">
            <v>1383</v>
          </cell>
          <cell r="X54">
            <v>4016</v>
          </cell>
          <cell r="Y54">
            <v>1201.7372444444447</v>
          </cell>
          <cell r="Z54">
            <v>0</v>
          </cell>
          <cell r="AA54">
            <v>160</v>
          </cell>
          <cell r="AB54">
            <v>-70</v>
          </cell>
          <cell r="AC54">
            <v>0</v>
          </cell>
          <cell r="AD54">
            <v>1291.7372444444447</v>
          </cell>
          <cell r="AE54">
            <v>5308</v>
          </cell>
          <cell r="AF54">
            <v>466.2</v>
          </cell>
          <cell r="AH54">
            <v>0</v>
          </cell>
          <cell r="AI54">
            <v>9000</v>
          </cell>
          <cell r="AJ54">
            <v>9466.2000000000007</v>
          </cell>
          <cell r="AK54">
            <v>-4158.2000000000007</v>
          </cell>
          <cell r="AL54">
            <v>0</v>
          </cell>
          <cell r="AM54">
            <v>2000</v>
          </cell>
          <cell r="AN54">
            <v>2841.8</v>
          </cell>
          <cell r="AO54">
            <v>2840</v>
          </cell>
          <cell r="AP54">
            <v>4840</v>
          </cell>
          <cell r="AQ54">
            <v>1</v>
          </cell>
          <cell r="AR54">
            <v>1</v>
          </cell>
        </row>
        <row r="55">
          <cell r="D55" t="str">
            <v>A617</v>
          </cell>
          <cell r="E55" t="str">
            <v>Dương Văn Kiệm</v>
          </cell>
          <cell r="F55" t="str">
            <v>CII.3</v>
          </cell>
          <cell r="G55" t="str">
            <v>Công Nhân</v>
          </cell>
          <cell r="H55" t="str">
            <v>T7/15</v>
          </cell>
          <cell r="I55" t="str">
            <v>7.I</v>
          </cell>
          <cell r="J55">
            <v>4290</v>
          </cell>
          <cell r="K55">
            <v>25</v>
          </cell>
          <cell r="L55">
            <v>1</v>
          </cell>
          <cell r="M55">
            <v>1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27</v>
          </cell>
          <cell r="S55">
            <v>100</v>
          </cell>
          <cell r="T55">
            <v>48</v>
          </cell>
          <cell r="U55">
            <v>0</v>
          </cell>
          <cell r="V55">
            <v>4290</v>
          </cell>
          <cell r="W55">
            <v>4886</v>
          </cell>
          <cell r="X55">
            <v>9176</v>
          </cell>
          <cell r="Y55">
            <v>0</v>
          </cell>
          <cell r="Z55">
            <v>64</v>
          </cell>
          <cell r="AA55">
            <v>400</v>
          </cell>
          <cell r="AB55">
            <v>-140</v>
          </cell>
          <cell r="AC55">
            <v>0</v>
          </cell>
          <cell r="AD55">
            <v>324</v>
          </cell>
          <cell r="AE55">
            <v>9500</v>
          </cell>
          <cell r="AF55">
            <v>443.1</v>
          </cell>
          <cell r="AH55">
            <v>0</v>
          </cell>
          <cell r="AI55">
            <v>9000</v>
          </cell>
          <cell r="AJ55">
            <v>9443.1</v>
          </cell>
          <cell r="AK55">
            <v>56.899999999999636</v>
          </cell>
          <cell r="AL55">
            <v>3</v>
          </cell>
          <cell r="AM55">
            <v>2000</v>
          </cell>
          <cell r="AN55">
            <v>7053.9</v>
          </cell>
          <cell r="AO55">
            <v>7060</v>
          </cell>
          <cell r="AP55">
            <v>9060</v>
          </cell>
          <cell r="AQ55">
            <v>1</v>
          </cell>
          <cell r="AR55">
            <v>5</v>
          </cell>
        </row>
        <row r="56">
          <cell r="D56" t="str">
            <v>A113</v>
          </cell>
          <cell r="E56" t="str">
            <v>Bùi Văn Vũ</v>
          </cell>
          <cell r="F56" t="str">
            <v>CII.2</v>
          </cell>
          <cell r="G56" t="str">
            <v>QUANLY</v>
          </cell>
          <cell r="H56" t="str">
            <v>T8/10</v>
          </cell>
          <cell r="I56" t="str">
            <v>7.I</v>
          </cell>
          <cell r="J56">
            <v>4740</v>
          </cell>
          <cell r="K56">
            <v>3</v>
          </cell>
          <cell r="L56">
            <v>7</v>
          </cell>
          <cell r="M56">
            <v>1</v>
          </cell>
          <cell r="N56">
            <v>0</v>
          </cell>
          <cell r="O56">
            <v>0</v>
          </cell>
          <cell r="P56">
            <v>5</v>
          </cell>
          <cell r="Q56">
            <v>0</v>
          </cell>
          <cell r="R56">
            <v>16</v>
          </cell>
          <cell r="S56">
            <v>34</v>
          </cell>
          <cell r="T56">
            <v>0</v>
          </cell>
          <cell r="U56">
            <v>0</v>
          </cell>
          <cell r="V56">
            <v>3072</v>
          </cell>
          <cell r="W56">
            <v>1119</v>
          </cell>
          <cell r="X56">
            <v>4191</v>
          </cell>
          <cell r="Y56">
            <v>925.45185185185233</v>
          </cell>
          <cell r="Z56">
            <v>0</v>
          </cell>
          <cell r="AA56">
            <v>208</v>
          </cell>
          <cell r="AB56">
            <v>-150</v>
          </cell>
          <cell r="AC56">
            <v>0</v>
          </cell>
          <cell r="AD56">
            <v>983.45185185185233</v>
          </cell>
          <cell r="AE56">
            <v>5174</v>
          </cell>
          <cell r="AF56">
            <v>465.78</v>
          </cell>
          <cell r="AH56">
            <v>0</v>
          </cell>
          <cell r="AI56">
            <v>9000</v>
          </cell>
          <cell r="AJ56">
            <v>9465.7800000000007</v>
          </cell>
          <cell r="AK56">
            <v>-4291.7800000000007</v>
          </cell>
          <cell r="AL56">
            <v>0</v>
          </cell>
          <cell r="AM56">
            <v>2000</v>
          </cell>
          <cell r="AN56">
            <v>2708.2200000000003</v>
          </cell>
          <cell r="AO56">
            <v>2710</v>
          </cell>
          <cell r="AP56">
            <v>4710</v>
          </cell>
          <cell r="AQ56">
            <v>1</v>
          </cell>
          <cell r="AR56">
            <v>2.5</v>
          </cell>
        </row>
        <row r="57">
          <cell r="D57" t="str">
            <v>A046</v>
          </cell>
          <cell r="E57" t="str">
            <v>Lê Văn Hà</v>
          </cell>
          <cell r="F57" t="str">
            <v>CII.1</v>
          </cell>
          <cell r="G57" t="str">
            <v xml:space="preserve">Công nhân </v>
          </cell>
          <cell r="H57" t="str">
            <v>T4/09</v>
          </cell>
          <cell r="I57" t="str">
            <v>7.II</v>
          </cell>
          <cell r="J57">
            <v>4740</v>
          </cell>
          <cell r="K57">
            <v>8</v>
          </cell>
          <cell r="L57">
            <v>0</v>
          </cell>
          <cell r="M57">
            <v>1</v>
          </cell>
          <cell r="N57">
            <v>0</v>
          </cell>
          <cell r="O57">
            <v>0</v>
          </cell>
          <cell r="P57">
            <v>5</v>
          </cell>
          <cell r="Q57">
            <v>0</v>
          </cell>
          <cell r="R57">
            <v>14</v>
          </cell>
          <cell r="S57">
            <v>52</v>
          </cell>
          <cell r="T57">
            <v>8</v>
          </cell>
          <cell r="U57">
            <v>0</v>
          </cell>
          <cell r="V57">
            <v>2721</v>
          </cell>
          <cell r="W57">
            <v>2063</v>
          </cell>
          <cell r="X57">
            <v>4784</v>
          </cell>
          <cell r="Y57">
            <v>347.34311111111123</v>
          </cell>
          <cell r="Z57">
            <v>0</v>
          </cell>
          <cell r="AA57">
            <v>288</v>
          </cell>
          <cell r="AB57">
            <v>-70</v>
          </cell>
          <cell r="AC57">
            <v>0</v>
          </cell>
          <cell r="AD57">
            <v>565.34311111111128</v>
          </cell>
          <cell r="AE57">
            <v>5349</v>
          </cell>
          <cell r="AF57">
            <v>466.2</v>
          </cell>
          <cell r="AH57">
            <v>0</v>
          </cell>
          <cell r="AI57">
            <v>9000</v>
          </cell>
          <cell r="AJ57">
            <v>9466.2000000000007</v>
          </cell>
          <cell r="AK57">
            <v>-4117.2000000000007</v>
          </cell>
          <cell r="AL57">
            <v>0</v>
          </cell>
          <cell r="AM57">
            <v>2000</v>
          </cell>
          <cell r="AN57">
            <v>2882.8</v>
          </cell>
          <cell r="AO57">
            <v>2880</v>
          </cell>
          <cell r="AP57">
            <v>4880</v>
          </cell>
          <cell r="AQ57">
            <v>1</v>
          </cell>
          <cell r="AR57">
            <v>0</v>
          </cell>
        </row>
        <row r="58">
          <cell r="D58" t="str">
            <v>A105</v>
          </cell>
          <cell r="E58" t="str">
            <v>Trần Thị Diệp</v>
          </cell>
          <cell r="F58" t="str">
            <v>EN</v>
          </cell>
          <cell r="G58" t="str">
            <v>Công nhân</v>
          </cell>
          <cell r="H58" t="str">
            <v>T7/10</v>
          </cell>
          <cell r="I58" t="str">
            <v>7.I</v>
          </cell>
          <cell r="J58">
            <v>4740</v>
          </cell>
          <cell r="K58">
            <v>6</v>
          </cell>
          <cell r="L58">
            <v>0</v>
          </cell>
          <cell r="M58">
            <v>1</v>
          </cell>
          <cell r="N58">
            <v>0</v>
          </cell>
          <cell r="O58">
            <v>0</v>
          </cell>
          <cell r="P58">
            <v>9</v>
          </cell>
          <cell r="Q58">
            <v>0</v>
          </cell>
          <cell r="R58">
            <v>16</v>
          </cell>
          <cell r="S58">
            <v>60</v>
          </cell>
          <cell r="T58">
            <v>0</v>
          </cell>
          <cell r="U58">
            <v>0</v>
          </cell>
          <cell r="V58">
            <v>3283</v>
          </cell>
          <cell r="W58">
            <v>1975</v>
          </cell>
          <cell r="X58">
            <v>5258</v>
          </cell>
          <cell r="Y58">
            <v>24.495822222222127</v>
          </cell>
          <cell r="Z58">
            <v>0</v>
          </cell>
          <cell r="AA58">
            <v>384</v>
          </cell>
          <cell r="AB58">
            <v>-70</v>
          </cell>
          <cell r="AC58">
            <v>0</v>
          </cell>
          <cell r="AD58">
            <v>338.4958222222221</v>
          </cell>
          <cell r="AE58">
            <v>5596</v>
          </cell>
          <cell r="AF58">
            <v>466.2</v>
          </cell>
          <cell r="AH58">
            <v>0</v>
          </cell>
          <cell r="AI58">
            <v>9000</v>
          </cell>
          <cell r="AJ58">
            <v>9466.2000000000007</v>
          </cell>
          <cell r="AK58">
            <v>-3870.2000000000007</v>
          </cell>
          <cell r="AL58">
            <v>0</v>
          </cell>
          <cell r="AM58">
            <v>2000</v>
          </cell>
          <cell r="AN58">
            <v>3129.8</v>
          </cell>
          <cell r="AO58">
            <v>3130</v>
          </cell>
          <cell r="AP58">
            <v>5130</v>
          </cell>
          <cell r="AQ58">
            <v>1</v>
          </cell>
          <cell r="AR58">
            <v>10</v>
          </cell>
        </row>
        <row r="59">
          <cell r="D59" t="str">
            <v>A148</v>
          </cell>
          <cell r="E59" t="str">
            <v>Huỳnh Thị Châu</v>
          </cell>
          <cell r="F59" t="str">
            <v>EN</v>
          </cell>
          <cell r="G59" t="str">
            <v>Công nhân</v>
          </cell>
          <cell r="H59" t="str">
            <v>T9/10</v>
          </cell>
          <cell r="I59" t="str">
            <v>7.I</v>
          </cell>
          <cell r="J59">
            <v>4740</v>
          </cell>
          <cell r="K59">
            <v>5</v>
          </cell>
          <cell r="L59">
            <v>0</v>
          </cell>
          <cell r="M59">
            <v>1</v>
          </cell>
          <cell r="N59">
            <v>0</v>
          </cell>
          <cell r="O59">
            <v>0</v>
          </cell>
          <cell r="P59">
            <v>9</v>
          </cell>
          <cell r="Q59">
            <v>1</v>
          </cell>
          <cell r="R59">
            <v>16</v>
          </cell>
          <cell r="S59">
            <v>56</v>
          </cell>
          <cell r="T59">
            <v>0</v>
          </cell>
          <cell r="U59">
            <v>0</v>
          </cell>
          <cell r="V59">
            <v>3283</v>
          </cell>
          <cell r="W59">
            <v>1843</v>
          </cell>
          <cell r="X59">
            <v>5126</v>
          </cell>
          <cell r="Y59">
            <v>21.452444444444456</v>
          </cell>
          <cell r="Z59">
            <v>0</v>
          </cell>
          <cell r="AA59">
            <v>368</v>
          </cell>
          <cell r="AB59">
            <v>-70</v>
          </cell>
          <cell r="AC59">
            <v>0</v>
          </cell>
          <cell r="AD59">
            <v>319.45244444444444</v>
          </cell>
          <cell r="AE59">
            <v>5445</v>
          </cell>
          <cell r="AF59">
            <v>466.2</v>
          </cell>
          <cell r="AH59">
            <v>0</v>
          </cell>
          <cell r="AI59">
            <v>9000</v>
          </cell>
          <cell r="AJ59">
            <v>9466.2000000000007</v>
          </cell>
          <cell r="AK59">
            <v>-4021.2000000000007</v>
          </cell>
          <cell r="AL59">
            <v>0</v>
          </cell>
          <cell r="AM59">
            <v>2000</v>
          </cell>
          <cell r="AN59">
            <v>2978.8</v>
          </cell>
          <cell r="AO59">
            <v>2980</v>
          </cell>
          <cell r="AP59">
            <v>4980</v>
          </cell>
          <cell r="AQ59">
            <v>1</v>
          </cell>
          <cell r="AR59">
            <v>9.5</v>
          </cell>
        </row>
        <row r="60">
          <cell r="D60" t="str">
            <v>A193</v>
          </cell>
          <cell r="E60" t="str">
            <v>Trần Thị Diệu</v>
          </cell>
          <cell r="F60" t="str">
            <v>PHOI</v>
          </cell>
          <cell r="G60" t="str">
            <v xml:space="preserve">Công nhân </v>
          </cell>
          <cell r="H60" t="str">
            <v>T10/10</v>
          </cell>
          <cell r="I60" t="str">
            <v>7.I</v>
          </cell>
          <cell r="J60">
            <v>4740</v>
          </cell>
          <cell r="K60">
            <v>14</v>
          </cell>
          <cell r="L60">
            <v>1</v>
          </cell>
          <cell r="M60">
            <v>1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16</v>
          </cell>
          <cell r="S60">
            <v>67</v>
          </cell>
          <cell r="T60">
            <v>0</v>
          </cell>
          <cell r="U60">
            <v>0</v>
          </cell>
          <cell r="V60">
            <v>2809</v>
          </cell>
          <cell r="W60">
            <v>2205</v>
          </cell>
          <cell r="X60">
            <v>5014</v>
          </cell>
          <cell r="Y60">
            <v>63.883851851852441</v>
          </cell>
          <cell r="Z60">
            <v>16</v>
          </cell>
          <cell r="AA60">
            <v>224</v>
          </cell>
          <cell r="AB60">
            <v>-70</v>
          </cell>
          <cell r="AC60">
            <v>0</v>
          </cell>
          <cell r="AD60">
            <v>233.88385185185246</v>
          </cell>
          <cell r="AE60">
            <v>5248</v>
          </cell>
          <cell r="AF60">
            <v>443.1</v>
          </cell>
          <cell r="AH60">
            <v>0</v>
          </cell>
          <cell r="AI60">
            <v>9000</v>
          </cell>
          <cell r="AJ60">
            <v>9443.1</v>
          </cell>
          <cell r="AK60">
            <v>-4195.1000000000004</v>
          </cell>
          <cell r="AL60">
            <v>0</v>
          </cell>
          <cell r="AM60">
            <v>2000</v>
          </cell>
          <cell r="AN60">
            <v>2804.8999999999996</v>
          </cell>
          <cell r="AO60">
            <v>2810</v>
          </cell>
          <cell r="AP60">
            <v>4810</v>
          </cell>
          <cell r="AQ60">
            <v>1</v>
          </cell>
          <cell r="AR60">
            <v>7</v>
          </cell>
        </row>
        <row r="61">
          <cell r="D61" t="str">
            <v>A272</v>
          </cell>
          <cell r="E61" t="str">
            <v>Võ Minh Vân</v>
          </cell>
          <cell r="F61" t="str">
            <v>EN</v>
          </cell>
          <cell r="G61" t="str">
            <v>Công Nhân</v>
          </cell>
          <cell r="H61" t="str">
            <v>T10/11</v>
          </cell>
          <cell r="I61" t="str">
            <v>7.I</v>
          </cell>
          <cell r="J61">
            <v>4740</v>
          </cell>
          <cell r="K61">
            <v>5</v>
          </cell>
          <cell r="L61">
            <v>0</v>
          </cell>
          <cell r="M61">
            <v>1</v>
          </cell>
          <cell r="N61">
            <v>0</v>
          </cell>
          <cell r="O61">
            <v>0</v>
          </cell>
          <cell r="P61">
            <v>9</v>
          </cell>
          <cell r="Q61">
            <v>1</v>
          </cell>
          <cell r="R61">
            <v>16</v>
          </cell>
          <cell r="S61">
            <v>56</v>
          </cell>
          <cell r="T61">
            <v>0</v>
          </cell>
          <cell r="U61">
            <v>0</v>
          </cell>
          <cell r="V61">
            <v>3283</v>
          </cell>
          <cell r="W61">
            <v>1843</v>
          </cell>
          <cell r="X61">
            <v>5126</v>
          </cell>
          <cell r="Y61">
            <v>139.10459259259235</v>
          </cell>
          <cell r="Z61">
            <v>16</v>
          </cell>
          <cell r="AA61">
            <v>368</v>
          </cell>
          <cell r="AB61">
            <v>-70</v>
          </cell>
          <cell r="AC61">
            <v>0</v>
          </cell>
          <cell r="AD61">
            <v>453.10459259259233</v>
          </cell>
          <cell r="AE61">
            <v>5579</v>
          </cell>
          <cell r="AF61">
            <v>466.2</v>
          </cell>
          <cell r="AH61">
            <v>0</v>
          </cell>
          <cell r="AI61">
            <v>9000</v>
          </cell>
          <cell r="AJ61">
            <v>9466.2000000000007</v>
          </cell>
          <cell r="AK61">
            <v>-3887.2000000000007</v>
          </cell>
          <cell r="AL61">
            <v>0</v>
          </cell>
          <cell r="AM61">
            <v>2000</v>
          </cell>
          <cell r="AN61">
            <v>3112.8</v>
          </cell>
          <cell r="AO61">
            <v>3110</v>
          </cell>
          <cell r="AP61">
            <v>5110</v>
          </cell>
          <cell r="AQ61">
            <v>1</v>
          </cell>
          <cell r="AR61">
            <v>5</v>
          </cell>
        </row>
        <row r="62">
          <cell r="D62" t="str">
            <v>A417</v>
          </cell>
          <cell r="E62" t="str">
            <v>Lê Thanh Tùng</v>
          </cell>
          <cell r="F62" t="str">
            <v>EN</v>
          </cell>
          <cell r="G62" t="str">
            <v>Công Nhân</v>
          </cell>
          <cell r="H62" t="str">
            <v>T8/13</v>
          </cell>
          <cell r="I62" t="str">
            <v>7.I</v>
          </cell>
          <cell r="J62">
            <v>4510</v>
          </cell>
          <cell r="K62">
            <v>8</v>
          </cell>
          <cell r="L62">
            <v>0</v>
          </cell>
          <cell r="M62">
            <v>1</v>
          </cell>
          <cell r="N62">
            <v>0</v>
          </cell>
          <cell r="O62">
            <v>0</v>
          </cell>
          <cell r="P62">
            <v>6</v>
          </cell>
          <cell r="Q62">
            <v>1</v>
          </cell>
          <cell r="R62">
            <v>16</v>
          </cell>
          <cell r="S62">
            <v>56</v>
          </cell>
          <cell r="T62">
            <v>0</v>
          </cell>
          <cell r="U62">
            <v>0</v>
          </cell>
          <cell r="V62">
            <v>2973</v>
          </cell>
          <cell r="W62">
            <v>1754</v>
          </cell>
          <cell r="X62">
            <v>4727</v>
          </cell>
          <cell r="Y62">
            <v>0</v>
          </cell>
          <cell r="Z62">
            <v>0</v>
          </cell>
          <cell r="AA62">
            <v>320</v>
          </cell>
          <cell r="AB62">
            <v>-70</v>
          </cell>
          <cell r="AC62">
            <v>0</v>
          </cell>
          <cell r="AD62">
            <v>250</v>
          </cell>
          <cell r="AE62">
            <v>4977</v>
          </cell>
          <cell r="AF62">
            <v>443.1</v>
          </cell>
          <cell r="AH62">
            <v>0</v>
          </cell>
          <cell r="AI62">
            <v>9000</v>
          </cell>
          <cell r="AJ62">
            <v>9443.1</v>
          </cell>
          <cell r="AK62">
            <v>-4466.1000000000004</v>
          </cell>
          <cell r="AL62">
            <v>0</v>
          </cell>
          <cell r="AM62">
            <v>2000</v>
          </cell>
          <cell r="AN62">
            <v>2533.8999999999996</v>
          </cell>
          <cell r="AO62">
            <v>2540</v>
          </cell>
          <cell r="AP62">
            <v>4540</v>
          </cell>
          <cell r="AQ62">
            <v>1</v>
          </cell>
          <cell r="AR62">
            <v>3</v>
          </cell>
        </row>
        <row r="63">
          <cell r="D63" t="str">
            <v>A433</v>
          </cell>
          <cell r="E63" t="str">
            <v>Ngô Văn Thương</v>
          </cell>
          <cell r="F63" t="str">
            <v>PHOI</v>
          </cell>
          <cell r="G63" t="str">
            <v>Công nhân</v>
          </cell>
          <cell r="H63" t="str">
            <v>T12/13</v>
          </cell>
          <cell r="I63" t="str">
            <v>7.I</v>
          </cell>
          <cell r="J63">
            <v>4510</v>
          </cell>
          <cell r="K63">
            <v>15</v>
          </cell>
          <cell r="L63">
            <v>0</v>
          </cell>
          <cell r="M63">
            <v>1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16</v>
          </cell>
          <cell r="S63">
            <v>69</v>
          </cell>
          <cell r="T63">
            <v>0</v>
          </cell>
          <cell r="U63">
            <v>0</v>
          </cell>
          <cell r="V63">
            <v>2673</v>
          </cell>
          <cell r="W63">
            <v>2161</v>
          </cell>
          <cell r="X63">
            <v>4834</v>
          </cell>
          <cell r="Y63">
            <v>0</v>
          </cell>
          <cell r="Z63">
            <v>32</v>
          </cell>
          <cell r="AA63">
            <v>240</v>
          </cell>
          <cell r="AB63">
            <v>-70</v>
          </cell>
          <cell r="AC63">
            <v>0</v>
          </cell>
          <cell r="AD63">
            <v>202</v>
          </cell>
          <cell r="AE63">
            <v>5036</v>
          </cell>
          <cell r="AF63">
            <v>443.1</v>
          </cell>
          <cell r="AH63">
            <v>0</v>
          </cell>
          <cell r="AI63">
            <v>9000</v>
          </cell>
          <cell r="AJ63">
            <v>9443.1</v>
          </cell>
          <cell r="AK63">
            <v>-4407.1000000000004</v>
          </cell>
          <cell r="AL63">
            <v>0</v>
          </cell>
          <cell r="AM63">
            <v>2000</v>
          </cell>
          <cell r="AN63">
            <v>2592.8999999999996</v>
          </cell>
          <cell r="AO63">
            <v>2590</v>
          </cell>
          <cell r="AP63">
            <v>4590</v>
          </cell>
          <cell r="AQ63">
            <v>1</v>
          </cell>
          <cell r="AR63">
            <v>5</v>
          </cell>
        </row>
        <row r="64">
          <cell r="D64" t="str">
            <v>A439</v>
          </cell>
          <cell r="E64" t="str">
            <v>Huỳnh Thị Kiều</v>
          </cell>
          <cell r="F64" t="str">
            <v>PHOI</v>
          </cell>
          <cell r="G64" t="str">
            <v>Công nhân</v>
          </cell>
          <cell r="H64" t="str">
            <v>T12/13</v>
          </cell>
          <cell r="I64" t="str">
            <v>7.I</v>
          </cell>
          <cell r="J64">
            <v>4510</v>
          </cell>
          <cell r="K64">
            <v>14</v>
          </cell>
          <cell r="L64">
            <v>1</v>
          </cell>
          <cell r="M64">
            <v>1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16</v>
          </cell>
          <cell r="S64">
            <v>68</v>
          </cell>
          <cell r="T64">
            <v>0</v>
          </cell>
          <cell r="U64">
            <v>0</v>
          </cell>
          <cell r="V64">
            <v>2673</v>
          </cell>
          <cell r="W64">
            <v>2130</v>
          </cell>
          <cell r="X64">
            <v>4803</v>
          </cell>
          <cell r="Y64">
            <v>0</v>
          </cell>
          <cell r="Z64">
            <v>64</v>
          </cell>
          <cell r="AA64">
            <v>224</v>
          </cell>
          <cell r="AB64">
            <v>-70</v>
          </cell>
          <cell r="AC64">
            <v>0</v>
          </cell>
          <cell r="AD64">
            <v>218</v>
          </cell>
          <cell r="AE64">
            <v>5021</v>
          </cell>
          <cell r="AF64">
            <v>443.1</v>
          </cell>
          <cell r="AH64">
            <v>0</v>
          </cell>
          <cell r="AI64">
            <v>9000</v>
          </cell>
          <cell r="AJ64">
            <v>9443.1</v>
          </cell>
          <cell r="AK64">
            <v>-4422.1000000000004</v>
          </cell>
          <cell r="AL64">
            <v>0</v>
          </cell>
          <cell r="AM64">
            <v>2000</v>
          </cell>
          <cell r="AN64">
            <v>2577.8999999999996</v>
          </cell>
          <cell r="AO64">
            <v>2580</v>
          </cell>
          <cell r="AP64">
            <v>4580</v>
          </cell>
          <cell r="AQ64">
            <v>1</v>
          </cell>
          <cell r="AR64">
            <v>8</v>
          </cell>
        </row>
        <row r="65">
          <cell r="D65" t="str">
            <v>A440</v>
          </cell>
          <cell r="E65" t="str">
            <v>Lâm Quốc Phong</v>
          </cell>
          <cell r="F65" t="str">
            <v>EN</v>
          </cell>
          <cell r="G65" t="str">
            <v>Công nhân</v>
          </cell>
          <cell r="H65" t="str">
            <v>T1/14</v>
          </cell>
          <cell r="I65" t="str">
            <v>7.I</v>
          </cell>
          <cell r="J65">
            <v>4510</v>
          </cell>
          <cell r="K65">
            <v>15</v>
          </cell>
          <cell r="L65">
            <v>0</v>
          </cell>
          <cell r="M65">
            <v>1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16</v>
          </cell>
          <cell r="S65">
            <v>84</v>
          </cell>
          <cell r="T65">
            <v>24</v>
          </cell>
          <cell r="U65">
            <v>0</v>
          </cell>
          <cell r="V65">
            <v>2673</v>
          </cell>
          <cell r="W65">
            <v>3633</v>
          </cell>
          <cell r="X65">
            <v>6306</v>
          </cell>
          <cell r="Y65">
            <v>177.77777777777777</v>
          </cell>
          <cell r="Z65">
            <v>0</v>
          </cell>
          <cell r="AA65">
            <v>240</v>
          </cell>
          <cell r="AB65">
            <v>-70</v>
          </cell>
          <cell r="AC65">
            <v>0</v>
          </cell>
          <cell r="AD65">
            <v>347.77777777777777</v>
          </cell>
          <cell r="AE65">
            <v>6654</v>
          </cell>
          <cell r="AF65">
            <v>443.1</v>
          </cell>
          <cell r="AH65">
            <v>0</v>
          </cell>
          <cell r="AI65">
            <v>9000</v>
          </cell>
          <cell r="AJ65">
            <v>9443.1</v>
          </cell>
          <cell r="AK65">
            <v>-2789.1000000000004</v>
          </cell>
          <cell r="AL65">
            <v>0</v>
          </cell>
          <cell r="AM65">
            <v>0</v>
          </cell>
          <cell r="AN65">
            <v>6210.9</v>
          </cell>
          <cell r="AO65">
            <v>6210</v>
          </cell>
          <cell r="AP65">
            <v>6210</v>
          </cell>
          <cell r="AQ65">
            <v>1</v>
          </cell>
          <cell r="AR65">
            <v>13.5</v>
          </cell>
        </row>
        <row r="66">
          <cell r="D66" t="str">
            <v>A477</v>
          </cell>
          <cell r="E66" t="str">
            <v>Trần Văn Mến</v>
          </cell>
          <cell r="F66" t="str">
            <v>EN</v>
          </cell>
          <cell r="G66" t="str">
            <v>Công Nhân</v>
          </cell>
          <cell r="H66" t="str">
            <v>T4/14</v>
          </cell>
          <cell r="I66" t="str">
            <v>7.I</v>
          </cell>
          <cell r="J66">
            <v>4510</v>
          </cell>
          <cell r="K66">
            <v>9</v>
          </cell>
          <cell r="L66">
            <v>0</v>
          </cell>
          <cell r="M66">
            <v>1</v>
          </cell>
          <cell r="N66">
            <v>0</v>
          </cell>
          <cell r="O66">
            <v>0</v>
          </cell>
          <cell r="P66">
            <v>6</v>
          </cell>
          <cell r="Q66">
            <v>0</v>
          </cell>
          <cell r="R66">
            <v>16</v>
          </cell>
          <cell r="S66">
            <v>60</v>
          </cell>
          <cell r="T66">
            <v>24</v>
          </cell>
          <cell r="U66">
            <v>0</v>
          </cell>
          <cell r="V66">
            <v>2973</v>
          </cell>
          <cell r="W66">
            <v>2881</v>
          </cell>
          <cell r="X66">
            <v>5854</v>
          </cell>
          <cell r="Y66">
            <v>0</v>
          </cell>
          <cell r="Z66">
            <v>0</v>
          </cell>
          <cell r="AA66">
            <v>336</v>
          </cell>
          <cell r="AB66">
            <v>-70</v>
          </cell>
          <cell r="AC66">
            <v>0</v>
          </cell>
          <cell r="AD66">
            <v>266</v>
          </cell>
          <cell r="AE66">
            <v>6120</v>
          </cell>
          <cell r="AF66">
            <v>443.1</v>
          </cell>
          <cell r="AH66">
            <v>0</v>
          </cell>
          <cell r="AI66">
            <v>9000</v>
          </cell>
          <cell r="AJ66">
            <v>9443.1</v>
          </cell>
          <cell r="AK66">
            <v>-3323.1000000000004</v>
          </cell>
          <cell r="AL66">
            <v>0</v>
          </cell>
          <cell r="AM66">
            <v>1000</v>
          </cell>
          <cell r="AN66">
            <v>4676.8999999999996</v>
          </cell>
          <cell r="AO66">
            <v>4680</v>
          </cell>
          <cell r="AP66">
            <v>5680</v>
          </cell>
          <cell r="AQ66">
            <v>1</v>
          </cell>
          <cell r="AR66">
            <v>2.5</v>
          </cell>
        </row>
        <row r="67">
          <cell r="D67" t="str">
            <v>A501</v>
          </cell>
          <cell r="E67" t="str">
            <v>Phạm Văn Xuyên</v>
          </cell>
          <cell r="F67" t="str">
            <v>EN</v>
          </cell>
          <cell r="G67" t="str">
            <v>Công Nhân</v>
          </cell>
          <cell r="H67" t="str">
            <v>T5/14</v>
          </cell>
          <cell r="I67" t="str">
            <v>7.I</v>
          </cell>
          <cell r="J67">
            <v>4290</v>
          </cell>
          <cell r="K67">
            <v>5</v>
          </cell>
          <cell r="L67">
            <v>0</v>
          </cell>
          <cell r="M67">
            <v>1</v>
          </cell>
          <cell r="N67">
            <v>0</v>
          </cell>
          <cell r="O67">
            <v>0</v>
          </cell>
          <cell r="P67">
            <v>9</v>
          </cell>
          <cell r="Q67">
            <v>1</v>
          </cell>
          <cell r="R67">
            <v>16</v>
          </cell>
          <cell r="S67">
            <v>56</v>
          </cell>
          <cell r="T67">
            <v>0</v>
          </cell>
          <cell r="U67">
            <v>0</v>
          </cell>
          <cell r="V67">
            <v>2971</v>
          </cell>
          <cell r="W67">
            <v>1668</v>
          </cell>
          <cell r="X67">
            <v>4639</v>
          </cell>
          <cell r="Y67">
            <v>0</v>
          </cell>
          <cell r="Z67">
            <v>0</v>
          </cell>
          <cell r="AA67">
            <v>368</v>
          </cell>
          <cell r="AB67">
            <v>-70</v>
          </cell>
          <cell r="AC67">
            <v>0</v>
          </cell>
          <cell r="AD67">
            <v>298</v>
          </cell>
          <cell r="AE67">
            <v>4937</v>
          </cell>
          <cell r="AF67">
            <v>443.1</v>
          </cell>
          <cell r="AH67">
            <v>0</v>
          </cell>
          <cell r="AI67">
            <v>9000</v>
          </cell>
          <cell r="AJ67">
            <v>9443.1</v>
          </cell>
          <cell r="AK67">
            <v>-4506.1000000000004</v>
          </cell>
          <cell r="AL67">
            <v>0</v>
          </cell>
          <cell r="AM67">
            <v>2000</v>
          </cell>
          <cell r="AN67">
            <v>2493.8999999999996</v>
          </cell>
          <cell r="AO67">
            <v>2500</v>
          </cell>
          <cell r="AP67">
            <v>4500</v>
          </cell>
          <cell r="AQ67">
            <v>1</v>
          </cell>
          <cell r="AR67">
            <v>4</v>
          </cell>
        </row>
        <row r="68">
          <cell r="D68" t="str">
            <v>A504</v>
          </cell>
          <cell r="E68" t="str">
            <v>Hồ Quốc Thành</v>
          </cell>
          <cell r="F68" t="str">
            <v>EN</v>
          </cell>
          <cell r="G68" t="str">
            <v>QUANLY</v>
          </cell>
          <cell r="H68" t="str">
            <v>T5/14</v>
          </cell>
          <cell r="I68" t="str">
            <v>4.III</v>
          </cell>
          <cell r="J68">
            <v>5910</v>
          </cell>
          <cell r="K68">
            <v>2</v>
          </cell>
          <cell r="L68">
            <v>13</v>
          </cell>
          <cell r="M68">
            <v>1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16</v>
          </cell>
          <cell r="S68">
            <v>25.5</v>
          </cell>
          <cell r="T68">
            <v>5.5</v>
          </cell>
          <cell r="U68">
            <v>0</v>
          </cell>
          <cell r="V68">
            <v>3502</v>
          </cell>
          <cell r="W68">
            <v>1348</v>
          </cell>
          <cell r="X68">
            <v>4850</v>
          </cell>
          <cell r="Y68">
            <v>7757.1851851851852</v>
          </cell>
          <cell r="Z68">
            <v>16</v>
          </cell>
          <cell r="AA68">
            <v>32</v>
          </cell>
          <cell r="AB68">
            <v>-150</v>
          </cell>
          <cell r="AC68">
            <v>0</v>
          </cell>
          <cell r="AD68">
            <v>7655.1851851851852</v>
          </cell>
          <cell r="AE68">
            <v>12505</v>
          </cell>
          <cell r="AF68">
            <v>522.9</v>
          </cell>
          <cell r="AH68">
            <v>0</v>
          </cell>
          <cell r="AI68">
            <v>9000</v>
          </cell>
          <cell r="AJ68">
            <v>9522.9</v>
          </cell>
          <cell r="AK68">
            <v>2982.1000000000004</v>
          </cell>
          <cell r="AL68">
            <v>149</v>
          </cell>
          <cell r="AM68">
            <v>3000</v>
          </cell>
          <cell r="AN68">
            <v>8833.1</v>
          </cell>
          <cell r="AO68">
            <v>8840</v>
          </cell>
          <cell r="AP68">
            <v>11840</v>
          </cell>
          <cell r="AQ68">
            <v>1</v>
          </cell>
          <cell r="AR68">
            <v>4</v>
          </cell>
        </row>
        <row r="69">
          <cell r="D69" t="str">
            <v>A510</v>
          </cell>
          <cell r="E69" t="str">
            <v>Nguyễn Ngọc Cần</v>
          </cell>
          <cell r="F69" t="str">
            <v>EN</v>
          </cell>
          <cell r="G69" t="str">
            <v>QUANLY</v>
          </cell>
          <cell r="H69" t="str">
            <v>T5/14</v>
          </cell>
          <cell r="I69" t="str">
            <v>4.III</v>
          </cell>
          <cell r="J69">
            <v>4674.6000000000004</v>
          </cell>
          <cell r="K69">
            <v>4</v>
          </cell>
          <cell r="L69">
            <v>0</v>
          </cell>
          <cell r="M69">
            <v>1</v>
          </cell>
          <cell r="N69">
            <v>0</v>
          </cell>
          <cell r="O69">
            <v>0</v>
          </cell>
          <cell r="P69">
            <v>11</v>
          </cell>
          <cell r="Q69">
            <v>0</v>
          </cell>
          <cell r="R69">
            <v>16</v>
          </cell>
          <cell r="S69">
            <v>60</v>
          </cell>
          <cell r="T69">
            <v>26</v>
          </cell>
          <cell r="U69">
            <v>0</v>
          </cell>
          <cell r="V69">
            <v>3341</v>
          </cell>
          <cell r="W69">
            <v>3073</v>
          </cell>
          <cell r="X69">
            <v>6414</v>
          </cell>
          <cell r="Y69">
            <v>2177.2092207407413</v>
          </cell>
          <cell r="Z69">
            <v>16</v>
          </cell>
          <cell r="AA69">
            <v>416</v>
          </cell>
          <cell r="AB69">
            <v>-150</v>
          </cell>
          <cell r="AC69">
            <v>0</v>
          </cell>
          <cell r="AD69">
            <v>2459.2092207407413</v>
          </cell>
          <cell r="AE69">
            <v>8873</v>
          </cell>
          <cell r="AF69">
            <v>489.3</v>
          </cell>
          <cell r="AH69">
            <v>0</v>
          </cell>
          <cell r="AI69">
            <v>9000</v>
          </cell>
          <cell r="AJ69">
            <v>9489.2999999999993</v>
          </cell>
          <cell r="AK69">
            <v>-616.29999999999927</v>
          </cell>
          <cell r="AL69">
            <v>0</v>
          </cell>
          <cell r="AM69">
            <v>4000</v>
          </cell>
          <cell r="AN69">
            <v>4383.7000000000007</v>
          </cell>
          <cell r="AO69">
            <v>4390</v>
          </cell>
          <cell r="AP69">
            <v>8390</v>
          </cell>
          <cell r="AQ69">
            <v>1</v>
          </cell>
          <cell r="AR69">
            <v>10</v>
          </cell>
        </row>
        <row r="70">
          <cell r="D70" t="str">
            <v>A524</v>
          </cell>
          <cell r="E70" t="str">
            <v>Phạm Huỳnh Tân Long</v>
          </cell>
          <cell r="F70" t="str">
            <v>EN</v>
          </cell>
          <cell r="G70" t="str">
            <v>Công Nhân</v>
          </cell>
          <cell r="H70" t="str">
            <v>T6/14</v>
          </cell>
          <cell r="I70" t="str">
            <v>7.I</v>
          </cell>
          <cell r="J70">
            <v>4290</v>
          </cell>
          <cell r="K70">
            <v>6</v>
          </cell>
          <cell r="L70">
            <v>0</v>
          </cell>
          <cell r="M70">
            <v>1</v>
          </cell>
          <cell r="N70">
            <v>0</v>
          </cell>
          <cell r="O70">
            <v>0</v>
          </cell>
          <cell r="P70">
            <v>9</v>
          </cell>
          <cell r="Q70">
            <v>0</v>
          </cell>
          <cell r="R70">
            <v>16</v>
          </cell>
          <cell r="S70">
            <v>60</v>
          </cell>
          <cell r="T70">
            <v>16</v>
          </cell>
          <cell r="U70">
            <v>0</v>
          </cell>
          <cell r="V70">
            <v>2971</v>
          </cell>
          <cell r="W70">
            <v>2423</v>
          </cell>
          <cell r="X70">
            <v>5394</v>
          </cell>
          <cell r="Y70">
            <v>0</v>
          </cell>
          <cell r="Z70">
            <v>0</v>
          </cell>
          <cell r="AA70">
            <v>384</v>
          </cell>
          <cell r="AB70">
            <v>-70</v>
          </cell>
          <cell r="AC70">
            <v>0</v>
          </cell>
          <cell r="AD70">
            <v>314</v>
          </cell>
          <cell r="AE70">
            <v>5708</v>
          </cell>
          <cell r="AF70">
            <v>443.1</v>
          </cell>
          <cell r="AH70">
            <v>0</v>
          </cell>
          <cell r="AI70">
            <v>9000</v>
          </cell>
          <cell r="AJ70">
            <v>9443.1</v>
          </cell>
          <cell r="AK70">
            <v>-3735.1000000000004</v>
          </cell>
          <cell r="AL70">
            <v>0</v>
          </cell>
          <cell r="AM70">
            <v>2000</v>
          </cell>
          <cell r="AN70">
            <v>3264.8999999999996</v>
          </cell>
          <cell r="AO70">
            <v>3270</v>
          </cell>
          <cell r="AP70">
            <v>5270</v>
          </cell>
          <cell r="AQ70">
            <v>1</v>
          </cell>
          <cell r="AR70">
            <v>6.5</v>
          </cell>
        </row>
        <row r="71">
          <cell r="D71" t="str">
            <v>A529</v>
          </cell>
          <cell r="E71" t="str">
            <v>Võ Minh Tâm</v>
          </cell>
          <cell r="F71" t="str">
            <v>EN</v>
          </cell>
          <cell r="G71" t="str">
            <v>QUANLY</v>
          </cell>
          <cell r="H71" t="str">
            <v>T6/14</v>
          </cell>
          <cell r="I71" t="str">
            <v>7.I</v>
          </cell>
          <cell r="J71">
            <v>4740</v>
          </cell>
          <cell r="K71">
            <v>7</v>
          </cell>
          <cell r="L71">
            <v>0.5</v>
          </cell>
          <cell r="M71">
            <v>1</v>
          </cell>
          <cell r="N71">
            <v>0</v>
          </cell>
          <cell r="O71">
            <v>0</v>
          </cell>
          <cell r="P71">
            <v>6</v>
          </cell>
          <cell r="Q71">
            <v>1.5</v>
          </cell>
          <cell r="R71">
            <v>16</v>
          </cell>
          <cell r="S71">
            <v>52</v>
          </cell>
          <cell r="T71">
            <v>10</v>
          </cell>
          <cell r="U71">
            <v>0</v>
          </cell>
          <cell r="V71">
            <v>3125</v>
          </cell>
          <cell r="W71">
            <v>2151</v>
          </cell>
          <cell r="X71">
            <v>5276</v>
          </cell>
          <cell r="Y71">
            <v>0</v>
          </cell>
          <cell r="Z71">
            <v>0</v>
          </cell>
          <cell r="AA71">
            <v>304</v>
          </cell>
          <cell r="AB71">
            <v>-150</v>
          </cell>
          <cell r="AC71">
            <v>0</v>
          </cell>
          <cell r="AD71">
            <v>154</v>
          </cell>
          <cell r="AE71">
            <v>5430</v>
          </cell>
          <cell r="AF71">
            <v>473.55</v>
          </cell>
          <cell r="AH71">
            <v>0</v>
          </cell>
          <cell r="AI71">
            <v>9000</v>
          </cell>
          <cell r="AJ71">
            <v>9473.5499999999993</v>
          </cell>
          <cell r="AK71">
            <v>-4043.5499999999993</v>
          </cell>
          <cell r="AL71">
            <v>0</v>
          </cell>
          <cell r="AM71">
            <v>3000</v>
          </cell>
          <cell r="AN71">
            <v>1956.4499999999998</v>
          </cell>
          <cell r="AO71">
            <v>1960</v>
          </cell>
          <cell r="AP71">
            <v>4960</v>
          </cell>
          <cell r="AQ71">
            <v>1</v>
          </cell>
          <cell r="AR71">
            <v>7.5</v>
          </cell>
        </row>
        <row r="72">
          <cell r="D72" t="str">
            <v>A542</v>
          </cell>
          <cell r="E72" t="str">
            <v>Tăng Mộc Nguyên</v>
          </cell>
          <cell r="F72" t="str">
            <v>EN</v>
          </cell>
          <cell r="G72" t="str">
            <v>QUANLY</v>
          </cell>
          <cell r="H72" t="str">
            <v>T7/14</v>
          </cell>
          <cell r="I72" t="str">
            <v>4.III</v>
          </cell>
          <cell r="J72">
            <v>4674.6000000000004</v>
          </cell>
          <cell r="K72">
            <v>5</v>
          </cell>
          <cell r="L72">
            <v>0</v>
          </cell>
          <cell r="M72">
            <v>1</v>
          </cell>
          <cell r="N72">
            <v>0</v>
          </cell>
          <cell r="O72">
            <v>0</v>
          </cell>
          <cell r="P72">
            <v>10</v>
          </cell>
          <cell r="Q72">
            <v>0</v>
          </cell>
          <cell r="R72">
            <v>16</v>
          </cell>
          <cell r="S72">
            <v>60</v>
          </cell>
          <cell r="T72">
            <v>14</v>
          </cell>
          <cell r="U72">
            <v>9</v>
          </cell>
          <cell r="V72">
            <v>3290</v>
          </cell>
          <cell r="W72">
            <v>3138</v>
          </cell>
          <cell r="X72">
            <v>6428</v>
          </cell>
          <cell r="Y72">
            <v>2139.0580148148151</v>
          </cell>
          <cell r="Z72">
            <v>0</v>
          </cell>
          <cell r="AA72">
            <v>400</v>
          </cell>
          <cell r="AB72">
            <v>-150</v>
          </cell>
          <cell r="AC72">
            <v>0</v>
          </cell>
          <cell r="AD72">
            <v>2389.0580148148151</v>
          </cell>
          <cell r="AE72">
            <v>8817</v>
          </cell>
          <cell r="AF72">
            <v>489.3</v>
          </cell>
          <cell r="AH72">
            <v>1</v>
          </cell>
          <cell r="AI72">
            <v>12600</v>
          </cell>
          <cell r="AJ72">
            <v>13089.3</v>
          </cell>
          <cell r="AK72">
            <v>-4272.2999999999993</v>
          </cell>
          <cell r="AL72">
            <v>0</v>
          </cell>
          <cell r="AM72">
            <v>1000</v>
          </cell>
          <cell r="AN72">
            <v>7327.7000000000007</v>
          </cell>
          <cell r="AO72">
            <v>7330</v>
          </cell>
          <cell r="AP72">
            <v>8330</v>
          </cell>
          <cell r="AQ72">
            <v>1</v>
          </cell>
          <cell r="AR72">
            <v>10</v>
          </cell>
        </row>
        <row r="73">
          <cell r="D73" t="str">
            <v>A087</v>
          </cell>
          <cell r="E73" t="str">
            <v>Đoàn Văn Cường</v>
          </cell>
          <cell r="F73" t="str">
            <v>GA</v>
          </cell>
          <cell r="G73" t="str">
            <v xml:space="preserve">Công nhân </v>
          </cell>
          <cell r="H73" t="str">
            <v>T4/06</v>
          </cell>
          <cell r="I73" t="str">
            <v>7.VII</v>
          </cell>
          <cell r="J73">
            <v>5514</v>
          </cell>
          <cell r="K73">
            <v>12</v>
          </cell>
          <cell r="L73">
            <v>3</v>
          </cell>
          <cell r="M73">
            <v>1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16</v>
          </cell>
          <cell r="S73">
            <v>54</v>
          </cell>
          <cell r="T73">
            <v>12</v>
          </cell>
          <cell r="U73">
            <v>0</v>
          </cell>
          <cell r="V73">
            <v>3268</v>
          </cell>
          <cell r="W73">
            <v>2680</v>
          </cell>
          <cell r="X73">
            <v>5948</v>
          </cell>
          <cell r="Y73">
            <v>1424.2690370370369</v>
          </cell>
          <cell r="Z73">
            <v>48</v>
          </cell>
          <cell r="AA73">
            <v>192</v>
          </cell>
          <cell r="AB73">
            <v>-70</v>
          </cell>
          <cell r="AC73">
            <v>0</v>
          </cell>
          <cell r="AD73">
            <v>1594.2690370370369</v>
          </cell>
          <cell r="AE73">
            <v>7542</v>
          </cell>
          <cell r="AF73">
            <v>466.2</v>
          </cell>
          <cell r="AH73">
            <v>2</v>
          </cell>
          <cell r="AI73">
            <v>16200</v>
          </cell>
          <cell r="AJ73">
            <v>16666.2</v>
          </cell>
          <cell r="AK73">
            <v>-9124.2000000000007</v>
          </cell>
          <cell r="AL73">
            <v>0</v>
          </cell>
          <cell r="AM73">
            <v>2000</v>
          </cell>
          <cell r="AN73">
            <v>5075.8</v>
          </cell>
          <cell r="AO73">
            <v>5080</v>
          </cell>
          <cell r="AP73">
            <v>7080</v>
          </cell>
          <cell r="AQ73">
            <v>1</v>
          </cell>
          <cell r="AR73">
            <v>4</v>
          </cell>
        </row>
        <row r="74">
          <cell r="D74" t="str">
            <v>A093</v>
          </cell>
          <cell r="E74" t="str">
            <v>Trần văn Đông</v>
          </cell>
          <cell r="F74" t="str">
            <v>GA</v>
          </cell>
          <cell r="G74" t="str">
            <v>Công nhân</v>
          </cell>
          <cell r="H74" t="str">
            <v>T5/06</v>
          </cell>
          <cell r="I74" t="str">
            <v>7.VII</v>
          </cell>
          <cell r="J74">
            <v>5514</v>
          </cell>
          <cell r="K74">
            <v>14</v>
          </cell>
          <cell r="L74">
            <v>0</v>
          </cell>
          <cell r="M74">
            <v>1</v>
          </cell>
          <cell r="N74">
            <v>0</v>
          </cell>
          <cell r="O74">
            <v>0</v>
          </cell>
          <cell r="P74">
            <v>0</v>
          </cell>
          <cell r="Q74">
            <v>1</v>
          </cell>
          <cell r="R74">
            <v>16</v>
          </cell>
          <cell r="S74">
            <v>60</v>
          </cell>
          <cell r="T74">
            <v>24</v>
          </cell>
          <cell r="U74">
            <v>0</v>
          </cell>
          <cell r="V74">
            <v>3268</v>
          </cell>
          <cell r="W74">
            <v>3523</v>
          </cell>
          <cell r="X74">
            <v>6791</v>
          </cell>
          <cell r="Y74">
            <v>1097.5703703703707</v>
          </cell>
          <cell r="Z74">
            <v>64</v>
          </cell>
          <cell r="AA74">
            <v>224</v>
          </cell>
          <cell r="AB74">
            <v>-70</v>
          </cell>
          <cell r="AC74">
            <v>0</v>
          </cell>
          <cell r="AD74">
            <v>1315.5703703703707</v>
          </cell>
          <cell r="AE74">
            <v>8107</v>
          </cell>
          <cell r="AF74">
            <v>466.2</v>
          </cell>
          <cell r="AH74">
            <v>1</v>
          </cell>
          <cell r="AI74">
            <v>12600</v>
          </cell>
          <cell r="AJ74">
            <v>13066.2</v>
          </cell>
          <cell r="AK74">
            <v>-4959.2000000000007</v>
          </cell>
          <cell r="AL74">
            <v>0</v>
          </cell>
          <cell r="AM74">
            <v>3000</v>
          </cell>
          <cell r="AN74">
            <v>4640.8</v>
          </cell>
          <cell r="AO74">
            <v>4640</v>
          </cell>
          <cell r="AP74">
            <v>7640</v>
          </cell>
          <cell r="AQ74">
            <v>1</v>
          </cell>
          <cell r="AR74">
            <v>10.5</v>
          </cell>
        </row>
        <row r="75">
          <cell r="D75" t="str">
            <v>A432</v>
          </cell>
          <cell r="E75" t="str">
            <v>Đặng Văn Việt</v>
          </cell>
          <cell r="F75" t="str">
            <v>GA</v>
          </cell>
          <cell r="G75" t="str">
            <v>Công Nhân</v>
          </cell>
          <cell r="H75" t="str">
            <v>T11/13</v>
          </cell>
          <cell r="I75" t="str">
            <v>7.I</v>
          </cell>
          <cell r="J75">
            <v>4510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1</v>
          </cell>
          <cell r="S75">
            <v>0</v>
          </cell>
          <cell r="T75">
            <v>0</v>
          </cell>
          <cell r="U75">
            <v>0</v>
          </cell>
          <cell r="V75">
            <v>167</v>
          </cell>
          <cell r="W75">
            <v>0</v>
          </cell>
          <cell r="X75">
            <v>167</v>
          </cell>
          <cell r="Y75">
            <v>26.555555555555557</v>
          </cell>
          <cell r="Z75">
            <v>48</v>
          </cell>
          <cell r="AA75">
            <v>0</v>
          </cell>
          <cell r="AB75">
            <v>-70</v>
          </cell>
          <cell r="AC75">
            <v>0</v>
          </cell>
          <cell r="AD75">
            <v>4.5555555555555571</v>
          </cell>
          <cell r="AE75">
            <v>172</v>
          </cell>
          <cell r="AF75">
            <v>443.1</v>
          </cell>
          <cell r="AH75">
            <v>0</v>
          </cell>
          <cell r="AI75">
            <v>9000</v>
          </cell>
          <cell r="AJ75">
            <v>9443.1</v>
          </cell>
          <cell r="AK75">
            <v>-9271.1</v>
          </cell>
          <cell r="AL75">
            <v>0</v>
          </cell>
          <cell r="AM75">
            <v>0</v>
          </cell>
          <cell r="AN75">
            <v>-271.10000000000002</v>
          </cell>
          <cell r="AO75">
            <v>-270</v>
          </cell>
          <cell r="AP75">
            <v>-270</v>
          </cell>
          <cell r="AQ75">
            <v>1</v>
          </cell>
          <cell r="AR75">
            <v>1</v>
          </cell>
        </row>
        <row r="76">
          <cell r="D76" t="str">
            <v>A574</v>
          </cell>
          <cell r="E76" t="str">
            <v>Hoàng Văn Linh</v>
          </cell>
          <cell r="F76" t="str">
            <v>Kho</v>
          </cell>
          <cell r="G76" t="str">
            <v>Công nhân</v>
          </cell>
          <cell r="H76" t="str">
            <v>T10/14</v>
          </cell>
          <cell r="I76" t="str">
            <v>7.I</v>
          </cell>
          <cell r="J76">
            <v>4290</v>
          </cell>
          <cell r="K76">
            <v>0</v>
          </cell>
          <cell r="L76">
            <v>25.5</v>
          </cell>
          <cell r="M76">
            <v>1</v>
          </cell>
          <cell r="N76">
            <v>0</v>
          </cell>
          <cell r="O76">
            <v>0</v>
          </cell>
          <cell r="P76">
            <v>0</v>
          </cell>
          <cell r="Q76">
            <v>0.5</v>
          </cell>
          <cell r="R76">
            <v>27</v>
          </cell>
          <cell r="S76">
            <v>88.5</v>
          </cell>
          <cell r="T76">
            <v>0</v>
          </cell>
          <cell r="U76">
            <v>0</v>
          </cell>
          <cell r="V76">
            <v>4290</v>
          </cell>
          <cell r="W76">
            <v>2637</v>
          </cell>
          <cell r="X76">
            <v>6927</v>
          </cell>
          <cell r="Y76">
            <v>2452.5280000000016</v>
          </cell>
          <cell r="Z76">
            <v>16</v>
          </cell>
          <cell r="AA76">
            <v>0</v>
          </cell>
          <cell r="AB76">
            <v>-70</v>
          </cell>
          <cell r="AC76">
            <v>0</v>
          </cell>
          <cell r="AD76">
            <v>2398.5280000000016</v>
          </cell>
          <cell r="AE76">
            <v>9326</v>
          </cell>
          <cell r="AF76">
            <v>443.1</v>
          </cell>
          <cell r="AH76">
            <v>0</v>
          </cell>
          <cell r="AI76">
            <v>9000</v>
          </cell>
          <cell r="AJ76">
            <v>9443.1</v>
          </cell>
          <cell r="AK76">
            <v>-117.10000000000036</v>
          </cell>
          <cell r="AL76">
            <v>0</v>
          </cell>
          <cell r="AM76">
            <v>1000</v>
          </cell>
          <cell r="AN76">
            <v>7882.9</v>
          </cell>
          <cell r="AO76">
            <v>7880</v>
          </cell>
          <cell r="AP76">
            <v>8880</v>
          </cell>
          <cell r="AQ76">
            <v>1</v>
          </cell>
          <cell r="AR76">
            <v>6.5</v>
          </cell>
        </row>
        <row r="77">
          <cell r="D77" t="str">
            <v>A525</v>
          </cell>
          <cell r="E77" t="str">
            <v>Dương Văn Vũ Hoài Phong</v>
          </cell>
          <cell r="F77" t="str">
            <v>KHUON</v>
          </cell>
          <cell r="G77" t="str">
            <v>Công Nhân</v>
          </cell>
          <cell r="H77" t="str">
            <v>T6/14</v>
          </cell>
          <cell r="I77" t="str">
            <v>7.I</v>
          </cell>
          <cell r="J77">
            <v>4436</v>
          </cell>
          <cell r="K77">
            <v>12</v>
          </cell>
          <cell r="L77">
            <v>3</v>
          </cell>
          <cell r="M77">
            <v>1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16</v>
          </cell>
          <cell r="S77">
            <v>69</v>
          </cell>
          <cell r="T77">
            <v>16</v>
          </cell>
          <cell r="U77">
            <v>0</v>
          </cell>
          <cell r="V77">
            <v>2629</v>
          </cell>
          <cell r="W77">
            <v>2894</v>
          </cell>
          <cell r="X77">
            <v>5523</v>
          </cell>
          <cell r="Y77">
            <v>630.51851851851848</v>
          </cell>
          <cell r="Z77">
            <v>0</v>
          </cell>
          <cell r="AA77">
            <v>192</v>
          </cell>
          <cell r="AB77">
            <v>-70</v>
          </cell>
          <cell r="AC77">
            <v>0</v>
          </cell>
          <cell r="AD77">
            <v>752.51851851851848</v>
          </cell>
          <cell r="AE77">
            <v>6276</v>
          </cell>
          <cell r="AF77">
            <v>465.78</v>
          </cell>
          <cell r="AH77">
            <v>0</v>
          </cell>
          <cell r="AI77">
            <v>9000</v>
          </cell>
          <cell r="AJ77">
            <v>9465.7800000000007</v>
          </cell>
          <cell r="AK77">
            <v>-3189.7800000000007</v>
          </cell>
          <cell r="AL77">
            <v>0</v>
          </cell>
          <cell r="AM77">
            <v>0</v>
          </cell>
          <cell r="AN77">
            <v>5810.22</v>
          </cell>
          <cell r="AO77">
            <v>5810</v>
          </cell>
          <cell r="AP77">
            <v>5810</v>
          </cell>
          <cell r="AQ77">
            <v>1</v>
          </cell>
          <cell r="AR77">
            <v>2</v>
          </cell>
        </row>
        <row r="78">
          <cell r="D78" t="str">
            <v>A711</v>
          </cell>
          <cell r="E78" t="str">
            <v>Nguyễn Phước Trực</v>
          </cell>
          <cell r="F78" t="str">
            <v>KHUON</v>
          </cell>
          <cell r="G78" t="str">
            <v>QUANLY</v>
          </cell>
          <cell r="H78" t="str">
            <v>T1/16</v>
          </cell>
          <cell r="I78" t="str">
            <v>7.I</v>
          </cell>
          <cell r="J78">
            <v>4436</v>
          </cell>
          <cell r="K78">
            <v>5.5</v>
          </cell>
          <cell r="L78">
            <v>0</v>
          </cell>
          <cell r="M78">
            <v>1</v>
          </cell>
          <cell r="N78">
            <v>0</v>
          </cell>
          <cell r="O78">
            <v>0</v>
          </cell>
          <cell r="P78">
            <v>8</v>
          </cell>
          <cell r="Q78">
            <v>1.5</v>
          </cell>
          <cell r="R78">
            <v>16</v>
          </cell>
          <cell r="S78">
            <v>52</v>
          </cell>
          <cell r="T78">
            <v>0</v>
          </cell>
          <cell r="U78">
            <v>0</v>
          </cell>
          <cell r="V78">
            <v>3023</v>
          </cell>
          <cell r="W78">
            <v>1602</v>
          </cell>
          <cell r="X78">
            <v>4625</v>
          </cell>
          <cell r="Y78">
            <v>1223.1111111111111</v>
          </cell>
          <cell r="Z78">
            <v>0</v>
          </cell>
          <cell r="AA78">
            <v>344</v>
          </cell>
          <cell r="AB78">
            <v>-150</v>
          </cell>
          <cell r="AC78">
            <v>0</v>
          </cell>
          <cell r="AD78">
            <v>1417.1111111111111</v>
          </cell>
          <cell r="AE78">
            <v>6042</v>
          </cell>
          <cell r="AF78">
            <v>465.78</v>
          </cell>
          <cell r="AH78">
            <v>0</v>
          </cell>
          <cell r="AI78">
            <v>9000</v>
          </cell>
          <cell r="AJ78">
            <v>9465.7800000000007</v>
          </cell>
          <cell r="AK78">
            <v>-3423.7800000000007</v>
          </cell>
          <cell r="AL78">
            <v>0</v>
          </cell>
          <cell r="AM78">
            <v>0</v>
          </cell>
          <cell r="AN78">
            <v>5576.22</v>
          </cell>
          <cell r="AO78">
            <v>5580</v>
          </cell>
          <cell r="AP78">
            <v>5580</v>
          </cell>
          <cell r="AQ78">
            <v>1</v>
          </cell>
          <cell r="AR78">
            <v>1.5</v>
          </cell>
        </row>
        <row r="79">
          <cell r="D79" t="str">
            <v>A785</v>
          </cell>
          <cell r="E79" t="str">
            <v>Hoàng Minh Ngọc</v>
          </cell>
          <cell r="F79" t="str">
            <v>KHUON</v>
          </cell>
          <cell r="G79" t="str">
            <v>Kỹ thuật</v>
          </cell>
          <cell r="H79" t="str">
            <v>T8/16</v>
          </cell>
          <cell r="I79" t="str">
            <v>5.II</v>
          </cell>
          <cell r="J79">
            <v>4436</v>
          </cell>
          <cell r="K79">
            <v>4</v>
          </cell>
          <cell r="L79">
            <v>0</v>
          </cell>
          <cell r="M79">
            <v>1</v>
          </cell>
          <cell r="N79">
            <v>0</v>
          </cell>
          <cell r="O79">
            <v>0</v>
          </cell>
          <cell r="P79">
            <v>11</v>
          </cell>
          <cell r="Q79">
            <v>0</v>
          </cell>
          <cell r="R79">
            <v>16</v>
          </cell>
          <cell r="S79">
            <v>60</v>
          </cell>
          <cell r="T79">
            <v>10</v>
          </cell>
          <cell r="U79">
            <v>0</v>
          </cell>
          <cell r="V79">
            <v>3171</v>
          </cell>
          <cell r="W79">
            <v>2461</v>
          </cell>
          <cell r="X79">
            <v>5632</v>
          </cell>
          <cell r="Y79">
            <v>1904.5925925925926</v>
          </cell>
          <cell r="Z79">
            <v>16</v>
          </cell>
          <cell r="AA79">
            <v>416</v>
          </cell>
          <cell r="AB79">
            <v>-150</v>
          </cell>
          <cell r="AC79">
            <v>0</v>
          </cell>
          <cell r="AD79">
            <v>2186.5925925925926</v>
          </cell>
          <cell r="AE79">
            <v>7819</v>
          </cell>
          <cell r="AF79">
            <v>465.78</v>
          </cell>
          <cell r="AH79">
            <v>0</v>
          </cell>
          <cell r="AI79">
            <v>9000</v>
          </cell>
          <cell r="AJ79">
            <v>9465.7800000000007</v>
          </cell>
          <cell r="AK79">
            <v>-1646.7800000000007</v>
          </cell>
          <cell r="AL79">
            <v>0</v>
          </cell>
          <cell r="AM79">
            <v>2000</v>
          </cell>
          <cell r="AN79">
            <v>5353.22</v>
          </cell>
          <cell r="AO79">
            <v>5360</v>
          </cell>
          <cell r="AP79">
            <v>7360</v>
          </cell>
          <cell r="AQ79">
            <v>1</v>
          </cell>
          <cell r="AR79">
            <v>7.5</v>
          </cell>
        </row>
        <row r="80">
          <cell r="D80" t="str">
            <v>A982</v>
          </cell>
          <cell r="E80" t="str">
            <v>Nguyễn Hoàng Tuấn</v>
          </cell>
          <cell r="F80" t="str">
            <v>KHUON</v>
          </cell>
          <cell r="G80" t="str">
            <v>Khuôn</v>
          </cell>
          <cell r="H80" t="str">
            <v>T8/17</v>
          </cell>
          <cell r="I80" t="str">
            <v>5.I</v>
          </cell>
          <cell r="J80">
            <v>4436</v>
          </cell>
          <cell r="K80">
            <v>4</v>
          </cell>
          <cell r="L80">
            <v>1</v>
          </cell>
          <cell r="M80">
            <v>1</v>
          </cell>
          <cell r="N80">
            <v>0</v>
          </cell>
          <cell r="O80">
            <v>0</v>
          </cell>
          <cell r="P80">
            <v>9</v>
          </cell>
          <cell r="Q80">
            <v>1</v>
          </cell>
          <cell r="R80">
            <v>16</v>
          </cell>
          <cell r="S80">
            <v>54</v>
          </cell>
          <cell r="T80">
            <v>0</v>
          </cell>
          <cell r="U80">
            <v>0</v>
          </cell>
          <cell r="V80">
            <v>3072</v>
          </cell>
          <cell r="W80">
            <v>1664</v>
          </cell>
          <cell r="X80">
            <v>4736</v>
          </cell>
          <cell r="Y80">
            <v>630.51851851851848</v>
          </cell>
          <cell r="Z80">
            <v>0</v>
          </cell>
          <cell r="AA80">
            <v>352</v>
          </cell>
          <cell r="AB80">
            <v>-150</v>
          </cell>
          <cell r="AC80">
            <v>-465.78</v>
          </cell>
          <cell r="AD80">
            <v>366.7385185185185</v>
          </cell>
          <cell r="AE80">
            <v>5103</v>
          </cell>
          <cell r="AF80">
            <v>465.78</v>
          </cell>
          <cell r="AH80">
            <v>0</v>
          </cell>
          <cell r="AI80">
            <v>9000</v>
          </cell>
          <cell r="AJ80">
            <v>9465.7800000000007</v>
          </cell>
          <cell r="AK80">
            <v>-4362.7800000000007</v>
          </cell>
          <cell r="AL80">
            <v>0</v>
          </cell>
          <cell r="AM80">
            <v>2000</v>
          </cell>
          <cell r="AN80">
            <v>2637.2200000000003</v>
          </cell>
          <cell r="AO80">
            <v>2640</v>
          </cell>
          <cell r="AP80">
            <v>4640</v>
          </cell>
          <cell r="AQ80">
            <v>1</v>
          </cell>
          <cell r="AR80">
            <v>2</v>
          </cell>
        </row>
        <row r="81">
          <cell r="D81" t="str">
            <v>A080</v>
          </cell>
          <cell r="E81" t="str">
            <v>Trần Minh Thuận</v>
          </cell>
          <cell r="F81" t="str">
            <v>PHOI</v>
          </cell>
          <cell r="G81" t="str">
            <v>Công nhân</v>
          </cell>
          <cell r="H81" t="str">
            <v>T4/10</v>
          </cell>
          <cell r="I81" t="str">
            <v>7.IV</v>
          </cell>
          <cell r="J81">
            <v>4980</v>
          </cell>
          <cell r="K81">
            <v>14</v>
          </cell>
          <cell r="L81">
            <v>0</v>
          </cell>
          <cell r="M81">
            <v>1</v>
          </cell>
          <cell r="N81">
            <v>0</v>
          </cell>
          <cell r="O81">
            <v>0</v>
          </cell>
          <cell r="P81">
            <v>0</v>
          </cell>
          <cell r="Q81">
            <v>1</v>
          </cell>
          <cell r="R81">
            <v>16</v>
          </cell>
          <cell r="S81">
            <v>62</v>
          </cell>
          <cell r="T81">
            <v>0</v>
          </cell>
          <cell r="U81">
            <v>0</v>
          </cell>
          <cell r="V81">
            <v>2951</v>
          </cell>
          <cell r="W81">
            <v>2144</v>
          </cell>
          <cell r="X81">
            <v>5095</v>
          </cell>
          <cell r="Y81">
            <v>103.41629629629649</v>
          </cell>
          <cell r="Z81">
            <v>64</v>
          </cell>
          <cell r="AA81">
            <v>224</v>
          </cell>
          <cell r="AB81">
            <v>-70</v>
          </cell>
          <cell r="AC81">
            <v>0</v>
          </cell>
          <cell r="AD81">
            <v>321.41629629629648</v>
          </cell>
          <cell r="AE81">
            <v>5416</v>
          </cell>
          <cell r="AF81">
            <v>473.55</v>
          </cell>
          <cell r="AH81">
            <v>0</v>
          </cell>
          <cell r="AI81">
            <v>9000</v>
          </cell>
          <cell r="AJ81">
            <v>9473.5499999999993</v>
          </cell>
          <cell r="AK81">
            <v>-4057.5499999999993</v>
          </cell>
          <cell r="AL81">
            <v>0</v>
          </cell>
          <cell r="AM81">
            <v>0</v>
          </cell>
          <cell r="AN81">
            <v>4942.45</v>
          </cell>
          <cell r="AO81">
            <v>4940</v>
          </cell>
          <cell r="AP81">
            <v>4940</v>
          </cell>
          <cell r="AQ81">
            <v>1</v>
          </cell>
          <cell r="AR81">
            <v>5</v>
          </cell>
        </row>
        <row r="82">
          <cell r="D82" t="str">
            <v>A084</v>
          </cell>
          <cell r="E82" t="str">
            <v>Trần Kim Thoa</v>
          </cell>
          <cell r="F82" t="str">
            <v>PHOI</v>
          </cell>
          <cell r="G82" t="str">
            <v xml:space="preserve">Công nhân </v>
          </cell>
          <cell r="H82" t="str">
            <v>T10/10</v>
          </cell>
          <cell r="I82" t="str">
            <v>7.I</v>
          </cell>
          <cell r="J82">
            <v>4740</v>
          </cell>
          <cell r="K82">
            <v>15</v>
          </cell>
          <cell r="L82">
            <v>0</v>
          </cell>
          <cell r="M82">
            <v>1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16</v>
          </cell>
          <cell r="S82">
            <v>69</v>
          </cell>
          <cell r="T82">
            <v>0</v>
          </cell>
          <cell r="U82">
            <v>0</v>
          </cell>
          <cell r="V82">
            <v>2809</v>
          </cell>
          <cell r="W82">
            <v>2271</v>
          </cell>
          <cell r="X82">
            <v>5080</v>
          </cell>
          <cell r="Y82">
            <v>63.883851851852441</v>
          </cell>
          <cell r="Z82">
            <v>64</v>
          </cell>
          <cell r="AA82">
            <v>240</v>
          </cell>
          <cell r="AB82">
            <v>-70</v>
          </cell>
          <cell r="AC82">
            <v>0</v>
          </cell>
          <cell r="AD82">
            <v>297.88385185185246</v>
          </cell>
          <cell r="AE82">
            <v>5378</v>
          </cell>
          <cell r="AF82">
            <v>466.2</v>
          </cell>
          <cell r="AH82">
            <v>0</v>
          </cell>
          <cell r="AI82">
            <v>9000</v>
          </cell>
          <cell r="AJ82">
            <v>9466.2000000000007</v>
          </cell>
          <cell r="AK82">
            <v>-4088.2000000000007</v>
          </cell>
          <cell r="AL82">
            <v>0</v>
          </cell>
          <cell r="AM82">
            <v>2000</v>
          </cell>
          <cell r="AN82">
            <v>2911.8</v>
          </cell>
          <cell r="AO82">
            <v>2910</v>
          </cell>
          <cell r="AP82">
            <v>4910</v>
          </cell>
          <cell r="AQ82">
            <v>1</v>
          </cell>
          <cell r="AR82">
            <v>9.5</v>
          </cell>
        </row>
        <row r="83">
          <cell r="D83" t="str">
            <v>A514</v>
          </cell>
          <cell r="E83" t="str">
            <v>Đỗ Thị Kim Pho</v>
          </cell>
          <cell r="F83" t="str">
            <v>PHOI</v>
          </cell>
          <cell r="G83" t="str">
            <v>Công Nhân</v>
          </cell>
          <cell r="H83" t="str">
            <v>T5/14</v>
          </cell>
          <cell r="I83" t="str">
            <v>7.I</v>
          </cell>
          <cell r="J83">
            <v>4290</v>
          </cell>
          <cell r="K83">
            <v>15</v>
          </cell>
          <cell r="L83">
            <v>0</v>
          </cell>
          <cell r="M83">
            <v>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16</v>
          </cell>
          <cell r="S83">
            <v>66</v>
          </cell>
          <cell r="T83">
            <v>0</v>
          </cell>
          <cell r="U83">
            <v>0</v>
          </cell>
          <cell r="V83">
            <v>2542</v>
          </cell>
          <cell r="W83">
            <v>1966</v>
          </cell>
          <cell r="X83">
            <v>4508</v>
          </cell>
          <cell r="Y83">
            <v>0</v>
          </cell>
          <cell r="Z83">
            <v>0</v>
          </cell>
          <cell r="AA83">
            <v>240</v>
          </cell>
          <cell r="AB83">
            <v>-70</v>
          </cell>
          <cell r="AC83">
            <v>0</v>
          </cell>
          <cell r="AD83">
            <v>170</v>
          </cell>
          <cell r="AE83">
            <v>4678</v>
          </cell>
          <cell r="AF83">
            <v>443.1</v>
          </cell>
          <cell r="AH83">
            <v>0</v>
          </cell>
          <cell r="AI83">
            <v>9000</v>
          </cell>
          <cell r="AJ83">
            <v>9443.1</v>
          </cell>
          <cell r="AK83">
            <v>-4765.1000000000004</v>
          </cell>
          <cell r="AL83">
            <v>0</v>
          </cell>
          <cell r="AM83">
            <v>2000</v>
          </cell>
          <cell r="AN83">
            <v>2234.8999999999996</v>
          </cell>
          <cell r="AO83">
            <v>2240</v>
          </cell>
          <cell r="AP83">
            <v>4240</v>
          </cell>
          <cell r="AQ83">
            <v>1</v>
          </cell>
          <cell r="AR83">
            <v>5.5</v>
          </cell>
        </row>
        <row r="84">
          <cell r="D84" t="str">
            <v>A021</v>
          </cell>
          <cell r="E84" t="str">
            <v>Cao Thị Kim Thu</v>
          </cell>
          <cell r="F84" t="str">
            <v>QCE</v>
          </cell>
          <cell r="G84" t="str">
            <v xml:space="preserve">Công nhân </v>
          </cell>
          <cell r="H84" t="str">
            <v>T6/08</v>
          </cell>
          <cell r="I84" t="str">
            <v>8.IV</v>
          </cell>
          <cell r="J84">
            <v>4670</v>
          </cell>
          <cell r="K84">
            <v>15</v>
          </cell>
          <cell r="L84">
            <v>0</v>
          </cell>
          <cell r="M84">
            <v>1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16</v>
          </cell>
          <cell r="S84">
            <v>62.5</v>
          </cell>
          <cell r="T84">
            <v>20</v>
          </cell>
          <cell r="U84">
            <v>0</v>
          </cell>
          <cell r="V84">
            <v>2767</v>
          </cell>
          <cell r="W84">
            <v>2892</v>
          </cell>
          <cell r="X84">
            <v>5659</v>
          </cell>
          <cell r="Y84">
            <v>1094.5090370370367</v>
          </cell>
          <cell r="Z84">
            <v>16</v>
          </cell>
          <cell r="AA84">
            <v>240</v>
          </cell>
          <cell r="AB84">
            <v>-70</v>
          </cell>
          <cell r="AC84">
            <v>0</v>
          </cell>
          <cell r="AD84">
            <v>1280.5090370370367</v>
          </cell>
          <cell r="AE84">
            <v>6940</v>
          </cell>
          <cell r="AF84">
            <v>473.55</v>
          </cell>
          <cell r="AH84">
            <v>2</v>
          </cell>
          <cell r="AI84">
            <v>16200</v>
          </cell>
          <cell r="AJ84">
            <v>16673.55</v>
          </cell>
          <cell r="AK84">
            <v>-9733.5499999999993</v>
          </cell>
          <cell r="AL84">
            <v>0</v>
          </cell>
          <cell r="AM84">
            <v>2000</v>
          </cell>
          <cell r="AN84">
            <v>4466.45</v>
          </cell>
          <cell r="AO84">
            <v>4470</v>
          </cell>
          <cell r="AP84">
            <v>6470</v>
          </cell>
          <cell r="AQ84">
            <v>1</v>
          </cell>
          <cell r="AR84">
            <v>10</v>
          </cell>
        </row>
        <row r="85">
          <cell r="D85" t="str">
            <v>A231</v>
          </cell>
          <cell r="E85" t="str">
            <v>Trần Thị Phường</v>
          </cell>
          <cell r="F85" t="str">
            <v>QCE</v>
          </cell>
          <cell r="G85" t="str">
            <v>Công Nhân</v>
          </cell>
          <cell r="H85" t="str">
            <v>T3/11</v>
          </cell>
          <cell r="I85" t="str">
            <v>8.I</v>
          </cell>
          <cell r="J85">
            <v>4670</v>
          </cell>
          <cell r="K85">
            <v>9</v>
          </cell>
          <cell r="L85">
            <v>5</v>
          </cell>
          <cell r="M85">
            <v>1</v>
          </cell>
          <cell r="N85">
            <v>0</v>
          </cell>
          <cell r="O85">
            <v>0</v>
          </cell>
          <cell r="P85">
            <v>0</v>
          </cell>
          <cell r="Q85">
            <v>1</v>
          </cell>
          <cell r="R85">
            <v>16</v>
          </cell>
          <cell r="S85">
            <v>33</v>
          </cell>
          <cell r="T85">
            <v>10</v>
          </cell>
          <cell r="U85">
            <v>0</v>
          </cell>
          <cell r="V85">
            <v>2767</v>
          </cell>
          <cell r="W85">
            <v>1503</v>
          </cell>
          <cell r="X85">
            <v>4270</v>
          </cell>
          <cell r="Y85">
            <v>165.54074074074094</v>
          </cell>
          <cell r="Z85">
            <v>64</v>
          </cell>
          <cell r="AA85">
            <v>144</v>
          </cell>
          <cell r="AB85">
            <v>-70</v>
          </cell>
          <cell r="AC85">
            <v>0</v>
          </cell>
          <cell r="AD85">
            <v>303.54074074074094</v>
          </cell>
          <cell r="AE85">
            <v>4574</v>
          </cell>
          <cell r="AF85">
            <v>466.2</v>
          </cell>
          <cell r="AH85">
            <v>0</v>
          </cell>
          <cell r="AI85">
            <v>9000</v>
          </cell>
          <cell r="AJ85">
            <v>9466.2000000000007</v>
          </cell>
          <cell r="AK85">
            <v>-4892.2000000000007</v>
          </cell>
          <cell r="AL85">
            <v>0</v>
          </cell>
          <cell r="AM85">
            <v>0</v>
          </cell>
          <cell r="AN85">
            <v>4107.8</v>
          </cell>
          <cell r="AO85">
            <v>4110</v>
          </cell>
          <cell r="AP85">
            <v>4110</v>
          </cell>
          <cell r="AQ85">
            <v>1</v>
          </cell>
          <cell r="AR85">
            <v>1</v>
          </cell>
        </row>
        <row r="86">
          <cell r="D86" t="str">
            <v>A518</v>
          </cell>
          <cell r="E86" t="str">
            <v>Trần Thị Thắm</v>
          </cell>
          <cell r="F86" t="str">
            <v>EN</v>
          </cell>
          <cell r="G86" t="str">
            <v>Công Nhân</v>
          </cell>
          <cell r="H86" t="str">
            <v>T5/14</v>
          </cell>
          <cell r="I86" t="str">
            <v>8.I</v>
          </cell>
          <cell r="J86">
            <v>4220</v>
          </cell>
          <cell r="K86">
            <v>6</v>
          </cell>
          <cell r="L86">
            <v>4</v>
          </cell>
          <cell r="M86">
            <v>1</v>
          </cell>
          <cell r="N86">
            <v>0</v>
          </cell>
          <cell r="O86">
            <v>0</v>
          </cell>
          <cell r="P86">
            <v>5</v>
          </cell>
          <cell r="Q86">
            <v>0</v>
          </cell>
          <cell r="R86">
            <v>16</v>
          </cell>
          <cell r="S86">
            <v>49</v>
          </cell>
          <cell r="T86">
            <v>8</v>
          </cell>
          <cell r="U86">
            <v>0</v>
          </cell>
          <cell r="V86">
            <v>2735</v>
          </cell>
          <cell r="W86">
            <v>1749</v>
          </cell>
          <cell r="X86">
            <v>4484</v>
          </cell>
          <cell r="Y86">
            <v>0</v>
          </cell>
          <cell r="Z86">
            <v>0</v>
          </cell>
          <cell r="AA86">
            <v>256</v>
          </cell>
          <cell r="AB86">
            <v>-210</v>
          </cell>
          <cell r="AC86">
            <v>0</v>
          </cell>
          <cell r="AD86">
            <v>46</v>
          </cell>
          <cell r="AE86">
            <v>4530</v>
          </cell>
          <cell r="AF86">
            <v>443.1</v>
          </cell>
          <cell r="AH86">
            <v>0</v>
          </cell>
          <cell r="AI86">
            <v>9000</v>
          </cell>
          <cell r="AJ86">
            <v>9443.1</v>
          </cell>
          <cell r="AK86">
            <v>-4913.1000000000004</v>
          </cell>
          <cell r="AL86">
            <v>0</v>
          </cell>
          <cell r="AM86">
            <v>2000</v>
          </cell>
          <cell r="AN86">
            <v>2086.9</v>
          </cell>
          <cell r="AO86">
            <v>2090</v>
          </cell>
          <cell r="AP86">
            <v>4090</v>
          </cell>
          <cell r="AQ86">
            <v>1</v>
          </cell>
          <cell r="AR86">
            <v>4.5</v>
          </cell>
        </row>
        <row r="87">
          <cell r="D87" t="str">
            <v>A061</v>
          </cell>
          <cell r="E87" t="str">
            <v>Đỗ Thị Thanh Thảo</v>
          </cell>
          <cell r="F87" t="str">
            <v>QCX</v>
          </cell>
          <cell r="G87" t="str">
            <v xml:space="preserve">Công nhân </v>
          </cell>
          <cell r="H87" t="str">
            <v>T6/09</v>
          </cell>
          <cell r="I87" t="str">
            <v>8.II</v>
          </cell>
          <cell r="J87">
            <v>4670</v>
          </cell>
          <cell r="K87">
            <v>1</v>
          </cell>
          <cell r="L87">
            <v>12</v>
          </cell>
          <cell r="M87">
            <v>1</v>
          </cell>
          <cell r="N87">
            <v>0</v>
          </cell>
          <cell r="O87">
            <v>0</v>
          </cell>
          <cell r="P87">
            <v>0</v>
          </cell>
          <cell r="Q87">
            <v>3</v>
          </cell>
          <cell r="R87">
            <v>17</v>
          </cell>
          <cell r="S87">
            <v>32</v>
          </cell>
          <cell r="T87">
            <v>0</v>
          </cell>
          <cell r="U87">
            <v>0</v>
          </cell>
          <cell r="V87">
            <v>2940</v>
          </cell>
          <cell r="W87">
            <v>1038</v>
          </cell>
          <cell r="X87">
            <v>3978</v>
          </cell>
          <cell r="Y87">
            <v>649.7462962962968</v>
          </cell>
          <cell r="Z87">
            <v>0</v>
          </cell>
          <cell r="AA87">
            <v>16</v>
          </cell>
          <cell r="AB87">
            <v>-70</v>
          </cell>
          <cell r="AC87">
            <v>0</v>
          </cell>
          <cell r="AD87">
            <v>595.7462962962968</v>
          </cell>
          <cell r="AE87">
            <v>4574</v>
          </cell>
          <cell r="AF87">
            <v>466.2</v>
          </cell>
          <cell r="AH87">
            <v>0</v>
          </cell>
          <cell r="AI87">
            <v>9000</v>
          </cell>
          <cell r="AJ87">
            <v>9466.2000000000007</v>
          </cell>
          <cell r="AK87">
            <v>-4892.2000000000007</v>
          </cell>
          <cell r="AL87">
            <v>0</v>
          </cell>
          <cell r="AM87">
            <v>0</v>
          </cell>
          <cell r="AN87">
            <v>4107.8</v>
          </cell>
          <cell r="AO87">
            <v>4110</v>
          </cell>
          <cell r="AP87">
            <v>4110</v>
          </cell>
          <cell r="AQ87">
            <v>1</v>
          </cell>
          <cell r="AR87">
            <v>3.5</v>
          </cell>
        </row>
        <row r="88">
          <cell r="D88" t="str">
            <v>A120</v>
          </cell>
          <cell r="E88" t="str">
            <v>Bùi Thị Kim Liên</v>
          </cell>
          <cell r="F88" t="str">
            <v>QCX</v>
          </cell>
          <cell r="G88" t="str">
            <v>Công Nhân</v>
          </cell>
          <cell r="H88" t="str">
            <v>T8/10</v>
          </cell>
          <cell r="I88" t="str">
            <v>8.I</v>
          </cell>
          <cell r="J88">
            <v>4670</v>
          </cell>
          <cell r="K88">
            <v>2</v>
          </cell>
          <cell r="L88">
            <v>12.5</v>
          </cell>
          <cell r="M88">
            <v>1</v>
          </cell>
          <cell r="N88">
            <v>0</v>
          </cell>
          <cell r="O88">
            <v>0</v>
          </cell>
          <cell r="P88">
            <v>0</v>
          </cell>
          <cell r="Q88">
            <v>0.5</v>
          </cell>
          <cell r="R88">
            <v>16</v>
          </cell>
          <cell r="S88">
            <v>38</v>
          </cell>
          <cell r="T88">
            <v>0</v>
          </cell>
          <cell r="U88">
            <v>0</v>
          </cell>
          <cell r="V88">
            <v>2767</v>
          </cell>
          <cell r="W88">
            <v>1232</v>
          </cell>
          <cell r="X88">
            <v>3999</v>
          </cell>
          <cell r="Y88">
            <v>825.33333333333337</v>
          </cell>
          <cell r="Z88">
            <v>0</v>
          </cell>
          <cell r="AA88">
            <v>32</v>
          </cell>
          <cell r="AB88">
            <v>-70</v>
          </cell>
          <cell r="AC88">
            <v>0</v>
          </cell>
          <cell r="AD88">
            <v>787.33333333333337</v>
          </cell>
          <cell r="AE88">
            <v>4786</v>
          </cell>
          <cell r="AF88">
            <v>466.2</v>
          </cell>
          <cell r="AH88">
            <v>0</v>
          </cell>
          <cell r="AI88">
            <v>9000</v>
          </cell>
          <cell r="AJ88">
            <v>9466.2000000000007</v>
          </cell>
          <cell r="AK88">
            <v>-4680.2000000000007</v>
          </cell>
          <cell r="AL88">
            <v>0</v>
          </cell>
          <cell r="AM88">
            <v>2000</v>
          </cell>
          <cell r="AN88">
            <v>2319.8000000000002</v>
          </cell>
          <cell r="AO88">
            <v>2320</v>
          </cell>
          <cell r="AP88">
            <v>4320</v>
          </cell>
          <cell r="AQ88">
            <v>1</v>
          </cell>
          <cell r="AR88">
            <v>2</v>
          </cell>
        </row>
        <row r="89">
          <cell r="D89" t="str">
            <v>A144</v>
          </cell>
          <cell r="E89" t="str">
            <v>Bùi Thị Bòn</v>
          </cell>
          <cell r="F89" t="str">
            <v>QCX</v>
          </cell>
          <cell r="G89" t="str">
            <v>Công nhân</v>
          </cell>
          <cell r="H89" t="str">
            <v>T9/10</v>
          </cell>
          <cell r="I89" t="str">
            <v>8.I</v>
          </cell>
          <cell r="J89">
            <v>4670</v>
          </cell>
          <cell r="K89">
            <v>4</v>
          </cell>
          <cell r="L89">
            <v>2</v>
          </cell>
          <cell r="M89">
            <v>1</v>
          </cell>
          <cell r="N89">
            <v>0</v>
          </cell>
          <cell r="O89">
            <v>0</v>
          </cell>
          <cell r="P89">
            <v>7.5</v>
          </cell>
          <cell r="Q89">
            <v>1.5</v>
          </cell>
          <cell r="R89">
            <v>16</v>
          </cell>
          <cell r="S89">
            <v>42</v>
          </cell>
          <cell r="T89">
            <v>0</v>
          </cell>
          <cell r="U89">
            <v>0</v>
          </cell>
          <cell r="V89">
            <v>3157</v>
          </cell>
          <cell r="W89">
            <v>1362</v>
          </cell>
          <cell r="X89">
            <v>4519</v>
          </cell>
          <cell r="Y89">
            <v>238.93333333333322</v>
          </cell>
          <cell r="Z89">
            <v>48</v>
          </cell>
          <cell r="AA89">
            <v>304</v>
          </cell>
          <cell r="AB89">
            <v>-70</v>
          </cell>
          <cell r="AC89">
            <v>0</v>
          </cell>
          <cell r="AD89">
            <v>520.93333333333317</v>
          </cell>
          <cell r="AE89">
            <v>5040</v>
          </cell>
          <cell r="AF89">
            <v>466.2</v>
          </cell>
          <cell r="AH89">
            <v>0</v>
          </cell>
          <cell r="AI89">
            <v>9000</v>
          </cell>
          <cell r="AJ89">
            <v>9466.2000000000007</v>
          </cell>
          <cell r="AK89">
            <v>-4426.2000000000007</v>
          </cell>
          <cell r="AL89">
            <v>0</v>
          </cell>
          <cell r="AM89">
            <v>2000</v>
          </cell>
          <cell r="AN89">
            <v>2573.8000000000002</v>
          </cell>
          <cell r="AO89">
            <v>2580</v>
          </cell>
          <cell r="AP89">
            <v>4580</v>
          </cell>
          <cell r="AQ89">
            <v>1</v>
          </cell>
          <cell r="AR89">
            <v>0</v>
          </cell>
        </row>
        <row r="90">
          <cell r="D90" t="str">
            <v>A211</v>
          </cell>
          <cell r="E90" t="str">
            <v>Nguyễn Thị Thanh Tuyền</v>
          </cell>
          <cell r="F90" t="str">
            <v>QCX</v>
          </cell>
          <cell r="G90" t="str">
            <v xml:space="preserve">Công nhân </v>
          </cell>
          <cell r="H90" t="str">
            <v>T11/10</v>
          </cell>
          <cell r="I90" t="str">
            <v>8.I</v>
          </cell>
          <cell r="J90">
            <v>4910</v>
          </cell>
          <cell r="K90">
            <v>10</v>
          </cell>
          <cell r="L90">
            <v>3.5</v>
          </cell>
          <cell r="M90">
            <v>1</v>
          </cell>
          <cell r="N90">
            <v>0</v>
          </cell>
          <cell r="O90">
            <v>0</v>
          </cell>
          <cell r="P90">
            <v>0</v>
          </cell>
          <cell r="Q90">
            <v>1.5</v>
          </cell>
          <cell r="R90">
            <v>16</v>
          </cell>
          <cell r="S90">
            <v>63</v>
          </cell>
          <cell r="T90">
            <v>12</v>
          </cell>
          <cell r="U90">
            <v>0</v>
          </cell>
          <cell r="V90">
            <v>2910</v>
          </cell>
          <cell r="W90">
            <v>2694</v>
          </cell>
          <cell r="X90">
            <v>5604</v>
          </cell>
          <cell r="Y90">
            <v>1526.962962962963</v>
          </cell>
          <cell r="Z90">
            <v>32</v>
          </cell>
          <cell r="AA90">
            <v>160</v>
          </cell>
          <cell r="AB90">
            <v>-150</v>
          </cell>
          <cell r="AC90">
            <v>0</v>
          </cell>
          <cell r="AD90">
            <v>1568.962962962963</v>
          </cell>
          <cell r="AE90">
            <v>7173</v>
          </cell>
          <cell r="AF90">
            <v>473.55</v>
          </cell>
          <cell r="AH90">
            <v>0</v>
          </cell>
          <cell r="AI90">
            <v>9000</v>
          </cell>
          <cell r="AJ90">
            <v>9473.5499999999993</v>
          </cell>
          <cell r="AK90">
            <v>-2300.5499999999993</v>
          </cell>
          <cell r="AL90">
            <v>0</v>
          </cell>
          <cell r="AM90">
            <v>0</v>
          </cell>
          <cell r="AN90">
            <v>6699.45</v>
          </cell>
          <cell r="AO90">
            <v>6700</v>
          </cell>
          <cell r="AP90">
            <v>6700</v>
          </cell>
          <cell r="AQ90">
            <v>1</v>
          </cell>
          <cell r="AR90">
            <v>9.5</v>
          </cell>
        </row>
        <row r="91">
          <cell r="D91" t="str">
            <v>A310</v>
          </cell>
          <cell r="E91" t="str">
            <v>Phạm Thị Bông</v>
          </cell>
          <cell r="F91" t="str">
            <v>CI.1</v>
          </cell>
          <cell r="G91" t="str">
            <v>Công Nhân</v>
          </cell>
          <cell r="H91" t="str">
            <v>T6/12</v>
          </cell>
          <cell r="I91" t="str">
            <v>8.I</v>
          </cell>
          <cell r="J91">
            <v>4440</v>
          </cell>
          <cell r="K91">
            <v>1</v>
          </cell>
          <cell r="L91">
            <v>13.5</v>
          </cell>
          <cell r="M91">
            <v>1</v>
          </cell>
          <cell r="N91">
            <v>0</v>
          </cell>
          <cell r="O91">
            <v>0</v>
          </cell>
          <cell r="P91">
            <v>0</v>
          </cell>
          <cell r="Q91">
            <v>0.5</v>
          </cell>
          <cell r="R91">
            <v>16</v>
          </cell>
          <cell r="S91">
            <v>26</v>
          </cell>
          <cell r="T91">
            <v>8</v>
          </cell>
          <cell r="U91">
            <v>0</v>
          </cell>
          <cell r="V91">
            <v>2631</v>
          </cell>
          <cell r="W91">
            <v>1131</v>
          </cell>
          <cell r="X91">
            <v>3762</v>
          </cell>
          <cell r="Y91">
            <v>313.57037037037014</v>
          </cell>
          <cell r="Z91">
            <v>0</v>
          </cell>
          <cell r="AA91">
            <v>16</v>
          </cell>
          <cell r="AB91">
            <v>-70</v>
          </cell>
          <cell r="AC91">
            <v>0</v>
          </cell>
          <cell r="AD91">
            <v>259.57037037037014</v>
          </cell>
          <cell r="AE91">
            <v>4022</v>
          </cell>
          <cell r="AF91">
            <v>466.2</v>
          </cell>
          <cell r="AH91">
            <v>0</v>
          </cell>
          <cell r="AI91">
            <v>9000</v>
          </cell>
          <cell r="AJ91">
            <v>9466.2000000000007</v>
          </cell>
          <cell r="AK91">
            <v>-5444.2000000000007</v>
          </cell>
          <cell r="AL91">
            <v>0</v>
          </cell>
          <cell r="AM91">
            <v>2000</v>
          </cell>
          <cell r="AN91">
            <v>1555.8000000000002</v>
          </cell>
          <cell r="AO91">
            <v>1560</v>
          </cell>
          <cell r="AP91">
            <v>3560</v>
          </cell>
          <cell r="AQ91">
            <v>1</v>
          </cell>
          <cell r="AR91">
            <v>2.5</v>
          </cell>
        </row>
        <row r="92">
          <cell r="D92" t="str">
            <v>A336</v>
          </cell>
          <cell r="E92" t="str">
            <v>Dương Văn Minh Thanh</v>
          </cell>
          <cell r="F92" t="str">
            <v>QCX</v>
          </cell>
          <cell r="G92" t="str">
            <v>Công Nhân</v>
          </cell>
          <cell r="H92" t="str">
            <v>T11/12</v>
          </cell>
          <cell r="I92" t="str">
            <v>8.I</v>
          </cell>
          <cell r="J92">
            <v>4440</v>
          </cell>
          <cell r="K92">
            <v>9</v>
          </cell>
          <cell r="L92">
            <v>4</v>
          </cell>
          <cell r="M92">
            <v>1</v>
          </cell>
          <cell r="N92">
            <v>0</v>
          </cell>
          <cell r="O92">
            <v>0</v>
          </cell>
          <cell r="P92">
            <v>0</v>
          </cell>
          <cell r="Q92">
            <v>2</v>
          </cell>
          <cell r="R92">
            <v>16</v>
          </cell>
          <cell r="S92">
            <v>56</v>
          </cell>
          <cell r="T92">
            <v>12</v>
          </cell>
          <cell r="U92">
            <v>0</v>
          </cell>
          <cell r="V92">
            <v>2631</v>
          </cell>
          <cell r="W92">
            <v>2220</v>
          </cell>
          <cell r="X92">
            <v>4851</v>
          </cell>
          <cell r="Y92">
            <v>324.23703703703683</v>
          </cell>
          <cell r="Z92">
            <v>32</v>
          </cell>
          <cell r="AA92">
            <v>144</v>
          </cell>
          <cell r="AB92">
            <v>-70</v>
          </cell>
          <cell r="AC92">
            <v>0</v>
          </cell>
          <cell r="AD92">
            <v>430.23703703703683</v>
          </cell>
          <cell r="AE92">
            <v>5281</v>
          </cell>
          <cell r="AF92">
            <v>466.2</v>
          </cell>
          <cell r="AH92">
            <v>0</v>
          </cell>
          <cell r="AI92">
            <v>9000</v>
          </cell>
          <cell r="AJ92">
            <v>9466.2000000000007</v>
          </cell>
          <cell r="AK92">
            <v>-4185.2000000000007</v>
          </cell>
          <cell r="AL92">
            <v>0</v>
          </cell>
          <cell r="AM92">
            <v>2000</v>
          </cell>
          <cell r="AN92">
            <v>2814.8</v>
          </cell>
          <cell r="AO92">
            <v>2820</v>
          </cell>
          <cell r="AP92">
            <v>4820</v>
          </cell>
          <cell r="AQ92">
            <v>1</v>
          </cell>
          <cell r="AR92">
            <v>3.5</v>
          </cell>
        </row>
        <row r="93">
          <cell r="D93" t="str">
            <v>A463</v>
          </cell>
          <cell r="E93" t="str">
            <v>Phạm Minh Tuấn</v>
          </cell>
          <cell r="F93" t="str">
            <v>QCX</v>
          </cell>
          <cell r="G93" t="str">
            <v>Công Nhân</v>
          </cell>
          <cell r="H93" t="str">
            <v>T2/14</v>
          </cell>
          <cell r="I93" t="str">
            <v>8.I</v>
          </cell>
          <cell r="J93">
            <v>4440</v>
          </cell>
          <cell r="K93">
            <v>3</v>
          </cell>
          <cell r="L93">
            <v>3</v>
          </cell>
          <cell r="M93">
            <v>1</v>
          </cell>
          <cell r="N93">
            <v>0</v>
          </cell>
          <cell r="O93">
            <v>0</v>
          </cell>
          <cell r="P93">
            <v>6</v>
          </cell>
          <cell r="Q93">
            <v>2</v>
          </cell>
          <cell r="R93">
            <v>15</v>
          </cell>
          <cell r="S93">
            <v>42</v>
          </cell>
          <cell r="T93">
            <v>8</v>
          </cell>
          <cell r="U93">
            <v>0</v>
          </cell>
          <cell r="V93">
            <v>2763</v>
          </cell>
          <cell r="W93">
            <v>1624</v>
          </cell>
          <cell r="X93">
            <v>4387</v>
          </cell>
          <cell r="Y93">
            <v>97.083333333333329</v>
          </cell>
          <cell r="Z93">
            <v>32</v>
          </cell>
          <cell r="AA93">
            <v>240</v>
          </cell>
          <cell r="AB93">
            <v>-70</v>
          </cell>
          <cell r="AC93">
            <v>0</v>
          </cell>
          <cell r="AD93">
            <v>299.08333333333331</v>
          </cell>
          <cell r="AE93">
            <v>4686</v>
          </cell>
          <cell r="AF93">
            <v>443.1</v>
          </cell>
          <cell r="AH93">
            <v>0</v>
          </cell>
          <cell r="AI93">
            <v>9000</v>
          </cell>
          <cell r="AJ93">
            <v>9443.1</v>
          </cell>
          <cell r="AK93">
            <v>-4757.1000000000004</v>
          </cell>
          <cell r="AL93">
            <v>0</v>
          </cell>
          <cell r="AM93">
            <v>2000</v>
          </cell>
          <cell r="AN93">
            <v>2242.8999999999996</v>
          </cell>
          <cell r="AO93">
            <v>2240</v>
          </cell>
          <cell r="AP93">
            <v>4240</v>
          </cell>
          <cell r="AQ93">
            <v>1</v>
          </cell>
          <cell r="AR93">
            <v>-1</v>
          </cell>
        </row>
        <row r="94">
          <cell r="D94" t="str">
            <v>A471</v>
          </cell>
          <cell r="E94" t="str">
            <v>Trần Duy Lâm</v>
          </cell>
          <cell r="F94" t="str">
            <v>QCX</v>
          </cell>
          <cell r="G94" t="str">
            <v>Công Nhân</v>
          </cell>
          <cell r="H94" t="str">
            <v>T4/14</v>
          </cell>
          <cell r="I94" t="str">
            <v>8.I</v>
          </cell>
          <cell r="J94">
            <v>4440</v>
          </cell>
          <cell r="K94">
            <v>10</v>
          </cell>
          <cell r="L94">
            <v>1</v>
          </cell>
          <cell r="M94">
            <v>1</v>
          </cell>
          <cell r="N94">
            <v>0</v>
          </cell>
          <cell r="O94">
            <v>0</v>
          </cell>
          <cell r="P94">
            <v>4</v>
          </cell>
          <cell r="Q94">
            <v>0</v>
          </cell>
          <cell r="R94">
            <v>16</v>
          </cell>
          <cell r="S94">
            <v>78.5</v>
          </cell>
          <cell r="T94">
            <v>22</v>
          </cell>
          <cell r="U94">
            <v>0</v>
          </cell>
          <cell r="V94">
            <v>2828</v>
          </cell>
          <cell r="W94">
            <v>3325</v>
          </cell>
          <cell r="X94">
            <v>6153</v>
          </cell>
          <cell r="Y94">
            <v>184.2962962962963</v>
          </cell>
          <cell r="Z94">
            <v>80</v>
          </cell>
          <cell r="AA94">
            <v>288</v>
          </cell>
          <cell r="AB94">
            <v>-70</v>
          </cell>
          <cell r="AC94">
            <v>0</v>
          </cell>
          <cell r="AD94">
            <v>482.2962962962963</v>
          </cell>
          <cell r="AE94">
            <v>6635</v>
          </cell>
          <cell r="AF94">
            <v>443.1</v>
          </cell>
          <cell r="AH94">
            <v>0</v>
          </cell>
          <cell r="AI94">
            <v>9000</v>
          </cell>
          <cell r="AJ94">
            <v>9443.1</v>
          </cell>
          <cell r="AK94">
            <v>-2808.1000000000004</v>
          </cell>
          <cell r="AL94">
            <v>0</v>
          </cell>
          <cell r="AM94">
            <v>2000</v>
          </cell>
          <cell r="AN94">
            <v>4191.8999999999996</v>
          </cell>
          <cell r="AO94">
            <v>4190</v>
          </cell>
          <cell r="AP94">
            <v>6190</v>
          </cell>
          <cell r="AQ94">
            <v>1</v>
          </cell>
          <cell r="AR94">
            <v>3</v>
          </cell>
        </row>
        <row r="95">
          <cell r="D95" t="str">
            <v>A502</v>
          </cell>
          <cell r="E95" t="str">
            <v>Phạm Thị Ngọc Hân</v>
          </cell>
          <cell r="F95" t="str">
            <v>QCX</v>
          </cell>
          <cell r="G95" t="str">
            <v>Công Nhân</v>
          </cell>
          <cell r="H95" t="str">
            <v>T5/14</v>
          </cell>
          <cell r="I95" t="str">
            <v>8.I</v>
          </cell>
          <cell r="J95">
            <v>4220</v>
          </cell>
          <cell r="K95">
            <v>7</v>
          </cell>
          <cell r="L95">
            <v>2</v>
          </cell>
          <cell r="M95">
            <v>1</v>
          </cell>
          <cell r="N95">
            <v>0</v>
          </cell>
          <cell r="O95">
            <v>0</v>
          </cell>
          <cell r="P95">
            <v>5</v>
          </cell>
          <cell r="Q95">
            <v>1</v>
          </cell>
          <cell r="R95">
            <v>16</v>
          </cell>
          <cell r="S95">
            <v>64</v>
          </cell>
          <cell r="T95">
            <v>12</v>
          </cell>
          <cell r="U95">
            <v>0</v>
          </cell>
          <cell r="V95">
            <v>2735</v>
          </cell>
          <cell r="W95">
            <v>2344</v>
          </cell>
          <cell r="X95">
            <v>5079</v>
          </cell>
          <cell r="Y95">
            <v>244.59259259259258</v>
          </cell>
          <cell r="Z95">
            <v>16</v>
          </cell>
          <cell r="AA95">
            <v>272</v>
          </cell>
          <cell r="AB95">
            <v>0</v>
          </cell>
          <cell r="AC95">
            <v>0</v>
          </cell>
          <cell r="AD95">
            <v>532.59259259259261</v>
          </cell>
          <cell r="AE95">
            <v>5612</v>
          </cell>
          <cell r="AF95">
            <v>443.1</v>
          </cell>
          <cell r="AH95">
            <v>0</v>
          </cell>
          <cell r="AI95">
            <v>9000</v>
          </cell>
          <cell r="AJ95">
            <v>9443.1</v>
          </cell>
          <cell r="AK95">
            <v>-3831.1000000000004</v>
          </cell>
          <cell r="AL95">
            <v>0</v>
          </cell>
          <cell r="AM95">
            <v>1000</v>
          </cell>
          <cell r="AN95">
            <v>4168.8999999999996</v>
          </cell>
          <cell r="AO95">
            <v>4170</v>
          </cell>
          <cell r="AP95">
            <v>5170</v>
          </cell>
          <cell r="AQ95">
            <v>1</v>
          </cell>
          <cell r="AR95">
            <v>6</v>
          </cell>
        </row>
        <row r="96">
          <cell r="D96" t="str">
            <v>A507</v>
          </cell>
          <cell r="E96" t="str">
            <v>Đào Tấn Trung</v>
          </cell>
          <cell r="F96" t="str">
            <v>QCX</v>
          </cell>
          <cell r="G96" t="str">
            <v>Công Nhân</v>
          </cell>
          <cell r="H96" t="str">
            <v>T5/14</v>
          </cell>
          <cell r="I96" t="str">
            <v>8.I</v>
          </cell>
          <cell r="J96">
            <v>4259</v>
          </cell>
          <cell r="K96">
            <v>8</v>
          </cell>
          <cell r="L96">
            <v>4</v>
          </cell>
          <cell r="M96">
            <v>1</v>
          </cell>
          <cell r="N96">
            <v>0</v>
          </cell>
          <cell r="O96">
            <v>0</v>
          </cell>
          <cell r="P96">
            <v>0</v>
          </cell>
          <cell r="Q96">
            <v>2</v>
          </cell>
          <cell r="R96">
            <v>15</v>
          </cell>
          <cell r="S96">
            <v>46</v>
          </cell>
          <cell r="T96">
            <v>16</v>
          </cell>
          <cell r="U96">
            <v>0</v>
          </cell>
          <cell r="V96">
            <v>2366</v>
          </cell>
          <cell r="W96">
            <v>1991</v>
          </cell>
          <cell r="X96">
            <v>4357</v>
          </cell>
          <cell r="Y96">
            <v>551.11111111111109</v>
          </cell>
          <cell r="Z96">
            <v>64</v>
          </cell>
          <cell r="AA96">
            <v>128</v>
          </cell>
          <cell r="AB96">
            <v>-70</v>
          </cell>
          <cell r="AC96">
            <v>0</v>
          </cell>
          <cell r="AD96">
            <v>673.11111111111109</v>
          </cell>
          <cell r="AE96">
            <v>5030</v>
          </cell>
          <cell r="AF96">
            <v>443.1</v>
          </cell>
          <cell r="AH96">
            <v>0</v>
          </cell>
          <cell r="AI96">
            <v>9000</v>
          </cell>
          <cell r="AJ96">
            <v>9443.1</v>
          </cell>
          <cell r="AK96">
            <v>-4413.1000000000004</v>
          </cell>
          <cell r="AL96">
            <v>0</v>
          </cell>
          <cell r="AM96">
            <v>2000</v>
          </cell>
          <cell r="AN96">
            <v>2586.8999999999996</v>
          </cell>
          <cell r="AO96">
            <v>2590</v>
          </cell>
          <cell r="AP96">
            <v>4590</v>
          </cell>
          <cell r="AQ96">
            <v>1</v>
          </cell>
          <cell r="AR96">
            <v>-0.5</v>
          </cell>
        </row>
        <row r="97">
          <cell r="D97" t="str">
            <v>A055</v>
          </cell>
          <cell r="E97" t="str">
            <v>Nguyễn Thị Dung Em</v>
          </cell>
          <cell r="F97" t="str">
            <v>CI.1</v>
          </cell>
          <cell r="G97" t="str">
            <v xml:space="preserve">Công nhân </v>
          </cell>
          <cell r="H97" t="str">
            <v>T5/09</v>
          </cell>
          <cell r="I97" t="str">
            <v>7.II</v>
          </cell>
          <cell r="J97">
            <v>4740</v>
          </cell>
          <cell r="K97">
            <v>7</v>
          </cell>
          <cell r="L97">
            <v>0</v>
          </cell>
          <cell r="M97">
            <v>1</v>
          </cell>
          <cell r="N97">
            <v>0</v>
          </cell>
          <cell r="O97">
            <v>0</v>
          </cell>
          <cell r="P97">
            <v>6</v>
          </cell>
          <cell r="Q97">
            <v>2</v>
          </cell>
          <cell r="R97">
            <v>16</v>
          </cell>
          <cell r="S97">
            <v>52</v>
          </cell>
          <cell r="T97">
            <v>20</v>
          </cell>
          <cell r="U97">
            <v>0</v>
          </cell>
          <cell r="V97">
            <v>3125</v>
          </cell>
          <cell r="W97">
            <v>2589</v>
          </cell>
          <cell r="X97">
            <v>5714</v>
          </cell>
          <cell r="Y97">
            <v>208.37451851851881</v>
          </cell>
          <cell r="Z97">
            <v>16</v>
          </cell>
          <cell r="AA97">
            <v>304</v>
          </cell>
          <cell r="AB97">
            <v>-70</v>
          </cell>
          <cell r="AC97">
            <v>0</v>
          </cell>
          <cell r="AD97">
            <v>458.37451851851881</v>
          </cell>
          <cell r="AE97">
            <v>6172</v>
          </cell>
          <cell r="AF97">
            <v>466.2</v>
          </cell>
          <cell r="AH97">
            <v>0</v>
          </cell>
          <cell r="AI97">
            <v>9000</v>
          </cell>
          <cell r="AJ97">
            <v>9466.2000000000007</v>
          </cell>
          <cell r="AK97">
            <v>-3294.2000000000007</v>
          </cell>
          <cell r="AL97">
            <v>0</v>
          </cell>
          <cell r="AM97">
            <v>1000</v>
          </cell>
          <cell r="AN97">
            <v>4705.8</v>
          </cell>
          <cell r="AO97">
            <v>4710</v>
          </cell>
          <cell r="AP97">
            <v>5710</v>
          </cell>
          <cell r="AQ97">
            <v>1</v>
          </cell>
          <cell r="AR97">
            <v>3.5</v>
          </cell>
        </row>
        <row r="98">
          <cell r="D98" t="str">
            <v>A135</v>
          </cell>
          <cell r="E98" t="str">
            <v>Nguyễn Thị Kim Phương</v>
          </cell>
          <cell r="F98" t="str">
            <v>CII.4</v>
          </cell>
          <cell r="G98" t="str">
            <v>Công nhân</v>
          </cell>
          <cell r="H98" t="str">
            <v>T9/10</v>
          </cell>
          <cell r="I98" t="str">
            <v>7.I</v>
          </cell>
          <cell r="J98">
            <v>4740</v>
          </cell>
          <cell r="K98">
            <v>13</v>
          </cell>
          <cell r="L98">
            <v>2</v>
          </cell>
          <cell r="M98">
            <v>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16</v>
          </cell>
          <cell r="S98">
            <v>59</v>
          </cell>
          <cell r="T98">
            <v>12</v>
          </cell>
          <cell r="U98">
            <v>0</v>
          </cell>
          <cell r="V98">
            <v>2809</v>
          </cell>
          <cell r="W98">
            <v>2469</v>
          </cell>
          <cell r="X98">
            <v>5278</v>
          </cell>
          <cell r="Y98">
            <v>57.3511111111115</v>
          </cell>
          <cell r="Z98">
            <v>0</v>
          </cell>
          <cell r="AA98">
            <v>208</v>
          </cell>
          <cell r="AB98">
            <v>70</v>
          </cell>
          <cell r="AC98">
            <v>0</v>
          </cell>
          <cell r="AD98">
            <v>335.35111111111149</v>
          </cell>
          <cell r="AE98">
            <v>5613</v>
          </cell>
          <cell r="AF98">
            <v>466.2</v>
          </cell>
          <cell r="AH98">
            <v>0</v>
          </cell>
          <cell r="AI98">
            <v>9000</v>
          </cell>
          <cell r="AJ98">
            <v>9466.2000000000007</v>
          </cell>
          <cell r="AK98">
            <v>-3853.2000000000007</v>
          </cell>
          <cell r="AL98">
            <v>0</v>
          </cell>
          <cell r="AM98">
            <v>2000</v>
          </cell>
          <cell r="AN98">
            <v>3146.8</v>
          </cell>
          <cell r="AO98">
            <v>3150</v>
          </cell>
          <cell r="AP98">
            <v>5150</v>
          </cell>
          <cell r="AQ98">
            <v>1</v>
          </cell>
          <cell r="AR98">
            <v>3.5</v>
          </cell>
        </row>
        <row r="99">
          <cell r="D99" t="str">
            <v>A508</v>
          </cell>
          <cell r="E99" t="str">
            <v>Đặng Thị Hôn</v>
          </cell>
          <cell r="F99" t="str">
            <v>CII.4</v>
          </cell>
          <cell r="G99" t="str">
            <v>Công Nhân</v>
          </cell>
          <cell r="H99" t="str">
            <v>T5/14</v>
          </cell>
          <cell r="I99" t="str">
            <v>7.I</v>
          </cell>
          <cell r="J99">
            <v>4290</v>
          </cell>
          <cell r="K99">
            <v>14</v>
          </cell>
          <cell r="L99">
            <v>0</v>
          </cell>
          <cell r="M99">
            <v>1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16</v>
          </cell>
          <cell r="S99">
            <v>56</v>
          </cell>
          <cell r="T99">
            <v>12</v>
          </cell>
          <cell r="U99">
            <v>0</v>
          </cell>
          <cell r="V99">
            <v>2542</v>
          </cell>
          <cell r="W99">
            <v>2145</v>
          </cell>
          <cell r="X99">
            <v>4687</v>
          </cell>
          <cell r="Y99">
            <v>0</v>
          </cell>
          <cell r="Z99">
            <v>0</v>
          </cell>
          <cell r="AA99">
            <v>224</v>
          </cell>
          <cell r="AB99">
            <v>70</v>
          </cell>
          <cell r="AC99">
            <v>0</v>
          </cell>
          <cell r="AD99">
            <v>294</v>
          </cell>
          <cell r="AE99">
            <v>4981</v>
          </cell>
          <cell r="AF99">
            <v>443.1</v>
          </cell>
          <cell r="AH99">
            <v>0</v>
          </cell>
          <cell r="AI99">
            <v>9000</v>
          </cell>
          <cell r="AJ99">
            <v>9443.1</v>
          </cell>
          <cell r="AK99">
            <v>-4462.1000000000004</v>
          </cell>
          <cell r="AL99">
            <v>0</v>
          </cell>
          <cell r="AM99">
            <v>2000</v>
          </cell>
          <cell r="AN99">
            <v>2537.8999999999996</v>
          </cell>
          <cell r="AO99">
            <v>2540</v>
          </cell>
          <cell r="AP99">
            <v>4540</v>
          </cell>
          <cell r="AQ99">
            <v>1</v>
          </cell>
          <cell r="AR99">
            <v>5</v>
          </cell>
        </row>
        <row r="100">
          <cell r="D100" t="str">
            <v>A551</v>
          </cell>
          <cell r="E100" t="str">
            <v>Nguyễn Trung Thành</v>
          </cell>
          <cell r="F100" t="str">
            <v>Gián tiếp</v>
          </cell>
          <cell r="G100" t="str">
            <v>QUANLY</v>
          </cell>
          <cell r="H100" t="str">
            <v>T7/14</v>
          </cell>
          <cell r="I100" t="str">
            <v>4.V</v>
          </cell>
          <cell r="J100">
            <v>5172.8</v>
          </cell>
          <cell r="K100">
            <v>2</v>
          </cell>
          <cell r="L100">
            <v>12</v>
          </cell>
          <cell r="M100">
            <v>1</v>
          </cell>
          <cell r="N100">
            <v>0</v>
          </cell>
          <cell r="O100">
            <v>0</v>
          </cell>
          <cell r="P100">
            <v>0</v>
          </cell>
          <cell r="Q100">
            <v>1</v>
          </cell>
          <cell r="R100">
            <v>16</v>
          </cell>
          <cell r="S100">
            <v>7.5</v>
          </cell>
          <cell r="T100">
            <v>0</v>
          </cell>
          <cell r="U100">
            <v>0</v>
          </cell>
          <cell r="V100">
            <v>3065</v>
          </cell>
          <cell r="W100">
            <v>269</v>
          </cell>
          <cell r="X100">
            <v>3334</v>
          </cell>
          <cell r="Y100">
            <v>3156.859259259259</v>
          </cell>
          <cell r="Z100">
            <v>0</v>
          </cell>
          <cell r="AA100">
            <v>32</v>
          </cell>
          <cell r="AB100">
            <v>-300</v>
          </cell>
          <cell r="AC100">
            <v>0</v>
          </cell>
          <cell r="AD100">
            <v>2888.859259259259</v>
          </cell>
          <cell r="AE100">
            <v>6223</v>
          </cell>
          <cell r="AF100">
            <v>497.7</v>
          </cell>
          <cell r="AH100">
            <v>0</v>
          </cell>
          <cell r="AI100">
            <v>9000</v>
          </cell>
          <cell r="AJ100">
            <v>9497.7000000000007</v>
          </cell>
          <cell r="AK100">
            <v>-3274.7000000000007</v>
          </cell>
          <cell r="AL100">
            <v>0</v>
          </cell>
          <cell r="AM100">
            <v>0</v>
          </cell>
          <cell r="AN100">
            <v>5725.3</v>
          </cell>
          <cell r="AO100">
            <v>5730</v>
          </cell>
          <cell r="AP100">
            <v>5730</v>
          </cell>
          <cell r="AQ100">
            <v>1</v>
          </cell>
          <cell r="AR100">
            <v>0.5</v>
          </cell>
        </row>
        <row r="101">
          <cell r="D101" t="str">
            <v>A598</v>
          </cell>
          <cell r="E101" t="str">
            <v>Nguyễn Hải Âu</v>
          </cell>
          <cell r="F101" t="str">
            <v>CII.4</v>
          </cell>
          <cell r="G101" t="str">
            <v>QUANLY</v>
          </cell>
          <cell r="H101" t="str">
            <v>T4/15</v>
          </cell>
          <cell r="I101" t="str">
            <v>4.III</v>
          </cell>
          <cell r="J101">
            <v>4511</v>
          </cell>
          <cell r="K101">
            <v>5</v>
          </cell>
          <cell r="L101">
            <v>9</v>
          </cell>
          <cell r="M101">
            <v>1</v>
          </cell>
          <cell r="N101">
            <v>0</v>
          </cell>
          <cell r="O101">
            <v>0</v>
          </cell>
          <cell r="P101">
            <v>9</v>
          </cell>
          <cell r="Q101">
            <v>3</v>
          </cell>
          <cell r="R101">
            <v>27</v>
          </cell>
          <cell r="S101">
            <v>65</v>
          </cell>
          <cell r="T101">
            <v>26</v>
          </cell>
          <cell r="U101">
            <v>12</v>
          </cell>
          <cell r="V101">
            <v>4962</v>
          </cell>
          <cell r="W101">
            <v>3874</v>
          </cell>
          <cell r="X101">
            <v>8836</v>
          </cell>
          <cell r="Y101">
            <v>4245.66</v>
          </cell>
          <cell r="Z101">
            <v>48</v>
          </cell>
          <cell r="AA101">
            <v>368</v>
          </cell>
          <cell r="AB101">
            <v>150</v>
          </cell>
          <cell r="AC101">
            <v>0</v>
          </cell>
          <cell r="AD101">
            <v>4811.66</v>
          </cell>
          <cell r="AE101">
            <v>13648</v>
          </cell>
          <cell r="AF101">
            <v>473.65499999999997</v>
          </cell>
          <cell r="AH101">
            <v>0</v>
          </cell>
          <cell r="AI101">
            <v>9000</v>
          </cell>
          <cell r="AJ101">
            <v>9473.6550000000007</v>
          </cell>
          <cell r="AK101">
            <v>4174.3449999999993</v>
          </cell>
          <cell r="AL101">
            <v>209</v>
          </cell>
          <cell r="AM101">
            <v>0</v>
          </cell>
          <cell r="AN101">
            <v>12965.344999999999</v>
          </cell>
          <cell r="AO101">
            <v>12970</v>
          </cell>
          <cell r="AP101">
            <v>12970</v>
          </cell>
          <cell r="AQ101">
            <v>1</v>
          </cell>
          <cell r="AR101">
            <v>0</v>
          </cell>
        </row>
        <row r="102">
          <cell r="D102" t="str">
            <v>A128</v>
          </cell>
          <cell r="E102" t="str">
            <v>Nguyễn Minh Hải</v>
          </cell>
          <cell r="F102" t="str">
            <v>Kho</v>
          </cell>
          <cell r="G102" t="str">
            <v xml:space="preserve">Tài xế </v>
          </cell>
          <cell r="H102" t="str">
            <v>T4/12</v>
          </cell>
          <cell r="I102" t="str">
            <v>9.IX</v>
          </cell>
          <cell r="J102">
            <v>5428.8</v>
          </cell>
          <cell r="K102">
            <v>0</v>
          </cell>
          <cell r="L102">
            <v>24</v>
          </cell>
          <cell r="M102">
            <v>1</v>
          </cell>
          <cell r="N102">
            <v>0</v>
          </cell>
          <cell r="O102">
            <v>0</v>
          </cell>
          <cell r="P102">
            <v>0</v>
          </cell>
          <cell r="Q102">
            <v>2</v>
          </cell>
          <cell r="R102">
            <v>27</v>
          </cell>
          <cell r="S102">
            <v>70.5</v>
          </cell>
          <cell r="T102">
            <v>0</v>
          </cell>
          <cell r="U102">
            <v>0</v>
          </cell>
          <cell r="V102">
            <v>5429</v>
          </cell>
          <cell r="W102">
            <v>2658</v>
          </cell>
          <cell r="X102">
            <v>8087</v>
          </cell>
          <cell r="Y102">
            <v>3068.6822399999987</v>
          </cell>
          <cell r="Z102">
            <v>0</v>
          </cell>
          <cell r="AA102">
            <v>0</v>
          </cell>
          <cell r="AB102">
            <v>-70</v>
          </cell>
          <cell r="AC102">
            <v>0</v>
          </cell>
          <cell r="AD102">
            <v>2998.6822399999987</v>
          </cell>
          <cell r="AE102">
            <v>11086</v>
          </cell>
          <cell r="AF102">
            <v>443.1</v>
          </cell>
          <cell r="AH102">
            <v>2</v>
          </cell>
          <cell r="AI102">
            <v>16200</v>
          </cell>
          <cell r="AJ102">
            <v>16643.099999999999</v>
          </cell>
          <cell r="AK102">
            <v>-5557.0999999999985</v>
          </cell>
          <cell r="AL102">
            <v>0</v>
          </cell>
          <cell r="AM102">
            <v>0</v>
          </cell>
          <cell r="AN102">
            <v>10642.9</v>
          </cell>
          <cell r="AO102">
            <v>10640</v>
          </cell>
          <cell r="AP102">
            <v>10640</v>
          </cell>
          <cell r="AQ102">
            <v>1</v>
          </cell>
          <cell r="AR102">
            <v>7</v>
          </cell>
        </row>
        <row r="103">
          <cell r="D103" t="str">
            <v>A191</v>
          </cell>
          <cell r="E103" t="str">
            <v>Nguyễn Thị Mộng Cầm</v>
          </cell>
          <cell r="F103" t="str">
            <v>TXBVTV</v>
          </cell>
          <cell r="G103" t="str">
            <v xml:space="preserve">Công nhân </v>
          </cell>
          <cell r="H103" t="str">
            <v>T10/10</v>
          </cell>
          <cell r="I103" t="str">
            <v>11.I</v>
          </cell>
          <cell r="J103">
            <v>4140</v>
          </cell>
          <cell r="K103">
            <v>0</v>
          </cell>
          <cell r="L103">
            <v>25</v>
          </cell>
          <cell r="M103">
            <v>1</v>
          </cell>
          <cell r="N103">
            <v>0</v>
          </cell>
          <cell r="O103">
            <v>0</v>
          </cell>
          <cell r="P103">
            <v>0</v>
          </cell>
          <cell r="Q103">
            <v>1</v>
          </cell>
          <cell r="R103">
            <v>27</v>
          </cell>
          <cell r="S103">
            <v>0</v>
          </cell>
          <cell r="T103">
            <v>0</v>
          </cell>
          <cell r="U103">
            <v>0</v>
          </cell>
          <cell r="V103">
            <v>4140</v>
          </cell>
          <cell r="W103">
            <v>0</v>
          </cell>
          <cell r="X103">
            <v>4140</v>
          </cell>
          <cell r="Y103">
            <v>2523.9549999999999</v>
          </cell>
          <cell r="Z103">
            <v>0</v>
          </cell>
          <cell r="AA103">
            <v>0</v>
          </cell>
          <cell r="AB103">
            <v>-140</v>
          </cell>
          <cell r="AC103">
            <v>0</v>
          </cell>
          <cell r="AD103">
            <v>2383.9549999999999</v>
          </cell>
          <cell r="AE103">
            <v>6524</v>
          </cell>
          <cell r="AF103">
            <v>434.7</v>
          </cell>
          <cell r="AH103">
            <v>0</v>
          </cell>
          <cell r="AI103">
            <v>9000</v>
          </cell>
          <cell r="AJ103">
            <v>9434.7000000000007</v>
          </cell>
          <cell r="AK103">
            <v>-2910.7000000000007</v>
          </cell>
          <cell r="AL103">
            <v>0</v>
          </cell>
          <cell r="AM103">
            <v>2000</v>
          </cell>
          <cell r="AN103">
            <v>4089.3</v>
          </cell>
          <cell r="AO103">
            <v>4090</v>
          </cell>
          <cell r="AP103">
            <v>6090</v>
          </cell>
          <cell r="AQ103">
            <v>1</v>
          </cell>
          <cell r="AR103">
            <v>5</v>
          </cell>
        </row>
        <row r="104">
          <cell r="D104" t="str">
            <v>A428</v>
          </cell>
          <cell r="E104" t="str">
            <v>Nguyễn Hồng Nhật</v>
          </cell>
          <cell r="F104" t="str">
            <v>TXBVTV</v>
          </cell>
          <cell r="G104" t="str">
            <v xml:space="preserve">Tài xế </v>
          </cell>
          <cell r="H104" t="str">
            <v>T10/13</v>
          </cell>
          <cell r="I104" t="str">
            <v>9.II</v>
          </cell>
          <cell r="J104">
            <v>4180</v>
          </cell>
          <cell r="K104">
            <v>0</v>
          </cell>
          <cell r="L104">
            <v>26</v>
          </cell>
          <cell r="M104">
            <v>1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27</v>
          </cell>
          <cell r="S104">
            <v>118</v>
          </cell>
          <cell r="T104">
            <v>0</v>
          </cell>
          <cell r="U104">
            <v>0</v>
          </cell>
          <cell r="V104">
            <v>4180</v>
          </cell>
          <cell r="W104">
            <v>3425</v>
          </cell>
          <cell r="X104">
            <v>7605</v>
          </cell>
          <cell r="Y104">
            <v>2849.6910399999997</v>
          </cell>
          <cell r="Z104">
            <v>0</v>
          </cell>
          <cell r="AA104">
            <v>0</v>
          </cell>
          <cell r="AB104">
            <v>-210</v>
          </cell>
          <cell r="AC104">
            <v>0</v>
          </cell>
          <cell r="AD104">
            <v>2639.6910399999997</v>
          </cell>
          <cell r="AE104">
            <v>10245</v>
          </cell>
          <cell r="AF104">
            <v>421.3125</v>
          </cell>
          <cell r="AH104">
            <v>2</v>
          </cell>
          <cell r="AI104">
            <v>16200</v>
          </cell>
          <cell r="AJ104">
            <v>16621.3125</v>
          </cell>
          <cell r="AK104">
            <v>-6376.3125</v>
          </cell>
          <cell r="AL104">
            <v>0</v>
          </cell>
          <cell r="AM104">
            <v>0</v>
          </cell>
          <cell r="AN104">
            <v>9823.6875</v>
          </cell>
          <cell r="AO104">
            <v>9830</v>
          </cell>
          <cell r="AP104">
            <v>9830</v>
          </cell>
          <cell r="AQ104">
            <v>1</v>
          </cell>
          <cell r="AR104">
            <v>12</v>
          </cell>
        </row>
        <row r="105">
          <cell r="D105" t="str">
            <v>A604</v>
          </cell>
          <cell r="E105" t="str">
            <v>Lê Thanh Tòng</v>
          </cell>
          <cell r="F105" t="str">
            <v>TXBVTV</v>
          </cell>
          <cell r="G105" t="str">
            <v>BAOVE</v>
          </cell>
          <cell r="H105" t="str">
            <v>T5/15</v>
          </cell>
          <cell r="I105" t="str">
            <v>10.I</v>
          </cell>
          <cell r="J105">
            <v>3937.5</v>
          </cell>
          <cell r="K105">
            <v>0</v>
          </cell>
          <cell r="L105">
            <v>30</v>
          </cell>
          <cell r="M105">
            <v>1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31</v>
          </cell>
          <cell r="S105">
            <v>0</v>
          </cell>
          <cell r="T105">
            <v>0</v>
          </cell>
          <cell r="U105">
            <v>12</v>
          </cell>
          <cell r="V105">
            <v>4069</v>
          </cell>
          <cell r="W105">
            <v>591</v>
          </cell>
          <cell r="X105">
            <v>4660</v>
          </cell>
          <cell r="Y105">
            <v>2715.9637333333344</v>
          </cell>
          <cell r="Z105">
            <v>224</v>
          </cell>
          <cell r="AA105">
            <v>0</v>
          </cell>
          <cell r="AB105">
            <v>0</v>
          </cell>
          <cell r="AC105">
            <v>0</v>
          </cell>
          <cell r="AD105">
            <v>2939.9637333333344</v>
          </cell>
          <cell r="AE105">
            <v>7600</v>
          </cell>
          <cell r="AF105">
            <v>413.4375</v>
          </cell>
          <cell r="AH105">
            <v>0</v>
          </cell>
          <cell r="AI105">
            <v>9000</v>
          </cell>
          <cell r="AJ105">
            <v>9413.4375</v>
          </cell>
          <cell r="AK105">
            <v>-1813.4375</v>
          </cell>
          <cell r="AL105">
            <v>0</v>
          </cell>
          <cell r="AM105">
            <v>2000</v>
          </cell>
          <cell r="AN105">
            <v>5186.5625</v>
          </cell>
          <cell r="AO105">
            <v>5190</v>
          </cell>
          <cell r="AP105">
            <v>7190</v>
          </cell>
          <cell r="AQ105">
            <v>1</v>
          </cell>
          <cell r="AR105">
            <v>4.5</v>
          </cell>
        </row>
        <row r="106">
          <cell r="D106" t="str">
            <v>A612</v>
          </cell>
          <cell r="E106" t="str">
            <v>Trần Văn Minh</v>
          </cell>
          <cell r="F106" t="str">
            <v>TXBVTV</v>
          </cell>
          <cell r="G106" t="str">
            <v>BAOVE</v>
          </cell>
          <cell r="H106" t="str">
            <v>T7/15</v>
          </cell>
          <cell r="I106" t="str">
            <v>10.I</v>
          </cell>
          <cell r="J106">
            <v>3937.5</v>
          </cell>
          <cell r="K106">
            <v>0</v>
          </cell>
          <cell r="L106">
            <v>30</v>
          </cell>
          <cell r="M106">
            <v>1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31</v>
          </cell>
          <cell r="S106">
            <v>0</v>
          </cell>
          <cell r="T106">
            <v>0</v>
          </cell>
          <cell r="U106">
            <v>12</v>
          </cell>
          <cell r="V106">
            <v>4069</v>
          </cell>
          <cell r="W106">
            <v>591</v>
          </cell>
          <cell r="X106">
            <v>4660</v>
          </cell>
          <cell r="Y106">
            <v>2435.6834333333327</v>
          </cell>
          <cell r="Z106">
            <v>272</v>
          </cell>
          <cell r="AA106">
            <v>0</v>
          </cell>
          <cell r="AB106">
            <v>0</v>
          </cell>
          <cell r="AC106">
            <v>0</v>
          </cell>
          <cell r="AD106">
            <v>2707.6834333333327</v>
          </cell>
          <cell r="AE106">
            <v>7368</v>
          </cell>
          <cell r="AF106">
            <v>413.4375</v>
          </cell>
          <cell r="AH106">
            <v>0</v>
          </cell>
          <cell r="AI106">
            <v>9000</v>
          </cell>
          <cell r="AJ106">
            <v>9413.4375</v>
          </cell>
          <cell r="AK106">
            <v>-2045.4375</v>
          </cell>
          <cell r="AL106">
            <v>0</v>
          </cell>
          <cell r="AM106">
            <v>2000</v>
          </cell>
          <cell r="AN106">
            <v>4954.5625</v>
          </cell>
          <cell r="AO106">
            <v>4960</v>
          </cell>
          <cell r="AP106">
            <v>6960</v>
          </cell>
          <cell r="AQ106">
            <v>1</v>
          </cell>
          <cell r="AR106">
            <v>8</v>
          </cell>
        </row>
        <row r="107">
          <cell r="D107" t="str">
            <v>A019</v>
          </cell>
          <cell r="E107" t="str">
            <v>Đoàn Thanh Hải</v>
          </cell>
          <cell r="F107" t="str">
            <v>CII.4</v>
          </cell>
          <cell r="G107" t="str">
            <v xml:space="preserve">Công nhân </v>
          </cell>
          <cell r="H107" t="str">
            <v>T11/05</v>
          </cell>
          <cell r="I107" t="str">
            <v>7.IX</v>
          </cell>
          <cell r="J107">
            <v>5428.8</v>
          </cell>
          <cell r="K107">
            <v>12</v>
          </cell>
          <cell r="L107">
            <v>1.5</v>
          </cell>
          <cell r="M107">
            <v>1</v>
          </cell>
          <cell r="N107">
            <v>0</v>
          </cell>
          <cell r="O107">
            <v>0</v>
          </cell>
          <cell r="P107">
            <v>0</v>
          </cell>
          <cell r="Q107">
            <v>1.5</v>
          </cell>
          <cell r="R107">
            <v>16</v>
          </cell>
          <cell r="S107">
            <v>53</v>
          </cell>
          <cell r="T107">
            <v>12</v>
          </cell>
          <cell r="U107">
            <v>0</v>
          </cell>
          <cell r="V107">
            <v>3217</v>
          </cell>
          <cell r="W107">
            <v>2601</v>
          </cell>
          <cell r="X107">
            <v>5818</v>
          </cell>
          <cell r="Y107">
            <v>1126.2543644444447</v>
          </cell>
          <cell r="Z107">
            <v>0</v>
          </cell>
          <cell r="AA107">
            <v>192</v>
          </cell>
          <cell r="AB107">
            <v>70</v>
          </cell>
          <cell r="AC107">
            <v>0</v>
          </cell>
          <cell r="AD107">
            <v>1388.2543644444447</v>
          </cell>
          <cell r="AE107">
            <v>7206</v>
          </cell>
          <cell r="AF107">
            <v>465.78</v>
          </cell>
          <cell r="AH107">
            <v>1</v>
          </cell>
          <cell r="AI107">
            <v>12600</v>
          </cell>
          <cell r="AJ107">
            <v>13065.78</v>
          </cell>
          <cell r="AK107">
            <v>-5859.7800000000007</v>
          </cell>
          <cell r="AL107">
            <v>0</v>
          </cell>
          <cell r="AM107">
            <v>2000</v>
          </cell>
          <cell r="AN107">
            <v>4740.22</v>
          </cell>
          <cell r="AO107">
            <v>4740</v>
          </cell>
          <cell r="AP107">
            <v>6740</v>
          </cell>
          <cell r="AQ107">
            <v>1</v>
          </cell>
          <cell r="AR107">
            <v>8</v>
          </cell>
        </row>
        <row r="108">
          <cell r="D108" t="str">
            <v>A341</v>
          </cell>
          <cell r="E108" t="str">
            <v>Đặng Phước Hoàng</v>
          </cell>
          <cell r="F108" t="str">
            <v>CII.4</v>
          </cell>
          <cell r="G108" t="str">
            <v>Công Nhân</v>
          </cell>
          <cell r="H108" t="str">
            <v>T2/13</v>
          </cell>
          <cell r="I108" t="str">
            <v>7.I</v>
          </cell>
          <cell r="J108">
            <v>4510</v>
          </cell>
          <cell r="K108">
            <v>14</v>
          </cell>
          <cell r="L108">
            <v>1</v>
          </cell>
          <cell r="M108">
            <v>1</v>
          </cell>
          <cell r="N108">
            <v>0</v>
          </cell>
          <cell r="O108">
            <v>0</v>
          </cell>
          <cell r="P108">
            <v>0</v>
          </cell>
          <cell r="Q108">
            <v>3</v>
          </cell>
          <cell r="R108">
            <v>19</v>
          </cell>
          <cell r="S108">
            <v>56</v>
          </cell>
          <cell r="T108">
            <v>24</v>
          </cell>
          <cell r="U108">
            <v>0</v>
          </cell>
          <cell r="V108">
            <v>3174</v>
          </cell>
          <cell r="W108">
            <v>2756</v>
          </cell>
          <cell r="X108">
            <v>5930</v>
          </cell>
          <cell r="Y108">
            <v>0</v>
          </cell>
          <cell r="Z108">
            <v>0</v>
          </cell>
          <cell r="AA108">
            <v>224</v>
          </cell>
          <cell r="AB108">
            <v>70</v>
          </cell>
          <cell r="AC108">
            <v>0</v>
          </cell>
          <cell r="AD108">
            <v>294</v>
          </cell>
          <cell r="AE108">
            <v>6224</v>
          </cell>
          <cell r="AF108">
            <v>443.1</v>
          </cell>
          <cell r="AH108">
            <v>0</v>
          </cell>
          <cell r="AI108">
            <v>9000</v>
          </cell>
          <cell r="AJ108">
            <v>9443.1</v>
          </cell>
          <cell r="AK108">
            <v>-3219.1000000000004</v>
          </cell>
          <cell r="AL108">
            <v>0</v>
          </cell>
          <cell r="AM108">
            <v>2000</v>
          </cell>
          <cell r="AN108">
            <v>3780.8999999999996</v>
          </cell>
          <cell r="AO108">
            <v>3780</v>
          </cell>
          <cell r="AP108">
            <v>5780</v>
          </cell>
          <cell r="AQ108">
            <v>1</v>
          </cell>
          <cell r="AR108">
            <v>2</v>
          </cell>
        </row>
        <row r="109">
          <cell r="D109" t="str">
            <v>A232</v>
          </cell>
          <cell r="E109" t="str">
            <v>Lê Thanh Sang</v>
          </cell>
          <cell r="F109" t="str">
            <v>XLN</v>
          </cell>
          <cell r="G109" t="str">
            <v>Công Nhân</v>
          </cell>
          <cell r="H109" t="str">
            <v>T3/11</v>
          </cell>
          <cell r="I109" t="str">
            <v>7.I</v>
          </cell>
          <cell r="J109">
            <v>4740</v>
          </cell>
          <cell r="K109">
            <v>7</v>
          </cell>
          <cell r="L109">
            <v>1</v>
          </cell>
          <cell r="M109">
            <v>1</v>
          </cell>
          <cell r="N109">
            <v>0</v>
          </cell>
          <cell r="O109">
            <v>0</v>
          </cell>
          <cell r="P109">
            <v>6</v>
          </cell>
          <cell r="Q109">
            <v>0</v>
          </cell>
          <cell r="R109">
            <v>15</v>
          </cell>
          <cell r="S109">
            <v>55</v>
          </cell>
          <cell r="T109">
            <v>24</v>
          </cell>
          <cell r="U109">
            <v>12</v>
          </cell>
          <cell r="V109">
            <v>2949</v>
          </cell>
          <cell r="W109">
            <v>3654</v>
          </cell>
          <cell r="X109">
            <v>6603</v>
          </cell>
          <cell r="Y109">
            <v>492.46062222222258</v>
          </cell>
          <cell r="Z109">
            <v>0</v>
          </cell>
          <cell r="AA109">
            <v>304</v>
          </cell>
          <cell r="AB109">
            <v>-70</v>
          </cell>
          <cell r="AC109">
            <v>0</v>
          </cell>
          <cell r="AD109">
            <v>726.46062222222258</v>
          </cell>
          <cell r="AE109">
            <v>7329</v>
          </cell>
          <cell r="AF109">
            <v>466.2</v>
          </cell>
          <cell r="AH109">
            <v>0</v>
          </cell>
          <cell r="AI109">
            <v>9000</v>
          </cell>
          <cell r="AJ109">
            <v>9466.2000000000007</v>
          </cell>
          <cell r="AK109">
            <v>-2137.2000000000007</v>
          </cell>
          <cell r="AL109">
            <v>0</v>
          </cell>
          <cell r="AM109">
            <v>3000</v>
          </cell>
          <cell r="AN109">
            <v>3862.8</v>
          </cell>
          <cell r="AO109">
            <v>3860</v>
          </cell>
          <cell r="AP109">
            <v>6860</v>
          </cell>
          <cell r="AQ109">
            <v>1</v>
          </cell>
          <cell r="AR109">
            <v>5.5</v>
          </cell>
        </row>
        <row r="110">
          <cell r="D110" t="str">
            <v>A296</v>
          </cell>
          <cell r="E110" t="str">
            <v>Phạm Thanh Ngọc</v>
          </cell>
          <cell r="F110" t="str">
            <v>XLN</v>
          </cell>
          <cell r="G110" t="str">
            <v>Công Nhân</v>
          </cell>
          <cell r="H110" t="str">
            <v>T4/12</v>
          </cell>
          <cell r="I110" t="str">
            <v>7.I</v>
          </cell>
          <cell r="J110">
            <v>4740</v>
          </cell>
          <cell r="K110">
            <v>23.5</v>
          </cell>
          <cell r="L110">
            <v>0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1.5</v>
          </cell>
          <cell r="R110">
            <v>27</v>
          </cell>
          <cell r="S110">
            <v>108</v>
          </cell>
          <cell r="T110">
            <v>38</v>
          </cell>
          <cell r="U110">
            <v>12</v>
          </cell>
          <cell r="V110">
            <v>4793</v>
          </cell>
          <cell r="W110">
            <v>6013</v>
          </cell>
          <cell r="X110">
            <v>10806</v>
          </cell>
          <cell r="Y110">
            <v>695.41499999999996</v>
          </cell>
          <cell r="Z110">
            <v>32</v>
          </cell>
          <cell r="AA110">
            <v>408</v>
          </cell>
          <cell r="AB110">
            <v>-70</v>
          </cell>
          <cell r="AC110">
            <v>0</v>
          </cell>
          <cell r="AD110">
            <v>1065.415</v>
          </cell>
          <cell r="AE110">
            <v>11871</v>
          </cell>
          <cell r="AF110">
            <v>466.2</v>
          </cell>
          <cell r="AH110">
            <v>0</v>
          </cell>
          <cell r="AI110">
            <v>9000</v>
          </cell>
          <cell r="AJ110">
            <v>9466.2000000000007</v>
          </cell>
          <cell r="AK110">
            <v>2404.7999999999993</v>
          </cell>
          <cell r="AL110">
            <v>120</v>
          </cell>
          <cell r="AM110">
            <v>2000</v>
          </cell>
          <cell r="AN110">
            <v>9284.7999999999993</v>
          </cell>
          <cell r="AO110">
            <v>9290</v>
          </cell>
          <cell r="AP110">
            <v>11290</v>
          </cell>
          <cell r="AQ110">
            <v>1</v>
          </cell>
          <cell r="AR110">
            <v>12.5</v>
          </cell>
        </row>
        <row r="111">
          <cell r="D111" t="str">
            <v>A596</v>
          </cell>
          <cell r="E111" t="str">
            <v>Nguyễn Văn Phúc xln</v>
          </cell>
          <cell r="F111" t="str">
            <v xml:space="preserve">XLN </v>
          </cell>
          <cell r="G111" t="str">
            <v>Công nhân</v>
          </cell>
          <cell r="H111" t="str">
            <v>T3/15</v>
          </cell>
          <cell r="I111" t="str">
            <v>7.I</v>
          </cell>
          <cell r="J111">
            <v>4290</v>
          </cell>
          <cell r="K111">
            <v>6</v>
          </cell>
          <cell r="L111">
            <v>3</v>
          </cell>
          <cell r="M111">
            <v>1</v>
          </cell>
          <cell r="N111">
            <v>0</v>
          </cell>
          <cell r="O111">
            <v>0</v>
          </cell>
          <cell r="P111">
            <v>17</v>
          </cell>
          <cell r="Q111">
            <v>0</v>
          </cell>
          <cell r="R111">
            <v>27</v>
          </cell>
          <cell r="S111">
            <v>105</v>
          </cell>
          <cell r="T111">
            <v>36</v>
          </cell>
          <cell r="U111">
            <v>0</v>
          </cell>
          <cell r="V111">
            <v>5100</v>
          </cell>
          <cell r="W111">
            <v>4558</v>
          </cell>
          <cell r="X111">
            <v>9658</v>
          </cell>
          <cell r="Y111">
            <v>0</v>
          </cell>
          <cell r="Z111">
            <v>0</v>
          </cell>
          <cell r="AA111">
            <v>640</v>
          </cell>
          <cell r="AB111">
            <v>-210</v>
          </cell>
          <cell r="AC111">
            <v>0</v>
          </cell>
          <cell r="AD111">
            <v>430</v>
          </cell>
          <cell r="AE111">
            <v>10088</v>
          </cell>
          <cell r="AF111">
            <v>443.1</v>
          </cell>
          <cell r="AH111">
            <v>0</v>
          </cell>
          <cell r="AI111">
            <v>9000</v>
          </cell>
          <cell r="AJ111">
            <v>9443.1</v>
          </cell>
          <cell r="AK111">
            <v>644.89999999999964</v>
          </cell>
          <cell r="AL111">
            <v>32</v>
          </cell>
          <cell r="AM111">
            <v>2000</v>
          </cell>
          <cell r="AN111">
            <v>7612.9</v>
          </cell>
          <cell r="AO111">
            <v>7610</v>
          </cell>
          <cell r="AP111">
            <v>9610</v>
          </cell>
          <cell r="AQ111">
            <v>1</v>
          </cell>
          <cell r="AR111">
            <v>4</v>
          </cell>
        </row>
        <row r="112">
          <cell r="D112" t="str">
            <v>A636</v>
          </cell>
          <cell r="E112" t="str">
            <v>Nguyễn Văn Thu</v>
          </cell>
          <cell r="F112" t="str">
            <v>TXBVTV</v>
          </cell>
          <cell r="G112" t="str">
            <v>BAOVE</v>
          </cell>
          <cell r="H112" t="str">
            <v>T9/15</v>
          </cell>
          <cell r="I112" t="str">
            <v>10.I</v>
          </cell>
          <cell r="J112">
            <v>3937.5</v>
          </cell>
          <cell r="K112">
            <v>0</v>
          </cell>
          <cell r="L112">
            <v>28</v>
          </cell>
          <cell r="M112">
            <v>1</v>
          </cell>
          <cell r="N112">
            <v>0</v>
          </cell>
          <cell r="O112">
            <v>0</v>
          </cell>
          <cell r="P112">
            <v>0</v>
          </cell>
          <cell r="Q112">
            <v>2</v>
          </cell>
          <cell r="R112">
            <v>31</v>
          </cell>
          <cell r="S112">
            <v>24</v>
          </cell>
          <cell r="T112">
            <v>0</v>
          </cell>
          <cell r="U112">
            <v>12</v>
          </cell>
          <cell r="V112">
            <v>4069</v>
          </cell>
          <cell r="W112">
            <v>1181</v>
          </cell>
          <cell r="X112">
            <v>5250</v>
          </cell>
          <cell r="Y112">
            <v>2310.5981749999992</v>
          </cell>
          <cell r="Z112">
            <v>240</v>
          </cell>
          <cell r="AA112">
            <v>0</v>
          </cell>
          <cell r="AB112">
            <v>0</v>
          </cell>
          <cell r="AC112">
            <v>0</v>
          </cell>
          <cell r="AD112">
            <v>2550.5981749999992</v>
          </cell>
          <cell r="AE112">
            <v>7801</v>
          </cell>
          <cell r="AF112">
            <v>413.4375</v>
          </cell>
          <cell r="AH112">
            <v>0</v>
          </cell>
          <cell r="AI112">
            <v>9000</v>
          </cell>
          <cell r="AJ112">
            <v>9413.4375</v>
          </cell>
          <cell r="AK112">
            <v>-1612.4375</v>
          </cell>
          <cell r="AL112">
            <v>0</v>
          </cell>
          <cell r="AM112">
            <v>2000</v>
          </cell>
          <cell r="AN112">
            <v>5387.5625</v>
          </cell>
          <cell r="AO112">
            <v>5390</v>
          </cell>
          <cell r="AP112">
            <v>7390</v>
          </cell>
          <cell r="AQ112">
            <v>1</v>
          </cell>
          <cell r="AR112">
            <v>1</v>
          </cell>
        </row>
        <row r="113">
          <cell r="D113" t="str">
            <v>A625</v>
          </cell>
          <cell r="E113" t="str">
            <v>Huỳnh Thị Mỹ Vân</v>
          </cell>
          <cell r="F113" t="str">
            <v>CII.4</v>
          </cell>
          <cell r="G113" t="str">
            <v>công nhân</v>
          </cell>
          <cell r="H113" t="str">
            <v>T9/15</v>
          </cell>
          <cell r="I113" t="str">
            <v>7.I</v>
          </cell>
          <cell r="J113">
            <v>4290</v>
          </cell>
          <cell r="K113">
            <v>8</v>
          </cell>
          <cell r="L113">
            <v>0</v>
          </cell>
          <cell r="M113">
            <v>1</v>
          </cell>
          <cell r="N113">
            <v>0</v>
          </cell>
          <cell r="O113">
            <v>0</v>
          </cell>
          <cell r="P113">
            <v>16</v>
          </cell>
          <cell r="Q113">
            <v>2</v>
          </cell>
          <cell r="R113">
            <v>27</v>
          </cell>
          <cell r="S113">
            <v>96</v>
          </cell>
          <cell r="T113">
            <v>24</v>
          </cell>
          <cell r="U113">
            <v>0</v>
          </cell>
          <cell r="V113">
            <v>5053</v>
          </cell>
          <cell r="W113">
            <v>3813</v>
          </cell>
          <cell r="X113">
            <v>8866</v>
          </cell>
          <cell r="Y113">
            <v>0</v>
          </cell>
          <cell r="Z113">
            <v>0</v>
          </cell>
          <cell r="AA113">
            <v>640</v>
          </cell>
          <cell r="AB113">
            <v>210</v>
          </cell>
          <cell r="AC113">
            <v>0</v>
          </cell>
          <cell r="AD113">
            <v>850</v>
          </cell>
          <cell r="AE113">
            <v>9716</v>
          </cell>
          <cell r="AF113">
            <v>443.1</v>
          </cell>
          <cell r="AH113">
            <v>0</v>
          </cell>
          <cell r="AI113">
            <v>9000</v>
          </cell>
          <cell r="AJ113">
            <v>9443.1</v>
          </cell>
          <cell r="AK113">
            <v>272.89999999999964</v>
          </cell>
          <cell r="AL113">
            <v>14</v>
          </cell>
          <cell r="AM113">
            <v>2000</v>
          </cell>
          <cell r="AN113">
            <v>7258.9</v>
          </cell>
          <cell r="AO113">
            <v>7260</v>
          </cell>
          <cell r="AP113">
            <v>9260</v>
          </cell>
          <cell r="AQ113">
            <v>1</v>
          </cell>
          <cell r="AR113">
            <v>5</v>
          </cell>
        </row>
        <row r="114">
          <cell r="D114" t="str">
            <v>A645</v>
          </cell>
          <cell r="E114" t="str">
            <v>Đỗ Nhật Quan</v>
          </cell>
          <cell r="F114" t="str">
            <v>CI.1</v>
          </cell>
          <cell r="G114" t="str">
            <v>công nhân</v>
          </cell>
          <cell r="H114" t="str">
            <v>T11/15</v>
          </cell>
          <cell r="I114" t="str">
            <v>7.I</v>
          </cell>
          <cell r="J114">
            <v>4290</v>
          </cell>
          <cell r="K114">
            <v>7</v>
          </cell>
          <cell r="L114">
            <v>2</v>
          </cell>
          <cell r="M114">
            <v>1</v>
          </cell>
          <cell r="N114">
            <v>0</v>
          </cell>
          <cell r="O114">
            <v>0</v>
          </cell>
          <cell r="P114">
            <v>6</v>
          </cell>
          <cell r="Q114">
            <v>0</v>
          </cell>
          <cell r="R114">
            <v>16</v>
          </cell>
          <cell r="S114">
            <v>54</v>
          </cell>
          <cell r="T114">
            <v>12</v>
          </cell>
          <cell r="U114">
            <v>0</v>
          </cell>
          <cell r="V114">
            <v>2828</v>
          </cell>
          <cell r="W114">
            <v>2085</v>
          </cell>
          <cell r="X114">
            <v>4913</v>
          </cell>
          <cell r="Y114">
            <v>0</v>
          </cell>
          <cell r="Z114">
            <v>0</v>
          </cell>
          <cell r="AA114">
            <v>304</v>
          </cell>
          <cell r="AB114">
            <v>-70</v>
          </cell>
          <cell r="AC114">
            <v>0</v>
          </cell>
          <cell r="AD114">
            <v>234</v>
          </cell>
          <cell r="AE114">
            <v>5147</v>
          </cell>
          <cell r="AF114">
            <v>443.1</v>
          </cell>
          <cell r="AH114">
            <v>0</v>
          </cell>
          <cell r="AI114">
            <v>9000</v>
          </cell>
          <cell r="AJ114">
            <v>9443.1</v>
          </cell>
          <cell r="AK114">
            <v>-4296.1000000000004</v>
          </cell>
          <cell r="AL114">
            <v>0</v>
          </cell>
          <cell r="AM114">
            <v>2000</v>
          </cell>
          <cell r="AN114">
            <v>2703.8999999999996</v>
          </cell>
          <cell r="AO114">
            <v>2710</v>
          </cell>
          <cell r="AP114">
            <v>4710</v>
          </cell>
          <cell r="AQ114">
            <v>1</v>
          </cell>
          <cell r="AR114">
            <v>2</v>
          </cell>
        </row>
        <row r="115">
          <cell r="D115" t="str">
            <v>A648</v>
          </cell>
          <cell r="E115" t="str">
            <v>Bùi Văn Tài</v>
          </cell>
          <cell r="F115" t="str">
            <v>EN</v>
          </cell>
          <cell r="G115" t="str">
            <v>công nhân</v>
          </cell>
          <cell r="H115" t="str">
            <v>T11/15</v>
          </cell>
          <cell r="I115" t="str">
            <v>7.I</v>
          </cell>
          <cell r="J115">
            <v>4290</v>
          </cell>
          <cell r="K115">
            <v>9</v>
          </cell>
          <cell r="L115">
            <v>0</v>
          </cell>
          <cell r="M115">
            <v>1</v>
          </cell>
          <cell r="N115">
            <v>0</v>
          </cell>
          <cell r="O115">
            <v>0</v>
          </cell>
          <cell r="P115">
            <v>6</v>
          </cell>
          <cell r="Q115">
            <v>0</v>
          </cell>
          <cell r="R115">
            <v>16</v>
          </cell>
          <cell r="S115">
            <v>60</v>
          </cell>
          <cell r="T115">
            <v>0</v>
          </cell>
          <cell r="U115">
            <v>0</v>
          </cell>
          <cell r="V115">
            <v>2828</v>
          </cell>
          <cell r="W115">
            <v>1788</v>
          </cell>
          <cell r="X115">
            <v>4616</v>
          </cell>
          <cell r="Y115">
            <v>0</v>
          </cell>
          <cell r="Z115">
            <v>64</v>
          </cell>
          <cell r="AA115">
            <v>336</v>
          </cell>
          <cell r="AB115">
            <v>-70</v>
          </cell>
          <cell r="AC115">
            <v>0</v>
          </cell>
          <cell r="AD115">
            <v>330</v>
          </cell>
          <cell r="AE115">
            <v>4946</v>
          </cell>
          <cell r="AF115">
            <v>443.1</v>
          </cell>
          <cell r="AH115">
            <v>0</v>
          </cell>
          <cell r="AI115">
            <v>9000</v>
          </cell>
          <cell r="AJ115">
            <v>9443.1</v>
          </cell>
          <cell r="AK115">
            <v>-4497.1000000000004</v>
          </cell>
          <cell r="AL115">
            <v>0</v>
          </cell>
          <cell r="AM115">
            <v>2000</v>
          </cell>
          <cell r="AN115">
            <v>2502.8999999999996</v>
          </cell>
          <cell r="AO115">
            <v>2500</v>
          </cell>
          <cell r="AP115">
            <v>4500</v>
          </cell>
          <cell r="AQ115">
            <v>1</v>
          </cell>
          <cell r="AR115">
            <v>0.5</v>
          </cell>
        </row>
        <row r="116">
          <cell r="D116" t="str">
            <v>A658</v>
          </cell>
          <cell r="E116" t="str">
            <v>Đặng Ngọc Hân</v>
          </cell>
          <cell r="F116" t="str">
            <v>EN</v>
          </cell>
          <cell r="G116" t="str">
            <v>Công nhân</v>
          </cell>
          <cell r="H116" t="str">
            <v>T12/15</v>
          </cell>
          <cell r="I116" t="str">
            <v>7.I</v>
          </cell>
          <cell r="J116">
            <v>4290</v>
          </cell>
          <cell r="K116">
            <v>9</v>
          </cell>
          <cell r="L116">
            <v>0</v>
          </cell>
          <cell r="M116">
            <v>1</v>
          </cell>
          <cell r="N116">
            <v>0</v>
          </cell>
          <cell r="O116">
            <v>0</v>
          </cell>
          <cell r="P116">
            <v>6</v>
          </cell>
          <cell r="Q116">
            <v>0</v>
          </cell>
          <cell r="R116">
            <v>16</v>
          </cell>
          <cell r="S116">
            <v>60</v>
          </cell>
          <cell r="T116">
            <v>8</v>
          </cell>
          <cell r="U116">
            <v>0</v>
          </cell>
          <cell r="V116">
            <v>2828</v>
          </cell>
          <cell r="W116">
            <v>2105</v>
          </cell>
          <cell r="X116">
            <v>4933</v>
          </cell>
          <cell r="Y116">
            <v>0</v>
          </cell>
          <cell r="Z116">
            <v>0</v>
          </cell>
          <cell r="AA116">
            <v>336</v>
          </cell>
          <cell r="AB116">
            <v>-70</v>
          </cell>
          <cell r="AC116">
            <v>0</v>
          </cell>
          <cell r="AD116">
            <v>266</v>
          </cell>
          <cell r="AE116">
            <v>5199</v>
          </cell>
          <cell r="AF116">
            <v>443.1</v>
          </cell>
          <cell r="AH116">
            <v>0</v>
          </cell>
          <cell r="AI116">
            <v>9000</v>
          </cell>
          <cell r="AJ116">
            <v>9443.1</v>
          </cell>
          <cell r="AK116">
            <v>-4244.1000000000004</v>
          </cell>
          <cell r="AL116">
            <v>0</v>
          </cell>
          <cell r="AM116">
            <v>2000</v>
          </cell>
          <cell r="AN116">
            <v>2755.8999999999996</v>
          </cell>
          <cell r="AO116">
            <v>2760</v>
          </cell>
          <cell r="AP116">
            <v>4760</v>
          </cell>
          <cell r="AQ116">
            <v>1</v>
          </cell>
          <cell r="AR116">
            <v>2</v>
          </cell>
        </row>
        <row r="117">
          <cell r="D117" t="str">
            <v>A664</v>
          </cell>
          <cell r="E117" t="str">
            <v>Huỳnh Thanh Tâm</v>
          </cell>
          <cell r="F117" t="str">
            <v>EN</v>
          </cell>
          <cell r="G117" t="str">
            <v>QUANLY</v>
          </cell>
          <cell r="H117" t="str">
            <v>T12/15</v>
          </cell>
          <cell r="I117" t="str">
            <v>7.VIII</v>
          </cell>
          <cell r="J117">
            <v>4970</v>
          </cell>
          <cell r="K117">
            <v>3</v>
          </cell>
          <cell r="L117">
            <v>12</v>
          </cell>
          <cell r="M117">
            <v>1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16</v>
          </cell>
          <cell r="S117">
            <v>24.5</v>
          </cell>
          <cell r="T117">
            <v>0</v>
          </cell>
          <cell r="U117">
            <v>0</v>
          </cell>
          <cell r="V117">
            <v>2945</v>
          </cell>
          <cell r="W117">
            <v>846</v>
          </cell>
          <cell r="X117">
            <v>3791</v>
          </cell>
          <cell r="Y117">
            <v>2582.5185185185187</v>
          </cell>
          <cell r="Z117">
            <v>80</v>
          </cell>
          <cell r="AA117">
            <v>48</v>
          </cell>
          <cell r="AB117">
            <v>-150</v>
          </cell>
          <cell r="AC117">
            <v>0</v>
          </cell>
          <cell r="AD117">
            <v>2560.5185185185187</v>
          </cell>
          <cell r="AE117">
            <v>6352</v>
          </cell>
          <cell r="AF117">
            <v>497.7</v>
          </cell>
          <cell r="AH117">
            <v>0</v>
          </cell>
          <cell r="AI117">
            <v>9000</v>
          </cell>
          <cell r="AJ117">
            <v>9497.7000000000007</v>
          </cell>
          <cell r="AK117">
            <v>-3145.7000000000007</v>
          </cell>
          <cell r="AL117">
            <v>0</v>
          </cell>
          <cell r="AM117">
            <v>3000</v>
          </cell>
          <cell r="AN117">
            <v>2854.3</v>
          </cell>
          <cell r="AO117">
            <v>2860</v>
          </cell>
          <cell r="AP117">
            <v>5860</v>
          </cell>
          <cell r="AQ117">
            <v>1</v>
          </cell>
          <cell r="AR117">
            <v>6.5</v>
          </cell>
        </row>
        <row r="118">
          <cell r="D118" t="str">
            <v>A666</v>
          </cell>
          <cell r="E118" t="str">
            <v>Trần Thị Ngọc Hạnh</v>
          </cell>
          <cell r="F118" t="str">
            <v>QCX</v>
          </cell>
          <cell r="G118" t="str">
            <v>Công nhân</v>
          </cell>
          <cell r="H118" t="str">
            <v>T12/15</v>
          </cell>
          <cell r="I118" t="str">
            <v>8.I</v>
          </cell>
          <cell r="J118">
            <v>4220</v>
          </cell>
          <cell r="K118">
            <v>0</v>
          </cell>
          <cell r="L118">
            <v>14.5</v>
          </cell>
          <cell r="M118">
            <v>1</v>
          </cell>
          <cell r="N118">
            <v>0</v>
          </cell>
          <cell r="O118">
            <v>0</v>
          </cell>
          <cell r="P118">
            <v>0</v>
          </cell>
          <cell r="Q118">
            <v>0.5</v>
          </cell>
          <cell r="R118">
            <v>16</v>
          </cell>
          <cell r="S118">
            <v>13</v>
          </cell>
          <cell r="T118">
            <v>8</v>
          </cell>
          <cell r="U118">
            <v>0</v>
          </cell>
          <cell r="V118">
            <v>2501</v>
          </cell>
          <cell r="W118">
            <v>694</v>
          </cell>
          <cell r="X118">
            <v>3195</v>
          </cell>
          <cell r="Y118">
            <v>0</v>
          </cell>
          <cell r="Z118">
            <v>16</v>
          </cell>
          <cell r="AA118">
            <v>0</v>
          </cell>
          <cell r="AB118">
            <v>-140</v>
          </cell>
          <cell r="AC118">
            <v>0</v>
          </cell>
          <cell r="AD118">
            <v>-124</v>
          </cell>
          <cell r="AE118">
            <v>3071</v>
          </cell>
          <cell r="AF118">
            <v>443.1</v>
          </cell>
          <cell r="AH118">
            <v>0</v>
          </cell>
          <cell r="AI118">
            <v>9000</v>
          </cell>
          <cell r="AJ118">
            <v>9443.1</v>
          </cell>
          <cell r="AK118">
            <v>-6372.1</v>
          </cell>
          <cell r="AL118">
            <v>0</v>
          </cell>
          <cell r="AM118">
            <v>2000</v>
          </cell>
          <cell r="AN118">
            <v>627.90000000000009</v>
          </cell>
          <cell r="AO118">
            <v>630</v>
          </cell>
          <cell r="AP118">
            <v>2630</v>
          </cell>
          <cell r="AQ118">
            <v>1</v>
          </cell>
          <cell r="AR118">
            <v>4</v>
          </cell>
        </row>
        <row r="119">
          <cell r="D119" t="str">
            <v>A669</v>
          </cell>
          <cell r="E119" t="str">
            <v>Nguyễn Văn Thi</v>
          </cell>
          <cell r="F119" t="str">
            <v>EN</v>
          </cell>
          <cell r="G119" t="str">
            <v>Công nhân</v>
          </cell>
          <cell r="H119" t="str">
            <v>T12/15</v>
          </cell>
          <cell r="I119" t="str">
            <v>7.I</v>
          </cell>
          <cell r="J119">
            <v>4290</v>
          </cell>
          <cell r="K119">
            <v>5</v>
          </cell>
          <cell r="L119">
            <v>0</v>
          </cell>
          <cell r="M119">
            <v>1</v>
          </cell>
          <cell r="N119">
            <v>0</v>
          </cell>
          <cell r="O119">
            <v>0</v>
          </cell>
          <cell r="P119">
            <v>9</v>
          </cell>
          <cell r="Q119">
            <v>1</v>
          </cell>
          <cell r="R119">
            <v>16</v>
          </cell>
          <cell r="S119">
            <v>60.5</v>
          </cell>
          <cell r="T119">
            <v>4</v>
          </cell>
          <cell r="U119">
            <v>0</v>
          </cell>
          <cell r="V119">
            <v>2971</v>
          </cell>
          <cell r="W119">
            <v>1961</v>
          </cell>
          <cell r="X119">
            <v>4932</v>
          </cell>
          <cell r="Y119">
            <v>237.03703703703704</v>
          </cell>
          <cell r="Z119">
            <v>16</v>
          </cell>
          <cell r="AA119">
            <v>368</v>
          </cell>
          <cell r="AB119">
            <v>-70</v>
          </cell>
          <cell r="AC119">
            <v>0</v>
          </cell>
          <cell r="AD119">
            <v>551.03703703703707</v>
          </cell>
          <cell r="AE119">
            <v>5483</v>
          </cell>
          <cell r="AF119">
            <v>443.1</v>
          </cell>
          <cell r="AH119">
            <v>0</v>
          </cell>
          <cell r="AI119">
            <v>9000</v>
          </cell>
          <cell r="AJ119">
            <v>9443.1</v>
          </cell>
          <cell r="AK119">
            <v>-3960.1000000000004</v>
          </cell>
          <cell r="AL119">
            <v>0</v>
          </cell>
          <cell r="AM119">
            <v>2000</v>
          </cell>
          <cell r="AN119">
            <v>3039.8999999999996</v>
          </cell>
          <cell r="AO119">
            <v>3040</v>
          </cell>
          <cell r="AP119">
            <v>5040</v>
          </cell>
          <cell r="AQ119">
            <v>1</v>
          </cell>
          <cell r="AR119">
            <v>7</v>
          </cell>
        </row>
        <row r="120">
          <cell r="D120" t="str">
            <v>A673</v>
          </cell>
          <cell r="E120" t="str">
            <v>Phan Trí Cường</v>
          </cell>
          <cell r="F120" t="str">
            <v>EN</v>
          </cell>
          <cell r="G120" t="str">
            <v>Công Nhân</v>
          </cell>
          <cell r="H120" t="str">
            <v>T12/15</v>
          </cell>
          <cell r="I120" t="str">
            <v>7.I</v>
          </cell>
          <cell r="J120">
            <v>4290</v>
          </cell>
          <cell r="K120">
            <v>9</v>
          </cell>
          <cell r="L120">
            <v>0</v>
          </cell>
          <cell r="M120">
            <v>1</v>
          </cell>
          <cell r="N120">
            <v>0</v>
          </cell>
          <cell r="O120">
            <v>0</v>
          </cell>
          <cell r="P120">
            <v>6</v>
          </cell>
          <cell r="Q120">
            <v>0</v>
          </cell>
          <cell r="R120">
            <v>16</v>
          </cell>
          <cell r="S120">
            <v>60</v>
          </cell>
          <cell r="T120">
            <v>24</v>
          </cell>
          <cell r="U120">
            <v>0</v>
          </cell>
          <cell r="V120">
            <v>2828</v>
          </cell>
          <cell r="W120">
            <v>2741</v>
          </cell>
          <cell r="X120">
            <v>5569</v>
          </cell>
          <cell r="Y120">
            <v>0</v>
          </cell>
          <cell r="Z120">
            <v>64</v>
          </cell>
          <cell r="AA120">
            <v>336</v>
          </cell>
          <cell r="AB120">
            <v>-70</v>
          </cell>
          <cell r="AC120">
            <v>0</v>
          </cell>
          <cell r="AD120">
            <v>330</v>
          </cell>
          <cell r="AE120">
            <v>5899</v>
          </cell>
          <cell r="AF120">
            <v>443.1</v>
          </cell>
          <cell r="AH120">
            <v>0</v>
          </cell>
          <cell r="AI120">
            <v>9000</v>
          </cell>
          <cell r="AJ120">
            <v>9443.1</v>
          </cell>
          <cell r="AK120">
            <v>-3544.1000000000004</v>
          </cell>
          <cell r="AL120">
            <v>0</v>
          </cell>
          <cell r="AM120">
            <v>1000</v>
          </cell>
          <cell r="AN120">
            <v>4455.8999999999996</v>
          </cell>
          <cell r="AO120">
            <v>4460</v>
          </cell>
          <cell r="AP120">
            <v>5460</v>
          </cell>
          <cell r="AQ120">
            <v>1</v>
          </cell>
          <cell r="AR120">
            <v>7</v>
          </cell>
        </row>
        <row r="121">
          <cell r="D121" t="str">
            <v>A681</v>
          </cell>
          <cell r="E121" t="str">
            <v>Lê Thị Kim Tho</v>
          </cell>
          <cell r="F121" t="str">
            <v>QCX</v>
          </cell>
          <cell r="G121" t="str">
            <v>Công nhân</v>
          </cell>
          <cell r="H121" t="str">
            <v>T12/15</v>
          </cell>
          <cell r="I121" t="str">
            <v>8.I</v>
          </cell>
          <cell r="J121">
            <v>4220</v>
          </cell>
          <cell r="K121">
            <v>4</v>
          </cell>
          <cell r="L121">
            <v>2</v>
          </cell>
          <cell r="M121">
            <v>1</v>
          </cell>
          <cell r="N121">
            <v>0</v>
          </cell>
          <cell r="O121">
            <v>0</v>
          </cell>
          <cell r="P121">
            <v>9</v>
          </cell>
          <cell r="Q121">
            <v>0</v>
          </cell>
          <cell r="R121">
            <v>16</v>
          </cell>
          <cell r="S121">
            <v>52</v>
          </cell>
          <cell r="T121">
            <v>8</v>
          </cell>
          <cell r="U121">
            <v>0</v>
          </cell>
          <cell r="V121">
            <v>2923</v>
          </cell>
          <cell r="W121">
            <v>1836</v>
          </cell>
          <cell r="X121">
            <v>4759</v>
          </cell>
          <cell r="Y121">
            <v>0</v>
          </cell>
          <cell r="Z121">
            <v>0</v>
          </cell>
          <cell r="AA121">
            <v>352</v>
          </cell>
          <cell r="AB121">
            <v>-140</v>
          </cell>
          <cell r="AC121">
            <v>0</v>
          </cell>
          <cell r="AD121">
            <v>212</v>
          </cell>
          <cell r="AE121">
            <v>4971</v>
          </cell>
          <cell r="AF121">
            <v>443.1</v>
          </cell>
          <cell r="AH121">
            <v>0</v>
          </cell>
          <cell r="AI121">
            <v>9000</v>
          </cell>
          <cell r="AJ121">
            <v>9443.1</v>
          </cell>
          <cell r="AK121">
            <v>-4472.1000000000004</v>
          </cell>
          <cell r="AL121">
            <v>0</v>
          </cell>
          <cell r="AM121">
            <v>2000</v>
          </cell>
          <cell r="AN121">
            <v>2527.8999999999996</v>
          </cell>
          <cell r="AO121">
            <v>2530</v>
          </cell>
          <cell r="AP121">
            <v>4530</v>
          </cell>
          <cell r="AQ121">
            <v>1</v>
          </cell>
          <cell r="AR121">
            <v>4.5</v>
          </cell>
        </row>
        <row r="122">
          <cell r="D122" t="str">
            <v>A687</v>
          </cell>
          <cell r="E122" t="str">
            <v>Lê Hoàng Trung</v>
          </cell>
          <cell r="F122" t="str">
            <v>GA</v>
          </cell>
          <cell r="G122" t="str">
            <v>Công nhân</v>
          </cell>
          <cell r="H122" t="str">
            <v>T12/15</v>
          </cell>
          <cell r="I122" t="str">
            <v>7.I</v>
          </cell>
          <cell r="J122">
            <v>4290</v>
          </cell>
          <cell r="K122">
            <v>11</v>
          </cell>
          <cell r="L122">
            <v>2</v>
          </cell>
          <cell r="M122">
            <v>1</v>
          </cell>
          <cell r="N122">
            <v>0</v>
          </cell>
          <cell r="O122">
            <v>0</v>
          </cell>
          <cell r="P122">
            <v>0</v>
          </cell>
          <cell r="Q122">
            <v>2</v>
          </cell>
          <cell r="R122">
            <v>16</v>
          </cell>
          <cell r="S122">
            <v>48.5</v>
          </cell>
          <cell r="T122">
            <v>12</v>
          </cell>
          <cell r="U122">
            <v>0</v>
          </cell>
          <cell r="V122">
            <v>2542</v>
          </cell>
          <cell r="W122">
            <v>1922</v>
          </cell>
          <cell r="X122">
            <v>4464</v>
          </cell>
          <cell r="Y122">
            <v>0</v>
          </cell>
          <cell r="Z122">
            <v>80</v>
          </cell>
          <cell r="AA122">
            <v>176</v>
          </cell>
          <cell r="AB122">
            <v>-70</v>
          </cell>
          <cell r="AC122">
            <v>0</v>
          </cell>
          <cell r="AD122">
            <v>186</v>
          </cell>
          <cell r="AE122">
            <v>4650</v>
          </cell>
          <cell r="AF122">
            <v>443.1</v>
          </cell>
          <cell r="AH122">
            <v>0</v>
          </cell>
          <cell r="AI122">
            <v>9000</v>
          </cell>
          <cell r="AJ122">
            <v>9443.1</v>
          </cell>
          <cell r="AK122">
            <v>-4793.1000000000004</v>
          </cell>
          <cell r="AL122">
            <v>0</v>
          </cell>
          <cell r="AM122">
            <v>2000</v>
          </cell>
          <cell r="AN122">
            <v>2206.8999999999996</v>
          </cell>
          <cell r="AO122">
            <v>2210</v>
          </cell>
          <cell r="AP122">
            <v>4210</v>
          </cell>
          <cell r="AQ122">
            <v>1</v>
          </cell>
          <cell r="AR122">
            <v>1.5</v>
          </cell>
        </row>
        <row r="123">
          <cell r="D123" t="str">
            <v>A697</v>
          </cell>
          <cell r="E123" t="str">
            <v>Lê Thanh Thảo</v>
          </cell>
          <cell r="F123" t="str">
            <v>EN</v>
          </cell>
          <cell r="G123" t="str">
            <v>Công nhân</v>
          </cell>
          <cell r="H123" t="str">
            <v>T12/15</v>
          </cell>
          <cell r="I123" t="str">
            <v>7.I</v>
          </cell>
          <cell r="J123">
            <v>4290</v>
          </cell>
          <cell r="K123">
            <v>4</v>
          </cell>
          <cell r="L123">
            <v>0</v>
          </cell>
          <cell r="M123">
            <v>1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5</v>
          </cell>
          <cell r="S123">
            <v>28</v>
          </cell>
          <cell r="T123">
            <v>12</v>
          </cell>
          <cell r="U123">
            <v>0</v>
          </cell>
          <cell r="V123">
            <v>794</v>
          </cell>
          <cell r="W123">
            <v>1311</v>
          </cell>
          <cell r="X123">
            <v>2105</v>
          </cell>
          <cell r="Y123">
            <v>0</v>
          </cell>
          <cell r="Z123">
            <v>0</v>
          </cell>
          <cell r="AA123">
            <v>64</v>
          </cell>
          <cell r="AB123">
            <v>-70</v>
          </cell>
          <cell r="AC123">
            <v>0</v>
          </cell>
          <cell r="AD123">
            <v>-6</v>
          </cell>
          <cell r="AE123">
            <v>2099</v>
          </cell>
          <cell r="AF123">
            <v>443.1</v>
          </cell>
          <cell r="AH123">
            <v>0</v>
          </cell>
          <cell r="AI123">
            <v>9000</v>
          </cell>
          <cell r="AJ123">
            <v>9443.1</v>
          </cell>
          <cell r="AK123">
            <v>-7344.1</v>
          </cell>
          <cell r="AL123">
            <v>0</v>
          </cell>
          <cell r="AM123">
            <v>2000</v>
          </cell>
          <cell r="AN123">
            <v>-344.09999999999991</v>
          </cell>
          <cell r="AO123">
            <v>-340</v>
          </cell>
          <cell r="AP123">
            <v>1660</v>
          </cell>
          <cell r="AQ123">
            <v>1</v>
          </cell>
          <cell r="AR123">
            <v>4.5</v>
          </cell>
        </row>
        <row r="124">
          <cell r="D124" t="str">
            <v>A698</v>
          </cell>
          <cell r="E124" t="str">
            <v>Tô Thị Mỹ Trang</v>
          </cell>
          <cell r="F124" t="str">
            <v>CI.1</v>
          </cell>
          <cell r="G124" t="str">
            <v>Công nhân</v>
          </cell>
          <cell r="H124" t="str">
            <v>T12/15</v>
          </cell>
          <cell r="I124" t="str">
            <v>8.I</v>
          </cell>
          <cell r="J124">
            <v>4220</v>
          </cell>
          <cell r="K124">
            <v>5</v>
          </cell>
          <cell r="L124">
            <v>0</v>
          </cell>
          <cell r="M124">
            <v>1</v>
          </cell>
          <cell r="N124">
            <v>0</v>
          </cell>
          <cell r="O124">
            <v>0</v>
          </cell>
          <cell r="P124">
            <v>9</v>
          </cell>
          <cell r="Q124">
            <v>1</v>
          </cell>
          <cell r="R124">
            <v>16</v>
          </cell>
          <cell r="S124">
            <v>56</v>
          </cell>
          <cell r="T124">
            <v>12</v>
          </cell>
          <cell r="U124">
            <v>0</v>
          </cell>
          <cell r="V124">
            <v>2923</v>
          </cell>
          <cell r="W124">
            <v>2110</v>
          </cell>
          <cell r="X124">
            <v>5033</v>
          </cell>
          <cell r="Y124">
            <v>118.51851851851852</v>
          </cell>
          <cell r="Z124">
            <v>288</v>
          </cell>
          <cell r="AA124">
            <v>368</v>
          </cell>
          <cell r="AB124">
            <v>0</v>
          </cell>
          <cell r="AC124">
            <v>0</v>
          </cell>
          <cell r="AD124">
            <v>774.51851851851848</v>
          </cell>
          <cell r="AE124">
            <v>5808</v>
          </cell>
          <cell r="AF124">
            <v>443.1</v>
          </cell>
          <cell r="AH124">
            <v>0</v>
          </cell>
          <cell r="AI124">
            <v>9000</v>
          </cell>
          <cell r="AJ124">
            <v>9443.1</v>
          </cell>
          <cell r="AK124">
            <v>-3635.1000000000004</v>
          </cell>
          <cell r="AL124">
            <v>0</v>
          </cell>
          <cell r="AM124">
            <v>2000</v>
          </cell>
          <cell r="AN124">
            <v>3364.8999999999996</v>
          </cell>
          <cell r="AO124">
            <v>3370</v>
          </cell>
          <cell r="AP124">
            <v>5370</v>
          </cell>
          <cell r="AQ124">
            <v>1</v>
          </cell>
          <cell r="AR124">
            <v>2.5</v>
          </cell>
        </row>
        <row r="125">
          <cell r="D125" t="str">
            <v>A063</v>
          </cell>
          <cell r="E125" t="str">
            <v>Nguyễn Thị Liễu</v>
          </cell>
          <cell r="F125" t="str">
            <v>EN</v>
          </cell>
          <cell r="G125" t="str">
            <v xml:space="preserve">Công nhân </v>
          </cell>
          <cell r="H125" t="str">
            <v>T7/09</v>
          </cell>
          <cell r="I125" t="str">
            <v>8.II</v>
          </cell>
          <cell r="J125">
            <v>4670</v>
          </cell>
          <cell r="K125">
            <v>5</v>
          </cell>
          <cell r="L125">
            <v>1</v>
          </cell>
          <cell r="M125">
            <v>1</v>
          </cell>
          <cell r="N125">
            <v>0</v>
          </cell>
          <cell r="O125">
            <v>0</v>
          </cell>
          <cell r="P125">
            <v>9</v>
          </cell>
          <cell r="Q125">
            <v>0</v>
          </cell>
          <cell r="R125">
            <v>16</v>
          </cell>
          <cell r="S125">
            <v>59</v>
          </cell>
          <cell r="T125">
            <v>8</v>
          </cell>
          <cell r="U125">
            <v>0</v>
          </cell>
          <cell r="V125">
            <v>3234</v>
          </cell>
          <cell r="W125">
            <v>2259</v>
          </cell>
          <cell r="X125">
            <v>5493</v>
          </cell>
          <cell r="Y125">
            <v>378.04562962962979</v>
          </cell>
          <cell r="Z125">
            <v>48</v>
          </cell>
          <cell r="AA125">
            <v>368</v>
          </cell>
          <cell r="AB125">
            <v>-70</v>
          </cell>
          <cell r="AC125">
            <v>0</v>
          </cell>
          <cell r="AD125">
            <v>724.04562962962973</v>
          </cell>
          <cell r="AE125">
            <v>6217</v>
          </cell>
          <cell r="AF125">
            <v>466.2</v>
          </cell>
          <cell r="AH125">
            <v>0</v>
          </cell>
          <cell r="AI125">
            <v>9000</v>
          </cell>
          <cell r="AJ125">
            <v>9466.2000000000007</v>
          </cell>
          <cell r="AK125">
            <v>-3249.2000000000007</v>
          </cell>
          <cell r="AL125">
            <v>0</v>
          </cell>
          <cell r="AM125">
            <v>2000</v>
          </cell>
          <cell r="AN125">
            <v>3750.8</v>
          </cell>
          <cell r="AO125">
            <v>3750</v>
          </cell>
          <cell r="AP125">
            <v>5750</v>
          </cell>
          <cell r="AQ125">
            <v>1</v>
          </cell>
          <cell r="AR125">
            <v>3.5</v>
          </cell>
        </row>
        <row r="126">
          <cell r="D126" t="str">
            <v>A702</v>
          </cell>
          <cell r="E126" t="str">
            <v>Lê Tùng Quân</v>
          </cell>
          <cell r="F126" t="str">
            <v>EN</v>
          </cell>
          <cell r="G126" t="str">
            <v>Công nhân</v>
          </cell>
          <cell r="H126" t="str">
            <v>T1/16</v>
          </cell>
          <cell r="I126" t="str">
            <v>7.I</v>
          </cell>
          <cell r="J126">
            <v>4290</v>
          </cell>
          <cell r="K126">
            <v>6</v>
          </cell>
          <cell r="L126">
            <v>0</v>
          </cell>
          <cell r="M126">
            <v>1</v>
          </cell>
          <cell r="N126">
            <v>0</v>
          </cell>
          <cell r="O126">
            <v>0</v>
          </cell>
          <cell r="P126">
            <v>9</v>
          </cell>
          <cell r="Q126">
            <v>0</v>
          </cell>
          <cell r="R126">
            <v>16</v>
          </cell>
          <cell r="S126">
            <v>66</v>
          </cell>
          <cell r="T126">
            <v>24</v>
          </cell>
          <cell r="U126">
            <v>0</v>
          </cell>
          <cell r="V126">
            <v>2971</v>
          </cell>
          <cell r="W126">
            <v>2920</v>
          </cell>
          <cell r="X126">
            <v>5891</v>
          </cell>
          <cell r="Y126">
            <v>0</v>
          </cell>
          <cell r="Z126">
            <v>32</v>
          </cell>
          <cell r="AA126">
            <v>384</v>
          </cell>
          <cell r="AB126">
            <v>-70</v>
          </cell>
          <cell r="AC126">
            <v>0</v>
          </cell>
          <cell r="AD126">
            <v>346</v>
          </cell>
          <cell r="AE126">
            <v>6237</v>
          </cell>
          <cell r="AF126">
            <v>443.1</v>
          </cell>
          <cell r="AH126">
            <v>0</v>
          </cell>
          <cell r="AI126">
            <v>9000</v>
          </cell>
          <cell r="AJ126">
            <v>9443.1</v>
          </cell>
          <cell r="AK126">
            <v>-3206.1000000000004</v>
          </cell>
          <cell r="AL126">
            <v>0</v>
          </cell>
          <cell r="AM126">
            <v>2000</v>
          </cell>
          <cell r="AN126">
            <v>3793.8999999999996</v>
          </cell>
          <cell r="AO126">
            <v>3800</v>
          </cell>
          <cell r="AP126">
            <v>5800</v>
          </cell>
          <cell r="AQ126">
            <v>1</v>
          </cell>
          <cell r="AR126">
            <v>12</v>
          </cell>
        </row>
        <row r="127">
          <cell r="D127" t="str">
            <v>A703</v>
          </cell>
          <cell r="E127" t="str">
            <v>Nguyễn Văn Danh</v>
          </cell>
          <cell r="F127" t="str">
            <v>EN</v>
          </cell>
          <cell r="G127" t="str">
            <v>Công nhân</v>
          </cell>
          <cell r="H127" t="str">
            <v>T1/16</v>
          </cell>
          <cell r="I127" t="str">
            <v>7.I</v>
          </cell>
          <cell r="J127">
            <v>4290</v>
          </cell>
          <cell r="K127">
            <v>9</v>
          </cell>
          <cell r="L127">
            <v>0</v>
          </cell>
          <cell r="M127">
            <v>1</v>
          </cell>
          <cell r="N127">
            <v>0</v>
          </cell>
          <cell r="O127">
            <v>0</v>
          </cell>
          <cell r="P127">
            <v>6</v>
          </cell>
          <cell r="Q127">
            <v>0</v>
          </cell>
          <cell r="R127">
            <v>16</v>
          </cell>
          <cell r="S127">
            <v>60</v>
          </cell>
          <cell r="T127">
            <v>0</v>
          </cell>
          <cell r="U127">
            <v>0</v>
          </cell>
          <cell r="V127">
            <v>2828</v>
          </cell>
          <cell r="W127">
            <v>1788</v>
          </cell>
          <cell r="X127">
            <v>4616</v>
          </cell>
          <cell r="Y127">
            <v>0</v>
          </cell>
          <cell r="Z127">
            <v>240</v>
          </cell>
          <cell r="AA127">
            <v>336</v>
          </cell>
          <cell r="AB127">
            <v>0</v>
          </cell>
          <cell r="AC127">
            <v>0</v>
          </cell>
          <cell r="AD127">
            <v>576</v>
          </cell>
          <cell r="AE127">
            <v>5192</v>
          </cell>
          <cell r="AF127">
            <v>443.1</v>
          </cell>
          <cell r="AH127">
            <v>0</v>
          </cell>
          <cell r="AI127">
            <v>9000</v>
          </cell>
          <cell r="AJ127">
            <v>9443.1</v>
          </cell>
          <cell r="AK127">
            <v>-4251.1000000000004</v>
          </cell>
          <cell r="AL127">
            <v>0</v>
          </cell>
          <cell r="AM127">
            <v>2000</v>
          </cell>
          <cell r="AN127">
            <v>2748.8999999999996</v>
          </cell>
          <cell r="AO127">
            <v>2750</v>
          </cell>
          <cell r="AP127">
            <v>4750</v>
          </cell>
          <cell r="AQ127">
            <v>1</v>
          </cell>
          <cell r="AR127">
            <v>5</v>
          </cell>
        </row>
        <row r="128">
          <cell r="D128" t="str">
            <v>A583</v>
          </cell>
          <cell r="E128" t="str">
            <v>Trần Quốc Bảo</v>
          </cell>
          <cell r="F128" t="str">
            <v>KHUON</v>
          </cell>
          <cell r="G128" t="str">
            <v>QUANLY</v>
          </cell>
          <cell r="H128" t="str">
            <v>T12/14</v>
          </cell>
          <cell r="I128" t="str">
            <v>5.I</v>
          </cell>
          <cell r="J128">
            <v>4740</v>
          </cell>
          <cell r="K128">
            <v>0</v>
          </cell>
          <cell r="L128">
            <v>14</v>
          </cell>
          <cell r="M128">
            <v>1</v>
          </cell>
          <cell r="N128">
            <v>0</v>
          </cell>
          <cell r="O128">
            <v>0</v>
          </cell>
          <cell r="P128">
            <v>0</v>
          </cell>
          <cell r="Q128">
            <v>1</v>
          </cell>
          <cell r="R128">
            <v>16</v>
          </cell>
          <cell r="S128">
            <v>0.5</v>
          </cell>
          <cell r="T128">
            <v>0</v>
          </cell>
          <cell r="U128">
            <v>0</v>
          </cell>
          <cell r="V128">
            <v>2809</v>
          </cell>
          <cell r="W128">
            <v>56</v>
          </cell>
          <cell r="X128">
            <v>2865</v>
          </cell>
          <cell r="Y128">
            <v>6672.5925925925922</v>
          </cell>
          <cell r="Z128">
            <v>0</v>
          </cell>
          <cell r="AA128">
            <v>0</v>
          </cell>
          <cell r="AB128">
            <v>-300</v>
          </cell>
          <cell r="AC128">
            <v>0</v>
          </cell>
          <cell r="AD128">
            <v>6372.5925925925922</v>
          </cell>
          <cell r="AE128">
            <v>9238</v>
          </cell>
          <cell r="AF128">
            <v>497.7</v>
          </cell>
          <cell r="AH128">
            <v>0</v>
          </cell>
          <cell r="AI128">
            <v>9000</v>
          </cell>
          <cell r="AJ128">
            <v>9497.7000000000007</v>
          </cell>
          <cell r="AK128">
            <v>-259.70000000000073</v>
          </cell>
          <cell r="AL128">
            <v>0</v>
          </cell>
          <cell r="AM128">
            <v>5000</v>
          </cell>
          <cell r="AN128">
            <v>3740.2999999999993</v>
          </cell>
          <cell r="AO128">
            <v>3740</v>
          </cell>
          <cell r="AP128">
            <v>8740</v>
          </cell>
          <cell r="AQ128">
            <v>1</v>
          </cell>
          <cell r="AR128">
            <v>0.5</v>
          </cell>
        </row>
        <row r="129">
          <cell r="D129" t="str">
            <v>A709</v>
          </cell>
          <cell r="E129" t="str">
            <v>Trần Văn Hoàng</v>
          </cell>
          <cell r="F129" t="str">
            <v>TXBVTV</v>
          </cell>
          <cell r="G129" t="str">
            <v>BAOVE</v>
          </cell>
          <cell r="H129" t="str">
            <v>T1/16</v>
          </cell>
          <cell r="I129" t="str">
            <v>10.I</v>
          </cell>
          <cell r="J129">
            <v>4220</v>
          </cell>
          <cell r="K129">
            <v>0</v>
          </cell>
          <cell r="L129">
            <v>18</v>
          </cell>
          <cell r="M129">
            <v>1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19</v>
          </cell>
          <cell r="S129">
            <v>0</v>
          </cell>
          <cell r="T129">
            <v>0</v>
          </cell>
          <cell r="U129">
            <v>12</v>
          </cell>
          <cell r="V129">
            <v>2673</v>
          </cell>
          <cell r="W129">
            <v>633</v>
          </cell>
          <cell r="X129">
            <v>3306</v>
          </cell>
          <cell r="Y129">
            <v>1147.5999999999999</v>
          </cell>
          <cell r="Z129">
            <v>0</v>
          </cell>
          <cell r="AA129">
            <v>0</v>
          </cell>
          <cell r="AB129">
            <v>-70</v>
          </cell>
          <cell r="AC129">
            <v>0</v>
          </cell>
          <cell r="AD129">
            <v>1077.5999999999999</v>
          </cell>
          <cell r="AE129">
            <v>4384</v>
          </cell>
          <cell r="AF129">
            <v>443.1</v>
          </cell>
          <cell r="AH129">
            <v>0</v>
          </cell>
          <cell r="AI129">
            <v>9000</v>
          </cell>
          <cell r="AJ129">
            <v>9443.1</v>
          </cell>
          <cell r="AK129">
            <v>-5059.1000000000004</v>
          </cell>
          <cell r="AL129">
            <v>0</v>
          </cell>
          <cell r="AM129">
            <v>2000</v>
          </cell>
          <cell r="AN129">
            <v>1940.9</v>
          </cell>
          <cell r="AO129">
            <v>1940</v>
          </cell>
          <cell r="AP129">
            <v>3940</v>
          </cell>
          <cell r="AQ129">
            <v>1</v>
          </cell>
          <cell r="AR129">
            <v>5</v>
          </cell>
        </row>
        <row r="130">
          <cell r="D130" t="str">
            <v>A713</v>
          </cell>
          <cell r="E130" t="str">
            <v>Lê Văn Quang</v>
          </cell>
          <cell r="F130" t="str">
            <v>TXBVTV</v>
          </cell>
          <cell r="G130" t="str">
            <v>BAOVE</v>
          </cell>
          <cell r="H130" t="str">
            <v>T1/16</v>
          </cell>
          <cell r="I130" t="str">
            <v>10.I</v>
          </cell>
          <cell r="J130">
            <v>3937.5</v>
          </cell>
          <cell r="K130">
            <v>0</v>
          </cell>
          <cell r="L130">
            <v>27</v>
          </cell>
          <cell r="M130">
            <v>1</v>
          </cell>
          <cell r="N130">
            <v>0</v>
          </cell>
          <cell r="O130">
            <v>0</v>
          </cell>
          <cell r="P130">
            <v>0</v>
          </cell>
          <cell r="Q130">
            <v>2</v>
          </cell>
          <cell r="R130">
            <v>30</v>
          </cell>
          <cell r="S130">
            <v>12</v>
          </cell>
          <cell r="T130">
            <v>12</v>
          </cell>
          <cell r="U130">
            <v>12</v>
          </cell>
          <cell r="V130">
            <v>3938</v>
          </cell>
          <cell r="W130">
            <v>1280</v>
          </cell>
          <cell r="X130">
            <v>5218</v>
          </cell>
          <cell r="Y130">
            <v>1862.5</v>
          </cell>
          <cell r="Z130">
            <v>272</v>
          </cell>
          <cell r="AA130">
            <v>0</v>
          </cell>
          <cell r="AB130">
            <v>-70</v>
          </cell>
          <cell r="AC130">
            <v>0</v>
          </cell>
          <cell r="AD130">
            <v>2064.5</v>
          </cell>
          <cell r="AE130">
            <v>7283</v>
          </cell>
          <cell r="AF130">
            <v>0</v>
          </cell>
          <cell r="AH130">
            <v>0</v>
          </cell>
          <cell r="AI130">
            <v>9000</v>
          </cell>
          <cell r="AJ130">
            <v>9000</v>
          </cell>
          <cell r="AK130">
            <v>-1717</v>
          </cell>
          <cell r="AL130">
            <v>0</v>
          </cell>
          <cell r="AM130">
            <v>2000</v>
          </cell>
          <cell r="AN130">
            <v>5283</v>
          </cell>
          <cell r="AO130">
            <v>5290</v>
          </cell>
          <cell r="AP130">
            <v>7290</v>
          </cell>
          <cell r="AQ130">
            <v>1</v>
          </cell>
          <cell r="AR130">
            <v>7</v>
          </cell>
        </row>
        <row r="131">
          <cell r="D131" t="str">
            <v>A717</v>
          </cell>
          <cell r="E131" t="str">
            <v>Ngô Nhất Linh</v>
          </cell>
          <cell r="F131" t="str">
            <v>Kho</v>
          </cell>
          <cell r="G131" t="str">
            <v>Công nhân</v>
          </cell>
          <cell r="H131" t="str">
            <v>T1/16</v>
          </cell>
          <cell r="I131" t="str">
            <v>7.I</v>
          </cell>
          <cell r="J131">
            <v>4290</v>
          </cell>
          <cell r="K131">
            <v>0</v>
          </cell>
          <cell r="L131">
            <v>26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27</v>
          </cell>
          <cell r="S131">
            <v>76</v>
          </cell>
          <cell r="T131">
            <v>0</v>
          </cell>
          <cell r="U131">
            <v>0</v>
          </cell>
          <cell r="V131">
            <v>4290</v>
          </cell>
          <cell r="W131">
            <v>2264</v>
          </cell>
          <cell r="X131">
            <v>6554</v>
          </cell>
          <cell r="Y131">
            <v>857.61481481481508</v>
          </cell>
          <cell r="Z131">
            <v>272</v>
          </cell>
          <cell r="AA131">
            <v>0</v>
          </cell>
          <cell r="AB131">
            <v>0</v>
          </cell>
          <cell r="AC131">
            <v>0</v>
          </cell>
          <cell r="AD131">
            <v>1129.614814814815</v>
          </cell>
          <cell r="AE131">
            <v>7684</v>
          </cell>
          <cell r="AF131">
            <v>443.1</v>
          </cell>
          <cell r="AH131">
            <v>0</v>
          </cell>
          <cell r="AI131">
            <v>9000</v>
          </cell>
          <cell r="AJ131">
            <v>9443.1</v>
          </cell>
          <cell r="AK131">
            <v>-1759.1000000000004</v>
          </cell>
          <cell r="AL131">
            <v>0</v>
          </cell>
          <cell r="AM131">
            <v>1000</v>
          </cell>
          <cell r="AN131">
            <v>6240.9</v>
          </cell>
          <cell r="AO131">
            <v>6240</v>
          </cell>
          <cell r="AP131">
            <v>7240</v>
          </cell>
          <cell r="AQ131">
            <v>1</v>
          </cell>
          <cell r="AR131">
            <v>8</v>
          </cell>
        </row>
        <row r="132">
          <cell r="D132" t="str">
            <v>A719</v>
          </cell>
          <cell r="E132" t="str">
            <v>Trần Văn Tuấn</v>
          </cell>
          <cell r="F132" t="str">
            <v>EN</v>
          </cell>
          <cell r="G132" t="str">
            <v>Công nhân</v>
          </cell>
          <cell r="H132" t="str">
            <v>T2/16</v>
          </cell>
          <cell r="I132" t="str">
            <v>8.I</v>
          </cell>
          <cell r="J132">
            <v>4220</v>
          </cell>
          <cell r="K132">
            <v>7</v>
          </cell>
          <cell r="L132">
            <v>0</v>
          </cell>
          <cell r="M132">
            <v>1</v>
          </cell>
          <cell r="N132">
            <v>0</v>
          </cell>
          <cell r="O132">
            <v>0</v>
          </cell>
          <cell r="P132">
            <v>6</v>
          </cell>
          <cell r="Q132">
            <v>2</v>
          </cell>
          <cell r="R132">
            <v>16</v>
          </cell>
          <cell r="S132">
            <v>52</v>
          </cell>
          <cell r="T132">
            <v>0</v>
          </cell>
          <cell r="U132">
            <v>0</v>
          </cell>
          <cell r="V132">
            <v>2782</v>
          </cell>
          <cell r="W132">
            <v>1524</v>
          </cell>
          <cell r="X132">
            <v>4306</v>
          </cell>
          <cell r="Y132">
            <v>0</v>
          </cell>
          <cell r="Z132">
            <v>32</v>
          </cell>
          <cell r="AA132">
            <v>304</v>
          </cell>
          <cell r="AB132">
            <v>-70</v>
          </cell>
          <cell r="AC132">
            <v>0</v>
          </cell>
          <cell r="AD132">
            <v>266</v>
          </cell>
          <cell r="AE132">
            <v>4572</v>
          </cell>
          <cell r="AF132">
            <v>443.1</v>
          </cell>
          <cell r="AH132">
            <v>0</v>
          </cell>
          <cell r="AI132">
            <v>9000</v>
          </cell>
          <cell r="AJ132">
            <v>9443.1</v>
          </cell>
          <cell r="AK132">
            <v>-4871.1000000000004</v>
          </cell>
          <cell r="AL132">
            <v>0</v>
          </cell>
          <cell r="AM132">
            <v>2000</v>
          </cell>
          <cell r="AN132">
            <v>2128.8999999999996</v>
          </cell>
          <cell r="AO132">
            <v>2130</v>
          </cell>
          <cell r="AP132">
            <v>4130</v>
          </cell>
          <cell r="AQ132">
            <v>1</v>
          </cell>
          <cell r="AR132">
            <v>1</v>
          </cell>
        </row>
        <row r="133">
          <cell r="D133" t="str">
            <v>A721</v>
          </cell>
          <cell r="E133" t="str">
            <v>Trương Tuấn Vũ</v>
          </cell>
          <cell r="F133" t="str">
            <v xml:space="preserve">XLN </v>
          </cell>
          <cell r="G133" t="str">
            <v>Công nhân</v>
          </cell>
          <cell r="H133" t="str">
            <v>T2/16</v>
          </cell>
          <cell r="I133" t="str">
            <v>8.I</v>
          </cell>
          <cell r="J133">
            <v>4220</v>
          </cell>
          <cell r="K133">
            <v>10</v>
          </cell>
          <cell r="L133">
            <v>2</v>
          </cell>
          <cell r="M133">
            <v>1</v>
          </cell>
          <cell r="N133">
            <v>0</v>
          </cell>
          <cell r="O133">
            <v>1</v>
          </cell>
          <cell r="P133">
            <v>13</v>
          </cell>
          <cell r="Q133">
            <v>0</v>
          </cell>
          <cell r="R133">
            <v>27</v>
          </cell>
          <cell r="S133">
            <v>119</v>
          </cell>
          <cell r="T133">
            <v>50</v>
          </cell>
          <cell r="U133">
            <v>0</v>
          </cell>
          <cell r="V133">
            <v>4876</v>
          </cell>
          <cell r="W133">
            <v>5441</v>
          </cell>
          <cell r="X133">
            <v>10317</v>
          </cell>
          <cell r="Y133">
            <v>0</v>
          </cell>
          <cell r="Z133">
            <v>0</v>
          </cell>
          <cell r="AA133">
            <v>592</v>
          </cell>
          <cell r="AB133">
            <v>-140</v>
          </cell>
          <cell r="AC133">
            <v>0</v>
          </cell>
          <cell r="AD133">
            <v>452</v>
          </cell>
          <cell r="AE133">
            <v>10769</v>
          </cell>
          <cell r="AF133">
            <v>443.1</v>
          </cell>
          <cell r="AH133">
            <v>0</v>
          </cell>
          <cell r="AI133">
            <v>9000</v>
          </cell>
          <cell r="AJ133">
            <v>9443.1</v>
          </cell>
          <cell r="AK133">
            <v>1325.8999999999996</v>
          </cell>
          <cell r="AL133">
            <v>66</v>
          </cell>
          <cell r="AM133">
            <v>2000</v>
          </cell>
          <cell r="AN133">
            <v>8259.9</v>
          </cell>
          <cell r="AO133">
            <v>8260</v>
          </cell>
          <cell r="AP133">
            <v>10260</v>
          </cell>
          <cell r="AQ133">
            <v>1</v>
          </cell>
          <cell r="AR133">
            <v>9.5</v>
          </cell>
        </row>
        <row r="134">
          <cell r="D134" t="str">
            <v>A722</v>
          </cell>
          <cell r="E134" t="str">
            <v>Vũ Văn Thụ</v>
          </cell>
          <cell r="F134" t="str">
            <v>TXBVTV</v>
          </cell>
          <cell r="G134" t="str">
            <v>BAOVE</v>
          </cell>
          <cell r="H134" t="str">
            <v>T2/16</v>
          </cell>
          <cell r="I134" t="str">
            <v>10.I</v>
          </cell>
          <cell r="J134">
            <v>4220</v>
          </cell>
          <cell r="K134">
            <v>0</v>
          </cell>
          <cell r="L134">
            <v>18</v>
          </cell>
          <cell r="M134">
            <v>1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19</v>
          </cell>
          <cell r="S134">
            <v>0</v>
          </cell>
          <cell r="T134">
            <v>0</v>
          </cell>
          <cell r="U134">
            <v>12</v>
          </cell>
          <cell r="V134">
            <v>2673</v>
          </cell>
          <cell r="W134">
            <v>633</v>
          </cell>
          <cell r="X134">
            <v>3306</v>
          </cell>
          <cell r="Y134">
            <v>944.93333333333328</v>
          </cell>
          <cell r="Z134">
            <v>16</v>
          </cell>
          <cell r="AA134">
            <v>0</v>
          </cell>
          <cell r="AB134">
            <v>-70</v>
          </cell>
          <cell r="AC134">
            <v>0</v>
          </cell>
          <cell r="AD134">
            <v>890.93333333333328</v>
          </cell>
          <cell r="AE134">
            <v>4197</v>
          </cell>
          <cell r="AF134">
            <v>443.1</v>
          </cell>
          <cell r="AH134">
            <v>0</v>
          </cell>
          <cell r="AI134">
            <v>9000</v>
          </cell>
          <cell r="AJ134">
            <v>9443.1</v>
          </cell>
          <cell r="AK134">
            <v>-5246.1</v>
          </cell>
          <cell r="AL134">
            <v>0</v>
          </cell>
          <cell r="AM134">
            <v>2000</v>
          </cell>
          <cell r="AN134">
            <v>1753.9</v>
          </cell>
          <cell r="AO134">
            <v>1760</v>
          </cell>
          <cell r="AP134">
            <v>3760</v>
          </cell>
          <cell r="AQ134">
            <v>1</v>
          </cell>
          <cell r="AR134">
            <v>3</v>
          </cell>
        </row>
        <row r="135">
          <cell r="D135" t="str">
            <v>A726</v>
          </cell>
          <cell r="E135" t="str">
            <v>Phan Thị Mỹ Trinh</v>
          </cell>
          <cell r="F135" t="str">
            <v>PHOI</v>
          </cell>
          <cell r="G135" t="str">
            <v>Công nhân</v>
          </cell>
          <cell r="H135" t="str">
            <v>T2/16</v>
          </cell>
          <cell r="I135" t="str">
            <v>8.I</v>
          </cell>
          <cell r="J135">
            <v>4220</v>
          </cell>
          <cell r="K135">
            <v>15</v>
          </cell>
          <cell r="L135">
            <v>0</v>
          </cell>
          <cell r="M135">
            <v>1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16</v>
          </cell>
          <cell r="S135">
            <v>67</v>
          </cell>
          <cell r="T135">
            <v>0</v>
          </cell>
          <cell r="U135">
            <v>0</v>
          </cell>
          <cell r="V135">
            <v>2501</v>
          </cell>
          <cell r="W135">
            <v>1963</v>
          </cell>
          <cell r="X135">
            <v>4464</v>
          </cell>
          <cell r="Y135">
            <v>0</v>
          </cell>
          <cell r="Z135">
            <v>0</v>
          </cell>
          <cell r="AA135">
            <v>240</v>
          </cell>
          <cell r="AB135">
            <v>-70</v>
          </cell>
          <cell r="AC135">
            <v>0</v>
          </cell>
          <cell r="AD135">
            <v>170</v>
          </cell>
          <cell r="AE135">
            <v>4634</v>
          </cell>
          <cell r="AF135">
            <v>443.1</v>
          </cell>
          <cell r="AH135">
            <v>0</v>
          </cell>
          <cell r="AI135">
            <v>9000</v>
          </cell>
          <cell r="AJ135">
            <v>9443.1</v>
          </cell>
          <cell r="AK135">
            <v>-4809.1000000000004</v>
          </cell>
          <cell r="AL135">
            <v>0</v>
          </cell>
          <cell r="AM135">
            <v>2000</v>
          </cell>
          <cell r="AN135">
            <v>2190.8999999999996</v>
          </cell>
          <cell r="AO135">
            <v>2190</v>
          </cell>
          <cell r="AP135">
            <v>4190</v>
          </cell>
          <cell r="AQ135">
            <v>1</v>
          </cell>
          <cell r="AR135">
            <v>5</v>
          </cell>
        </row>
        <row r="136">
          <cell r="D136" t="str">
            <v>A727</v>
          </cell>
          <cell r="E136" t="str">
            <v>Phan Văn Thành</v>
          </cell>
          <cell r="F136" t="str">
            <v>Kho</v>
          </cell>
          <cell r="G136" t="str">
            <v>Công nhân</v>
          </cell>
          <cell r="H136" t="str">
            <v>T2/16</v>
          </cell>
          <cell r="I136" t="str">
            <v>8.I</v>
          </cell>
          <cell r="J136">
            <v>4259</v>
          </cell>
          <cell r="K136">
            <v>4</v>
          </cell>
          <cell r="L136">
            <v>8.5</v>
          </cell>
          <cell r="M136">
            <v>1</v>
          </cell>
          <cell r="N136">
            <v>0</v>
          </cell>
          <cell r="O136">
            <v>0</v>
          </cell>
          <cell r="P136">
            <v>0</v>
          </cell>
          <cell r="Q136">
            <v>2.5</v>
          </cell>
          <cell r="R136">
            <v>16</v>
          </cell>
          <cell r="S136">
            <v>34.5</v>
          </cell>
          <cell r="T136">
            <v>11</v>
          </cell>
          <cell r="U136">
            <v>0</v>
          </cell>
          <cell r="V136">
            <v>2524</v>
          </cell>
          <cell r="W136">
            <v>1454</v>
          </cell>
          <cell r="X136">
            <v>3978</v>
          </cell>
          <cell r="Y136">
            <v>823.11111111111109</v>
          </cell>
          <cell r="Z136">
            <v>32</v>
          </cell>
          <cell r="AA136">
            <v>64</v>
          </cell>
          <cell r="AB136">
            <v>-70</v>
          </cell>
          <cell r="AC136">
            <v>0</v>
          </cell>
          <cell r="AD136">
            <v>849.11111111111109</v>
          </cell>
          <cell r="AE136">
            <v>4827</v>
          </cell>
          <cell r="AF136">
            <v>443.1</v>
          </cell>
          <cell r="AH136">
            <v>0</v>
          </cell>
          <cell r="AI136">
            <v>9000</v>
          </cell>
          <cell r="AJ136">
            <v>9443.1</v>
          </cell>
          <cell r="AK136">
            <v>-4616.1000000000004</v>
          </cell>
          <cell r="AL136">
            <v>0</v>
          </cell>
          <cell r="AM136">
            <v>2000</v>
          </cell>
          <cell r="AN136">
            <v>2383.8999999999996</v>
          </cell>
          <cell r="AO136">
            <v>2390</v>
          </cell>
          <cell r="AP136">
            <v>4390</v>
          </cell>
          <cell r="AQ136">
            <v>1</v>
          </cell>
          <cell r="AR136">
            <v>0</v>
          </cell>
        </row>
        <row r="137">
          <cell r="D137" t="str">
            <v>A728</v>
          </cell>
          <cell r="E137" t="str">
            <v>Nguyễn Văn Tuấn Linh</v>
          </cell>
          <cell r="F137" t="str">
            <v>EN</v>
          </cell>
          <cell r="G137" t="str">
            <v>Công nhân</v>
          </cell>
          <cell r="H137" t="str">
            <v>T2/16</v>
          </cell>
          <cell r="I137" t="str">
            <v>8.I</v>
          </cell>
          <cell r="J137">
            <v>4220</v>
          </cell>
          <cell r="K137">
            <v>9</v>
          </cell>
          <cell r="L137">
            <v>0</v>
          </cell>
          <cell r="M137">
            <v>1</v>
          </cell>
          <cell r="N137">
            <v>0</v>
          </cell>
          <cell r="O137">
            <v>0</v>
          </cell>
          <cell r="P137">
            <v>6</v>
          </cell>
          <cell r="Q137">
            <v>0</v>
          </cell>
          <cell r="R137">
            <v>16</v>
          </cell>
          <cell r="S137">
            <v>70</v>
          </cell>
          <cell r="T137">
            <v>16</v>
          </cell>
          <cell r="U137">
            <v>0</v>
          </cell>
          <cell r="V137">
            <v>2782</v>
          </cell>
          <cell r="W137">
            <v>2677</v>
          </cell>
          <cell r="X137">
            <v>5459</v>
          </cell>
          <cell r="Y137">
            <v>0</v>
          </cell>
          <cell r="Z137">
            <v>0</v>
          </cell>
          <cell r="AA137">
            <v>336</v>
          </cell>
          <cell r="AB137">
            <v>-70</v>
          </cell>
          <cell r="AC137">
            <v>0</v>
          </cell>
          <cell r="AD137">
            <v>266</v>
          </cell>
          <cell r="AE137">
            <v>5725</v>
          </cell>
          <cell r="AF137">
            <v>443.1</v>
          </cell>
          <cell r="AH137">
            <v>0</v>
          </cell>
          <cell r="AI137">
            <v>9000</v>
          </cell>
          <cell r="AJ137">
            <v>9443.1</v>
          </cell>
          <cell r="AK137">
            <v>-3718.1000000000004</v>
          </cell>
          <cell r="AL137">
            <v>0</v>
          </cell>
          <cell r="AM137">
            <v>2000</v>
          </cell>
          <cell r="AN137">
            <v>3281.8999999999996</v>
          </cell>
          <cell r="AO137">
            <v>3280</v>
          </cell>
          <cell r="AP137">
            <v>5280</v>
          </cell>
          <cell r="AQ137">
            <v>1</v>
          </cell>
          <cell r="AR137">
            <v>5</v>
          </cell>
        </row>
        <row r="138">
          <cell r="D138" t="str">
            <v>A729</v>
          </cell>
          <cell r="E138" t="str">
            <v>Trương Văn Bé</v>
          </cell>
          <cell r="F138" t="str">
            <v>CII.1</v>
          </cell>
          <cell r="G138" t="str">
            <v>Công nhân</v>
          </cell>
          <cell r="H138" t="str">
            <v>T2/16</v>
          </cell>
          <cell r="I138" t="str">
            <v>8.I</v>
          </cell>
          <cell r="J138">
            <v>4220</v>
          </cell>
          <cell r="K138">
            <v>8</v>
          </cell>
          <cell r="L138">
            <v>2</v>
          </cell>
          <cell r="M138">
            <v>1</v>
          </cell>
          <cell r="N138">
            <v>0</v>
          </cell>
          <cell r="O138">
            <v>0</v>
          </cell>
          <cell r="P138">
            <v>3</v>
          </cell>
          <cell r="Q138">
            <v>0</v>
          </cell>
          <cell r="R138">
            <v>14</v>
          </cell>
          <cell r="S138">
            <v>44</v>
          </cell>
          <cell r="T138">
            <v>19</v>
          </cell>
          <cell r="U138">
            <v>0</v>
          </cell>
          <cell r="V138">
            <v>2329</v>
          </cell>
          <cell r="W138">
            <v>2032</v>
          </cell>
          <cell r="X138">
            <v>4361</v>
          </cell>
          <cell r="Y138">
            <v>0</v>
          </cell>
          <cell r="Z138">
            <v>0</v>
          </cell>
          <cell r="AA138">
            <v>224</v>
          </cell>
          <cell r="AB138">
            <v>-210</v>
          </cell>
          <cell r="AC138">
            <v>0</v>
          </cell>
          <cell r="AD138">
            <v>14</v>
          </cell>
          <cell r="AE138">
            <v>4375</v>
          </cell>
          <cell r="AF138">
            <v>443.1</v>
          </cell>
          <cell r="AH138">
            <v>0</v>
          </cell>
          <cell r="AI138">
            <v>9000</v>
          </cell>
          <cell r="AJ138">
            <v>9443.1</v>
          </cell>
          <cell r="AK138">
            <v>-5068.1000000000004</v>
          </cell>
          <cell r="AL138">
            <v>0</v>
          </cell>
          <cell r="AM138">
            <v>2000</v>
          </cell>
          <cell r="AN138">
            <v>1931.9</v>
          </cell>
          <cell r="AO138">
            <v>1930</v>
          </cell>
          <cell r="AP138">
            <v>3930</v>
          </cell>
          <cell r="AQ138">
            <v>1</v>
          </cell>
          <cell r="AR138">
            <v>1</v>
          </cell>
        </row>
        <row r="139">
          <cell r="D139" t="str">
            <v>A733</v>
          </cell>
          <cell r="E139" t="str">
            <v>Trương Văn Hải</v>
          </cell>
          <cell r="F139" t="str">
            <v>EN</v>
          </cell>
          <cell r="G139" t="str">
            <v>Công nhân</v>
          </cell>
          <cell r="H139" t="str">
            <v>T2/16</v>
          </cell>
          <cell r="I139" t="str">
            <v>8.I</v>
          </cell>
          <cell r="J139">
            <v>4220</v>
          </cell>
          <cell r="K139">
            <v>5</v>
          </cell>
          <cell r="L139">
            <v>0</v>
          </cell>
          <cell r="M139">
            <v>1</v>
          </cell>
          <cell r="N139">
            <v>0</v>
          </cell>
          <cell r="O139">
            <v>0</v>
          </cell>
          <cell r="P139">
            <v>9</v>
          </cell>
          <cell r="Q139">
            <v>1</v>
          </cell>
          <cell r="R139">
            <v>16</v>
          </cell>
          <cell r="S139">
            <v>56</v>
          </cell>
          <cell r="T139">
            <v>24</v>
          </cell>
          <cell r="U139">
            <v>0</v>
          </cell>
          <cell r="V139">
            <v>2923</v>
          </cell>
          <cell r="W139">
            <v>2579</v>
          </cell>
          <cell r="X139">
            <v>5502</v>
          </cell>
          <cell r="Y139">
            <v>0</v>
          </cell>
          <cell r="Z139">
            <v>0</v>
          </cell>
          <cell r="AA139">
            <v>368</v>
          </cell>
          <cell r="AB139">
            <v>-70</v>
          </cell>
          <cell r="AC139">
            <v>0</v>
          </cell>
          <cell r="AD139">
            <v>298</v>
          </cell>
          <cell r="AE139">
            <v>5800</v>
          </cell>
          <cell r="AF139">
            <v>443.1</v>
          </cell>
          <cell r="AH139">
            <v>0</v>
          </cell>
          <cell r="AI139">
            <v>9000</v>
          </cell>
          <cell r="AJ139">
            <v>9443.1</v>
          </cell>
          <cell r="AK139">
            <v>-3643.1000000000004</v>
          </cell>
          <cell r="AL139">
            <v>0</v>
          </cell>
          <cell r="AM139">
            <v>2000</v>
          </cell>
          <cell r="AN139">
            <v>3356.8999999999996</v>
          </cell>
          <cell r="AO139">
            <v>3360</v>
          </cell>
          <cell r="AP139">
            <v>5360</v>
          </cell>
          <cell r="AQ139">
            <v>1</v>
          </cell>
          <cell r="AR139">
            <v>3.5</v>
          </cell>
        </row>
        <row r="140">
          <cell r="D140" t="str">
            <v>A734</v>
          </cell>
          <cell r="E140" t="str">
            <v>Trương Chí Tâm</v>
          </cell>
          <cell r="F140" t="str">
            <v>EN</v>
          </cell>
          <cell r="G140" t="str">
            <v>Công nhân</v>
          </cell>
          <cell r="H140" t="str">
            <v>T2/16</v>
          </cell>
          <cell r="I140" t="str">
            <v>8.I</v>
          </cell>
          <cell r="J140">
            <v>4220</v>
          </cell>
          <cell r="K140">
            <v>5</v>
          </cell>
          <cell r="L140">
            <v>0</v>
          </cell>
          <cell r="M140">
            <v>1</v>
          </cell>
          <cell r="N140">
            <v>0</v>
          </cell>
          <cell r="O140">
            <v>0</v>
          </cell>
          <cell r="P140">
            <v>9</v>
          </cell>
          <cell r="Q140">
            <v>1</v>
          </cell>
          <cell r="R140">
            <v>16</v>
          </cell>
          <cell r="S140">
            <v>54</v>
          </cell>
          <cell r="T140">
            <v>0</v>
          </cell>
          <cell r="U140">
            <v>0</v>
          </cell>
          <cell r="V140">
            <v>2923</v>
          </cell>
          <cell r="W140">
            <v>1583</v>
          </cell>
          <cell r="X140">
            <v>4506</v>
          </cell>
          <cell r="Y140">
            <v>0</v>
          </cell>
          <cell r="Z140">
            <v>64</v>
          </cell>
          <cell r="AA140">
            <v>368</v>
          </cell>
          <cell r="AB140">
            <v>-70</v>
          </cell>
          <cell r="AC140">
            <v>0</v>
          </cell>
          <cell r="AD140">
            <v>362</v>
          </cell>
          <cell r="AE140">
            <v>4868</v>
          </cell>
          <cell r="AF140">
            <v>443.1</v>
          </cell>
          <cell r="AH140">
            <v>0</v>
          </cell>
          <cell r="AI140">
            <v>9000</v>
          </cell>
          <cell r="AJ140">
            <v>9443.1</v>
          </cell>
          <cell r="AK140">
            <v>-4575.1000000000004</v>
          </cell>
          <cell r="AL140">
            <v>0</v>
          </cell>
          <cell r="AM140">
            <v>2000</v>
          </cell>
          <cell r="AN140">
            <v>2424.8999999999996</v>
          </cell>
          <cell r="AO140">
            <v>2430</v>
          </cell>
          <cell r="AP140">
            <v>4430</v>
          </cell>
          <cell r="AQ140">
            <v>1</v>
          </cell>
          <cell r="AR140">
            <v>4</v>
          </cell>
        </row>
        <row r="141">
          <cell r="D141" t="str">
            <v>A747</v>
          </cell>
          <cell r="E141" t="str">
            <v>Bùi Minh Tâm</v>
          </cell>
          <cell r="F141" t="str">
            <v>CI.1</v>
          </cell>
          <cell r="G141" t="str">
            <v>Công Nhân</v>
          </cell>
          <cell r="H141" t="str">
            <v>T3/16</v>
          </cell>
          <cell r="I141" t="str">
            <v>8.I</v>
          </cell>
          <cell r="J141">
            <v>4220</v>
          </cell>
          <cell r="K141">
            <v>0</v>
          </cell>
          <cell r="L141">
            <v>0</v>
          </cell>
          <cell r="M141">
            <v>1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0</v>
          </cell>
          <cell r="T141">
            <v>0</v>
          </cell>
          <cell r="U141">
            <v>0</v>
          </cell>
          <cell r="V141">
            <v>156</v>
          </cell>
          <cell r="W141">
            <v>0</v>
          </cell>
          <cell r="X141">
            <v>156</v>
          </cell>
          <cell r="Y141">
            <v>0</v>
          </cell>
          <cell r="Z141">
            <v>32</v>
          </cell>
          <cell r="AA141">
            <v>0</v>
          </cell>
          <cell r="AB141">
            <v>-70</v>
          </cell>
          <cell r="AC141">
            <v>0</v>
          </cell>
          <cell r="AD141">
            <v>-38</v>
          </cell>
          <cell r="AE141">
            <v>118</v>
          </cell>
          <cell r="AF141">
            <v>443.1</v>
          </cell>
          <cell r="AH141">
            <v>0</v>
          </cell>
          <cell r="AI141">
            <v>9000</v>
          </cell>
          <cell r="AJ141">
            <v>9443.1</v>
          </cell>
          <cell r="AK141">
            <v>-9325.1</v>
          </cell>
          <cell r="AL141">
            <v>0</v>
          </cell>
          <cell r="AM141">
            <v>0</v>
          </cell>
          <cell r="AN141">
            <v>-325.10000000000002</v>
          </cell>
          <cell r="AO141">
            <v>-320</v>
          </cell>
          <cell r="AP141">
            <v>-320</v>
          </cell>
          <cell r="AQ141">
            <v>1</v>
          </cell>
          <cell r="AR141">
            <v>2.5</v>
          </cell>
        </row>
        <row r="142">
          <cell r="D142" t="str">
            <v>A752</v>
          </cell>
          <cell r="E142" t="str">
            <v>Đặng Hải Hưng</v>
          </cell>
          <cell r="F142" t="str">
            <v>Kho</v>
          </cell>
          <cell r="G142" t="str">
            <v>QUANLY</v>
          </cell>
          <cell r="H142" t="str">
            <v>T4/16</v>
          </cell>
          <cell r="I142" t="str">
            <v>6.I</v>
          </cell>
          <cell r="J142">
            <v>4361</v>
          </cell>
          <cell r="K142">
            <v>2</v>
          </cell>
          <cell r="L142">
            <v>12</v>
          </cell>
          <cell r="M142">
            <v>1</v>
          </cell>
          <cell r="N142">
            <v>0</v>
          </cell>
          <cell r="O142">
            <v>0</v>
          </cell>
          <cell r="P142">
            <v>0</v>
          </cell>
          <cell r="Q142">
            <v>12</v>
          </cell>
          <cell r="R142">
            <v>27</v>
          </cell>
          <cell r="S142">
            <v>11.5</v>
          </cell>
          <cell r="T142">
            <v>0</v>
          </cell>
          <cell r="U142">
            <v>0</v>
          </cell>
          <cell r="V142">
            <v>4361</v>
          </cell>
          <cell r="W142">
            <v>348</v>
          </cell>
          <cell r="X142">
            <v>4709</v>
          </cell>
          <cell r="Y142">
            <v>2503</v>
          </cell>
          <cell r="Z142">
            <v>32</v>
          </cell>
          <cell r="AA142">
            <v>32</v>
          </cell>
          <cell r="AB142">
            <v>-450</v>
          </cell>
          <cell r="AC142">
            <v>0</v>
          </cell>
          <cell r="AD142">
            <v>2117</v>
          </cell>
          <cell r="AE142">
            <v>6826</v>
          </cell>
          <cell r="AF142">
            <v>457.90499999999997</v>
          </cell>
          <cell r="AH142">
            <v>1</v>
          </cell>
          <cell r="AI142">
            <v>12600</v>
          </cell>
          <cell r="AJ142">
            <v>13057.905000000001</v>
          </cell>
          <cell r="AK142">
            <v>-6231.9050000000007</v>
          </cell>
          <cell r="AL142">
            <v>0</v>
          </cell>
          <cell r="AM142">
            <v>1000</v>
          </cell>
          <cell r="AN142">
            <v>5368.0950000000003</v>
          </cell>
          <cell r="AO142">
            <v>5370</v>
          </cell>
          <cell r="AP142">
            <v>6370</v>
          </cell>
          <cell r="AQ142">
            <v>1</v>
          </cell>
          <cell r="AR142">
            <v>0</v>
          </cell>
        </row>
        <row r="143">
          <cell r="D143" t="str">
            <v>A754</v>
          </cell>
          <cell r="E143" t="str">
            <v>Trần Đăng Huy</v>
          </cell>
          <cell r="F143" t="str">
            <v>CD</v>
          </cell>
          <cell r="G143" t="str">
            <v>Nhân viên bảo trì</v>
          </cell>
          <cell r="H143" t="str">
            <v>T4/16</v>
          </cell>
          <cell r="I143" t="str">
            <v>5.I</v>
          </cell>
          <cell r="J143">
            <v>5130</v>
          </cell>
          <cell r="K143">
            <v>22</v>
          </cell>
          <cell r="L143">
            <v>4</v>
          </cell>
          <cell r="M143">
            <v>1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27</v>
          </cell>
          <cell r="S143">
            <v>101</v>
          </cell>
          <cell r="T143">
            <v>51</v>
          </cell>
          <cell r="U143">
            <v>0</v>
          </cell>
          <cell r="V143">
            <v>5130</v>
          </cell>
          <cell r="W143">
            <v>6021</v>
          </cell>
          <cell r="X143">
            <v>11151</v>
          </cell>
          <cell r="Y143">
            <v>1630</v>
          </cell>
          <cell r="Z143">
            <v>16</v>
          </cell>
          <cell r="AA143">
            <v>352</v>
          </cell>
          <cell r="AB143">
            <v>-300</v>
          </cell>
          <cell r="AC143">
            <v>0</v>
          </cell>
          <cell r="AD143">
            <v>1698</v>
          </cell>
          <cell r="AE143">
            <v>12849</v>
          </cell>
          <cell r="AF143">
            <v>465.78</v>
          </cell>
          <cell r="AH143">
            <v>0</v>
          </cell>
          <cell r="AI143">
            <v>9000</v>
          </cell>
          <cell r="AJ143">
            <v>9465.7800000000007</v>
          </cell>
          <cell r="AK143">
            <v>3383.2199999999993</v>
          </cell>
          <cell r="AL143">
            <v>169</v>
          </cell>
          <cell r="AM143">
            <v>2000</v>
          </cell>
          <cell r="AN143">
            <v>10214.219999999999</v>
          </cell>
          <cell r="AO143">
            <v>10220</v>
          </cell>
          <cell r="AP143">
            <v>12220</v>
          </cell>
          <cell r="AQ143">
            <v>1</v>
          </cell>
          <cell r="AR143">
            <v>2</v>
          </cell>
        </row>
        <row r="144">
          <cell r="D144" t="str">
            <v>A760</v>
          </cell>
          <cell r="E144" t="str">
            <v>Lại Văn Thắng</v>
          </cell>
          <cell r="F144" t="str">
            <v>CII.4</v>
          </cell>
          <cell r="G144" t="str">
            <v>Phó ca xi mạ</v>
          </cell>
          <cell r="H144" t="str">
            <v>T5/16</v>
          </cell>
          <cell r="I144" t="str">
            <v>5.I</v>
          </cell>
          <cell r="J144">
            <v>4436</v>
          </cell>
          <cell r="K144">
            <v>13</v>
          </cell>
          <cell r="L144">
            <v>0</v>
          </cell>
          <cell r="M144">
            <v>1</v>
          </cell>
          <cell r="N144">
            <v>0</v>
          </cell>
          <cell r="O144">
            <v>0</v>
          </cell>
          <cell r="P144">
            <v>0</v>
          </cell>
          <cell r="Q144">
            <v>2</v>
          </cell>
          <cell r="R144">
            <v>16</v>
          </cell>
          <cell r="S144">
            <v>52</v>
          </cell>
          <cell r="T144">
            <v>24</v>
          </cell>
          <cell r="U144">
            <v>0</v>
          </cell>
          <cell r="V144">
            <v>2629</v>
          </cell>
          <cell r="W144">
            <v>2588</v>
          </cell>
          <cell r="X144">
            <v>5217</v>
          </cell>
          <cell r="Y144">
            <v>1592.8888888888889</v>
          </cell>
          <cell r="Z144">
            <v>0</v>
          </cell>
          <cell r="AA144">
            <v>208</v>
          </cell>
          <cell r="AB144">
            <v>150</v>
          </cell>
          <cell r="AC144">
            <v>0</v>
          </cell>
          <cell r="AD144">
            <v>1950.8888888888889</v>
          </cell>
          <cell r="AE144">
            <v>7168</v>
          </cell>
          <cell r="AF144">
            <v>465.78</v>
          </cell>
          <cell r="AH144">
            <v>0</v>
          </cell>
          <cell r="AI144">
            <v>9000</v>
          </cell>
          <cell r="AJ144">
            <v>9465.7800000000007</v>
          </cell>
          <cell r="AK144">
            <v>-2297.7800000000007</v>
          </cell>
          <cell r="AL144">
            <v>0</v>
          </cell>
          <cell r="AM144">
            <v>2000</v>
          </cell>
          <cell r="AN144">
            <v>4702.22</v>
          </cell>
          <cell r="AO144">
            <v>4700</v>
          </cell>
          <cell r="AP144">
            <v>6700</v>
          </cell>
          <cell r="AQ144">
            <v>1</v>
          </cell>
          <cell r="AR144">
            <v>4</v>
          </cell>
        </row>
        <row r="145">
          <cell r="D145" t="str">
            <v>A761</v>
          </cell>
          <cell r="E145" t="str">
            <v>Nguyễn Nhật Trường</v>
          </cell>
          <cell r="F145" t="str">
            <v>EN</v>
          </cell>
          <cell r="G145" t="str">
            <v>Kỹ thuật</v>
          </cell>
          <cell r="H145" t="str">
            <v>T5/16</v>
          </cell>
          <cell r="I145" t="str">
            <v>4.VII</v>
          </cell>
          <cell r="J145">
            <v>5390</v>
          </cell>
          <cell r="K145">
            <v>6</v>
          </cell>
          <cell r="L145">
            <v>0</v>
          </cell>
          <cell r="M145">
            <v>1</v>
          </cell>
          <cell r="N145">
            <v>0</v>
          </cell>
          <cell r="O145">
            <v>1</v>
          </cell>
          <cell r="P145">
            <v>8</v>
          </cell>
          <cell r="Q145">
            <v>0</v>
          </cell>
          <cell r="R145">
            <v>16</v>
          </cell>
          <cell r="S145">
            <v>56</v>
          </cell>
          <cell r="T145">
            <v>12</v>
          </cell>
          <cell r="U145">
            <v>0</v>
          </cell>
          <cell r="V145">
            <v>3733</v>
          </cell>
          <cell r="W145">
            <v>2695</v>
          </cell>
          <cell r="X145">
            <v>6428</v>
          </cell>
          <cell r="Y145">
            <v>1120</v>
          </cell>
          <cell r="Z145">
            <v>32</v>
          </cell>
          <cell r="AA145">
            <v>368</v>
          </cell>
          <cell r="AB145">
            <v>0</v>
          </cell>
          <cell r="AC145">
            <v>0</v>
          </cell>
          <cell r="AD145">
            <v>1520</v>
          </cell>
          <cell r="AE145">
            <v>7948</v>
          </cell>
          <cell r="AF145">
            <v>540.75</v>
          </cell>
          <cell r="AH145">
            <v>0</v>
          </cell>
          <cell r="AI145">
            <v>9000</v>
          </cell>
          <cell r="AJ145">
            <v>9540.75</v>
          </cell>
          <cell r="AK145">
            <v>-1592.75</v>
          </cell>
          <cell r="AL145">
            <v>0</v>
          </cell>
          <cell r="AM145">
            <v>2000</v>
          </cell>
          <cell r="AN145">
            <v>5407.25</v>
          </cell>
          <cell r="AO145">
            <v>5410</v>
          </cell>
          <cell r="AP145">
            <v>7410</v>
          </cell>
          <cell r="AQ145">
            <v>1</v>
          </cell>
          <cell r="AR145">
            <v>5</v>
          </cell>
        </row>
        <row r="146">
          <cell r="D146" t="str">
            <v>A145</v>
          </cell>
          <cell r="E146" t="str">
            <v>Bùi Thị Linh</v>
          </cell>
          <cell r="F146" t="str">
            <v>PHOI</v>
          </cell>
          <cell r="G146" t="str">
            <v>công nhân</v>
          </cell>
          <cell r="H146" t="str">
            <v>T9/10</v>
          </cell>
          <cell r="I146" t="str">
            <v>7.I</v>
          </cell>
          <cell r="J146">
            <v>4740</v>
          </cell>
          <cell r="K146">
            <v>15</v>
          </cell>
          <cell r="L146">
            <v>0</v>
          </cell>
          <cell r="M146">
            <v>1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16</v>
          </cell>
          <cell r="S146">
            <v>66</v>
          </cell>
          <cell r="T146">
            <v>0</v>
          </cell>
          <cell r="U146">
            <v>0</v>
          </cell>
          <cell r="V146">
            <v>2809</v>
          </cell>
          <cell r="W146">
            <v>2173</v>
          </cell>
          <cell r="X146">
            <v>4982</v>
          </cell>
          <cell r="Y146">
            <v>0</v>
          </cell>
          <cell r="Z146">
            <v>0</v>
          </cell>
          <cell r="AA146">
            <v>240</v>
          </cell>
          <cell r="AB146">
            <v>-70</v>
          </cell>
          <cell r="AC146">
            <v>0</v>
          </cell>
          <cell r="AD146">
            <v>170</v>
          </cell>
          <cell r="AE146">
            <v>5152</v>
          </cell>
          <cell r="AF146">
            <v>466.2</v>
          </cell>
          <cell r="AH146">
            <v>0</v>
          </cell>
          <cell r="AI146">
            <v>9000</v>
          </cell>
          <cell r="AJ146">
            <v>9466.2000000000007</v>
          </cell>
          <cell r="AK146">
            <v>-4314.2000000000007</v>
          </cell>
          <cell r="AL146">
            <v>0</v>
          </cell>
          <cell r="AM146">
            <v>2000</v>
          </cell>
          <cell r="AN146">
            <v>2685.8</v>
          </cell>
          <cell r="AO146">
            <v>2690</v>
          </cell>
          <cell r="AP146">
            <v>4690</v>
          </cell>
          <cell r="AQ146">
            <v>1</v>
          </cell>
          <cell r="AR146">
            <v>6</v>
          </cell>
        </row>
        <row r="147">
          <cell r="D147" t="str">
            <v>A764</v>
          </cell>
          <cell r="E147" t="str">
            <v>Văn Đình Thành</v>
          </cell>
          <cell r="F147" t="str">
            <v>CD</v>
          </cell>
          <cell r="G147" t="str">
            <v>Kỹ thuật</v>
          </cell>
          <cell r="H147" t="str">
            <v>T6/16</v>
          </cell>
          <cell r="I147" t="str">
            <v>5.VI</v>
          </cell>
          <cell r="J147">
            <v>4880</v>
          </cell>
          <cell r="K147">
            <v>10</v>
          </cell>
          <cell r="L147">
            <v>4</v>
          </cell>
          <cell r="M147">
            <v>1</v>
          </cell>
          <cell r="N147">
            <v>0</v>
          </cell>
          <cell r="O147">
            <v>8</v>
          </cell>
          <cell r="P147">
            <v>4</v>
          </cell>
          <cell r="Q147">
            <v>0</v>
          </cell>
          <cell r="R147">
            <v>27</v>
          </cell>
          <cell r="S147">
            <v>89</v>
          </cell>
          <cell r="T147">
            <v>37</v>
          </cell>
          <cell r="U147">
            <v>0</v>
          </cell>
          <cell r="V147">
            <v>5531</v>
          </cell>
          <cell r="W147">
            <v>4688</v>
          </cell>
          <cell r="X147">
            <v>10219</v>
          </cell>
          <cell r="Y147">
            <v>3280</v>
          </cell>
          <cell r="Z147">
            <v>0</v>
          </cell>
          <cell r="AA147">
            <v>416</v>
          </cell>
          <cell r="AB147">
            <v>-450</v>
          </cell>
          <cell r="AC147">
            <v>0</v>
          </cell>
          <cell r="AD147">
            <v>3246</v>
          </cell>
          <cell r="AE147">
            <v>13465</v>
          </cell>
          <cell r="AF147">
            <v>465.78</v>
          </cell>
          <cell r="AH147">
            <v>0</v>
          </cell>
          <cell r="AI147">
            <v>9000</v>
          </cell>
          <cell r="AJ147">
            <v>9465.7800000000007</v>
          </cell>
          <cell r="AK147">
            <v>3999.2199999999993</v>
          </cell>
          <cell r="AL147">
            <v>200</v>
          </cell>
          <cell r="AM147">
            <v>2000</v>
          </cell>
          <cell r="AN147">
            <v>10799.22</v>
          </cell>
          <cell r="AO147">
            <v>10800</v>
          </cell>
          <cell r="AP147">
            <v>12800</v>
          </cell>
          <cell r="AQ147">
            <v>1</v>
          </cell>
          <cell r="AR147">
            <v>3.5</v>
          </cell>
        </row>
        <row r="148">
          <cell r="D148" t="str">
            <v>A771</v>
          </cell>
          <cell r="E148" t="str">
            <v>Châu Thành An</v>
          </cell>
          <cell r="F148" t="str">
            <v>CI.1</v>
          </cell>
          <cell r="G148" t="str">
            <v>Trưởng ca xi mạ</v>
          </cell>
          <cell r="H148" t="str">
            <v>T7/16</v>
          </cell>
          <cell r="I148" t="str">
            <v>5.I</v>
          </cell>
          <cell r="J148">
            <v>4436</v>
          </cell>
          <cell r="K148">
            <v>8</v>
          </cell>
          <cell r="L148">
            <v>0</v>
          </cell>
          <cell r="M148">
            <v>1</v>
          </cell>
          <cell r="N148">
            <v>0</v>
          </cell>
          <cell r="O148">
            <v>0</v>
          </cell>
          <cell r="P148">
            <v>6</v>
          </cell>
          <cell r="Q148">
            <v>1</v>
          </cell>
          <cell r="R148">
            <v>16</v>
          </cell>
          <cell r="S148">
            <v>60.5</v>
          </cell>
          <cell r="T148">
            <v>20</v>
          </cell>
          <cell r="U148">
            <v>0</v>
          </cell>
          <cell r="V148">
            <v>2924</v>
          </cell>
          <cell r="W148">
            <v>2685</v>
          </cell>
          <cell r="X148">
            <v>5609</v>
          </cell>
          <cell r="Y148">
            <v>1602.3703703703704</v>
          </cell>
          <cell r="Z148">
            <v>48</v>
          </cell>
          <cell r="AA148">
            <v>320</v>
          </cell>
          <cell r="AB148">
            <v>-150</v>
          </cell>
          <cell r="AC148">
            <v>0</v>
          </cell>
          <cell r="AD148">
            <v>1820.3703703703704</v>
          </cell>
          <cell r="AE148">
            <v>7429</v>
          </cell>
          <cell r="AF148">
            <v>465.78</v>
          </cell>
          <cell r="AH148">
            <v>0</v>
          </cell>
          <cell r="AI148">
            <v>9000</v>
          </cell>
          <cell r="AJ148">
            <v>9465.7800000000007</v>
          </cell>
          <cell r="AK148">
            <v>-2036.7800000000007</v>
          </cell>
          <cell r="AL148">
            <v>0</v>
          </cell>
          <cell r="AM148">
            <v>2000</v>
          </cell>
          <cell r="AN148">
            <v>4963.22</v>
          </cell>
          <cell r="AO148">
            <v>4970</v>
          </cell>
          <cell r="AP148">
            <v>6970</v>
          </cell>
          <cell r="AQ148">
            <v>1</v>
          </cell>
          <cell r="AR148">
            <v>0</v>
          </cell>
        </row>
        <row r="149">
          <cell r="D149" t="str">
            <v>A775</v>
          </cell>
          <cell r="E149" t="str">
            <v>Nguyễn Minh Trường</v>
          </cell>
          <cell r="F149" t="e">
            <v>#N/A</v>
          </cell>
          <cell r="G149" t="str">
            <v>công nhân</v>
          </cell>
          <cell r="H149" t="str">
            <v>T7/16</v>
          </cell>
          <cell r="I149" t="str">
            <v>8.I</v>
          </cell>
          <cell r="J149">
            <v>4220</v>
          </cell>
          <cell r="K149" t="e">
            <v>#N/A</v>
          </cell>
          <cell r="L149" t="e">
            <v>#N/A</v>
          </cell>
          <cell r="M149" t="e">
            <v>#N/A</v>
          </cell>
          <cell r="N149" t="e">
            <v>#N/A</v>
          </cell>
          <cell r="O149" t="e">
            <v>#N/A</v>
          </cell>
          <cell r="P149" t="e">
            <v>#N/A</v>
          </cell>
          <cell r="Q149" t="e">
            <v>#N/A</v>
          </cell>
          <cell r="R149" t="e">
            <v>#N/A</v>
          </cell>
          <cell r="S149" t="e">
            <v>#N/A</v>
          </cell>
          <cell r="T149" t="e">
            <v>#N/A</v>
          </cell>
          <cell r="U149" t="e">
            <v>#N/A</v>
          </cell>
          <cell r="V149" t="e">
            <v>#N/A</v>
          </cell>
          <cell r="W149" t="e">
            <v>#N/A</v>
          </cell>
          <cell r="X149" t="e">
            <v>#N/A</v>
          </cell>
          <cell r="Y149" t="e">
            <v>#N/A</v>
          </cell>
          <cell r="Z149" t="e">
            <v>#N/A</v>
          </cell>
          <cell r="AA149" t="e">
            <v>#N/A</v>
          </cell>
          <cell r="AB149" t="e">
            <v>#N/A</v>
          </cell>
          <cell r="AC149">
            <v>0</v>
          </cell>
          <cell r="AD149" t="e">
            <v>#N/A</v>
          </cell>
          <cell r="AE149" t="e">
            <v>#N/A</v>
          </cell>
          <cell r="AF149">
            <v>443.1</v>
          </cell>
          <cell r="AH149">
            <v>0</v>
          </cell>
          <cell r="AI149">
            <v>9000</v>
          </cell>
          <cell r="AJ149">
            <v>9443.1</v>
          </cell>
          <cell r="AK149" t="e">
            <v>#N/A</v>
          </cell>
          <cell r="AL149" t="e">
            <v>#N/A</v>
          </cell>
          <cell r="AM149">
            <v>0</v>
          </cell>
          <cell r="AN149" t="e">
            <v>#N/A</v>
          </cell>
          <cell r="AO149" t="e">
            <v>#N/A</v>
          </cell>
          <cell r="AP149" t="e">
            <v>#N/A</v>
          </cell>
          <cell r="AQ149">
            <v>1</v>
          </cell>
          <cell r="AR149" t="e">
            <v>#N/A</v>
          </cell>
        </row>
        <row r="150">
          <cell r="D150" t="str">
            <v>A599</v>
          </cell>
          <cell r="E150" t="str">
            <v xml:space="preserve">Đỗ Thành Nhân </v>
          </cell>
          <cell r="F150" t="str">
            <v>KHUON</v>
          </cell>
          <cell r="G150" t="str">
            <v>QUANLY</v>
          </cell>
          <cell r="H150" t="str">
            <v>T4/15</v>
          </cell>
          <cell r="I150" t="str">
            <v>4.I</v>
          </cell>
          <cell r="J150">
            <v>4740</v>
          </cell>
          <cell r="K150">
            <v>1</v>
          </cell>
          <cell r="L150">
            <v>14</v>
          </cell>
          <cell r="M150">
            <v>1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16</v>
          </cell>
          <cell r="S150">
            <v>6.5</v>
          </cell>
          <cell r="T150">
            <v>9</v>
          </cell>
          <cell r="U150">
            <v>0</v>
          </cell>
          <cell r="V150">
            <v>2809</v>
          </cell>
          <cell r="W150">
            <v>1321</v>
          </cell>
          <cell r="X150">
            <v>4130</v>
          </cell>
          <cell r="Y150">
            <v>3282.962962962963</v>
          </cell>
          <cell r="Z150">
            <v>240</v>
          </cell>
          <cell r="AA150">
            <v>16</v>
          </cell>
          <cell r="AB150">
            <v>0</v>
          </cell>
          <cell r="AC150">
            <v>0</v>
          </cell>
          <cell r="AD150">
            <v>3538.962962962963</v>
          </cell>
          <cell r="AE150">
            <v>7669</v>
          </cell>
          <cell r="AF150">
            <v>497.7</v>
          </cell>
          <cell r="AH150">
            <v>0</v>
          </cell>
          <cell r="AI150">
            <v>9000</v>
          </cell>
          <cell r="AJ150">
            <v>9497.7000000000007</v>
          </cell>
          <cell r="AK150">
            <v>-1828.7000000000007</v>
          </cell>
          <cell r="AL150">
            <v>0</v>
          </cell>
          <cell r="AM150">
            <v>5000</v>
          </cell>
          <cell r="AN150">
            <v>2171.3000000000002</v>
          </cell>
          <cell r="AO150">
            <v>2170</v>
          </cell>
          <cell r="AP150">
            <v>7170</v>
          </cell>
          <cell r="AQ150">
            <v>1</v>
          </cell>
          <cell r="AR150">
            <v>2</v>
          </cell>
        </row>
        <row r="151">
          <cell r="D151" t="str">
            <v>A779</v>
          </cell>
          <cell r="E151" t="str">
            <v>Khưu Lọnl</v>
          </cell>
          <cell r="F151" t="str">
            <v xml:space="preserve">XLN </v>
          </cell>
          <cell r="G151" t="str">
            <v>Công Nhân</v>
          </cell>
          <cell r="H151" t="str">
            <v>T7/16</v>
          </cell>
          <cell r="I151" t="str">
            <v>7.I</v>
          </cell>
          <cell r="J151">
            <v>4290</v>
          </cell>
          <cell r="K151">
            <v>11</v>
          </cell>
          <cell r="L151">
            <v>1</v>
          </cell>
          <cell r="M151">
            <v>1</v>
          </cell>
          <cell r="N151">
            <v>0</v>
          </cell>
          <cell r="O151">
            <v>0</v>
          </cell>
          <cell r="P151">
            <v>14</v>
          </cell>
          <cell r="Q151">
            <v>0</v>
          </cell>
          <cell r="R151">
            <v>27</v>
          </cell>
          <cell r="S151">
            <v>108</v>
          </cell>
          <cell r="T151">
            <v>47.5</v>
          </cell>
          <cell r="U151">
            <v>0</v>
          </cell>
          <cell r="V151">
            <v>4957</v>
          </cell>
          <cell r="W151">
            <v>5104</v>
          </cell>
          <cell r="X151">
            <v>10061</v>
          </cell>
          <cell r="Y151">
            <v>0</v>
          </cell>
          <cell r="Z151">
            <v>0</v>
          </cell>
          <cell r="AA151">
            <v>624</v>
          </cell>
          <cell r="AB151">
            <v>-140</v>
          </cell>
          <cell r="AC151">
            <v>0</v>
          </cell>
          <cell r="AD151">
            <v>484</v>
          </cell>
          <cell r="AE151">
            <v>10545</v>
          </cell>
          <cell r="AF151">
            <v>443.1</v>
          </cell>
          <cell r="AH151">
            <v>0</v>
          </cell>
          <cell r="AI151">
            <v>9000</v>
          </cell>
          <cell r="AJ151">
            <v>9443.1</v>
          </cell>
          <cell r="AK151">
            <v>1101.8999999999996</v>
          </cell>
          <cell r="AL151">
            <v>55</v>
          </cell>
          <cell r="AM151">
            <v>2000</v>
          </cell>
          <cell r="AN151">
            <v>8046.9</v>
          </cell>
          <cell r="AO151">
            <v>8050</v>
          </cell>
          <cell r="AP151">
            <v>10050</v>
          </cell>
          <cell r="AQ151">
            <v>1</v>
          </cell>
          <cell r="AR151">
            <v>3</v>
          </cell>
        </row>
        <row r="152">
          <cell r="D152" t="str">
            <v>A600</v>
          </cell>
          <cell r="E152" t="str">
            <v xml:space="preserve">Võ Minh Tuân </v>
          </cell>
          <cell r="F152" t="str">
            <v>KHUON</v>
          </cell>
          <cell r="G152" t="str">
            <v>QUANLY</v>
          </cell>
          <cell r="H152" t="str">
            <v>T4/15</v>
          </cell>
          <cell r="I152" t="str">
            <v>4.I</v>
          </cell>
          <cell r="J152">
            <v>4660</v>
          </cell>
          <cell r="K152">
            <v>10</v>
          </cell>
          <cell r="L152">
            <v>4</v>
          </cell>
          <cell r="M152">
            <v>1</v>
          </cell>
          <cell r="N152">
            <v>0</v>
          </cell>
          <cell r="O152">
            <v>0</v>
          </cell>
          <cell r="P152">
            <v>1</v>
          </cell>
          <cell r="Q152">
            <v>0</v>
          </cell>
          <cell r="R152">
            <v>16</v>
          </cell>
          <cell r="S152">
            <v>48</v>
          </cell>
          <cell r="T152">
            <v>8</v>
          </cell>
          <cell r="U152">
            <v>0</v>
          </cell>
          <cell r="V152">
            <v>2813</v>
          </cell>
          <cell r="W152">
            <v>4793</v>
          </cell>
          <cell r="X152">
            <v>7606</v>
          </cell>
          <cell r="Y152">
            <v>4210.4409600000008</v>
          </cell>
          <cell r="Z152">
            <v>0</v>
          </cell>
          <cell r="AA152">
            <v>192</v>
          </cell>
          <cell r="AB152">
            <v>-150</v>
          </cell>
          <cell r="AC152">
            <v>0</v>
          </cell>
          <cell r="AD152">
            <v>4252.4409600000008</v>
          </cell>
          <cell r="AE152">
            <v>11858</v>
          </cell>
          <cell r="AF152">
            <v>489.3</v>
          </cell>
          <cell r="AH152">
            <v>0</v>
          </cell>
          <cell r="AI152">
            <v>9000</v>
          </cell>
          <cell r="AJ152">
            <v>9489.2999999999993</v>
          </cell>
          <cell r="AK152">
            <v>2368.7000000000007</v>
          </cell>
          <cell r="AL152">
            <v>118</v>
          </cell>
          <cell r="AM152">
            <v>0</v>
          </cell>
          <cell r="AN152">
            <v>11250.7</v>
          </cell>
          <cell r="AO152">
            <v>11250</v>
          </cell>
          <cell r="AP152">
            <v>11250</v>
          </cell>
          <cell r="AQ152">
            <v>1</v>
          </cell>
          <cell r="AR152">
            <v>8</v>
          </cell>
        </row>
        <row r="153">
          <cell r="D153" t="str">
            <v>A776</v>
          </cell>
          <cell r="E153" t="str">
            <v>Nguyễn Tuấn Nhàn</v>
          </cell>
          <cell r="F153" t="str">
            <v>KHUON</v>
          </cell>
          <cell r="G153" t="str">
            <v>Kỹ thuật</v>
          </cell>
          <cell r="H153" t="str">
            <v>T7/16</v>
          </cell>
          <cell r="I153" t="str">
            <v>5.III</v>
          </cell>
          <cell r="J153">
            <v>4436</v>
          </cell>
          <cell r="K153">
            <v>0</v>
          </cell>
          <cell r="L153">
            <v>15</v>
          </cell>
          <cell r="M153">
            <v>1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16</v>
          </cell>
          <cell r="S153">
            <v>0</v>
          </cell>
          <cell r="T153">
            <v>0</v>
          </cell>
          <cell r="U153">
            <v>0</v>
          </cell>
          <cell r="V153">
            <v>2629</v>
          </cell>
          <cell r="W153">
            <v>0</v>
          </cell>
          <cell r="X153">
            <v>2629</v>
          </cell>
          <cell r="Y153">
            <v>1860.148148148148</v>
          </cell>
          <cell r="Z153">
            <v>16</v>
          </cell>
          <cell r="AA153">
            <v>0</v>
          </cell>
          <cell r="AB153">
            <v>-150</v>
          </cell>
          <cell r="AC153">
            <v>0</v>
          </cell>
          <cell r="AD153">
            <v>1726.148148148148</v>
          </cell>
          <cell r="AE153">
            <v>4355</v>
          </cell>
          <cell r="AF153">
            <v>465.78</v>
          </cell>
          <cell r="AH153">
            <v>0</v>
          </cell>
          <cell r="AI153">
            <v>9000</v>
          </cell>
          <cell r="AJ153">
            <v>9465.7800000000007</v>
          </cell>
          <cell r="AK153">
            <v>-5110.7800000000007</v>
          </cell>
          <cell r="AL153">
            <v>0</v>
          </cell>
          <cell r="AM153">
            <v>3000</v>
          </cell>
          <cell r="AN153">
            <v>889.22000000000025</v>
          </cell>
          <cell r="AO153">
            <v>890</v>
          </cell>
          <cell r="AP153">
            <v>3890</v>
          </cell>
          <cell r="AQ153">
            <v>1</v>
          </cell>
          <cell r="AR153">
            <v>2.5</v>
          </cell>
        </row>
        <row r="154">
          <cell r="D154" t="str">
            <v>A788</v>
          </cell>
          <cell r="E154" t="str">
            <v>Mai Vủ Khanh</v>
          </cell>
          <cell r="F154" t="str">
            <v>CI.1</v>
          </cell>
          <cell r="G154" t="str">
            <v>Công nhân</v>
          </cell>
          <cell r="H154" t="str">
            <v>T8/16</v>
          </cell>
          <cell r="I154" t="str">
            <v>8.I</v>
          </cell>
          <cell r="J154">
            <v>4220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3</v>
          </cell>
          <cell r="S154">
            <v>4</v>
          </cell>
          <cell r="T154">
            <v>0</v>
          </cell>
          <cell r="U154">
            <v>0</v>
          </cell>
          <cell r="V154">
            <v>469</v>
          </cell>
          <cell r="W154">
            <v>117</v>
          </cell>
          <cell r="X154">
            <v>586</v>
          </cell>
          <cell r="Y154">
            <v>0</v>
          </cell>
          <cell r="Z154">
            <v>0</v>
          </cell>
          <cell r="AA154">
            <v>16</v>
          </cell>
          <cell r="AB154">
            <v>-70</v>
          </cell>
          <cell r="AC154">
            <v>0</v>
          </cell>
          <cell r="AD154">
            <v>-54</v>
          </cell>
          <cell r="AE154">
            <v>532</v>
          </cell>
          <cell r="AF154">
            <v>443.1</v>
          </cell>
          <cell r="AH154">
            <v>0</v>
          </cell>
          <cell r="AI154">
            <v>9000</v>
          </cell>
          <cell r="AJ154">
            <v>9443.1</v>
          </cell>
          <cell r="AK154">
            <v>-8911.1</v>
          </cell>
          <cell r="AL154">
            <v>0</v>
          </cell>
          <cell r="AM154">
            <v>0</v>
          </cell>
          <cell r="AN154">
            <v>88.899999999999977</v>
          </cell>
          <cell r="AO154">
            <v>90</v>
          </cell>
          <cell r="AP154">
            <v>90</v>
          </cell>
          <cell r="AQ154">
            <v>1</v>
          </cell>
          <cell r="AR154">
            <v>3</v>
          </cell>
        </row>
        <row r="155">
          <cell r="D155" t="str">
            <v>A791</v>
          </cell>
          <cell r="E155" t="str">
            <v>Nguyễn Văn Nhân</v>
          </cell>
          <cell r="F155" t="str">
            <v>Kho</v>
          </cell>
          <cell r="G155" t="str">
            <v xml:space="preserve">Tài xế </v>
          </cell>
          <cell r="H155" t="str">
            <v>T8/16</v>
          </cell>
          <cell r="I155" t="str">
            <v>9.IV</v>
          </cell>
          <cell r="J155">
            <v>5920</v>
          </cell>
          <cell r="K155">
            <v>11</v>
          </cell>
          <cell r="L155">
            <v>4</v>
          </cell>
          <cell r="M155">
            <v>1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16</v>
          </cell>
          <cell r="S155">
            <v>43</v>
          </cell>
          <cell r="T155">
            <v>9</v>
          </cell>
          <cell r="U155">
            <v>0</v>
          </cell>
          <cell r="V155">
            <v>3508</v>
          </cell>
          <cell r="W155">
            <v>2261</v>
          </cell>
          <cell r="X155">
            <v>5769</v>
          </cell>
          <cell r="Y155">
            <v>1025.1851851851852</v>
          </cell>
          <cell r="Z155">
            <v>48</v>
          </cell>
          <cell r="AA155">
            <v>176</v>
          </cell>
          <cell r="AB155">
            <v>-70</v>
          </cell>
          <cell r="AC155">
            <v>0</v>
          </cell>
          <cell r="AD155">
            <v>1179.1851851851852</v>
          </cell>
          <cell r="AE155">
            <v>6948</v>
          </cell>
          <cell r="AF155">
            <v>628.95000000000005</v>
          </cell>
          <cell r="AH155">
            <v>0</v>
          </cell>
          <cell r="AI155">
            <v>9000</v>
          </cell>
          <cell r="AJ155">
            <v>9628.9500000000007</v>
          </cell>
          <cell r="AK155">
            <v>-2680.9500000000007</v>
          </cell>
          <cell r="AL155">
            <v>0</v>
          </cell>
          <cell r="AM155">
            <v>0</v>
          </cell>
          <cell r="AN155">
            <v>6319.05</v>
          </cell>
          <cell r="AO155">
            <v>6320</v>
          </cell>
          <cell r="AP155">
            <v>6320</v>
          </cell>
          <cell r="AQ155">
            <v>1</v>
          </cell>
          <cell r="AR155">
            <v>8.5</v>
          </cell>
        </row>
        <row r="156">
          <cell r="D156" t="str">
            <v>A793</v>
          </cell>
          <cell r="E156" t="str">
            <v>Nguyễn Thành Ngộ</v>
          </cell>
          <cell r="F156" t="str">
            <v>CD</v>
          </cell>
          <cell r="G156" t="str">
            <v>Nhân viên bảo trì</v>
          </cell>
          <cell r="H156" t="str">
            <v>T8/16</v>
          </cell>
          <cell r="I156" t="str">
            <v>5.IV</v>
          </cell>
          <cell r="J156">
            <v>4436</v>
          </cell>
          <cell r="K156">
            <v>11</v>
          </cell>
          <cell r="L156">
            <v>1</v>
          </cell>
          <cell r="M156">
            <v>1</v>
          </cell>
          <cell r="N156">
            <v>0</v>
          </cell>
          <cell r="O156">
            <v>0</v>
          </cell>
          <cell r="P156">
            <v>14</v>
          </cell>
          <cell r="Q156">
            <v>0</v>
          </cell>
          <cell r="R156">
            <v>27</v>
          </cell>
          <cell r="S156">
            <v>106</v>
          </cell>
          <cell r="T156">
            <v>29</v>
          </cell>
          <cell r="U156">
            <v>0</v>
          </cell>
          <cell r="V156">
            <v>5126</v>
          </cell>
          <cell r="W156">
            <v>4457</v>
          </cell>
          <cell r="X156">
            <v>9583</v>
          </cell>
          <cell r="Y156">
            <v>2774</v>
          </cell>
          <cell r="Z156">
            <v>0</v>
          </cell>
          <cell r="AA156">
            <v>624</v>
          </cell>
          <cell r="AB156">
            <v>-70</v>
          </cell>
          <cell r="AC156">
            <v>0</v>
          </cell>
          <cell r="AD156">
            <v>3328</v>
          </cell>
          <cell r="AE156">
            <v>12911</v>
          </cell>
          <cell r="AF156">
            <v>465.78</v>
          </cell>
          <cell r="AH156">
            <v>0</v>
          </cell>
          <cell r="AI156">
            <v>9000</v>
          </cell>
          <cell r="AJ156">
            <v>9465.7800000000007</v>
          </cell>
          <cell r="AK156">
            <v>3445.2199999999993</v>
          </cell>
          <cell r="AL156">
            <v>172</v>
          </cell>
          <cell r="AM156">
            <v>1000</v>
          </cell>
          <cell r="AN156">
            <v>11273.22</v>
          </cell>
          <cell r="AO156">
            <v>11280</v>
          </cell>
          <cell r="AP156">
            <v>12280</v>
          </cell>
          <cell r="AQ156">
            <v>1</v>
          </cell>
          <cell r="AR156">
            <v>3</v>
          </cell>
        </row>
        <row r="157">
          <cell r="D157" t="str">
            <v>A797</v>
          </cell>
          <cell r="E157" t="str">
            <v>Trần Quan Phúc</v>
          </cell>
          <cell r="F157" t="str">
            <v>QCX</v>
          </cell>
          <cell r="G157" t="str">
            <v>Công nhân</v>
          </cell>
          <cell r="H157" t="str">
            <v>T8/16</v>
          </cell>
          <cell r="I157" t="str">
            <v>8.I</v>
          </cell>
          <cell r="J157">
            <v>4220</v>
          </cell>
          <cell r="K157">
            <v>8</v>
          </cell>
          <cell r="L157">
            <v>7</v>
          </cell>
          <cell r="M157">
            <v>1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16</v>
          </cell>
          <cell r="S157">
            <v>57</v>
          </cell>
          <cell r="T157">
            <v>16</v>
          </cell>
          <cell r="U157">
            <v>0</v>
          </cell>
          <cell r="V157">
            <v>2501</v>
          </cell>
          <cell r="W157">
            <v>2296</v>
          </cell>
          <cell r="X157">
            <v>4797</v>
          </cell>
          <cell r="Y157">
            <v>0</v>
          </cell>
          <cell r="Z157">
            <v>0</v>
          </cell>
          <cell r="AA157">
            <v>128</v>
          </cell>
          <cell r="AB157">
            <v>-70</v>
          </cell>
          <cell r="AC157">
            <v>0</v>
          </cell>
          <cell r="AD157">
            <v>58</v>
          </cell>
          <cell r="AE157">
            <v>4855</v>
          </cell>
          <cell r="AF157">
            <v>443.1</v>
          </cell>
          <cell r="AH157">
            <v>0</v>
          </cell>
          <cell r="AI157">
            <v>9000</v>
          </cell>
          <cell r="AJ157">
            <v>9443.1</v>
          </cell>
          <cell r="AK157">
            <v>-4588.1000000000004</v>
          </cell>
          <cell r="AL157">
            <v>0</v>
          </cell>
          <cell r="AM157">
            <v>2000</v>
          </cell>
          <cell r="AN157">
            <v>2411.8999999999996</v>
          </cell>
          <cell r="AO157">
            <v>2410</v>
          </cell>
          <cell r="AP157">
            <v>4410</v>
          </cell>
          <cell r="AQ157">
            <v>1</v>
          </cell>
          <cell r="AR157">
            <v>9</v>
          </cell>
        </row>
        <row r="158">
          <cell r="D158" t="str">
            <v>A799</v>
          </cell>
          <cell r="E158" t="str">
            <v>Trần Minh Trung</v>
          </cell>
          <cell r="F158" t="str">
            <v>CII.4</v>
          </cell>
          <cell r="G158" t="str">
            <v>quản lý ca - xi mạ</v>
          </cell>
          <cell r="H158" t="str">
            <v>T9/16</v>
          </cell>
          <cell r="I158" t="str">
            <v>5.I</v>
          </cell>
          <cell r="J158">
            <v>4436</v>
          </cell>
          <cell r="K158">
            <v>4</v>
          </cell>
          <cell r="L158">
            <v>0</v>
          </cell>
          <cell r="M158">
            <v>1</v>
          </cell>
          <cell r="N158">
            <v>0</v>
          </cell>
          <cell r="O158">
            <v>0</v>
          </cell>
          <cell r="P158">
            <v>11</v>
          </cell>
          <cell r="Q158">
            <v>0</v>
          </cell>
          <cell r="R158">
            <v>16</v>
          </cell>
          <cell r="S158">
            <v>60</v>
          </cell>
          <cell r="T158">
            <v>12</v>
          </cell>
          <cell r="U158">
            <v>10</v>
          </cell>
          <cell r="V158">
            <v>3171</v>
          </cell>
          <cell r="W158">
            <v>2957</v>
          </cell>
          <cell r="X158">
            <v>6128</v>
          </cell>
          <cell r="Y158">
            <v>1300.148148148148</v>
          </cell>
          <cell r="Z158">
            <v>0</v>
          </cell>
          <cell r="AA158">
            <v>416</v>
          </cell>
          <cell r="AB158">
            <v>150</v>
          </cell>
          <cell r="AC158">
            <v>0</v>
          </cell>
          <cell r="AD158">
            <v>1866.148148148148</v>
          </cell>
          <cell r="AE158">
            <v>7994</v>
          </cell>
          <cell r="AF158">
            <v>465.78</v>
          </cell>
          <cell r="AH158">
            <v>0</v>
          </cell>
          <cell r="AI158">
            <v>9000</v>
          </cell>
          <cell r="AJ158">
            <v>9465.7800000000007</v>
          </cell>
          <cell r="AK158">
            <v>-1471.7800000000007</v>
          </cell>
          <cell r="AL158">
            <v>0</v>
          </cell>
          <cell r="AM158">
            <v>2000</v>
          </cell>
          <cell r="AN158">
            <v>5528.22</v>
          </cell>
          <cell r="AO158">
            <v>5530</v>
          </cell>
          <cell r="AP158">
            <v>7530</v>
          </cell>
          <cell r="AQ158">
            <v>1</v>
          </cell>
          <cell r="AR158">
            <v>3</v>
          </cell>
        </row>
        <row r="159">
          <cell r="D159" t="str">
            <v>A800</v>
          </cell>
          <cell r="E159" t="str">
            <v>Trần Hoàng Thắng</v>
          </cell>
          <cell r="F159" t="str">
            <v>Gián tiếp</v>
          </cell>
          <cell r="G159" t="str">
            <v>IT</v>
          </cell>
          <cell r="H159" t="str">
            <v>T9/16</v>
          </cell>
          <cell r="I159" t="str">
            <v>3.I</v>
          </cell>
          <cell r="J159">
            <v>6125</v>
          </cell>
          <cell r="K159">
            <v>0</v>
          </cell>
          <cell r="L159">
            <v>26</v>
          </cell>
          <cell r="M159">
            <v>1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27</v>
          </cell>
          <cell r="S159">
            <v>0</v>
          </cell>
          <cell r="T159">
            <v>0</v>
          </cell>
          <cell r="U159">
            <v>0</v>
          </cell>
          <cell r="V159">
            <v>6125</v>
          </cell>
          <cell r="W159">
            <v>0</v>
          </cell>
          <cell r="X159">
            <v>6125</v>
          </cell>
          <cell r="Y159">
            <v>8295</v>
          </cell>
          <cell r="Z159">
            <v>32</v>
          </cell>
          <cell r="AA159">
            <v>0</v>
          </cell>
          <cell r="AB159">
            <v>-300</v>
          </cell>
          <cell r="AC159">
            <v>0</v>
          </cell>
          <cell r="AD159">
            <v>8027</v>
          </cell>
          <cell r="AE159">
            <v>14152</v>
          </cell>
          <cell r="AF159">
            <v>465.78</v>
          </cell>
          <cell r="AH159">
            <v>0</v>
          </cell>
          <cell r="AI159">
            <v>9000</v>
          </cell>
          <cell r="AJ159">
            <v>9465.7800000000007</v>
          </cell>
          <cell r="AK159">
            <v>4686.2199999999993</v>
          </cell>
          <cell r="AL159">
            <v>234</v>
          </cell>
          <cell r="AM159">
            <v>0</v>
          </cell>
          <cell r="AN159">
            <v>13452.22</v>
          </cell>
          <cell r="AO159">
            <v>13450</v>
          </cell>
          <cell r="AP159">
            <v>13450</v>
          </cell>
          <cell r="AQ159">
            <v>1</v>
          </cell>
          <cell r="AR159">
            <v>4.5</v>
          </cell>
        </row>
        <row r="160">
          <cell r="D160" t="str">
            <v>A801</v>
          </cell>
          <cell r="E160" t="str">
            <v>Trần Sớt</v>
          </cell>
          <cell r="F160" t="str">
            <v>CI.1</v>
          </cell>
          <cell r="G160" t="str">
            <v>Quản lý ca xi mạ</v>
          </cell>
          <cell r="H160" t="str">
            <v>T9/16</v>
          </cell>
          <cell r="I160" t="str">
            <v>5.I</v>
          </cell>
          <cell r="J160">
            <v>4436</v>
          </cell>
          <cell r="K160">
            <v>4</v>
          </cell>
          <cell r="L160">
            <v>1</v>
          </cell>
          <cell r="M160">
            <v>1</v>
          </cell>
          <cell r="N160">
            <v>0</v>
          </cell>
          <cell r="O160">
            <v>0</v>
          </cell>
          <cell r="P160">
            <v>9</v>
          </cell>
          <cell r="Q160">
            <v>1</v>
          </cell>
          <cell r="R160">
            <v>16</v>
          </cell>
          <cell r="S160">
            <v>56</v>
          </cell>
          <cell r="T160">
            <v>21.5</v>
          </cell>
          <cell r="U160">
            <v>0</v>
          </cell>
          <cell r="V160">
            <v>3072</v>
          </cell>
          <cell r="W160">
            <v>2608</v>
          </cell>
          <cell r="X160">
            <v>5680</v>
          </cell>
          <cell r="Y160">
            <v>1300.148148148148</v>
          </cell>
          <cell r="Z160">
            <v>32</v>
          </cell>
          <cell r="AA160">
            <v>352</v>
          </cell>
          <cell r="AB160">
            <v>-150</v>
          </cell>
          <cell r="AC160">
            <v>0</v>
          </cell>
          <cell r="AD160">
            <v>1534.148148148148</v>
          </cell>
          <cell r="AE160">
            <v>7214</v>
          </cell>
          <cell r="AF160">
            <v>465.78</v>
          </cell>
          <cell r="AH160">
            <v>0</v>
          </cell>
          <cell r="AI160">
            <v>9000</v>
          </cell>
          <cell r="AJ160">
            <v>9465.7800000000007</v>
          </cell>
          <cell r="AK160">
            <v>-2251.7800000000007</v>
          </cell>
          <cell r="AL160">
            <v>0</v>
          </cell>
          <cell r="AM160">
            <v>2000</v>
          </cell>
          <cell r="AN160">
            <v>4748.22</v>
          </cell>
          <cell r="AO160">
            <v>4750</v>
          </cell>
          <cell r="AP160">
            <v>6750</v>
          </cell>
          <cell r="AQ160">
            <v>1</v>
          </cell>
          <cell r="AR160">
            <v>0</v>
          </cell>
        </row>
        <row r="161">
          <cell r="D161" t="str">
            <v>A802</v>
          </cell>
          <cell r="E161" t="str">
            <v>Nguyễn Thái Phát</v>
          </cell>
          <cell r="F161" t="str">
            <v>CII.3</v>
          </cell>
          <cell r="G161" t="str">
            <v>công nhân</v>
          </cell>
          <cell r="H161" t="str">
            <v>T9/16</v>
          </cell>
          <cell r="I161" t="str">
            <v>7.I</v>
          </cell>
          <cell r="J161">
            <v>4290</v>
          </cell>
          <cell r="K161">
            <v>0</v>
          </cell>
          <cell r="L161">
            <v>0</v>
          </cell>
          <cell r="M161">
            <v>1</v>
          </cell>
          <cell r="N161">
            <v>0</v>
          </cell>
          <cell r="O161">
            <v>0</v>
          </cell>
          <cell r="P161">
            <v>15</v>
          </cell>
          <cell r="Q161">
            <v>0</v>
          </cell>
          <cell r="R161">
            <v>16</v>
          </cell>
          <cell r="S161">
            <v>60</v>
          </cell>
          <cell r="T161">
            <v>12</v>
          </cell>
          <cell r="U161">
            <v>0</v>
          </cell>
          <cell r="V161">
            <v>3257</v>
          </cell>
          <cell r="W161">
            <v>2264</v>
          </cell>
          <cell r="X161">
            <v>5521</v>
          </cell>
          <cell r="Y161">
            <v>0</v>
          </cell>
          <cell r="Z161">
            <v>0</v>
          </cell>
          <cell r="AA161">
            <v>480</v>
          </cell>
          <cell r="AB161">
            <v>-70</v>
          </cell>
          <cell r="AC161">
            <v>0</v>
          </cell>
          <cell r="AD161">
            <v>410</v>
          </cell>
          <cell r="AE161">
            <v>5931</v>
          </cell>
          <cell r="AF161">
            <v>443.1</v>
          </cell>
          <cell r="AH161">
            <v>0</v>
          </cell>
          <cell r="AI161">
            <v>9000</v>
          </cell>
          <cell r="AJ161">
            <v>9443.1</v>
          </cell>
          <cell r="AK161">
            <v>-3512.1000000000004</v>
          </cell>
          <cell r="AL161">
            <v>0</v>
          </cell>
          <cell r="AM161">
            <v>1000</v>
          </cell>
          <cell r="AN161">
            <v>4487.8999999999996</v>
          </cell>
          <cell r="AO161">
            <v>4490</v>
          </cell>
          <cell r="AP161">
            <v>5490</v>
          </cell>
          <cell r="AQ161">
            <v>1</v>
          </cell>
          <cell r="AR161">
            <v>1</v>
          </cell>
        </row>
        <row r="162">
          <cell r="D162" t="str">
            <v>A804</v>
          </cell>
          <cell r="E162" t="str">
            <v>Nguyễn Văn Chúc Đang</v>
          </cell>
          <cell r="F162" t="str">
            <v>CII.4</v>
          </cell>
          <cell r="G162" t="str">
            <v>công nhân</v>
          </cell>
          <cell r="H162" t="str">
            <v>T9/16</v>
          </cell>
          <cell r="I162" t="str">
            <v>7.I</v>
          </cell>
          <cell r="J162">
            <v>4290</v>
          </cell>
          <cell r="K162">
            <v>13</v>
          </cell>
          <cell r="L162">
            <v>1</v>
          </cell>
          <cell r="M162">
            <v>1</v>
          </cell>
          <cell r="N162">
            <v>0</v>
          </cell>
          <cell r="O162">
            <v>0</v>
          </cell>
          <cell r="P162">
            <v>0</v>
          </cell>
          <cell r="Q162">
            <v>1</v>
          </cell>
          <cell r="R162">
            <v>16</v>
          </cell>
          <cell r="S162">
            <v>52</v>
          </cell>
          <cell r="T162">
            <v>24</v>
          </cell>
          <cell r="U162">
            <v>0</v>
          </cell>
          <cell r="V162">
            <v>2542</v>
          </cell>
          <cell r="W162">
            <v>2503</v>
          </cell>
          <cell r="X162">
            <v>5045</v>
          </cell>
          <cell r="Y162">
            <v>0</v>
          </cell>
          <cell r="Z162">
            <v>0</v>
          </cell>
          <cell r="AA162">
            <v>208</v>
          </cell>
          <cell r="AB162">
            <v>70</v>
          </cell>
          <cell r="AC162">
            <v>0</v>
          </cell>
          <cell r="AD162">
            <v>278</v>
          </cell>
          <cell r="AE162">
            <v>5323</v>
          </cell>
          <cell r="AF162">
            <v>443.1</v>
          </cell>
          <cell r="AH162">
            <v>0</v>
          </cell>
          <cell r="AI162">
            <v>9000</v>
          </cell>
          <cell r="AJ162">
            <v>9443.1</v>
          </cell>
          <cell r="AK162">
            <v>-4120.1000000000004</v>
          </cell>
          <cell r="AL162">
            <v>0</v>
          </cell>
          <cell r="AM162">
            <v>2000</v>
          </cell>
          <cell r="AN162">
            <v>2879.8999999999996</v>
          </cell>
          <cell r="AO162">
            <v>2880</v>
          </cell>
          <cell r="AP162">
            <v>4880</v>
          </cell>
          <cell r="AQ162">
            <v>1</v>
          </cell>
          <cell r="AR162">
            <v>1</v>
          </cell>
        </row>
        <row r="163">
          <cell r="D163" t="str">
            <v>A806</v>
          </cell>
          <cell r="E163" t="str">
            <v>Trần Nguyễn Thanh Duy</v>
          </cell>
          <cell r="F163" t="str">
            <v>CII.4</v>
          </cell>
          <cell r="G163" t="str">
            <v>Công nhân</v>
          </cell>
          <cell r="H163" t="str">
            <v>T10/16</v>
          </cell>
          <cell r="I163" t="str">
            <v>7.I</v>
          </cell>
          <cell r="J163">
            <v>4290</v>
          </cell>
          <cell r="K163">
            <v>14</v>
          </cell>
          <cell r="L163">
            <v>1</v>
          </cell>
          <cell r="M163">
            <v>1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16</v>
          </cell>
          <cell r="S163">
            <v>56</v>
          </cell>
          <cell r="T163">
            <v>24</v>
          </cell>
          <cell r="U163">
            <v>0</v>
          </cell>
          <cell r="V163">
            <v>2542</v>
          </cell>
          <cell r="W163">
            <v>2622</v>
          </cell>
          <cell r="X163">
            <v>5164</v>
          </cell>
          <cell r="Y163">
            <v>0</v>
          </cell>
          <cell r="Z163">
            <v>0</v>
          </cell>
          <cell r="AA163">
            <v>224</v>
          </cell>
          <cell r="AB163">
            <v>70</v>
          </cell>
          <cell r="AC163">
            <v>-630.63</v>
          </cell>
          <cell r="AD163">
            <v>-336.63</v>
          </cell>
          <cell r="AE163">
            <v>4827</v>
          </cell>
          <cell r="AF163">
            <v>450.45</v>
          </cell>
          <cell r="AH163">
            <v>0</v>
          </cell>
          <cell r="AI163">
            <v>9000</v>
          </cell>
          <cell r="AJ163">
            <v>9450.4500000000007</v>
          </cell>
          <cell r="AK163">
            <v>-4623.4500000000007</v>
          </cell>
          <cell r="AL163">
            <v>0</v>
          </cell>
          <cell r="AM163">
            <v>2000</v>
          </cell>
          <cell r="AN163">
            <v>2376.5500000000002</v>
          </cell>
          <cell r="AO163">
            <v>2380</v>
          </cell>
          <cell r="AP163">
            <v>4380</v>
          </cell>
          <cell r="AQ163">
            <v>1</v>
          </cell>
          <cell r="AR163">
            <v>2</v>
          </cell>
        </row>
        <row r="164">
          <cell r="D164" t="str">
            <v>A807</v>
          </cell>
          <cell r="E164" t="str">
            <v>Nguyễn Văn Lơn</v>
          </cell>
          <cell r="F164" t="str">
            <v>CD</v>
          </cell>
          <cell r="G164" t="str">
            <v>Kỹ thuật</v>
          </cell>
          <cell r="H164" t="str">
            <v>T10/16</v>
          </cell>
          <cell r="I164" t="str">
            <v>4.VII</v>
          </cell>
          <cell r="J164">
            <v>5900</v>
          </cell>
          <cell r="K164">
            <v>4</v>
          </cell>
          <cell r="L164">
            <v>1</v>
          </cell>
          <cell r="M164">
            <v>1</v>
          </cell>
          <cell r="N164">
            <v>0</v>
          </cell>
          <cell r="O164">
            <v>0</v>
          </cell>
          <cell r="P164">
            <v>10</v>
          </cell>
          <cell r="Q164">
            <v>0</v>
          </cell>
          <cell r="R164">
            <v>16</v>
          </cell>
          <cell r="S164">
            <v>61</v>
          </cell>
          <cell r="T164">
            <v>12</v>
          </cell>
          <cell r="U164">
            <v>0</v>
          </cell>
          <cell r="V164">
            <v>4152</v>
          </cell>
          <cell r="W164">
            <v>3155</v>
          </cell>
          <cell r="X164">
            <v>7307</v>
          </cell>
          <cell r="Y164">
            <v>776.2962962962963</v>
          </cell>
          <cell r="Z164">
            <v>32</v>
          </cell>
          <cell r="AA164">
            <v>384</v>
          </cell>
          <cell r="AB164">
            <v>-150</v>
          </cell>
          <cell r="AC164">
            <v>0</v>
          </cell>
          <cell r="AD164">
            <v>1042.2962962962963</v>
          </cell>
          <cell r="AE164">
            <v>8349</v>
          </cell>
          <cell r="AF164">
            <v>606.9</v>
          </cell>
          <cell r="AH164">
            <v>0</v>
          </cell>
          <cell r="AI164">
            <v>9000</v>
          </cell>
          <cell r="AJ164">
            <v>9606.9</v>
          </cell>
          <cell r="AK164">
            <v>-1257.8999999999996</v>
          </cell>
          <cell r="AL164">
            <v>0</v>
          </cell>
          <cell r="AM164">
            <v>0</v>
          </cell>
          <cell r="AN164">
            <v>7742.1</v>
          </cell>
          <cell r="AO164">
            <v>7740</v>
          </cell>
          <cell r="AP164">
            <v>7740</v>
          </cell>
          <cell r="AQ164">
            <v>1</v>
          </cell>
          <cell r="AR164">
            <v>10</v>
          </cell>
        </row>
        <row r="165">
          <cell r="D165" t="str">
            <v>A808</v>
          </cell>
          <cell r="E165" t="str">
            <v>Nguyễn Thanh Nam</v>
          </cell>
          <cell r="F165" t="str">
            <v>CII.4</v>
          </cell>
          <cell r="G165" t="str">
            <v>Công Nhân</v>
          </cell>
          <cell r="H165" t="str">
            <v>T10/16</v>
          </cell>
          <cell r="I165" t="str">
            <v>7.I</v>
          </cell>
          <cell r="J165">
            <v>4290</v>
          </cell>
          <cell r="K165">
            <v>14</v>
          </cell>
          <cell r="L165">
            <v>0</v>
          </cell>
          <cell r="M165">
            <v>1</v>
          </cell>
          <cell r="N165">
            <v>0</v>
          </cell>
          <cell r="O165">
            <v>0</v>
          </cell>
          <cell r="P165">
            <v>0</v>
          </cell>
          <cell r="Q165">
            <v>1</v>
          </cell>
          <cell r="R165">
            <v>16</v>
          </cell>
          <cell r="S165">
            <v>56</v>
          </cell>
          <cell r="T165">
            <v>12</v>
          </cell>
          <cell r="U165">
            <v>0</v>
          </cell>
          <cell r="V165">
            <v>2542</v>
          </cell>
          <cell r="W165">
            <v>2145</v>
          </cell>
          <cell r="X165">
            <v>4687</v>
          </cell>
          <cell r="Y165">
            <v>0</v>
          </cell>
          <cell r="Z165">
            <v>0</v>
          </cell>
          <cell r="AA165">
            <v>224</v>
          </cell>
          <cell r="AB165">
            <v>70</v>
          </cell>
          <cell r="AC165">
            <v>0</v>
          </cell>
          <cell r="AD165">
            <v>294</v>
          </cell>
          <cell r="AE165">
            <v>4981</v>
          </cell>
          <cell r="AF165">
            <v>443.1</v>
          </cell>
          <cell r="AH165">
            <v>2</v>
          </cell>
          <cell r="AI165">
            <v>16200</v>
          </cell>
          <cell r="AJ165">
            <v>16643.099999999999</v>
          </cell>
          <cell r="AK165">
            <v>-11662.099999999999</v>
          </cell>
          <cell r="AL165">
            <v>0</v>
          </cell>
          <cell r="AM165">
            <v>2000</v>
          </cell>
          <cell r="AN165">
            <v>2537.8999999999996</v>
          </cell>
          <cell r="AO165">
            <v>2540</v>
          </cell>
          <cell r="AP165">
            <v>4540</v>
          </cell>
          <cell r="AQ165">
            <v>1</v>
          </cell>
          <cell r="AR165">
            <v>9.5</v>
          </cell>
        </row>
        <row r="166">
          <cell r="D166" t="str">
            <v>A815</v>
          </cell>
          <cell r="E166" t="str">
            <v>Nguyễn Tấn Vinh</v>
          </cell>
          <cell r="F166" t="str">
            <v>XLN</v>
          </cell>
          <cell r="G166" t="str">
            <v>nhân viên</v>
          </cell>
          <cell r="H166" t="str">
            <v>T10/16</v>
          </cell>
          <cell r="I166" t="str">
            <v>4.II</v>
          </cell>
          <cell r="J166">
            <v>4740</v>
          </cell>
          <cell r="K166">
            <v>0</v>
          </cell>
          <cell r="L166">
            <v>14.5</v>
          </cell>
          <cell r="M166">
            <v>1</v>
          </cell>
          <cell r="N166">
            <v>0</v>
          </cell>
          <cell r="O166">
            <v>0</v>
          </cell>
          <cell r="P166">
            <v>0</v>
          </cell>
          <cell r="Q166">
            <v>0.5</v>
          </cell>
          <cell r="R166">
            <v>16</v>
          </cell>
          <cell r="S166">
            <v>0</v>
          </cell>
          <cell r="T166">
            <v>0</v>
          </cell>
          <cell r="U166">
            <v>0</v>
          </cell>
          <cell r="V166">
            <v>2809</v>
          </cell>
          <cell r="W166">
            <v>0</v>
          </cell>
          <cell r="X166">
            <v>2809</v>
          </cell>
          <cell r="Y166">
            <v>2228.1481481481483</v>
          </cell>
          <cell r="Z166">
            <v>0</v>
          </cell>
          <cell r="AA166">
            <v>0</v>
          </cell>
          <cell r="AB166">
            <v>-140</v>
          </cell>
          <cell r="AC166">
            <v>0</v>
          </cell>
          <cell r="AD166">
            <v>2088.1481481481483</v>
          </cell>
          <cell r="AE166">
            <v>4897</v>
          </cell>
          <cell r="AF166">
            <v>497.7</v>
          </cell>
          <cell r="AH166">
            <v>0</v>
          </cell>
          <cell r="AI166">
            <v>9000</v>
          </cell>
          <cell r="AJ166">
            <v>9497.7000000000007</v>
          </cell>
          <cell r="AK166">
            <v>-4600.7000000000007</v>
          </cell>
          <cell r="AL166">
            <v>0</v>
          </cell>
          <cell r="AM166">
            <v>0</v>
          </cell>
          <cell r="AN166">
            <v>4399.3</v>
          </cell>
          <cell r="AO166">
            <v>4400</v>
          </cell>
          <cell r="AP166">
            <v>4400</v>
          </cell>
          <cell r="AQ166">
            <v>1</v>
          </cell>
          <cell r="AR166">
            <v>1.5</v>
          </cell>
        </row>
        <row r="167">
          <cell r="D167" t="str">
            <v>A817</v>
          </cell>
          <cell r="E167" t="str">
            <v>Nguyễn Hùng Ngọc</v>
          </cell>
          <cell r="F167" t="str">
            <v>CII.4</v>
          </cell>
          <cell r="G167" t="str">
            <v>Công nhân</v>
          </cell>
          <cell r="H167" t="str">
            <v>T10/16</v>
          </cell>
          <cell r="I167" t="str">
            <v>7.I</v>
          </cell>
          <cell r="J167">
            <v>4290</v>
          </cell>
          <cell r="K167">
            <v>6</v>
          </cell>
          <cell r="L167">
            <v>6</v>
          </cell>
          <cell r="M167">
            <v>1</v>
          </cell>
          <cell r="N167">
            <v>0</v>
          </cell>
          <cell r="O167">
            <v>0</v>
          </cell>
          <cell r="P167">
            <v>0</v>
          </cell>
          <cell r="Q167">
            <v>1</v>
          </cell>
          <cell r="R167">
            <v>14</v>
          </cell>
          <cell r="S167">
            <v>27.5</v>
          </cell>
          <cell r="T167">
            <v>0</v>
          </cell>
          <cell r="U167">
            <v>0</v>
          </cell>
          <cell r="V167">
            <v>2224</v>
          </cell>
          <cell r="W167">
            <v>819</v>
          </cell>
          <cell r="X167">
            <v>3043</v>
          </cell>
          <cell r="Y167">
            <v>0</v>
          </cell>
          <cell r="Z167">
            <v>0</v>
          </cell>
          <cell r="AA167">
            <v>96</v>
          </cell>
          <cell r="AB167">
            <v>70</v>
          </cell>
          <cell r="AC167">
            <v>0</v>
          </cell>
          <cell r="AD167">
            <v>166</v>
          </cell>
          <cell r="AE167">
            <v>3209</v>
          </cell>
          <cell r="AF167">
            <v>443.1</v>
          </cell>
          <cell r="AH167">
            <v>0</v>
          </cell>
          <cell r="AI167">
            <v>9000</v>
          </cell>
          <cell r="AJ167">
            <v>9443.1</v>
          </cell>
          <cell r="AK167">
            <v>-6234.1</v>
          </cell>
          <cell r="AL167">
            <v>0</v>
          </cell>
          <cell r="AM167">
            <v>2000</v>
          </cell>
          <cell r="AN167">
            <v>765.90000000000009</v>
          </cell>
          <cell r="AO167">
            <v>770</v>
          </cell>
          <cell r="AP167">
            <v>2770</v>
          </cell>
          <cell r="AQ167">
            <v>1</v>
          </cell>
          <cell r="AR167">
            <v>0</v>
          </cell>
        </row>
        <row r="168">
          <cell r="D168" t="str">
            <v>A784</v>
          </cell>
          <cell r="E168" t="str">
            <v>Nguyễn Ngọc Tươi</v>
          </cell>
          <cell r="F168" t="str">
            <v>KHUON</v>
          </cell>
          <cell r="G168" t="str">
            <v>Kỹ thuật</v>
          </cell>
          <cell r="H168" t="str">
            <v>T8/16</v>
          </cell>
          <cell r="I168" t="str">
            <v>4.I</v>
          </cell>
          <cell r="J168">
            <v>4980</v>
          </cell>
          <cell r="K168">
            <v>8</v>
          </cell>
          <cell r="L168">
            <v>7</v>
          </cell>
          <cell r="M168">
            <v>1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16</v>
          </cell>
          <cell r="S168">
            <v>52.5</v>
          </cell>
          <cell r="T168">
            <v>8</v>
          </cell>
          <cell r="U168">
            <v>0</v>
          </cell>
          <cell r="V168">
            <v>2951</v>
          </cell>
          <cell r="W168">
            <v>4060</v>
          </cell>
          <cell r="X168">
            <v>7011</v>
          </cell>
          <cell r="Y168">
            <v>2533.3333333333335</v>
          </cell>
          <cell r="Z168">
            <v>0</v>
          </cell>
          <cell r="AA168">
            <v>128</v>
          </cell>
          <cell r="AB168">
            <v>-150</v>
          </cell>
          <cell r="AC168">
            <v>0</v>
          </cell>
          <cell r="AD168">
            <v>2511.3333333333335</v>
          </cell>
          <cell r="AE168">
            <v>9522</v>
          </cell>
          <cell r="AF168">
            <v>522.9</v>
          </cell>
          <cell r="AH168">
            <v>0</v>
          </cell>
          <cell r="AI168">
            <v>9000</v>
          </cell>
          <cell r="AJ168">
            <v>9522.9</v>
          </cell>
          <cell r="AK168">
            <v>-0.8999999999996362</v>
          </cell>
          <cell r="AL168">
            <v>0</v>
          </cell>
          <cell r="AM168">
            <v>0</v>
          </cell>
          <cell r="AN168">
            <v>8999.1</v>
          </cell>
          <cell r="AO168">
            <v>9000</v>
          </cell>
          <cell r="AP168">
            <v>9000</v>
          </cell>
          <cell r="AQ168">
            <v>1</v>
          </cell>
          <cell r="AR168">
            <v>7.5</v>
          </cell>
        </row>
        <row r="169">
          <cell r="D169" t="str">
            <v>A828</v>
          </cell>
          <cell r="E169" t="str">
            <v>Hồ Thái Hưng</v>
          </cell>
          <cell r="F169" t="str">
            <v>GA</v>
          </cell>
          <cell r="G169" t="str">
            <v xml:space="preserve">công nhân </v>
          </cell>
          <cell r="H169" t="str">
            <v>T2/17</v>
          </cell>
          <cell r="I169" t="str">
            <v>7.I</v>
          </cell>
          <cell r="J169">
            <v>3750</v>
          </cell>
          <cell r="K169">
            <v>10</v>
          </cell>
          <cell r="L169">
            <v>2.5</v>
          </cell>
          <cell r="M169">
            <v>1</v>
          </cell>
          <cell r="N169">
            <v>0</v>
          </cell>
          <cell r="O169">
            <v>0</v>
          </cell>
          <cell r="P169">
            <v>0</v>
          </cell>
          <cell r="Q169">
            <v>1.5</v>
          </cell>
          <cell r="R169">
            <v>15</v>
          </cell>
          <cell r="S169">
            <v>40</v>
          </cell>
          <cell r="T169">
            <v>0</v>
          </cell>
          <cell r="U169">
            <v>0</v>
          </cell>
          <cell r="V169">
            <v>2083</v>
          </cell>
          <cell r="W169">
            <v>1042</v>
          </cell>
          <cell r="X169">
            <v>3125</v>
          </cell>
          <cell r="Y169">
            <v>27.777777777777779</v>
          </cell>
          <cell r="Z169">
            <v>16</v>
          </cell>
          <cell r="AA169">
            <v>160</v>
          </cell>
          <cell r="AB169">
            <v>-70</v>
          </cell>
          <cell r="AC169">
            <v>0</v>
          </cell>
          <cell r="AD169">
            <v>133.77777777777777</v>
          </cell>
          <cell r="AE169">
            <v>3259</v>
          </cell>
          <cell r="AF169">
            <v>443.1</v>
          </cell>
          <cell r="AH169">
            <v>0</v>
          </cell>
          <cell r="AI169">
            <v>9000</v>
          </cell>
          <cell r="AJ169">
            <v>9443.1</v>
          </cell>
          <cell r="AK169">
            <v>-6184.1</v>
          </cell>
          <cell r="AL169">
            <v>0</v>
          </cell>
          <cell r="AM169">
            <v>2000</v>
          </cell>
          <cell r="AN169">
            <v>815.90000000000009</v>
          </cell>
          <cell r="AO169">
            <v>820</v>
          </cell>
          <cell r="AP169">
            <v>2820</v>
          </cell>
          <cell r="AQ169">
            <v>1</v>
          </cell>
          <cell r="AR169">
            <v>0</v>
          </cell>
        </row>
        <row r="170">
          <cell r="D170" t="str">
            <v>A829</v>
          </cell>
          <cell r="E170" t="str">
            <v>Võ Thị Ngọc Giàu</v>
          </cell>
          <cell r="F170" t="str">
            <v>EN</v>
          </cell>
          <cell r="G170" t="str">
            <v xml:space="preserve">công nhân </v>
          </cell>
          <cell r="H170" t="str">
            <v>T2/17</v>
          </cell>
          <cell r="I170" t="str">
            <v>8.I</v>
          </cell>
          <cell r="J170">
            <v>3750</v>
          </cell>
          <cell r="K170">
            <v>7</v>
          </cell>
          <cell r="L170">
            <v>1</v>
          </cell>
          <cell r="M170">
            <v>1</v>
          </cell>
          <cell r="N170">
            <v>0</v>
          </cell>
          <cell r="O170">
            <v>0</v>
          </cell>
          <cell r="P170">
            <v>6</v>
          </cell>
          <cell r="Q170">
            <v>1</v>
          </cell>
          <cell r="R170">
            <v>16</v>
          </cell>
          <cell r="S170">
            <v>52</v>
          </cell>
          <cell r="T170">
            <v>16</v>
          </cell>
          <cell r="U170">
            <v>0</v>
          </cell>
          <cell r="V170">
            <v>2472</v>
          </cell>
          <cell r="W170">
            <v>1910</v>
          </cell>
          <cell r="X170">
            <v>4382</v>
          </cell>
          <cell r="Y170">
            <v>0</v>
          </cell>
          <cell r="Z170">
            <v>0</v>
          </cell>
          <cell r="AA170">
            <v>304</v>
          </cell>
          <cell r="AB170">
            <v>-70</v>
          </cell>
          <cell r="AC170">
            <v>0</v>
          </cell>
          <cell r="AD170">
            <v>234</v>
          </cell>
          <cell r="AE170">
            <v>4616</v>
          </cell>
          <cell r="AF170">
            <v>443.1</v>
          </cell>
          <cell r="AH170">
            <v>0</v>
          </cell>
          <cell r="AI170">
            <v>9000</v>
          </cell>
          <cell r="AJ170">
            <v>9443.1</v>
          </cell>
          <cell r="AK170">
            <v>-4827.1000000000004</v>
          </cell>
          <cell r="AL170">
            <v>0</v>
          </cell>
          <cell r="AM170">
            <v>0</v>
          </cell>
          <cell r="AN170">
            <v>4172.8999999999996</v>
          </cell>
          <cell r="AO170">
            <v>4170</v>
          </cell>
          <cell r="AP170">
            <v>4170</v>
          </cell>
          <cell r="AQ170">
            <v>1</v>
          </cell>
          <cell r="AR170">
            <v>6.5</v>
          </cell>
        </row>
        <row r="171">
          <cell r="D171" t="str">
            <v>A831</v>
          </cell>
          <cell r="E171" t="str">
            <v>Trần Phước Dư</v>
          </cell>
          <cell r="F171" t="str">
            <v>CII.4</v>
          </cell>
          <cell r="G171" t="str">
            <v>công nhân</v>
          </cell>
          <cell r="H171" t="str">
            <v>T2/17</v>
          </cell>
          <cell r="I171" t="str">
            <v>8.I</v>
          </cell>
          <cell r="J171">
            <v>3750</v>
          </cell>
          <cell r="K171">
            <v>10</v>
          </cell>
          <cell r="L171">
            <v>1</v>
          </cell>
          <cell r="M171">
            <v>4</v>
          </cell>
          <cell r="N171">
            <v>0</v>
          </cell>
          <cell r="O171">
            <v>0</v>
          </cell>
          <cell r="P171">
            <v>10</v>
          </cell>
          <cell r="Q171">
            <v>2</v>
          </cell>
          <cell r="R171">
            <v>27</v>
          </cell>
          <cell r="S171">
            <v>80</v>
          </cell>
          <cell r="T171">
            <v>0</v>
          </cell>
          <cell r="U171">
            <v>0</v>
          </cell>
          <cell r="V171">
            <v>4167</v>
          </cell>
          <cell r="W171">
            <v>2083</v>
          </cell>
          <cell r="X171">
            <v>6250</v>
          </cell>
          <cell r="Y171">
            <v>400</v>
          </cell>
          <cell r="Z171">
            <v>0</v>
          </cell>
          <cell r="AA171">
            <v>480</v>
          </cell>
          <cell r="AB171">
            <v>140</v>
          </cell>
          <cell r="AC171">
            <v>0</v>
          </cell>
          <cell r="AD171">
            <v>1020</v>
          </cell>
          <cell r="AE171">
            <v>7270</v>
          </cell>
          <cell r="AF171">
            <v>443.1</v>
          </cell>
          <cell r="AH171">
            <v>0</v>
          </cell>
          <cell r="AI171">
            <v>9000</v>
          </cell>
          <cell r="AJ171">
            <v>9443.1</v>
          </cell>
          <cell r="AK171">
            <v>-2173.1000000000004</v>
          </cell>
          <cell r="AL171">
            <v>0</v>
          </cell>
          <cell r="AM171">
            <v>2000</v>
          </cell>
          <cell r="AN171">
            <v>4826.8999999999996</v>
          </cell>
          <cell r="AO171">
            <v>4830</v>
          </cell>
          <cell r="AP171">
            <v>6830</v>
          </cell>
          <cell r="AQ171">
            <v>1</v>
          </cell>
          <cell r="AR171">
            <v>1.5</v>
          </cell>
        </row>
        <row r="172">
          <cell r="D172" t="str">
            <v>A832</v>
          </cell>
          <cell r="E172" t="str">
            <v>Hoàng Văn Định</v>
          </cell>
          <cell r="F172" t="str">
            <v>CII.4</v>
          </cell>
          <cell r="G172" t="str">
            <v>công nhân</v>
          </cell>
          <cell r="H172" t="str">
            <v>T2/17</v>
          </cell>
          <cell r="I172" t="str">
            <v>8.I</v>
          </cell>
          <cell r="J172">
            <v>3750</v>
          </cell>
          <cell r="K172">
            <v>0</v>
          </cell>
          <cell r="L172">
            <v>0</v>
          </cell>
          <cell r="M172">
            <v>1</v>
          </cell>
          <cell r="N172">
            <v>0</v>
          </cell>
          <cell r="O172">
            <v>0</v>
          </cell>
          <cell r="P172">
            <v>11</v>
          </cell>
          <cell r="Q172">
            <v>1</v>
          </cell>
          <cell r="R172">
            <v>13</v>
          </cell>
          <cell r="S172">
            <v>44</v>
          </cell>
          <cell r="T172">
            <v>12</v>
          </cell>
          <cell r="U172">
            <v>0</v>
          </cell>
          <cell r="V172">
            <v>2264</v>
          </cell>
          <cell r="W172">
            <v>1563</v>
          </cell>
          <cell r="X172">
            <v>3827</v>
          </cell>
          <cell r="Y172">
            <v>0</v>
          </cell>
          <cell r="Z172">
            <v>0</v>
          </cell>
          <cell r="AA172">
            <v>352</v>
          </cell>
          <cell r="AB172">
            <v>70</v>
          </cell>
          <cell r="AC172">
            <v>-245.91</v>
          </cell>
          <cell r="AD172">
            <v>176.09</v>
          </cell>
          <cell r="AE172">
            <v>4003</v>
          </cell>
          <cell r="AF172">
            <v>417.9</v>
          </cell>
          <cell r="AH172">
            <v>0</v>
          </cell>
          <cell r="AI172">
            <v>9000</v>
          </cell>
          <cell r="AJ172">
            <v>9417.9</v>
          </cell>
          <cell r="AK172">
            <v>-5414.9</v>
          </cell>
          <cell r="AL172">
            <v>0</v>
          </cell>
          <cell r="AM172">
            <v>2000</v>
          </cell>
          <cell r="AN172">
            <v>1585.1</v>
          </cell>
          <cell r="AO172">
            <v>1590</v>
          </cell>
          <cell r="AP172">
            <v>3590</v>
          </cell>
          <cell r="AQ172">
            <v>1</v>
          </cell>
          <cell r="AR172">
            <v>1.5</v>
          </cell>
        </row>
        <row r="173">
          <cell r="D173" t="str">
            <v>A836</v>
          </cell>
          <cell r="E173" t="str">
            <v>Nguyễn Văn Tuấn</v>
          </cell>
          <cell r="F173" t="str">
            <v>CII.1</v>
          </cell>
          <cell r="G173" t="str">
            <v>công nhân</v>
          </cell>
          <cell r="H173" t="str">
            <v>T2/17</v>
          </cell>
          <cell r="I173" t="str">
            <v>8.I</v>
          </cell>
          <cell r="J173">
            <v>3750</v>
          </cell>
          <cell r="K173">
            <v>0</v>
          </cell>
          <cell r="L173">
            <v>0</v>
          </cell>
          <cell r="M173">
            <v>1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1</v>
          </cell>
          <cell r="S173">
            <v>0</v>
          </cell>
          <cell r="T173">
            <v>0</v>
          </cell>
          <cell r="U173">
            <v>0</v>
          </cell>
          <cell r="V173">
            <v>139</v>
          </cell>
          <cell r="W173">
            <v>0</v>
          </cell>
          <cell r="X173">
            <v>139</v>
          </cell>
          <cell r="Y173">
            <v>0</v>
          </cell>
          <cell r="Z173">
            <v>0</v>
          </cell>
          <cell r="AA173">
            <v>0</v>
          </cell>
          <cell r="AB173">
            <v>-70</v>
          </cell>
          <cell r="AC173">
            <v>-245.91</v>
          </cell>
          <cell r="AD173">
            <v>-315.90999999999997</v>
          </cell>
          <cell r="AE173">
            <v>-177</v>
          </cell>
          <cell r="AF173">
            <v>417.9</v>
          </cell>
          <cell r="AH173">
            <v>0</v>
          </cell>
          <cell r="AI173">
            <v>9000</v>
          </cell>
          <cell r="AJ173">
            <v>9417.9</v>
          </cell>
          <cell r="AK173">
            <v>-9594.9</v>
          </cell>
          <cell r="AL173">
            <v>0</v>
          </cell>
          <cell r="AM173">
            <v>2000</v>
          </cell>
          <cell r="AN173">
            <v>-2594.9</v>
          </cell>
          <cell r="AO173">
            <v>-2590</v>
          </cell>
          <cell r="AP173">
            <v>-590</v>
          </cell>
          <cell r="AQ173">
            <v>1</v>
          </cell>
          <cell r="AR173">
            <v>1</v>
          </cell>
        </row>
        <row r="174">
          <cell r="D174" t="str">
            <v>A826</v>
          </cell>
          <cell r="E174" t="str">
            <v>Trần Đình Ngọ</v>
          </cell>
          <cell r="F174" t="str">
            <v>Gián tiếp</v>
          </cell>
          <cell r="G174" t="str">
            <v>Kỹ thuật</v>
          </cell>
          <cell r="H174" t="str">
            <v>T2/17</v>
          </cell>
          <cell r="I174" t="str">
            <v>4.II</v>
          </cell>
          <cell r="J174">
            <v>5173</v>
          </cell>
          <cell r="K174">
            <v>0</v>
          </cell>
          <cell r="L174">
            <v>15</v>
          </cell>
          <cell r="M174">
            <v>1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16</v>
          </cell>
          <cell r="S174">
            <v>0</v>
          </cell>
          <cell r="T174">
            <v>0</v>
          </cell>
          <cell r="U174">
            <v>0</v>
          </cell>
          <cell r="V174">
            <v>3065</v>
          </cell>
          <cell r="W174">
            <v>0</v>
          </cell>
          <cell r="X174">
            <v>3065</v>
          </cell>
          <cell r="Y174">
            <v>2968.8888888888887</v>
          </cell>
          <cell r="Z174">
            <v>16</v>
          </cell>
          <cell r="AA174">
            <v>0</v>
          </cell>
          <cell r="AB174">
            <v>-300</v>
          </cell>
          <cell r="AC174">
            <v>0</v>
          </cell>
          <cell r="AD174">
            <v>2684.8888888888887</v>
          </cell>
          <cell r="AE174">
            <v>5750</v>
          </cell>
          <cell r="AF174">
            <v>497.7</v>
          </cell>
          <cell r="AH174">
            <v>0</v>
          </cell>
          <cell r="AI174">
            <v>9000</v>
          </cell>
          <cell r="AJ174">
            <v>9497.7000000000007</v>
          </cell>
          <cell r="AK174">
            <v>-3747.7000000000007</v>
          </cell>
          <cell r="AL174">
            <v>0</v>
          </cell>
          <cell r="AM174">
            <v>0</v>
          </cell>
          <cell r="AN174">
            <v>5252.3</v>
          </cell>
          <cell r="AO174">
            <v>5250</v>
          </cell>
          <cell r="AP174">
            <v>5250</v>
          </cell>
          <cell r="AQ174">
            <v>1</v>
          </cell>
          <cell r="AR174">
            <v>3</v>
          </cell>
        </row>
        <row r="175">
          <cell r="D175" t="str">
            <v>A837</v>
          </cell>
          <cell r="E175" t="str">
            <v>Đào Đức Thịnh</v>
          </cell>
          <cell r="F175" t="str">
            <v>Gián tiếp</v>
          </cell>
          <cell r="G175" t="str">
            <v>Quản đốc Xưởng xi mạ</v>
          </cell>
          <cell r="H175" t="str">
            <v>T3/17</v>
          </cell>
          <cell r="I175" t="str">
            <v>3.I</v>
          </cell>
          <cell r="J175">
            <v>6125</v>
          </cell>
          <cell r="K175">
            <v>0</v>
          </cell>
          <cell r="L175">
            <v>24</v>
          </cell>
          <cell r="M175">
            <v>1</v>
          </cell>
          <cell r="N175">
            <v>0</v>
          </cell>
          <cell r="O175">
            <v>0</v>
          </cell>
          <cell r="P175">
            <v>0</v>
          </cell>
          <cell r="Q175">
            <v>2</v>
          </cell>
          <cell r="R175">
            <v>27</v>
          </cell>
          <cell r="S175">
            <v>0</v>
          </cell>
          <cell r="T175">
            <v>0</v>
          </cell>
          <cell r="U175">
            <v>0</v>
          </cell>
          <cell r="V175">
            <v>6125</v>
          </cell>
          <cell r="W175">
            <v>0</v>
          </cell>
          <cell r="X175">
            <v>6125</v>
          </cell>
          <cell r="Y175">
            <v>11875</v>
          </cell>
          <cell r="Z175">
            <v>48</v>
          </cell>
          <cell r="AA175">
            <v>0</v>
          </cell>
          <cell r="AB175">
            <v>0</v>
          </cell>
          <cell r="AC175">
            <v>0</v>
          </cell>
          <cell r="AD175">
            <v>11923</v>
          </cell>
          <cell r="AE175">
            <v>18048</v>
          </cell>
          <cell r="AF175">
            <v>643.125</v>
          </cell>
          <cell r="AH175">
            <v>2</v>
          </cell>
          <cell r="AI175">
            <v>16200</v>
          </cell>
          <cell r="AJ175">
            <v>16843.125</v>
          </cell>
          <cell r="AK175">
            <v>1204.875</v>
          </cell>
          <cell r="AL175">
            <v>60</v>
          </cell>
          <cell r="AM175">
            <v>0</v>
          </cell>
          <cell r="AN175">
            <v>17344.875</v>
          </cell>
          <cell r="AO175">
            <v>17350</v>
          </cell>
          <cell r="AP175">
            <v>17350</v>
          </cell>
          <cell r="AQ175">
            <v>1</v>
          </cell>
          <cell r="AR175">
            <v>-2</v>
          </cell>
        </row>
        <row r="176">
          <cell r="D176" t="str">
            <v>A838</v>
          </cell>
          <cell r="E176" t="str">
            <v>Lê Văn Quý</v>
          </cell>
          <cell r="F176" t="str">
            <v>Gián tiếp</v>
          </cell>
          <cell r="G176" t="str">
            <v>Phó Giám đốc</v>
          </cell>
          <cell r="H176" t="str">
            <v>T3/17</v>
          </cell>
          <cell r="I176" t="str">
            <v>1.I</v>
          </cell>
          <cell r="J176">
            <v>15049.9995</v>
          </cell>
          <cell r="K176">
            <v>0</v>
          </cell>
          <cell r="L176">
            <v>0</v>
          </cell>
          <cell r="M176">
            <v>1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1</v>
          </cell>
          <cell r="S176">
            <v>0</v>
          </cell>
          <cell r="T176">
            <v>0</v>
          </cell>
          <cell r="U176">
            <v>0</v>
          </cell>
          <cell r="V176">
            <v>557</v>
          </cell>
          <cell r="W176">
            <v>0</v>
          </cell>
          <cell r="X176">
            <v>557</v>
          </cell>
          <cell r="Y176">
            <v>405.55555555555554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405.55555555555554</v>
          </cell>
          <cell r="AE176">
            <v>963</v>
          </cell>
          <cell r="AF176">
            <v>1580.25</v>
          </cell>
          <cell r="AH176">
            <v>1</v>
          </cell>
          <cell r="AI176">
            <v>12600</v>
          </cell>
          <cell r="AJ176">
            <v>14180.25</v>
          </cell>
          <cell r="AK176">
            <v>-13217.25</v>
          </cell>
          <cell r="AL176">
            <v>0</v>
          </cell>
          <cell r="AM176">
            <v>0</v>
          </cell>
          <cell r="AN176">
            <v>-617.25</v>
          </cell>
          <cell r="AO176">
            <v>-620</v>
          </cell>
          <cell r="AP176">
            <v>-620</v>
          </cell>
          <cell r="AQ176">
            <v>1</v>
          </cell>
          <cell r="AR176">
            <v>3</v>
          </cell>
        </row>
        <row r="177">
          <cell r="D177" t="str">
            <v>A839</v>
          </cell>
          <cell r="E177" t="str">
            <v>Cao Thị Hoài Nhi</v>
          </cell>
          <cell r="F177" t="str">
            <v>TN</v>
          </cell>
          <cell r="G177" t="str">
            <v>Nhân viên phòng thí nghiệm</v>
          </cell>
          <cell r="H177" t="str">
            <v>T3/17</v>
          </cell>
          <cell r="I177" t="str">
            <v>5.I</v>
          </cell>
          <cell r="J177">
            <v>4436</v>
          </cell>
          <cell r="K177">
            <v>2</v>
          </cell>
          <cell r="L177">
            <v>13</v>
          </cell>
          <cell r="M177">
            <v>1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16</v>
          </cell>
          <cell r="S177">
            <v>14</v>
          </cell>
          <cell r="T177">
            <v>0</v>
          </cell>
          <cell r="U177">
            <v>0</v>
          </cell>
          <cell r="V177">
            <v>2629</v>
          </cell>
          <cell r="W177">
            <v>431</v>
          </cell>
          <cell r="X177">
            <v>3060</v>
          </cell>
          <cell r="Y177">
            <v>1223.1111111111111</v>
          </cell>
          <cell r="Z177">
            <v>0</v>
          </cell>
          <cell r="AA177">
            <v>32</v>
          </cell>
          <cell r="AB177">
            <v>-150</v>
          </cell>
          <cell r="AC177">
            <v>0</v>
          </cell>
          <cell r="AD177">
            <v>1105.1111111111111</v>
          </cell>
          <cell r="AE177">
            <v>4165</v>
          </cell>
          <cell r="AF177">
            <v>465.78</v>
          </cell>
          <cell r="AH177">
            <v>0</v>
          </cell>
          <cell r="AI177">
            <v>9000</v>
          </cell>
          <cell r="AJ177">
            <v>9465.7800000000007</v>
          </cell>
          <cell r="AK177">
            <v>-5300.7800000000007</v>
          </cell>
          <cell r="AL177">
            <v>0</v>
          </cell>
          <cell r="AM177">
            <v>0</v>
          </cell>
          <cell r="AN177">
            <v>3699.2200000000003</v>
          </cell>
          <cell r="AO177">
            <v>3700</v>
          </cell>
          <cell r="AP177">
            <v>3700</v>
          </cell>
          <cell r="AQ177">
            <v>1</v>
          </cell>
          <cell r="AR177">
            <v>5.5</v>
          </cell>
        </row>
        <row r="178">
          <cell r="D178" t="str">
            <v>A840</v>
          </cell>
          <cell r="E178" t="str">
            <v>Ngô Trọng Thảo</v>
          </cell>
          <cell r="F178" t="str">
            <v>CD</v>
          </cell>
          <cell r="G178" t="str">
            <v>Nhân viên Cơ điện</v>
          </cell>
          <cell r="H178" t="str">
            <v>T3/17</v>
          </cell>
          <cell r="I178" t="str">
            <v>5.I</v>
          </cell>
          <cell r="J178">
            <v>4436</v>
          </cell>
          <cell r="K178">
            <v>19</v>
          </cell>
          <cell r="L178">
            <v>5</v>
          </cell>
          <cell r="M178">
            <v>1</v>
          </cell>
          <cell r="N178">
            <v>0</v>
          </cell>
          <cell r="O178">
            <v>0</v>
          </cell>
          <cell r="P178">
            <v>0</v>
          </cell>
          <cell r="Q178">
            <v>2</v>
          </cell>
          <cell r="R178">
            <v>27</v>
          </cell>
          <cell r="S178">
            <v>94.5</v>
          </cell>
          <cell r="T178">
            <v>39</v>
          </cell>
          <cell r="U178">
            <v>0</v>
          </cell>
          <cell r="V178">
            <v>4436</v>
          </cell>
          <cell r="W178">
            <v>4513</v>
          </cell>
          <cell r="X178">
            <v>8949</v>
          </cell>
          <cell r="Y178">
            <v>1864</v>
          </cell>
          <cell r="Z178">
            <v>0</v>
          </cell>
          <cell r="AA178">
            <v>304</v>
          </cell>
          <cell r="AB178">
            <v>-70</v>
          </cell>
          <cell r="AC178">
            <v>0</v>
          </cell>
          <cell r="AD178">
            <v>2098</v>
          </cell>
          <cell r="AE178">
            <v>11047</v>
          </cell>
          <cell r="AF178">
            <v>465.78</v>
          </cell>
          <cell r="AH178">
            <v>0</v>
          </cell>
          <cell r="AI178">
            <v>9000</v>
          </cell>
          <cell r="AJ178">
            <v>9465.7800000000007</v>
          </cell>
          <cell r="AK178">
            <v>1581.2199999999993</v>
          </cell>
          <cell r="AL178">
            <v>79</v>
          </cell>
          <cell r="AM178">
            <v>2000</v>
          </cell>
          <cell r="AN178">
            <v>8502.2199999999993</v>
          </cell>
          <cell r="AO178">
            <v>8500</v>
          </cell>
          <cell r="AP178">
            <v>10500</v>
          </cell>
          <cell r="AQ178">
            <v>1</v>
          </cell>
          <cell r="AR178">
            <v>6</v>
          </cell>
        </row>
        <row r="179">
          <cell r="D179" t="str">
            <v>A842</v>
          </cell>
          <cell r="E179" t="str">
            <v>Bùi Thị Lượm</v>
          </cell>
          <cell r="F179" t="str">
            <v>QCE</v>
          </cell>
          <cell r="G179" t="str">
            <v>Công nhân QC</v>
          </cell>
          <cell r="H179" t="str">
            <v>T3/17</v>
          </cell>
          <cell r="I179" t="str">
            <v>8.I</v>
          </cell>
          <cell r="J179">
            <v>3750</v>
          </cell>
          <cell r="K179">
            <v>8</v>
          </cell>
          <cell r="L179">
            <v>1</v>
          </cell>
          <cell r="M179">
            <v>1</v>
          </cell>
          <cell r="N179">
            <v>0</v>
          </cell>
          <cell r="O179">
            <v>0</v>
          </cell>
          <cell r="P179">
            <v>4.5</v>
          </cell>
          <cell r="Q179">
            <v>1.5</v>
          </cell>
          <cell r="R179">
            <v>16</v>
          </cell>
          <cell r="S179">
            <v>48</v>
          </cell>
          <cell r="T179">
            <v>28</v>
          </cell>
          <cell r="U179">
            <v>0</v>
          </cell>
          <cell r="V179">
            <v>2410</v>
          </cell>
          <cell r="W179">
            <v>2222</v>
          </cell>
          <cell r="X179">
            <v>4632</v>
          </cell>
          <cell r="Y179">
            <v>0</v>
          </cell>
          <cell r="Z179">
            <v>64</v>
          </cell>
          <cell r="AA179">
            <v>272</v>
          </cell>
          <cell r="AB179">
            <v>-70</v>
          </cell>
          <cell r="AC179">
            <v>-167.16</v>
          </cell>
          <cell r="AD179">
            <v>98.84</v>
          </cell>
          <cell r="AE179">
            <v>4731</v>
          </cell>
          <cell r="AF179">
            <v>417.9</v>
          </cell>
          <cell r="AH179">
            <v>0</v>
          </cell>
          <cell r="AI179">
            <v>9000</v>
          </cell>
          <cell r="AJ179">
            <v>9417.9</v>
          </cell>
          <cell r="AK179">
            <v>-4686.8999999999996</v>
          </cell>
          <cell r="AL179">
            <v>0</v>
          </cell>
          <cell r="AM179">
            <v>0</v>
          </cell>
          <cell r="AN179">
            <v>4313.1000000000004</v>
          </cell>
          <cell r="AO179">
            <v>4320</v>
          </cell>
          <cell r="AP179">
            <v>4320</v>
          </cell>
          <cell r="AQ179">
            <v>1</v>
          </cell>
          <cell r="AR179">
            <v>0</v>
          </cell>
        </row>
        <row r="180">
          <cell r="D180" t="str">
            <v>A843</v>
          </cell>
          <cell r="E180" t="str">
            <v>Dương Vũ Linh</v>
          </cell>
          <cell r="F180" t="str">
            <v>Gián tiếp</v>
          </cell>
          <cell r="G180" t="str">
            <v>Công nhân Phụ xi mẫu</v>
          </cell>
          <cell r="H180" t="str">
            <v>T3/17</v>
          </cell>
          <cell r="I180" t="str">
            <v>8.I</v>
          </cell>
          <cell r="J180">
            <v>4220</v>
          </cell>
          <cell r="K180">
            <v>0</v>
          </cell>
          <cell r="L180">
            <v>14</v>
          </cell>
          <cell r="M180">
            <v>1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15</v>
          </cell>
          <cell r="S180">
            <v>1</v>
          </cell>
          <cell r="T180">
            <v>0</v>
          </cell>
          <cell r="U180">
            <v>0</v>
          </cell>
          <cell r="V180">
            <v>2344</v>
          </cell>
          <cell r="W180">
            <v>29</v>
          </cell>
          <cell r="X180">
            <v>2373</v>
          </cell>
          <cell r="Y180">
            <v>161.11111111111111</v>
          </cell>
          <cell r="Z180">
            <v>16</v>
          </cell>
          <cell r="AA180">
            <v>0</v>
          </cell>
          <cell r="AB180">
            <v>-140</v>
          </cell>
          <cell r="AC180">
            <v>-177.24</v>
          </cell>
          <cell r="AD180">
            <v>-140.12888888888889</v>
          </cell>
          <cell r="AE180">
            <v>2233</v>
          </cell>
          <cell r="AF180">
            <v>443.1</v>
          </cell>
          <cell r="AH180">
            <v>0</v>
          </cell>
          <cell r="AI180">
            <v>9000</v>
          </cell>
          <cell r="AJ180">
            <v>9443.1</v>
          </cell>
          <cell r="AK180">
            <v>-7210.1</v>
          </cell>
          <cell r="AL180">
            <v>0</v>
          </cell>
          <cell r="AM180">
            <v>2000</v>
          </cell>
          <cell r="AN180">
            <v>-210.09999999999991</v>
          </cell>
          <cell r="AO180">
            <v>-210</v>
          </cell>
          <cell r="AP180">
            <v>1790</v>
          </cell>
          <cell r="AQ180">
            <v>1</v>
          </cell>
          <cell r="AR180">
            <v>-0.5</v>
          </cell>
        </row>
        <row r="181">
          <cell r="D181" t="str">
            <v>A821</v>
          </cell>
          <cell r="E181" t="str">
            <v>Nguyễn Tuấn Vũ</v>
          </cell>
          <cell r="F181" t="str">
            <v>KHUON</v>
          </cell>
          <cell r="G181" t="str">
            <v>Kỹ thuật</v>
          </cell>
          <cell r="H181" t="str">
            <v>T11/16</v>
          </cell>
          <cell r="I181" t="str">
            <v>5.I</v>
          </cell>
          <cell r="J181">
            <v>4436</v>
          </cell>
          <cell r="K181">
            <v>1</v>
          </cell>
          <cell r="L181">
            <v>13</v>
          </cell>
          <cell r="M181">
            <v>1</v>
          </cell>
          <cell r="N181">
            <v>0</v>
          </cell>
          <cell r="O181">
            <v>0</v>
          </cell>
          <cell r="P181">
            <v>0</v>
          </cell>
          <cell r="Q181">
            <v>2</v>
          </cell>
          <cell r="R181">
            <v>17</v>
          </cell>
          <cell r="S181">
            <v>6</v>
          </cell>
          <cell r="T181">
            <v>17.5</v>
          </cell>
          <cell r="U181">
            <v>0</v>
          </cell>
          <cell r="V181">
            <v>2793</v>
          </cell>
          <cell r="W181">
            <v>1324</v>
          </cell>
          <cell r="X181">
            <v>4117</v>
          </cell>
          <cell r="Y181">
            <v>1299.5555555555557</v>
          </cell>
          <cell r="Z181">
            <v>48</v>
          </cell>
          <cell r="AA181">
            <v>16</v>
          </cell>
          <cell r="AB181">
            <v>-300</v>
          </cell>
          <cell r="AC181">
            <v>0</v>
          </cell>
          <cell r="AD181">
            <v>1063.5555555555557</v>
          </cell>
          <cell r="AE181">
            <v>5181</v>
          </cell>
          <cell r="AF181">
            <v>465.78</v>
          </cell>
          <cell r="AH181">
            <v>0</v>
          </cell>
          <cell r="AI181">
            <v>9000</v>
          </cell>
          <cell r="AJ181">
            <v>9465.7800000000007</v>
          </cell>
          <cell r="AK181">
            <v>-4284.7800000000007</v>
          </cell>
          <cell r="AL181">
            <v>0</v>
          </cell>
          <cell r="AM181">
            <v>0</v>
          </cell>
          <cell r="AN181">
            <v>4715.22</v>
          </cell>
          <cell r="AO181">
            <v>4720</v>
          </cell>
          <cell r="AP181">
            <v>4720</v>
          </cell>
          <cell r="AQ181">
            <v>1</v>
          </cell>
          <cell r="AR181">
            <v>2.5</v>
          </cell>
        </row>
        <row r="182">
          <cell r="D182" t="str">
            <v>A848</v>
          </cell>
          <cell r="E182" t="str">
            <v>Thị Mỹ Tho</v>
          </cell>
          <cell r="F182" t="str">
            <v>PHOI</v>
          </cell>
          <cell r="G182" t="str">
            <v>Công nhân phôi</v>
          </cell>
          <cell r="H182" t="str">
            <v>T3/17</v>
          </cell>
          <cell r="I182" t="str">
            <v>8.I</v>
          </cell>
          <cell r="J182">
            <v>3750</v>
          </cell>
          <cell r="K182">
            <v>15</v>
          </cell>
          <cell r="L182">
            <v>0</v>
          </cell>
          <cell r="M182">
            <v>1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16</v>
          </cell>
          <cell r="S182">
            <v>69</v>
          </cell>
          <cell r="T182">
            <v>0</v>
          </cell>
          <cell r="U182">
            <v>0</v>
          </cell>
          <cell r="V182">
            <v>2222</v>
          </cell>
          <cell r="W182">
            <v>1797</v>
          </cell>
          <cell r="X182">
            <v>4019</v>
          </cell>
          <cell r="Y182">
            <v>0</v>
          </cell>
          <cell r="Z182">
            <v>0</v>
          </cell>
          <cell r="AA182">
            <v>240</v>
          </cell>
          <cell r="AB182">
            <v>-70</v>
          </cell>
          <cell r="AC182">
            <v>-167.16</v>
          </cell>
          <cell r="AD182">
            <v>2.8400000000000034</v>
          </cell>
          <cell r="AE182">
            <v>4022</v>
          </cell>
          <cell r="AF182">
            <v>417.9</v>
          </cell>
          <cell r="AH182">
            <v>0</v>
          </cell>
          <cell r="AI182">
            <v>9000</v>
          </cell>
          <cell r="AJ182">
            <v>9417.9</v>
          </cell>
          <cell r="AK182">
            <v>-5395.9</v>
          </cell>
          <cell r="AL182">
            <v>0</v>
          </cell>
          <cell r="AM182">
            <v>2000</v>
          </cell>
          <cell r="AN182">
            <v>1604.1</v>
          </cell>
          <cell r="AO182">
            <v>1610</v>
          </cell>
          <cell r="AP182">
            <v>3610</v>
          </cell>
          <cell r="AQ182">
            <v>1</v>
          </cell>
          <cell r="AR182">
            <v>7.5</v>
          </cell>
        </row>
        <row r="183">
          <cell r="D183" t="str">
            <v>A852</v>
          </cell>
          <cell r="E183" t="str">
            <v>Nguyễn Văn Thật</v>
          </cell>
          <cell r="F183" t="str">
            <v>GA</v>
          </cell>
          <cell r="G183" t="str">
            <v>Công nhân gá</v>
          </cell>
          <cell r="H183" t="str">
            <v>T3/17</v>
          </cell>
          <cell r="I183" t="str">
            <v>8.I</v>
          </cell>
          <cell r="J183">
            <v>3900</v>
          </cell>
          <cell r="K183">
            <v>7</v>
          </cell>
          <cell r="L183">
            <v>7</v>
          </cell>
          <cell r="M183">
            <v>1</v>
          </cell>
          <cell r="N183">
            <v>0</v>
          </cell>
          <cell r="O183">
            <v>0</v>
          </cell>
          <cell r="P183">
            <v>0</v>
          </cell>
          <cell r="Q183">
            <v>1</v>
          </cell>
          <cell r="R183">
            <v>16</v>
          </cell>
          <cell r="S183">
            <v>36</v>
          </cell>
          <cell r="T183">
            <v>0</v>
          </cell>
          <cell r="U183">
            <v>0</v>
          </cell>
          <cell r="V183">
            <v>2311</v>
          </cell>
          <cell r="W183">
            <v>975</v>
          </cell>
          <cell r="X183">
            <v>3286</v>
          </cell>
          <cell r="Y183">
            <v>237.03703703703704</v>
          </cell>
          <cell r="Z183">
            <v>32</v>
          </cell>
          <cell r="AA183">
            <v>112</v>
          </cell>
          <cell r="AB183">
            <v>-70</v>
          </cell>
          <cell r="AC183">
            <v>-167.16</v>
          </cell>
          <cell r="AD183">
            <v>143.87703703703707</v>
          </cell>
          <cell r="AE183">
            <v>3430</v>
          </cell>
          <cell r="AF183">
            <v>417.9</v>
          </cell>
          <cell r="AH183">
            <v>0</v>
          </cell>
          <cell r="AI183">
            <v>9000</v>
          </cell>
          <cell r="AJ183">
            <v>9417.9</v>
          </cell>
          <cell r="AK183">
            <v>-5987.9</v>
          </cell>
          <cell r="AL183">
            <v>0</v>
          </cell>
          <cell r="AM183">
            <v>2000</v>
          </cell>
          <cell r="AN183">
            <v>1012.0999999999999</v>
          </cell>
          <cell r="AO183">
            <v>1010</v>
          </cell>
          <cell r="AP183">
            <v>3010</v>
          </cell>
          <cell r="AQ183">
            <v>1</v>
          </cell>
          <cell r="AR183">
            <v>5</v>
          </cell>
        </row>
        <row r="184">
          <cell r="D184" t="str">
            <v>A853</v>
          </cell>
          <cell r="E184" t="str">
            <v>Nguyễn Văn Minh</v>
          </cell>
          <cell r="F184" t="str">
            <v>CII.1</v>
          </cell>
          <cell r="G184" t="str">
            <v>Công nhân gá</v>
          </cell>
          <cell r="H184" t="str">
            <v>T3/17</v>
          </cell>
          <cell r="I184" t="str">
            <v>8.I</v>
          </cell>
          <cell r="J184">
            <v>3750</v>
          </cell>
          <cell r="K184">
            <v>5</v>
          </cell>
          <cell r="L184">
            <v>1</v>
          </cell>
          <cell r="M184">
            <v>1</v>
          </cell>
          <cell r="N184">
            <v>0</v>
          </cell>
          <cell r="O184">
            <v>0</v>
          </cell>
          <cell r="P184">
            <v>4</v>
          </cell>
          <cell r="Q184">
            <v>4</v>
          </cell>
          <cell r="R184">
            <v>15</v>
          </cell>
          <cell r="S184">
            <v>36</v>
          </cell>
          <cell r="T184">
            <v>0</v>
          </cell>
          <cell r="U184">
            <v>0</v>
          </cell>
          <cell r="V184">
            <v>2250</v>
          </cell>
          <cell r="W184">
            <v>938</v>
          </cell>
          <cell r="X184">
            <v>3188</v>
          </cell>
          <cell r="Y184">
            <v>0</v>
          </cell>
          <cell r="Z184">
            <v>16</v>
          </cell>
          <cell r="AA184">
            <v>208</v>
          </cell>
          <cell r="AB184">
            <v>-70</v>
          </cell>
          <cell r="AC184">
            <v>-167.16</v>
          </cell>
          <cell r="AD184">
            <v>-13.159999999999997</v>
          </cell>
          <cell r="AE184">
            <v>3175</v>
          </cell>
          <cell r="AF184">
            <v>417.9</v>
          </cell>
          <cell r="AH184">
            <v>0</v>
          </cell>
          <cell r="AI184">
            <v>9000</v>
          </cell>
          <cell r="AJ184">
            <v>9417.9</v>
          </cell>
          <cell r="AK184">
            <v>-6242.9</v>
          </cell>
          <cell r="AL184">
            <v>0</v>
          </cell>
          <cell r="AM184">
            <v>2000</v>
          </cell>
          <cell r="AN184">
            <v>757.09999999999991</v>
          </cell>
          <cell r="AO184">
            <v>760</v>
          </cell>
          <cell r="AP184">
            <v>2760</v>
          </cell>
          <cell r="AQ184">
            <v>1</v>
          </cell>
          <cell r="AR184">
            <v>0.5</v>
          </cell>
        </row>
        <row r="185">
          <cell r="D185" t="str">
            <v>A844</v>
          </cell>
          <cell r="E185" t="str">
            <v>Đặng Thái Vinh</v>
          </cell>
          <cell r="F185" t="str">
            <v>KHUON</v>
          </cell>
          <cell r="G185" t="str">
            <v>Kỹ sư Thiết kế khuôn mẫu</v>
          </cell>
          <cell r="H185" t="str">
            <v>T3/17</v>
          </cell>
          <cell r="I185" t="str">
            <v>4.I</v>
          </cell>
          <cell r="J185">
            <v>4511</v>
          </cell>
          <cell r="K185">
            <v>3</v>
          </cell>
          <cell r="L185">
            <v>12</v>
          </cell>
          <cell r="M185">
            <v>1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16</v>
          </cell>
          <cell r="S185">
            <v>14</v>
          </cell>
          <cell r="T185">
            <v>18.5</v>
          </cell>
          <cell r="U185">
            <v>0</v>
          </cell>
          <cell r="V185">
            <v>2673</v>
          </cell>
          <cell r="W185">
            <v>1906</v>
          </cell>
          <cell r="X185">
            <v>4579</v>
          </cell>
          <cell r="Y185">
            <v>1534.2222222222222</v>
          </cell>
          <cell r="Z185">
            <v>0</v>
          </cell>
          <cell r="AA185">
            <v>48</v>
          </cell>
          <cell r="AB185">
            <v>-300</v>
          </cell>
          <cell r="AC185">
            <v>0</v>
          </cell>
          <cell r="AD185">
            <v>1282.2222222222222</v>
          </cell>
          <cell r="AE185">
            <v>5861</v>
          </cell>
          <cell r="AF185">
            <v>473.65499999999997</v>
          </cell>
          <cell r="AH185">
            <v>0</v>
          </cell>
          <cell r="AI185">
            <v>9000</v>
          </cell>
          <cell r="AJ185">
            <v>9473.6550000000007</v>
          </cell>
          <cell r="AK185">
            <v>-3612.6550000000007</v>
          </cell>
          <cell r="AL185">
            <v>0</v>
          </cell>
          <cell r="AM185">
            <v>3000</v>
          </cell>
          <cell r="AN185">
            <v>2387.3450000000003</v>
          </cell>
          <cell r="AO185">
            <v>2390</v>
          </cell>
          <cell r="AP185">
            <v>5390</v>
          </cell>
          <cell r="AQ185">
            <v>1</v>
          </cell>
          <cell r="AR185">
            <v>4.5</v>
          </cell>
        </row>
        <row r="186">
          <cell r="D186" t="str">
            <v>A380</v>
          </cell>
          <cell r="E186" t="str">
            <v>Đỗ Thị Phương</v>
          </cell>
          <cell r="F186" t="str">
            <v>QCE</v>
          </cell>
          <cell r="G186" t="str">
            <v>QUANLY</v>
          </cell>
          <cell r="H186" t="str">
            <v>T4/13</v>
          </cell>
          <cell r="I186" t="str">
            <v>6.IV</v>
          </cell>
          <cell r="J186">
            <v>4787</v>
          </cell>
          <cell r="K186">
            <v>1</v>
          </cell>
          <cell r="L186">
            <v>14</v>
          </cell>
          <cell r="M186">
            <v>1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16</v>
          </cell>
          <cell r="S186">
            <v>11.5</v>
          </cell>
          <cell r="T186">
            <v>0</v>
          </cell>
          <cell r="U186">
            <v>0</v>
          </cell>
          <cell r="V186">
            <v>2837</v>
          </cell>
          <cell r="W186">
            <v>382</v>
          </cell>
          <cell r="X186">
            <v>3219</v>
          </cell>
          <cell r="Y186">
            <v>1904</v>
          </cell>
          <cell r="Z186">
            <v>0</v>
          </cell>
          <cell r="AA186">
            <v>16</v>
          </cell>
          <cell r="AB186">
            <v>-150</v>
          </cell>
          <cell r="AC186">
            <v>0</v>
          </cell>
          <cell r="AD186">
            <v>1770</v>
          </cell>
          <cell r="AE186">
            <v>4989</v>
          </cell>
          <cell r="AF186">
            <v>465.78</v>
          </cell>
          <cell r="AH186">
            <v>0</v>
          </cell>
          <cell r="AI186">
            <v>9000</v>
          </cell>
          <cell r="AJ186">
            <v>9465.7800000000007</v>
          </cell>
          <cell r="AK186">
            <v>-4476.7800000000007</v>
          </cell>
          <cell r="AL186">
            <v>0</v>
          </cell>
          <cell r="AM186">
            <v>0</v>
          </cell>
          <cell r="AN186">
            <v>4523.22</v>
          </cell>
          <cell r="AO186">
            <v>4530</v>
          </cell>
          <cell r="AP186">
            <v>4530</v>
          </cell>
          <cell r="AQ186">
            <v>1</v>
          </cell>
          <cell r="AR186">
            <v>2</v>
          </cell>
        </row>
        <row r="187">
          <cell r="D187" t="str">
            <v>A858</v>
          </cell>
          <cell r="E187" t="str">
            <v>Huỳnh Ngọc Độ</v>
          </cell>
          <cell r="F187" t="str">
            <v>GA</v>
          </cell>
          <cell r="G187" t="str">
            <v>Công nhân sơn in</v>
          </cell>
          <cell r="H187" t="str">
            <v>T4/17</v>
          </cell>
          <cell r="I187" t="str">
            <v>8.I</v>
          </cell>
          <cell r="J187">
            <v>4220</v>
          </cell>
          <cell r="K187">
            <v>12.5</v>
          </cell>
          <cell r="L187">
            <v>1</v>
          </cell>
          <cell r="M187">
            <v>1</v>
          </cell>
          <cell r="N187">
            <v>0</v>
          </cell>
          <cell r="O187">
            <v>0</v>
          </cell>
          <cell r="P187">
            <v>0</v>
          </cell>
          <cell r="Q187">
            <v>1.5</v>
          </cell>
          <cell r="R187">
            <v>16</v>
          </cell>
          <cell r="S187">
            <v>52</v>
          </cell>
          <cell r="T187">
            <v>24</v>
          </cell>
          <cell r="U187">
            <v>0</v>
          </cell>
          <cell r="V187">
            <v>2501</v>
          </cell>
          <cell r="W187">
            <v>2462</v>
          </cell>
          <cell r="X187">
            <v>4963</v>
          </cell>
          <cell r="Y187">
            <v>0</v>
          </cell>
          <cell r="Z187">
            <v>0</v>
          </cell>
          <cell r="AA187">
            <v>200</v>
          </cell>
          <cell r="AB187">
            <v>-70</v>
          </cell>
          <cell r="AC187">
            <v>-177.24</v>
          </cell>
          <cell r="AD187">
            <v>-47.240000000000009</v>
          </cell>
          <cell r="AE187">
            <v>4916</v>
          </cell>
          <cell r="AF187">
            <v>443.1</v>
          </cell>
          <cell r="AH187">
            <v>0</v>
          </cell>
          <cell r="AI187">
            <v>9000</v>
          </cell>
          <cell r="AJ187">
            <v>9443.1</v>
          </cell>
          <cell r="AK187">
            <v>-4527.1000000000004</v>
          </cell>
          <cell r="AL187">
            <v>0</v>
          </cell>
          <cell r="AM187">
            <v>2000</v>
          </cell>
          <cell r="AN187">
            <v>2472.8999999999996</v>
          </cell>
          <cell r="AO187">
            <v>2470</v>
          </cell>
          <cell r="AP187">
            <v>4470</v>
          </cell>
          <cell r="AQ187">
            <v>1</v>
          </cell>
          <cell r="AR187">
            <v>0.5</v>
          </cell>
        </row>
        <row r="188">
          <cell r="D188" t="str">
            <v>A860</v>
          </cell>
          <cell r="E188" t="str">
            <v>Nguyễn Ngọc Tâm</v>
          </cell>
          <cell r="F188" t="str">
            <v>CII.3</v>
          </cell>
          <cell r="G188" t="str">
            <v xml:space="preserve">Công nhân xi mạ </v>
          </cell>
          <cell r="H188" t="str">
            <v>T4/17</v>
          </cell>
          <cell r="I188" t="str">
            <v>8.I</v>
          </cell>
          <cell r="J188">
            <v>3750</v>
          </cell>
          <cell r="K188">
            <v>0</v>
          </cell>
          <cell r="L188">
            <v>0</v>
          </cell>
          <cell r="M188">
            <v>1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1</v>
          </cell>
          <cell r="S188">
            <v>0</v>
          </cell>
          <cell r="T188">
            <v>0</v>
          </cell>
          <cell r="U188">
            <v>0</v>
          </cell>
          <cell r="V188">
            <v>139</v>
          </cell>
          <cell r="W188">
            <v>0</v>
          </cell>
          <cell r="X188">
            <v>139</v>
          </cell>
          <cell r="Y188">
            <v>0</v>
          </cell>
          <cell r="Z188">
            <v>0</v>
          </cell>
          <cell r="AA188">
            <v>0</v>
          </cell>
          <cell r="AB188">
            <v>-70</v>
          </cell>
          <cell r="AC188">
            <v>-167.16</v>
          </cell>
          <cell r="AD188">
            <v>-237.16</v>
          </cell>
          <cell r="AE188">
            <v>-98</v>
          </cell>
          <cell r="AF188">
            <v>417.9</v>
          </cell>
          <cell r="AH188">
            <v>0</v>
          </cell>
          <cell r="AI188">
            <v>9000</v>
          </cell>
          <cell r="AJ188">
            <v>9417.9</v>
          </cell>
          <cell r="AK188">
            <v>-9515.9</v>
          </cell>
          <cell r="AL188">
            <v>0</v>
          </cell>
          <cell r="AM188">
            <v>1000</v>
          </cell>
          <cell r="AN188">
            <v>-1515.9</v>
          </cell>
          <cell r="AO188">
            <v>-1510</v>
          </cell>
          <cell r="AP188">
            <v>-510</v>
          </cell>
          <cell r="AQ188">
            <v>1</v>
          </cell>
          <cell r="AR188">
            <v>1</v>
          </cell>
        </row>
        <row r="189">
          <cell r="D189" t="str">
            <v>A861</v>
          </cell>
          <cell r="E189" t="str">
            <v>Nguyễn Thanh Quốc Dương</v>
          </cell>
          <cell r="F189" t="str">
            <v>CI.1</v>
          </cell>
          <cell r="G189" t="str">
            <v xml:space="preserve">Công nhân xi mạ </v>
          </cell>
          <cell r="H189" t="str">
            <v>T4/17</v>
          </cell>
          <cell r="I189" t="str">
            <v>8.I</v>
          </cell>
          <cell r="J189">
            <v>4259</v>
          </cell>
          <cell r="K189">
            <v>8</v>
          </cell>
          <cell r="L189">
            <v>5</v>
          </cell>
          <cell r="M189">
            <v>1</v>
          </cell>
          <cell r="N189">
            <v>0</v>
          </cell>
          <cell r="O189">
            <v>0</v>
          </cell>
          <cell r="P189">
            <v>1</v>
          </cell>
          <cell r="Q189">
            <v>1</v>
          </cell>
          <cell r="R189">
            <v>16</v>
          </cell>
          <cell r="S189">
            <v>58</v>
          </cell>
          <cell r="T189">
            <v>16</v>
          </cell>
          <cell r="U189">
            <v>0</v>
          </cell>
          <cell r="V189">
            <v>2571</v>
          </cell>
          <cell r="W189">
            <v>2346</v>
          </cell>
          <cell r="X189">
            <v>4917</v>
          </cell>
          <cell r="Y189">
            <v>142.81481481481481</v>
          </cell>
          <cell r="Z189">
            <v>32</v>
          </cell>
          <cell r="AA189">
            <v>160</v>
          </cell>
          <cell r="AB189">
            <v>-70</v>
          </cell>
          <cell r="AC189">
            <v>-178.87799999999999</v>
          </cell>
          <cell r="AD189">
            <v>85.936814814814795</v>
          </cell>
          <cell r="AE189">
            <v>5003</v>
          </cell>
          <cell r="AF189">
            <v>447.19499999999999</v>
          </cell>
          <cell r="AH189">
            <v>0</v>
          </cell>
          <cell r="AI189">
            <v>9000</v>
          </cell>
          <cell r="AJ189">
            <v>9447.1949999999997</v>
          </cell>
          <cell r="AK189">
            <v>-4444.1949999999997</v>
          </cell>
          <cell r="AL189">
            <v>0</v>
          </cell>
          <cell r="AM189">
            <v>2000</v>
          </cell>
          <cell r="AN189">
            <v>2555.8050000000003</v>
          </cell>
          <cell r="AO189">
            <v>2560</v>
          </cell>
          <cell r="AP189">
            <v>4560</v>
          </cell>
          <cell r="AQ189">
            <v>1</v>
          </cell>
          <cell r="AR189">
            <v>6.5</v>
          </cell>
        </row>
        <row r="190">
          <cell r="D190" t="str">
            <v>A862</v>
          </cell>
          <cell r="E190" t="str">
            <v>Trần Thị Mỹ Loan</v>
          </cell>
          <cell r="F190" t="str">
            <v>CII.4</v>
          </cell>
          <cell r="G190" t="str">
            <v xml:space="preserve">Công nhân xi mạ </v>
          </cell>
          <cell r="H190" t="str">
            <v>T4/17</v>
          </cell>
          <cell r="I190" t="str">
            <v>8.I</v>
          </cell>
          <cell r="J190">
            <v>3750</v>
          </cell>
          <cell r="K190">
            <v>0</v>
          </cell>
          <cell r="L190">
            <v>15</v>
          </cell>
          <cell r="M190">
            <v>1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16</v>
          </cell>
          <cell r="S190">
            <v>40</v>
          </cell>
          <cell r="T190">
            <v>11</v>
          </cell>
          <cell r="U190">
            <v>0</v>
          </cell>
          <cell r="V190">
            <v>2222</v>
          </cell>
          <cell r="W190">
            <v>1424</v>
          </cell>
          <cell r="X190">
            <v>3646</v>
          </cell>
          <cell r="Y190">
            <v>0</v>
          </cell>
          <cell r="Z190">
            <v>0</v>
          </cell>
          <cell r="AA190">
            <v>0</v>
          </cell>
          <cell r="AB190">
            <v>70</v>
          </cell>
          <cell r="AC190">
            <v>-167.16</v>
          </cell>
          <cell r="AD190">
            <v>-97.16</v>
          </cell>
          <cell r="AE190">
            <v>3549</v>
          </cell>
          <cell r="AF190">
            <v>417.9</v>
          </cell>
          <cell r="AH190">
            <v>0</v>
          </cell>
          <cell r="AI190">
            <v>9000</v>
          </cell>
          <cell r="AJ190">
            <v>9417.9</v>
          </cell>
          <cell r="AK190">
            <v>-5868.9</v>
          </cell>
          <cell r="AL190">
            <v>0</v>
          </cell>
          <cell r="AM190">
            <v>2000</v>
          </cell>
          <cell r="AN190">
            <v>1131.0999999999999</v>
          </cell>
          <cell r="AO190">
            <v>1130</v>
          </cell>
          <cell r="AP190">
            <v>3130</v>
          </cell>
          <cell r="AQ190">
            <v>1</v>
          </cell>
          <cell r="AR190">
            <v>1</v>
          </cell>
        </row>
        <row r="191">
          <cell r="D191" t="str">
            <v>A864</v>
          </cell>
          <cell r="E191" t="str">
            <v>Trần Hoàng Vũ</v>
          </cell>
          <cell r="F191" t="str">
            <v>CI.1</v>
          </cell>
          <cell r="G191" t="str">
            <v xml:space="preserve">Công nhân xi mạ </v>
          </cell>
          <cell r="H191" t="str">
            <v>T4/17</v>
          </cell>
          <cell r="I191" t="str">
            <v>8.I</v>
          </cell>
          <cell r="J191">
            <v>3750</v>
          </cell>
          <cell r="K191">
            <v>9</v>
          </cell>
          <cell r="L191">
            <v>0</v>
          </cell>
          <cell r="M191">
            <v>1</v>
          </cell>
          <cell r="N191">
            <v>0</v>
          </cell>
          <cell r="O191">
            <v>0</v>
          </cell>
          <cell r="P191">
            <v>5</v>
          </cell>
          <cell r="Q191">
            <v>1</v>
          </cell>
          <cell r="R191">
            <v>16</v>
          </cell>
          <cell r="S191">
            <v>56</v>
          </cell>
          <cell r="T191">
            <v>20</v>
          </cell>
          <cell r="U191">
            <v>0</v>
          </cell>
          <cell r="V191">
            <v>2431</v>
          </cell>
          <cell r="W191">
            <v>2153</v>
          </cell>
          <cell r="X191">
            <v>4584</v>
          </cell>
          <cell r="Y191">
            <v>0</v>
          </cell>
          <cell r="Z191">
            <v>0</v>
          </cell>
          <cell r="AA191">
            <v>304</v>
          </cell>
          <cell r="AB191">
            <v>-70</v>
          </cell>
          <cell r="AC191">
            <v>-167.16</v>
          </cell>
          <cell r="AD191">
            <v>66.84</v>
          </cell>
          <cell r="AE191">
            <v>4651</v>
          </cell>
          <cell r="AF191">
            <v>417.9</v>
          </cell>
          <cell r="AH191">
            <v>0</v>
          </cell>
          <cell r="AI191">
            <v>9000</v>
          </cell>
          <cell r="AJ191">
            <v>9417.9</v>
          </cell>
          <cell r="AK191">
            <v>-4766.8999999999996</v>
          </cell>
          <cell r="AL191">
            <v>0</v>
          </cell>
          <cell r="AM191">
            <v>2000</v>
          </cell>
          <cell r="AN191">
            <v>2233.1000000000004</v>
          </cell>
          <cell r="AO191">
            <v>2240</v>
          </cell>
          <cell r="AP191">
            <v>4240</v>
          </cell>
          <cell r="AQ191">
            <v>1</v>
          </cell>
          <cell r="AR191">
            <v>0.5</v>
          </cell>
        </row>
        <row r="192">
          <cell r="D192" t="str">
            <v>A865</v>
          </cell>
          <cell r="E192" t="str">
            <v>Võ Trọng Thịnh</v>
          </cell>
          <cell r="F192" t="e">
            <v>#N/A</v>
          </cell>
          <cell r="G192" t="str">
            <v xml:space="preserve">Công nhân xi mạ </v>
          </cell>
          <cell r="H192" t="str">
            <v>T4/17</v>
          </cell>
          <cell r="I192" t="str">
            <v>8.I</v>
          </cell>
          <cell r="J192">
            <v>3750</v>
          </cell>
          <cell r="K192" t="e">
            <v>#N/A</v>
          </cell>
          <cell r="L192" t="e">
            <v>#N/A</v>
          </cell>
          <cell r="M192" t="e">
            <v>#N/A</v>
          </cell>
          <cell r="N192" t="e">
            <v>#N/A</v>
          </cell>
          <cell r="O192" t="e">
            <v>#N/A</v>
          </cell>
          <cell r="P192" t="e">
            <v>#N/A</v>
          </cell>
          <cell r="Q192" t="e">
            <v>#N/A</v>
          </cell>
          <cell r="R192" t="e">
            <v>#N/A</v>
          </cell>
          <cell r="S192" t="e">
            <v>#N/A</v>
          </cell>
          <cell r="T192" t="e">
            <v>#N/A</v>
          </cell>
          <cell r="U192" t="e">
            <v>#N/A</v>
          </cell>
          <cell r="V192" t="e">
            <v>#N/A</v>
          </cell>
          <cell r="W192" t="e">
            <v>#N/A</v>
          </cell>
          <cell r="X192" t="e">
            <v>#N/A</v>
          </cell>
          <cell r="Y192" t="e">
            <v>#N/A</v>
          </cell>
          <cell r="Z192" t="e">
            <v>#N/A</v>
          </cell>
          <cell r="AA192" t="e">
            <v>#N/A</v>
          </cell>
          <cell r="AB192" t="e">
            <v>#N/A</v>
          </cell>
          <cell r="AC192">
            <v>-167.16</v>
          </cell>
          <cell r="AD192" t="e">
            <v>#N/A</v>
          </cell>
          <cell r="AE192" t="e">
            <v>#N/A</v>
          </cell>
          <cell r="AF192">
            <v>417.9</v>
          </cell>
          <cell r="AH192">
            <v>0</v>
          </cell>
          <cell r="AI192">
            <v>9000</v>
          </cell>
          <cell r="AJ192">
            <v>9417.9</v>
          </cell>
          <cell r="AK192" t="e">
            <v>#N/A</v>
          </cell>
          <cell r="AL192" t="e">
            <v>#N/A</v>
          </cell>
          <cell r="AM192">
            <v>2000</v>
          </cell>
          <cell r="AN192" t="e">
            <v>#N/A</v>
          </cell>
          <cell r="AO192" t="e">
            <v>#N/A</v>
          </cell>
          <cell r="AP192" t="e">
            <v>#N/A</v>
          </cell>
          <cell r="AQ192">
            <v>1</v>
          </cell>
          <cell r="AR192" t="e">
            <v>#N/A</v>
          </cell>
        </row>
        <row r="193">
          <cell r="D193" t="str">
            <v>A867</v>
          </cell>
          <cell r="E193" t="str">
            <v>Đoàn Văn Lý</v>
          </cell>
          <cell r="F193" t="str">
            <v>PHOI</v>
          </cell>
          <cell r="G193" t="str">
            <v>Công nhân ép nhựa</v>
          </cell>
          <cell r="H193" t="str">
            <v>T4/17</v>
          </cell>
          <cell r="I193" t="str">
            <v>8.I</v>
          </cell>
          <cell r="J193">
            <v>3750</v>
          </cell>
          <cell r="K193">
            <v>7</v>
          </cell>
          <cell r="L193">
            <v>3</v>
          </cell>
          <cell r="M193">
            <v>1</v>
          </cell>
          <cell r="N193">
            <v>0</v>
          </cell>
          <cell r="O193">
            <v>0</v>
          </cell>
          <cell r="P193">
            <v>0</v>
          </cell>
          <cell r="Q193">
            <v>5</v>
          </cell>
          <cell r="R193">
            <v>16</v>
          </cell>
          <cell r="S193">
            <v>36</v>
          </cell>
          <cell r="T193">
            <v>0</v>
          </cell>
          <cell r="U193">
            <v>0</v>
          </cell>
          <cell r="V193">
            <v>2222</v>
          </cell>
          <cell r="W193">
            <v>938</v>
          </cell>
          <cell r="X193">
            <v>3160</v>
          </cell>
          <cell r="Y193">
            <v>0</v>
          </cell>
          <cell r="Z193">
            <v>16</v>
          </cell>
          <cell r="AA193">
            <v>112</v>
          </cell>
          <cell r="AB193">
            <v>-70</v>
          </cell>
          <cell r="AC193">
            <v>-83.58</v>
          </cell>
          <cell r="AD193">
            <v>-25.58</v>
          </cell>
          <cell r="AE193">
            <v>3134</v>
          </cell>
          <cell r="AF193">
            <v>417.9</v>
          </cell>
          <cell r="AH193">
            <v>0</v>
          </cell>
          <cell r="AI193">
            <v>9000</v>
          </cell>
          <cell r="AJ193">
            <v>9417.9</v>
          </cell>
          <cell r="AK193">
            <v>-6283.9</v>
          </cell>
          <cell r="AL193">
            <v>0</v>
          </cell>
          <cell r="AM193">
            <v>2000</v>
          </cell>
          <cell r="AN193">
            <v>716.09999999999991</v>
          </cell>
          <cell r="AO193">
            <v>720</v>
          </cell>
          <cell r="AP193">
            <v>2720</v>
          </cell>
          <cell r="AQ193">
            <v>1</v>
          </cell>
          <cell r="AR193">
            <v>0</v>
          </cell>
        </row>
        <row r="194">
          <cell r="D194" t="str">
            <v>A869</v>
          </cell>
          <cell r="E194" t="str">
            <v>Nguyễn Văn Xuân</v>
          </cell>
          <cell r="F194" t="str">
            <v>EN</v>
          </cell>
          <cell r="G194" t="str">
            <v>Công nhân ép nhựa</v>
          </cell>
          <cell r="H194" t="str">
            <v>T4/17</v>
          </cell>
          <cell r="I194" t="str">
            <v>8.I</v>
          </cell>
          <cell r="J194">
            <v>3750</v>
          </cell>
          <cell r="K194">
            <v>6</v>
          </cell>
          <cell r="L194">
            <v>0</v>
          </cell>
          <cell r="M194">
            <v>1</v>
          </cell>
          <cell r="N194">
            <v>0</v>
          </cell>
          <cell r="O194">
            <v>0</v>
          </cell>
          <cell r="P194">
            <v>9</v>
          </cell>
          <cell r="Q194">
            <v>0</v>
          </cell>
          <cell r="R194">
            <v>16</v>
          </cell>
          <cell r="S194">
            <v>60</v>
          </cell>
          <cell r="T194">
            <v>19</v>
          </cell>
          <cell r="U194">
            <v>0</v>
          </cell>
          <cell r="V194">
            <v>2597</v>
          </cell>
          <cell r="W194">
            <v>2222</v>
          </cell>
          <cell r="X194">
            <v>4819</v>
          </cell>
          <cell r="Y194">
            <v>0</v>
          </cell>
          <cell r="Z194">
            <v>16</v>
          </cell>
          <cell r="AA194">
            <v>384</v>
          </cell>
          <cell r="AB194">
            <v>-70</v>
          </cell>
          <cell r="AC194">
            <v>-167.16</v>
          </cell>
          <cell r="AD194">
            <v>162.84</v>
          </cell>
          <cell r="AE194">
            <v>4982</v>
          </cell>
          <cell r="AF194">
            <v>417.9</v>
          </cell>
          <cell r="AH194">
            <v>0</v>
          </cell>
          <cell r="AI194">
            <v>9000</v>
          </cell>
          <cell r="AJ194">
            <v>9417.9</v>
          </cell>
          <cell r="AK194">
            <v>-4435.8999999999996</v>
          </cell>
          <cell r="AL194">
            <v>0</v>
          </cell>
          <cell r="AM194">
            <v>2000</v>
          </cell>
          <cell r="AN194">
            <v>2564.1000000000004</v>
          </cell>
          <cell r="AO194">
            <v>2570</v>
          </cell>
          <cell r="AP194">
            <v>4570</v>
          </cell>
          <cell r="AQ194">
            <v>1</v>
          </cell>
          <cell r="AR194">
            <v>5.5</v>
          </cell>
        </row>
        <row r="195">
          <cell r="D195" t="str">
            <v>A870</v>
          </cell>
          <cell r="E195" t="str">
            <v>Đoàn Thị Thương</v>
          </cell>
          <cell r="F195" t="str">
            <v>QCX</v>
          </cell>
          <cell r="G195" t="str">
            <v xml:space="preserve">Công nhân QC </v>
          </cell>
          <cell r="H195" t="str">
            <v>T4/17</v>
          </cell>
          <cell r="I195" t="str">
            <v>8.I</v>
          </cell>
          <cell r="J195">
            <v>3750</v>
          </cell>
          <cell r="K195">
            <v>4.5</v>
          </cell>
          <cell r="L195">
            <v>0</v>
          </cell>
          <cell r="M195">
            <v>1</v>
          </cell>
          <cell r="N195">
            <v>0</v>
          </cell>
          <cell r="O195">
            <v>0</v>
          </cell>
          <cell r="P195">
            <v>9</v>
          </cell>
          <cell r="Q195">
            <v>1.5</v>
          </cell>
          <cell r="R195">
            <v>16</v>
          </cell>
          <cell r="S195">
            <v>52</v>
          </cell>
          <cell r="T195">
            <v>18</v>
          </cell>
          <cell r="U195">
            <v>0</v>
          </cell>
          <cell r="V195">
            <v>2597</v>
          </cell>
          <cell r="W195">
            <v>1979</v>
          </cell>
          <cell r="X195">
            <v>4576</v>
          </cell>
          <cell r="Y195">
            <v>0</v>
          </cell>
          <cell r="Z195">
            <v>16</v>
          </cell>
          <cell r="AA195">
            <v>360</v>
          </cell>
          <cell r="AB195">
            <v>-70</v>
          </cell>
          <cell r="AC195">
            <v>-167.16</v>
          </cell>
          <cell r="AD195">
            <v>138.84</v>
          </cell>
          <cell r="AE195">
            <v>4715</v>
          </cell>
          <cell r="AF195">
            <v>417.9</v>
          </cell>
          <cell r="AH195">
            <v>0</v>
          </cell>
          <cell r="AI195">
            <v>9000</v>
          </cell>
          <cell r="AJ195">
            <v>9417.9</v>
          </cell>
          <cell r="AK195">
            <v>-4702.8999999999996</v>
          </cell>
          <cell r="AL195">
            <v>0</v>
          </cell>
          <cell r="AM195">
            <v>2000</v>
          </cell>
          <cell r="AN195">
            <v>2297.1000000000004</v>
          </cell>
          <cell r="AO195">
            <v>2300</v>
          </cell>
          <cell r="AP195">
            <v>4300</v>
          </cell>
          <cell r="AQ195">
            <v>1</v>
          </cell>
          <cell r="AR195">
            <v>-0.5</v>
          </cell>
        </row>
        <row r="196">
          <cell r="D196" t="str">
            <v>A872</v>
          </cell>
          <cell r="E196" t="str">
            <v>Bùi Văn Cảnh</v>
          </cell>
          <cell r="F196" t="str">
            <v>EN</v>
          </cell>
          <cell r="G196" t="str">
            <v>Công nhân ép nhựa</v>
          </cell>
          <cell r="H196" t="str">
            <v>T4/17</v>
          </cell>
          <cell r="I196" t="str">
            <v>8.I</v>
          </cell>
          <cell r="J196">
            <v>3750</v>
          </cell>
          <cell r="K196">
            <v>0</v>
          </cell>
          <cell r="L196">
            <v>0</v>
          </cell>
          <cell r="M196">
            <v>1</v>
          </cell>
          <cell r="N196">
            <v>0</v>
          </cell>
          <cell r="O196">
            <v>0</v>
          </cell>
          <cell r="P196">
            <v>2</v>
          </cell>
          <cell r="Q196">
            <v>0</v>
          </cell>
          <cell r="R196">
            <v>3</v>
          </cell>
          <cell r="S196">
            <v>8</v>
          </cell>
          <cell r="T196">
            <v>0</v>
          </cell>
          <cell r="U196">
            <v>0</v>
          </cell>
          <cell r="V196">
            <v>500</v>
          </cell>
          <cell r="W196">
            <v>208</v>
          </cell>
          <cell r="X196">
            <v>708</v>
          </cell>
          <cell r="Y196">
            <v>0</v>
          </cell>
          <cell r="Z196">
            <v>0</v>
          </cell>
          <cell r="AA196">
            <v>64</v>
          </cell>
          <cell r="AB196">
            <v>-70</v>
          </cell>
          <cell r="AC196">
            <v>-167.16</v>
          </cell>
          <cell r="AD196">
            <v>-173.16</v>
          </cell>
          <cell r="AE196">
            <v>535</v>
          </cell>
          <cell r="AF196">
            <v>417.9</v>
          </cell>
          <cell r="AH196">
            <v>0</v>
          </cell>
          <cell r="AI196">
            <v>9000</v>
          </cell>
          <cell r="AJ196">
            <v>9417.9</v>
          </cell>
          <cell r="AK196">
            <v>-8882.9</v>
          </cell>
          <cell r="AL196">
            <v>0</v>
          </cell>
          <cell r="AM196">
            <v>2000</v>
          </cell>
          <cell r="AN196">
            <v>-1882.9</v>
          </cell>
          <cell r="AO196">
            <v>-1880</v>
          </cell>
          <cell r="AP196">
            <v>120</v>
          </cell>
          <cell r="AQ196">
            <v>1</v>
          </cell>
          <cell r="AR196">
            <v>3.5</v>
          </cell>
        </row>
        <row r="197">
          <cell r="D197" t="str">
            <v>A875</v>
          </cell>
          <cell r="E197" t="str">
            <v>Lê Văn Đồng</v>
          </cell>
          <cell r="F197" t="str">
            <v>CI.1</v>
          </cell>
          <cell r="G197" t="str">
            <v xml:space="preserve">Công nhân xi mạ </v>
          </cell>
          <cell r="H197" t="str">
            <v>T4/17</v>
          </cell>
          <cell r="I197" t="str">
            <v>8.I</v>
          </cell>
          <cell r="J197">
            <v>3750</v>
          </cell>
          <cell r="K197">
            <v>7</v>
          </cell>
          <cell r="L197">
            <v>1</v>
          </cell>
          <cell r="M197">
            <v>1</v>
          </cell>
          <cell r="N197">
            <v>0</v>
          </cell>
          <cell r="O197">
            <v>0</v>
          </cell>
          <cell r="P197">
            <v>6</v>
          </cell>
          <cell r="Q197">
            <v>1</v>
          </cell>
          <cell r="R197">
            <v>16</v>
          </cell>
          <cell r="S197">
            <v>54</v>
          </cell>
          <cell r="T197">
            <v>20</v>
          </cell>
          <cell r="U197">
            <v>0</v>
          </cell>
          <cell r="V197">
            <v>2472</v>
          </cell>
          <cell r="W197">
            <v>2101</v>
          </cell>
          <cell r="X197">
            <v>4573</v>
          </cell>
          <cell r="Y197">
            <v>0</v>
          </cell>
          <cell r="Z197">
            <v>16</v>
          </cell>
          <cell r="AA197">
            <v>304</v>
          </cell>
          <cell r="AB197">
            <v>-70</v>
          </cell>
          <cell r="AC197">
            <v>-167.16</v>
          </cell>
          <cell r="AD197">
            <v>82.84</v>
          </cell>
          <cell r="AE197">
            <v>4656</v>
          </cell>
          <cell r="AF197">
            <v>417.9</v>
          </cell>
          <cell r="AH197">
            <v>0</v>
          </cell>
          <cell r="AI197">
            <v>9000</v>
          </cell>
          <cell r="AJ197">
            <v>9417.9</v>
          </cell>
          <cell r="AK197">
            <v>-4761.8999999999996</v>
          </cell>
          <cell r="AL197">
            <v>0</v>
          </cell>
          <cell r="AM197">
            <v>2000</v>
          </cell>
          <cell r="AN197">
            <v>2238.1000000000004</v>
          </cell>
          <cell r="AO197">
            <v>2240</v>
          </cell>
          <cell r="AP197">
            <v>4240</v>
          </cell>
          <cell r="AQ197">
            <v>1</v>
          </cell>
          <cell r="AR197">
            <v>0</v>
          </cell>
        </row>
        <row r="198">
          <cell r="D198" t="str">
            <v>A877</v>
          </cell>
          <cell r="E198" t="str">
            <v>Bùi Văn Kiệt</v>
          </cell>
          <cell r="F198" t="str">
            <v>CI.1</v>
          </cell>
          <cell r="G198" t="str">
            <v xml:space="preserve">Công nhân xi mạ </v>
          </cell>
          <cell r="H198" t="str">
            <v>T4/17</v>
          </cell>
          <cell r="I198" t="str">
            <v>8.I</v>
          </cell>
          <cell r="J198">
            <v>3750</v>
          </cell>
          <cell r="K198">
            <v>8</v>
          </cell>
          <cell r="L198">
            <v>0</v>
          </cell>
          <cell r="M198">
            <v>1</v>
          </cell>
          <cell r="N198">
            <v>0</v>
          </cell>
          <cell r="O198">
            <v>0</v>
          </cell>
          <cell r="P198">
            <v>6</v>
          </cell>
          <cell r="Q198">
            <v>1</v>
          </cell>
          <cell r="R198">
            <v>16</v>
          </cell>
          <cell r="S198">
            <v>56</v>
          </cell>
          <cell r="T198">
            <v>20</v>
          </cell>
          <cell r="U198">
            <v>12</v>
          </cell>
          <cell r="V198">
            <v>2472</v>
          </cell>
          <cell r="W198">
            <v>2778</v>
          </cell>
          <cell r="X198">
            <v>5250</v>
          </cell>
          <cell r="Y198">
            <v>0</v>
          </cell>
          <cell r="Z198">
            <v>0</v>
          </cell>
          <cell r="AA198">
            <v>320</v>
          </cell>
          <cell r="AB198">
            <v>-70</v>
          </cell>
          <cell r="AC198">
            <v>-167.16</v>
          </cell>
          <cell r="AD198">
            <v>82.84</v>
          </cell>
          <cell r="AE198">
            <v>5333</v>
          </cell>
          <cell r="AF198">
            <v>417.9</v>
          </cell>
          <cell r="AH198">
            <v>0</v>
          </cell>
          <cell r="AI198">
            <v>9000</v>
          </cell>
          <cell r="AJ198">
            <v>9417.9</v>
          </cell>
          <cell r="AK198">
            <v>-4084.8999999999996</v>
          </cell>
          <cell r="AL198">
            <v>0</v>
          </cell>
          <cell r="AM198">
            <v>0</v>
          </cell>
          <cell r="AN198">
            <v>4915.1000000000004</v>
          </cell>
          <cell r="AO198">
            <v>4920</v>
          </cell>
          <cell r="AP198">
            <v>4920</v>
          </cell>
          <cell r="AQ198">
            <v>1</v>
          </cell>
          <cell r="AR198">
            <v>0</v>
          </cell>
        </row>
        <row r="199">
          <cell r="D199" t="str">
            <v>A882</v>
          </cell>
          <cell r="E199" t="str">
            <v>Ngô Minh Hiếu</v>
          </cell>
          <cell r="F199" t="str">
            <v>EN</v>
          </cell>
          <cell r="G199" t="str">
            <v>Công nhân nguội</v>
          </cell>
          <cell r="H199" t="str">
            <v>T4/17</v>
          </cell>
          <cell r="I199" t="str">
            <v>8.I</v>
          </cell>
          <cell r="J199">
            <v>3750</v>
          </cell>
          <cell r="K199">
            <v>6</v>
          </cell>
          <cell r="L199">
            <v>0</v>
          </cell>
          <cell r="M199">
            <v>1</v>
          </cell>
          <cell r="N199">
            <v>0</v>
          </cell>
          <cell r="O199">
            <v>0</v>
          </cell>
          <cell r="P199">
            <v>9</v>
          </cell>
          <cell r="Q199">
            <v>0</v>
          </cell>
          <cell r="R199">
            <v>16</v>
          </cell>
          <cell r="S199">
            <v>60</v>
          </cell>
          <cell r="T199">
            <v>0</v>
          </cell>
          <cell r="U199">
            <v>0</v>
          </cell>
          <cell r="V199">
            <v>2597</v>
          </cell>
          <cell r="W199">
            <v>1563</v>
          </cell>
          <cell r="X199">
            <v>4160</v>
          </cell>
          <cell r="Y199">
            <v>0</v>
          </cell>
          <cell r="Z199">
            <v>16</v>
          </cell>
          <cell r="AA199">
            <v>384</v>
          </cell>
          <cell r="AB199">
            <v>-70</v>
          </cell>
          <cell r="AC199">
            <v>0</v>
          </cell>
          <cell r="AD199">
            <v>330</v>
          </cell>
          <cell r="AE199">
            <v>4490</v>
          </cell>
          <cell r="AF199">
            <v>417.9</v>
          </cell>
          <cell r="AH199">
            <v>0</v>
          </cell>
          <cell r="AI199">
            <v>9000</v>
          </cell>
          <cell r="AJ199">
            <v>9417.9</v>
          </cell>
          <cell r="AK199">
            <v>-4927.8999999999996</v>
          </cell>
          <cell r="AL199">
            <v>0</v>
          </cell>
          <cell r="AM199">
            <v>2000</v>
          </cell>
          <cell r="AN199">
            <v>2072.1</v>
          </cell>
          <cell r="AO199">
            <v>2070</v>
          </cell>
          <cell r="AP199">
            <v>4070</v>
          </cell>
          <cell r="AQ199">
            <v>1</v>
          </cell>
          <cell r="AR199">
            <v>8</v>
          </cell>
        </row>
        <row r="200">
          <cell r="D200" t="str">
            <v>A883</v>
          </cell>
          <cell r="E200" t="str">
            <v>Lê Thanh Truyền</v>
          </cell>
          <cell r="F200" t="str">
            <v>EN</v>
          </cell>
          <cell r="G200" t="str">
            <v>Công nhân ép nhựa</v>
          </cell>
          <cell r="H200" t="str">
            <v>T4/17</v>
          </cell>
          <cell r="I200" t="str">
            <v>8.I</v>
          </cell>
          <cell r="J200">
            <v>3750</v>
          </cell>
          <cell r="K200">
            <v>8</v>
          </cell>
          <cell r="L200">
            <v>0</v>
          </cell>
          <cell r="M200">
            <v>1</v>
          </cell>
          <cell r="N200">
            <v>0</v>
          </cell>
          <cell r="O200">
            <v>0</v>
          </cell>
          <cell r="P200">
            <v>6</v>
          </cell>
          <cell r="Q200">
            <v>1</v>
          </cell>
          <cell r="R200">
            <v>16</v>
          </cell>
          <cell r="S200">
            <v>56</v>
          </cell>
          <cell r="T200">
            <v>16</v>
          </cell>
          <cell r="U200">
            <v>0</v>
          </cell>
          <cell r="V200">
            <v>2472</v>
          </cell>
          <cell r="W200">
            <v>2014</v>
          </cell>
          <cell r="X200">
            <v>4486</v>
          </cell>
          <cell r="Y200">
            <v>0</v>
          </cell>
          <cell r="Z200">
            <v>0</v>
          </cell>
          <cell r="AA200">
            <v>320</v>
          </cell>
          <cell r="AB200">
            <v>-70</v>
          </cell>
          <cell r="AC200">
            <v>0</v>
          </cell>
          <cell r="AD200">
            <v>250</v>
          </cell>
          <cell r="AE200">
            <v>4736</v>
          </cell>
          <cell r="AF200">
            <v>417.9</v>
          </cell>
          <cell r="AH200">
            <v>0</v>
          </cell>
          <cell r="AI200">
            <v>9000</v>
          </cell>
          <cell r="AJ200">
            <v>9417.9</v>
          </cell>
          <cell r="AK200">
            <v>-4681.8999999999996</v>
          </cell>
          <cell r="AL200">
            <v>0</v>
          </cell>
          <cell r="AM200">
            <v>2000</v>
          </cell>
          <cell r="AN200">
            <v>2318.1000000000004</v>
          </cell>
          <cell r="AO200">
            <v>2320</v>
          </cell>
          <cell r="AP200">
            <v>4320</v>
          </cell>
          <cell r="AQ200">
            <v>1</v>
          </cell>
          <cell r="AR200">
            <v>8</v>
          </cell>
        </row>
        <row r="201">
          <cell r="D201" t="str">
            <v>A884</v>
          </cell>
          <cell r="E201" t="str">
            <v>Lâm Văn Thật</v>
          </cell>
          <cell r="F201" t="str">
            <v>CI.1</v>
          </cell>
          <cell r="G201" t="str">
            <v>Công nhân Gá</v>
          </cell>
          <cell r="H201" t="str">
            <v>T4/17</v>
          </cell>
          <cell r="I201" t="str">
            <v>8.I</v>
          </cell>
          <cell r="J201">
            <v>3750</v>
          </cell>
          <cell r="K201">
            <v>0</v>
          </cell>
          <cell r="L201">
            <v>0</v>
          </cell>
          <cell r="M201">
            <v>1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1</v>
          </cell>
          <cell r="S201">
            <v>0</v>
          </cell>
          <cell r="T201">
            <v>0</v>
          </cell>
          <cell r="U201">
            <v>0</v>
          </cell>
          <cell r="V201">
            <v>139</v>
          </cell>
          <cell r="W201">
            <v>0</v>
          </cell>
          <cell r="X201">
            <v>139</v>
          </cell>
          <cell r="Y201">
            <v>0</v>
          </cell>
          <cell r="Z201">
            <v>48</v>
          </cell>
          <cell r="AA201">
            <v>0</v>
          </cell>
          <cell r="AB201">
            <v>-70</v>
          </cell>
          <cell r="AC201">
            <v>0</v>
          </cell>
          <cell r="AD201">
            <v>-22</v>
          </cell>
          <cell r="AE201">
            <v>117</v>
          </cell>
          <cell r="AF201">
            <v>417.9</v>
          </cell>
          <cell r="AH201">
            <v>0</v>
          </cell>
          <cell r="AI201">
            <v>9000</v>
          </cell>
          <cell r="AJ201">
            <v>9417.9</v>
          </cell>
          <cell r="AK201">
            <v>-9300.9</v>
          </cell>
          <cell r="AL201">
            <v>0</v>
          </cell>
          <cell r="AM201">
            <v>0</v>
          </cell>
          <cell r="AN201">
            <v>-300.89999999999998</v>
          </cell>
          <cell r="AO201">
            <v>-300</v>
          </cell>
          <cell r="AP201">
            <v>-300</v>
          </cell>
          <cell r="AQ201">
            <v>1</v>
          </cell>
          <cell r="AR201">
            <v>3</v>
          </cell>
        </row>
        <row r="202">
          <cell r="D202" t="str">
            <v>A886</v>
          </cell>
          <cell r="E202" t="str">
            <v>Nguyễn Thị Nhi</v>
          </cell>
          <cell r="F202" t="str">
            <v>CI.1</v>
          </cell>
          <cell r="G202" t="str">
            <v xml:space="preserve">Công nhân xi mạ </v>
          </cell>
          <cell r="H202" t="str">
            <v>T4/17</v>
          </cell>
          <cell r="I202" t="str">
            <v>8.I</v>
          </cell>
          <cell r="J202">
            <v>3750</v>
          </cell>
          <cell r="K202">
            <v>9</v>
          </cell>
          <cell r="L202">
            <v>0</v>
          </cell>
          <cell r="M202">
            <v>1</v>
          </cell>
          <cell r="N202">
            <v>0</v>
          </cell>
          <cell r="O202">
            <v>0</v>
          </cell>
          <cell r="P202">
            <v>6</v>
          </cell>
          <cell r="Q202">
            <v>0</v>
          </cell>
          <cell r="R202">
            <v>16</v>
          </cell>
          <cell r="S202">
            <v>60</v>
          </cell>
          <cell r="T202">
            <v>20</v>
          </cell>
          <cell r="U202">
            <v>0</v>
          </cell>
          <cell r="V202">
            <v>2472</v>
          </cell>
          <cell r="W202">
            <v>2257</v>
          </cell>
          <cell r="X202">
            <v>4729</v>
          </cell>
          <cell r="Y202">
            <v>0</v>
          </cell>
          <cell r="Z202">
            <v>16</v>
          </cell>
          <cell r="AA202">
            <v>336</v>
          </cell>
          <cell r="AB202">
            <v>-70</v>
          </cell>
          <cell r="AC202">
            <v>0</v>
          </cell>
          <cell r="AD202">
            <v>282</v>
          </cell>
          <cell r="AE202">
            <v>5011</v>
          </cell>
          <cell r="AF202">
            <v>417.9</v>
          </cell>
          <cell r="AH202">
            <v>0</v>
          </cell>
          <cell r="AI202">
            <v>9000</v>
          </cell>
          <cell r="AJ202">
            <v>9417.9</v>
          </cell>
          <cell r="AK202">
            <v>-4406.8999999999996</v>
          </cell>
          <cell r="AL202">
            <v>0</v>
          </cell>
          <cell r="AM202">
            <v>2000</v>
          </cell>
          <cell r="AN202">
            <v>2593.1000000000004</v>
          </cell>
          <cell r="AO202">
            <v>2600</v>
          </cell>
          <cell r="AP202">
            <v>4600</v>
          </cell>
          <cell r="AQ202">
            <v>1</v>
          </cell>
          <cell r="AR202">
            <v>2</v>
          </cell>
        </row>
        <row r="203">
          <cell r="D203" t="str">
            <v>A887</v>
          </cell>
          <cell r="E203" t="str">
            <v>Nguyễn Hồng Hạnh</v>
          </cell>
          <cell r="F203" t="str">
            <v>CII.1</v>
          </cell>
          <cell r="G203" t="str">
            <v xml:space="preserve">Công nhân xi mạ </v>
          </cell>
          <cell r="H203" t="str">
            <v>T4/17</v>
          </cell>
          <cell r="I203" t="str">
            <v>8.I</v>
          </cell>
          <cell r="J203">
            <v>3750</v>
          </cell>
          <cell r="K203">
            <v>5</v>
          </cell>
          <cell r="L203">
            <v>1</v>
          </cell>
          <cell r="M203">
            <v>1</v>
          </cell>
          <cell r="N203">
            <v>0</v>
          </cell>
          <cell r="O203">
            <v>0</v>
          </cell>
          <cell r="P203">
            <v>8.5</v>
          </cell>
          <cell r="Q203">
            <v>0.5</v>
          </cell>
          <cell r="R203">
            <v>16</v>
          </cell>
          <cell r="S203">
            <v>52</v>
          </cell>
          <cell r="T203">
            <v>0</v>
          </cell>
          <cell r="U203">
            <v>0</v>
          </cell>
          <cell r="V203">
            <v>2576</v>
          </cell>
          <cell r="W203">
            <v>1354</v>
          </cell>
          <cell r="X203">
            <v>3930</v>
          </cell>
          <cell r="Y203">
            <v>0</v>
          </cell>
          <cell r="Z203">
            <v>16</v>
          </cell>
          <cell r="AA203">
            <v>352</v>
          </cell>
          <cell r="AB203">
            <v>-70</v>
          </cell>
          <cell r="AC203">
            <v>0</v>
          </cell>
          <cell r="AD203">
            <v>298</v>
          </cell>
          <cell r="AE203">
            <v>4228</v>
          </cell>
          <cell r="AF203">
            <v>417.9</v>
          </cell>
          <cell r="AH203">
            <v>0</v>
          </cell>
          <cell r="AI203">
            <v>9000</v>
          </cell>
          <cell r="AJ203">
            <v>9417.9</v>
          </cell>
          <cell r="AK203">
            <v>-5189.8999999999996</v>
          </cell>
          <cell r="AL203">
            <v>0</v>
          </cell>
          <cell r="AM203">
            <v>2000</v>
          </cell>
          <cell r="AN203">
            <v>1810.1</v>
          </cell>
          <cell r="AO203">
            <v>1810</v>
          </cell>
          <cell r="AP203">
            <v>3810</v>
          </cell>
          <cell r="AQ203">
            <v>1</v>
          </cell>
          <cell r="AR203">
            <v>3.5</v>
          </cell>
        </row>
        <row r="204">
          <cell r="D204" t="str">
            <v>A891</v>
          </cell>
          <cell r="E204" t="str">
            <v>Trần Duy Khánh</v>
          </cell>
          <cell r="F204" t="str">
            <v>QCX</v>
          </cell>
          <cell r="G204" t="str">
            <v xml:space="preserve">Công nhân xi mạ </v>
          </cell>
          <cell r="H204" t="str">
            <v>T4/17</v>
          </cell>
          <cell r="I204" t="str">
            <v>8.I</v>
          </cell>
          <cell r="J204">
            <v>3750</v>
          </cell>
          <cell r="K204">
            <v>10</v>
          </cell>
          <cell r="L204">
            <v>0</v>
          </cell>
          <cell r="M204">
            <v>1</v>
          </cell>
          <cell r="N204">
            <v>0</v>
          </cell>
          <cell r="O204">
            <v>0</v>
          </cell>
          <cell r="P204">
            <v>4</v>
          </cell>
          <cell r="Q204">
            <v>1</v>
          </cell>
          <cell r="R204">
            <v>16</v>
          </cell>
          <cell r="S204">
            <v>76.5</v>
          </cell>
          <cell r="T204">
            <v>30</v>
          </cell>
          <cell r="U204">
            <v>0</v>
          </cell>
          <cell r="V204">
            <v>2389</v>
          </cell>
          <cell r="W204">
            <v>3034</v>
          </cell>
          <cell r="X204">
            <v>5423</v>
          </cell>
          <cell r="Y204">
            <v>0</v>
          </cell>
          <cell r="Z204">
            <v>64</v>
          </cell>
          <cell r="AA204">
            <v>288</v>
          </cell>
          <cell r="AB204">
            <v>-70</v>
          </cell>
          <cell r="AC204">
            <v>0</v>
          </cell>
          <cell r="AD204">
            <v>282</v>
          </cell>
          <cell r="AE204">
            <v>5705</v>
          </cell>
          <cell r="AF204">
            <v>417.9</v>
          </cell>
          <cell r="AH204">
            <v>0</v>
          </cell>
          <cell r="AI204">
            <v>9000</v>
          </cell>
          <cell r="AJ204">
            <v>9417.9</v>
          </cell>
          <cell r="AK204">
            <v>-3712.8999999999996</v>
          </cell>
          <cell r="AL204">
            <v>0</v>
          </cell>
          <cell r="AM204">
            <v>2000</v>
          </cell>
          <cell r="AN204">
            <v>3287.1000000000004</v>
          </cell>
          <cell r="AO204">
            <v>3290</v>
          </cell>
          <cell r="AP204">
            <v>5290</v>
          </cell>
          <cell r="AQ204">
            <v>1</v>
          </cell>
          <cell r="AR204">
            <v>0</v>
          </cell>
        </row>
        <row r="205">
          <cell r="D205" t="str">
            <v>A651</v>
          </cell>
          <cell r="E205" t="str">
            <v>Trần Thị Kiều Tiên</v>
          </cell>
          <cell r="F205" t="str">
            <v>CI.1</v>
          </cell>
          <cell r="G205" t="str">
            <v xml:space="preserve">Công nhân QC </v>
          </cell>
          <cell r="H205" t="str">
            <v>T11/15</v>
          </cell>
          <cell r="I205" t="str">
            <v>8.I</v>
          </cell>
          <cell r="J205">
            <v>4220</v>
          </cell>
          <cell r="K205">
            <v>0</v>
          </cell>
          <cell r="L205">
            <v>0</v>
          </cell>
          <cell r="M205">
            <v>1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1</v>
          </cell>
          <cell r="S205">
            <v>0</v>
          </cell>
          <cell r="T205">
            <v>0</v>
          </cell>
          <cell r="U205">
            <v>0</v>
          </cell>
          <cell r="V205">
            <v>156</v>
          </cell>
          <cell r="W205">
            <v>0</v>
          </cell>
          <cell r="X205">
            <v>156</v>
          </cell>
          <cell r="Y205">
            <v>0</v>
          </cell>
          <cell r="Z205">
            <v>0</v>
          </cell>
          <cell r="AA205">
            <v>0</v>
          </cell>
          <cell r="AB205">
            <v>-70</v>
          </cell>
          <cell r="AC205">
            <v>0</v>
          </cell>
          <cell r="AD205">
            <v>-70</v>
          </cell>
          <cell r="AE205">
            <v>86</v>
          </cell>
          <cell r="AF205">
            <v>443.1</v>
          </cell>
          <cell r="AH205">
            <v>0</v>
          </cell>
          <cell r="AI205">
            <v>9000</v>
          </cell>
          <cell r="AJ205">
            <v>9443.1</v>
          </cell>
          <cell r="AK205">
            <v>-9357.1</v>
          </cell>
          <cell r="AL205">
            <v>0</v>
          </cell>
          <cell r="AM205">
            <v>0</v>
          </cell>
          <cell r="AN205">
            <v>-357.1</v>
          </cell>
          <cell r="AO205">
            <v>-360</v>
          </cell>
          <cell r="AP205">
            <v>-360</v>
          </cell>
          <cell r="AQ205">
            <v>1</v>
          </cell>
          <cell r="AR205">
            <v>2</v>
          </cell>
        </row>
        <row r="206">
          <cell r="D206" t="str">
            <v>A894</v>
          </cell>
          <cell r="E206" t="str">
            <v>Nguyễn Văn Đời</v>
          </cell>
          <cell r="F206" t="str">
            <v>CII.4</v>
          </cell>
          <cell r="G206" t="str">
            <v>Công nhân</v>
          </cell>
          <cell r="H206" t="str">
            <v>T5/17</v>
          </cell>
          <cell r="I206" t="str">
            <v>8.I</v>
          </cell>
          <cell r="J206">
            <v>3750</v>
          </cell>
          <cell r="K206">
            <v>6.5</v>
          </cell>
          <cell r="L206">
            <v>3</v>
          </cell>
          <cell r="M206">
            <v>1</v>
          </cell>
          <cell r="N206">
            <v>0</v>
          </cell>
          <cell r="O206">
            <v>0</v>
          </cell>
          <cell r="P206">
            <v>15</v>
          </cell>
          <cell r="Q206">
            <v>1.5</v>
          </cell>
          <cell r="R206">
            <v>27</v>
          </cell>
          <cell r="S206">
            <v>84</v>
          </cell>
          <cell r="T206">
            <v>31</v>
          </cell>
          <cell r="U206">
            <v>0</v>
          </cell>
          <cell r="V206">
            <v>4375</v>
          </cell>
          <cell r="W206">
            <v>3264</v>
          </cell>
          <cell r="X206">
            <v>7639</v>
          </cell>
          <cell r="Y206">
            <v>0</v>
          </cell>
          <cell r="Z206">
            <v>80</v>
          </cell>
          <cell r="AA206">
            <v>584</v>
          </cell>
          <cell r="AB206">
            <v>140</v>
          </cell>
          <cell r="AC206">
            <v>0</v>
          </cell>
          <cell r="AD206">
            <v>804</v>
          </cell>
          <cell r="AE206">
            <v>8443</v>
          </cell>
          <cell r="AF206">
            <v>417.9</v>
          </cell>
          <cell r="AH206">
            <v>0</v>
          </cell>
          <cell r="AI206">
            <v>9000</v>
          </cell>
          <cell r="AJ206">
            <v>9417.9</v>
          </cell>
          <cell r="AK206">
            <v>-974.89999999999964</v>
          </cell>
          <cell r="AL206">
            <v>0</v>
          </cell>
          <cell r="AM206">
            <v>2000</v>
          </cell>
          <cell r="AN206">
            <v>6025.1</v>
          </cell>
          <cell r="AO206">
            <v>6030</v>
          </cell>
          <cell r="AP206">
            <v>8030</v>
          </cell>
          <cell r="AQ206">
            <v>1</v>
          </cell>
          <cell r="AR206">
            <v>0.5</v>
          </cell>
        </row>
        <row r="207">
          <cell r="D207" t="str">
            <v>A895</v>
          </cell>
          <cell r="E207" t="str">
            <v>Phạm Thị Kim Chi</v>
          </cell>
          <cell r="F207" t="str">
            <v>CII.4</v>
          </cell>
          <cell r="G207" t="str">
            <v>Công nhân</v>
          </cell>
          <cell r="H207" t="str">
            <v>T5/17</v>
          </cell>
          <cell r="I207" t="str">
            <v>8.I</v>
          </cell>
          <cell r="J207">
            <v>3750</v>
          </cell>
          <cell r="K207">
            <v>0</v>
          </cell>
          <cell r="L207">
            <v>0</v>
          </cell>
          <cell r="M207">
            <v>1</v>
          </cell>
          <cell r="N207">
            <v>0</v>
          </cell>
          <cell r="O207">
            <v>0</v>
          </cell>
          <cell r="P207">
            <v>15</v>
          </cell>
          <cell r="Q207">
            <v>0</v>
          </cell>
          <cell r="R207">
            <v>16</v>
          </cell>
          <cell r="S207">
            <v>60</v>
          </cell>
          <cell r="T207">
            <v>24</v>
          </cell>
          <cell r="U207">
            <v>0</v>
          </cell>
          <cell r="V207">
            <v>2847</v>
          </cell>
          <cell r="W207">
            <v>2396</v>
          </cell>
          <cell r="X207">
            <v>5243</v>
          </cell>
          <cell r="Y207">
            <v>0</v>
          </cell>
          <cell r="Z207">
            <v>0</v>
          </cell>
          <cell r="AA207">
            <v>480</v>
          </cell>
          <cell r="AB207">
            <v>70</v>
          </cell>
          <cell r="AC207">
            <v>0</v>
          </cell>
          <cell r="AD207">
            <v>550</v>
          </cell>
          <cell r="AE207">
            <v>5793</v>
          </cell>
          <cell r="AF207">
            <v>0</v>
          </cell>
          <cell r="AH207">
            <v>0</v>
          </cell>
          <cell r="AI207">
            <v>9000</v>
          </cell>
          <cell r="AJ207">
            <v>9000</v>
          </cell>
          <cell r="AK207">
            <v>-3207</v>
          </cell>
          <cell r="AL207">
            <v>0</v>
          </cell>
          <cell r="AM207">
            <v>1000</v>
          </cell>
          <cell r="AN207">
            <v>4793</v>
          </cell>
          <cell r="AO207">
            <v>4800</v>
          </cell>
          <cell r="AP207">
            <v>5800</v>
          </cell>
          <cell r="AQ207">
            <v>1</v>
          </cell>
          <cell r="AR207">
            <v>7</v>
          </cell>
        </row>
        <row r="208">
          <cell r="D208" t="str">
            <v>A896</v>
          </cell>
          <cell r="E208" t="str">
            <v>Trần Nhật Nam</v>
          </cell>
          <cell r="F208" t="str">
            <v>CII.4</v>
          </cell>
          <cell r="G208" t="str">
            <v>Công nhân</v>
          </cell>
          <cell r="H208" t="str">
            <v>T5/17</v>
          </cell>
          <cell r="I208" t="str">
            <v>8.I</v>
          </cell>
          <cell r="J208">
            <v>3750</v>
          </cell>
          <cell r="K208">
            <v>9</v>
          </cell>
          <cell r="L208">
            <v>5</v>
          </cell>
          <cell r="M208">
            <v>1</v>
          </cell>
          <cell r="N208">
            <v>0</v>
          </cell>
          <cell r="O208">
            <v>0</v>
          </cell>
          <cell r="P208">
            <v>0</v>
          </cell>
          <cell r="Q208">
            <v>1</v>
          </cell>
          <cell r="R208">
            <v>16</v>
          </cell>
          <cell r="S208">
            <v>40</v>
          </cell>
          <cell r="T208">
            <v>0</v>
          </cell>
          <cell r="U208">
            <v>0</v>
          </cell>
          <cell r="V208">
            <v>2222</v>
          </cell>
          <cell r="W208">
            <v>1042</v>
          </cell>
          <cell r="X208">
            <v>3264</v>
          </cell>
          <cell r="Y208">
            <v>0</v>
          </cell>
          <cell r="Z208">
            <v>0</v>
          </cell>
          <cell r="AA208">
            <v>144</v>
          </cell>
          <cell r="AB208">
            <v>0</v>
          </cell>
          <cell r="AC208">
            <v>0</v>
          </cell>
          <cell r="AD208">
            <v>144</v>
          </cell>
          <cell r="AE208">
            <v>3408</v>
          </cell>
          <cell r="AF208">
            <v>417.9</v>
          </cell>
          <cell r="AH208">
            <v>0</v>
          </cell>
          <cell r="AI208">
            <v>9000</v>
          </cell>
          <cell r="AJ208">
            <v>9417.9</v>
          </cell>
          <cell r="AK208">
            <v>-6009.9</v>
          </cell>
          <cell r="AL208">
            <v>0</v>
          </cell>
          <cell r="AM208">
            <v>2000</v>
          </cell>
          <cell r="AN208">
            <v>990.09999999999991</v>
          </cell>
          <cell r="AO208">
            <v>990</v>
          </cell>
          <cell r="AP208">
            <v>2990</v>
          </cell>
          <cell r="AQ208">
            <v>1</v>
          </cell>
          <cell r="AR208">
            <v>1</v>
          </cell>
        </row>
        <row r="209">
          <cell r="D209" t="str">
            <v>A898</v>
          </cell>
          <cell r="E209" t="str">
            <v>Trần Trung Hiếu</v>
          </cell>
          <cell r="F209" t="str">
            <v>CII.4</v>
          </cell>
          <cell r="G209" t="str">
            <v>Công nhân</v>
          </cell>
          <cell r="H209" t="str">
            <v>T5/17</v>
          </cell>
          <cell r="I209" t="str">
            <v>8.I</v>
          </cell>
          <cell r="J209">
            <v>3750</v>
          </cell>
          <cell r="K209">
            <v>11</v>
          </cell>
          <cell r="L209">
            <v>3.5</v>
          </cell>
          <cell r="M209">
            <v>1</v>
          </cell>
          <cell r="N209">
            <v>0</v>
          </cell>
          <cell r="O209">
            <v>0</v>
          </cell>
          <cell r="P209">
            <v>0</v>
          </cell>
          <cell r="Q209">
            <v>0.5</v>
          </cell>
          <cell r="R209">
            <v>16</v>
          </cell>
          <cell r="S209">
            <v>49</v>
          </cell>
          <cell r="T209">
            <v>0</v>
          </cell>
          <cell r="U209">
            <v>0</v>
          </cell>
          <cell r="V209">
            <v>2222</v>
          </cell>
          <cell r="W209">
            <v>1276</v>
          </cell>
          <cell r="X209">
            <v>3498</v>
          </cell>
          <cell r="Y209">
            <v>0</v>
          </cell>
          <cell r="Z209">
            <v>0</v>
          </cell>
          <cell r="AA209">
            <v>176</v>
          </cell>
          <cell r="AB209">
            <v>70</v>
          </cell>
          <cell r="AC209">
            <v>0</v>
          </cell>
          <cell r="AD209">
            <v>246</v>
          </cell>
          <cell r="AE209">
            <v>3744</v>
          </cell>
          <cell r="AF209">
            <v>417.9</v>
          </cell>
          <cell r="AH209">
            <v>0</v>
          </cell>
          <cell r="AI209">
            <v>9000</v>
          </cell>
          <cell r="AJ209">
            <v>9417.9</v>
          </cell>
          <cell r="AK209">
            <v>-5673.9</v>
          </cell>
          <cell r="AL209">
            <v>0</v>
          </cell>
          <cell r="AM209">
            <v>2000</v>
          </cell>
          <cell r="AN209">
            <v>1326.1</v>
          </cell>
          <cell r="AO209">
            <v>1330</v>
          </cell>
          <cell r="AP209">
            <v>3330</v>
          </cell>
          <cell r="AQ209">
            <v>1</v>
          </cell>
          <cell r="AR209">
            <v>2</v>
          </cell>
        </row>
        <row r="210">
          <cell r="D210" t="str">
            <v>A899</v>
          </cell>
          <cell r="E210" t="str">
            <v>Nguyễn Văn Đương</v>
          </cell>
          <cell r="F210" t="str">
            <v>CII.1</v>
          </cell>
          <cell r="G210" t="str">
            <v>Công nhân</v>
          </cell>
          <cell r="H210" t="str">
            <v>T5/17</v>
          </cell>
          <cell r="I210" t="str">
            <v>8.I</v>
          </cell>
          <cell r="J210">
            <v>3750</v>
          </cell>
          <cell r="K210">
            <v>4</v>
          </cell>
          <cell r="L210">
            <v>2</v>
          </cell>
          <cell r="M210">
            <v>1</v>
          </cell>
          <cell r="N210">
            <v>0</v>
          </cell>
          <cell r="O210">
            <v>0</v>
          </cell>
          <cell r="P210">
            <v>6</v>
          </cell>
          <cell r="Q210">
            <v>3</v>
          </cell>
          <cell r="R210">
            <v>16</v>
          </cell>
          <cell r="S210">
            <v>40</v>
          </cell>
          <cell r="T210">
            <v>10.5</v>
          </cell>
          <cell r="U210">
            <v>0</v>
          </cell>
          <cell r="V210">
            <v>2472</v>
          </cell>
          <cell r="W210">
            <v>1406</v>
          </cell>
          <cell r="X210">
            <v>3878</v>
          </cell>
          <cell r="Y210">
            <v>0</v>
          </cell>
          <cell r="Z210">
            <v>0</v>
          </cell>
          <cell r="AA210">
            <v>256</v>
          </cell>
          <cell r="AB210">
            <v>-210</v>
          </cell>
          <cell r="AC210">
            <v>0</v>
          </cell>
          <cell r="AD210">
            <v>46</v>
          </cell>
          <cell r="AE210">
            <v>3924</v>
          </cell>
          <cell r="AF210">
            <v>417.9</v>
          </cell>
          <cell r="AH210">
            <v>0</v>
          </cell>
          <cell r="AI210">
            <v>9000</v>
          </cell>
          <cell r="AJ210">
            <v>9417.9</v>
          </cell>
          <cell r="AK210">
            <v>-5493.9</v>
          </cell>
          <cell r="AL210">
            <v>0</v>
          </cell>
          <cell r="AM210">
            <v>2000</v>
          </cell>
          <cell r="AN210">
            <v>1506.1</v>
          </cell>
          <cell r="AO210">
            <v>1510</v>
          </cell>
          <cell r="AP210">
            <v>3510</v>
          </cell>
          <cell r="AQ210">
            <v>1</v>
          </cell>
          <cell r="AR210">
            <v>0</v>
          </cell>
        </row>
        <row r="211">
          <cell r="D211" t="str">
            <v>A902</v>
          </cell>
          <cell r="E211" t="str">
            <v>Trần Văn Tấn Dũng</v>
          </cell>
          <cell r="F211" t="str">
            <v>CII.1</v>
          </cell>
          <cell r="G211" t="str">
            <v>Công nhân</v>
          </cell>
          <cell r="H211" t="str">
            <v>T5/17</v>
          </cell>
          <cell r="I211" t="str">
            <v>8.I</v>
          </cell>
          <cell r="J211">
            <v>3750</v>
          </cell>
          <cell r="K211">
            <v>7</v>
          </cell>
          <cell r="L211">
            <v>0</v>
          </cell>
          <cell r="M211">
            <v>1</v>
          </cell>
          <cell r="N211">
            <v>0</v>
          </cell>
          <cell r="O211">
            <v>0</v>
          </cell>
          <cell r="P211">
            <v>5</v>
          </cell>
          <cell r="Q211">
            <v>0</v>
          </cell>
          <cell r="R211">
            <v>13</v>
          </cell>
          <cell r="S211">
            <v>48</v>
          </cell>
          <cell r="T211">
            <v>8</v>
          </cell>
          <cell r="U211">
            <v>0</v>
          </cell>
          <cell r="V211">
            <v>2014</v>
          </cell>
          <cell r="W211">
            <v>1528</v>
          </cell>
          <cell r="X211">
            <v>3542</v>
          </cell>
          <cell r="Y211">
            <v>0</v>
          </cell>
          <cell r="Z211">
            <v>0</v>
          </cell>
          <cell r="AA211">
            <v>272</v>
          </cell>
          <cell r="AB211">
            <v>-70</v>
          </cell>
          <cell r="AC211">
            <v>0</v>
          </cell>
          <cell r="AD211">
            <v>202</v>
          </cell>
          <cell r="AE211">
            <v>3744</v>
          </cell>
          <cell r="AF211">
            <v>417.9</v>
          </cell>
          <cell r="AH211">
            <v>0</v>
          </cell>
          <cell r="AI211">
            <v>9000</v>
          </cell>
          <cell r="AJ211">
            <v>9417.9</v>
          </cell>
          <cell r="AK211">
            <v>-5673.9</v>
          </cell>
          <cell r="AL211">
            <v>0</v>
          </cell>
          <cell r="AM211">
            <v>2000</v>
          </cell>
          <cell r="AN211">
            <v>1326.1</v>
          </cell>
          <cell r="AO211">
            <v>1330</v>
          </cell>
          <cell r="AP211">
            <v>3330</v>
          </cell>
          <cell r="AQ211">
            <v>1</v>
          </cell>
          <cell r="AR211">
            <v>1</v>
          </cell>
        </row>
        <row r="212">
          <cell r="D212" t="str">
            <v>A903</v>
          </cell>
          <cell r="E212" t="str">
            <v>Nguyễn Minh Nhựt</v>
          </cell>
          <cell r="F212" t="str">
            <v>XLN</v>
          </cell>
          <cell r="G212" t="str">
            <v>Công nhân</v>
          </cell>
          <cell r="H212" t="str">
            <v>T5/17</v>
          </cell>
          <cell r="I212" t="str">
            <v>8.I</v>
          </cell>
          <cell r="J212">
            <v>3800</v>
          </cell>
          <cell r="K212">
            <v>6</v>
          </cell>
          <cell r="L212">
            <v>0</v>
          </cell>
          <cell r="M212">
            <v>1</v>
          </cell>
          <cell r="N212">
            <v>0</v>
          </cell>
          <cell r="O212">
            <v>0</v>
          </cell>
          <cell r="P212">
            <v>9</v>
          </cell>
          <cell r="Q212">
            <v>0</v>
          </cell>
          <cell r="R212">
            <v>16</v>
          </cell>
          <cell r="S212">
            <v>72</v>
          </cell>
          <cell r="T212">
            <v>20</v>
          </cell>
          <cell r="U212">
            <v>22</v>
          </cell>
          <cell r="V212">
            <v>2632</v>
          </cell>
          <cell r="W212">
            <v>3765</v>
          </cell>
          <cell r="X212">
            <v>6397</v>
          </cell>
          <cell r="Y212">
            <v>0</v>
          </cell>
          <cell r="Z212">
            <v>0</v>
          </cell>
          <cell r="AA212">
            <v>384</v>
          </cell>
          <cell r="AB212">
            <v>-70</v>
          </cell>
          <cell r="AC212">
            <v>0</v>
          </cell>
          <cell r="AD212">
            <v>314</v>
          </cell>
          <cell r="AE212">
            <v>6711</v>
          </cell>
          <cell r="AF212">
            <v>417.9</v>
          </cell>
          <cell r="AH212">
            <v>0</v>
          </cell>
          <cell r="AI212">
            <v>9000</v>
          </cell>
          <cell r="AJ212">
            <v>9417.9</v>
          </cell>
          <cell r="AK212">
            <v>-2706.8999999999996</v>
          </cell>
          <cell r="AL212">
            <v>0</v>
          </cell>
          <cell r="AM212">
            <v>2000</v>
          </cell>
          <cell r="AN212">
            <v>4293.1000000000004</v>
          </cell>
          <cell r="AO212">
            <v>4300</v>
          </cell>
          <cell r="AP212">
            <v>6300</v>
          </cell>
          <cell r="AQ212">
            <v>1</v>
          </cell>
          <cell r="AR212">
            <v>5.5</v>
          </cell>
        </row>
        <row r="213">
          <cell r="D213" t="str">
            <v>A904</v>
          </cell>
          <cell r="E213" t="str">
            <v>Hoàng Lâm Bảo Quỳnh</v>
          </cell>
          <cell r="F213" t="str">
            <v>Kho</v>
          </cell>
          <cell r="G213" t="str">
            <v>Công nhân</v>
          </cell>
          <cell r="H213" t="str">
            <v>T5/17</v>
          </cell>
          <cell r="I213" t="str">
            <v>8.I</v>
          </cell>
          <cell r="J213">
            <v>4361</v>
          </cell>
          <cell r="K213">
            <v>0</v>
          </cell>
          <cell r="L213">
            <v>25.5</v>
          </cell>
          <cell r="M213">
            <v>1</v>
          </cell>
          <cell r="N213">
            <v>0</v>
          </cell>
          <cell r="O213">
            <v>0</v>
          </cell>
          <cell r="P213">
            <v>0</v>
          </cell>
          <cell r="Q213">
            <v>0.5</v>
          </cell>
          <cell r="R213">
            <v>27</v>
          </cell>
          <cell r="S213">
            <v>48</v>
          </cell>
          <cell r="T213">
            <v>0</v>
          </cell>
          <cell r="U213">
            <v>0</v>
          </cell>
          <cell r="V213">
            <v>4361</v>
          </cell>
          <cell r="W213">
            <v>1454</v>
          </cell>
          <cell r="X213">
            <v>5815</v>
          </cell>
          <cell r="Y213">
            <v>1639</v>
          </cell>
          <cell r="Z213">
            <v>32</v>
          </cell>
          <cell r="AA213">
            <v>0</v>
          </cell>
          <cell r="AB213">
            <v>-210</v>
          </cell>
          <cell r="AC213">
            <v>0</v>
          </cell>
          <cell r="AD213">
            <v>1461</v>
          </cell>
          <cell r="AE213">
            <v>7276</v>
          </cell>
          <cell r="AF213">
            <v>417.9</v>
          </cell>
          <cell r="AH213">
            <v>0</v>
          </cell>
          <cell r="AI213">
            <v>9000</v>
          </cell>
          <cell r="AJ213">
            <v>9417.9</v>
          </cell>
          <cell r="AK213">
            <v>-2141.8999999999996</v>
          </cell>
          <cell r="AL213">
            <v>0</v>
          </cell>
          <cell r="AM213">
            <v>2000</v>
          </cell>
          <cell r="AN213">
            <v>4858.1000000000004</v>
          </cell>
          <cell r="AO213">
            <v>4860</v>
          </cell>
          <cell r="AP213">
            <v>6860</v>
          </cell>
          <cell r="AQ213">
            <v>1</v>
          </cell>
          <cell r="AR213">
            <v>1.5</v>
          </cell>
        </row>
        <row r="214">
          <cell r="D214" t="str">
            <v>A906</v>
          </cell>
          <cell r="E214" t="str">
            <v>Trần Thị Bích Luyến</v>
          </cell>
          <cell r="F214" t="str">
            <v>QCX</v>
          </cell>
          <cell r="G214" t="str">
            <v>Công nhân</v>
          </cell>
          <cell r="H214" t="str">
            <v>T5/17</v>
          </cell>
          <cell r="I214" t="str">
            <v>8.I</v>
          </cell>
          <cell r="J214">
            <v>3750</v>
          </cell>
          <cell r="K214">
            <v>3</v>
          </cell>
          <cell r="L214">
            <v>2</v>
          </cell>
          <cell r="M214">
            <v>1</v>
          </cell>
          <cell r="N214">
            <v>0</v>
          </cell>
          <cell r="O214">
            <v>0</v>
          </cell>
          <cell r="P214">
            <v>8</v>
          </cell>
          <cell r="Q214">
            <v>2</v>
          </cell>
          <cell r="R214">
            <v>16</v>
          </cell>
          <cell r="S214">
            <v>45</v>
          </cell>
          <cell r="T214">
            <v>0</v>
          </cell>
          <cell r="U214">
            <v>0</v>
          </cell>
          <cell r="V214">
            <v>2556</v>
          </cell>
          <cell r="W214">
            <v>1172</v>
          </cell>
          <cell r="X214">
            <v>3728</v>
          </cell>
          <cell r="Y214">
            <v>0</v>
          </cell>
          <cell r="Z214">
            <v>16</v>
          </cell>
          <cell r="AA214">
            <v>304</v>
          </cell>
          <cell r="AB214">
            <v>-70</v>
          </cell>
          <cell r="AC214">
            <v>0</v>
          </cell>
          <cell r="AD214">
            <v>250</v>
          </cell>
          <cell r="AE214">
            <v>3978</v>
          </cell>
          <cell r="AF214">
            <v>417.9</v>
          </cell>
          <cell r="AH214">
            <v>0</v>
          </cell>
          <cell r="AI214">
            <v>9000</v>
          </cell>
          <cell r="AJ214">
            <v>9417.9</v>
          </cell>
          <cell r="AK214">
            <v>-5439.9</v>
          </cell>
          <cell r="AL214">
            <v>0</v>
          </cell>
          <cell r="AM214">
            <v>0</v>
          </cell>
          <cell r="AN214">
            <v>3560.1</v>
          </cell>
          <cell r="AO214">
            <v>3560</v>
          </cell>
          <cell r="AP214">
            <v>3560</v>
          </cell>
          <cell r="AQ214">
            <v>1</v>
          </cell>
          <cell r="AR214">
            <v>3</v>
          </cell>
        </row>
        <row r="215">
          <cell r="D215" t="str">
            <v>A910</v>
          </cell>
          <cell r="E215" t="str">
            <v>Trương Ngọc Thịnh</v>
          </cell>
          <cell r="F215" t="str">
            <v>Kho</v>
          </cell>
          <cell r="G215" t="str">
            <v>Công nhân</v>
          </cell>
          <cell r="H215" t="str">
            <v>T5/17</v>
          </cell>
          <cell r="I215" t="str">
            <v>8.I</v>
          </cell>
          <cell r="J215">
            <v>3750</v>
          </cell>
          <cell r="K215">
            <v>0</v>
          </cell>
          <cell r="L215">
            <v>24</v>
          </cell>
          <cell r="M215">
            <v>1</v>
          </cell>
          <cell r="N215">
            <v>0</v>
          </cell>
          <cell r="O215">
            <v>0</v>
          </cell>
          <cell r="P215">
            <v>0</v>
          </cell>
          <cell r="Q215">
            <v>2</v>
          </cell>
          <cell r="R215">
            <v>27</v>
          </cell>
          <cell r="S215">
            <v>62.5</v>
          </cell>
          <cell r="T215">
            <v>4.5</v>
          </cell>
          <cell r="U215">
            <v>0</v>
          </cell>
          <cell r="V215">
            <v>3750</v>
          </cell>
          <cell r="W215">
            <v>1784</v>
          </cell>
          <cell r="X215">
            <v>5534</v>
          </cell>
          <cell r="Y215">
            <v>1250</v>
          </cell>
          <cell r="Z215">
            <v>0</v>
          </cell>
          <cell r="AA215">
            <v>0</v>
          </cell>
          <cell r="AB215">
            <v>-140</v>
          </cell>
          <cell r="AC215">
            <v>0</v>
          </cell>
          <cell r="AD215">
            <v>1110</v>
          </cell>
          <cell r="AE215">
            <v>6644</v>
          </cell>
          <cell r="AF215">
            <v>417.9</v>
          </cell>
          <cell r="AH215">
            <v>0</v>
          </cell>
          <cell r="AI215">
            <v>9000</v>
          </cell>
          <cell r="AJ215">
            <v>9417.9</v>
          </cell>
          <cell r="AK215">
            <v>-2773.8999999999996</v>
          </cell>
          <cell r="AL215">
            <v>0</v>
          </cell>
          <cell r="AM215">
            <v>2000</v>
          </cell>
          <cell r="AN215">
            <v>4226.1000000000004</v>
          </cell>
          <cell r="AO215">
            <v>4230</v>
          </cell>
          <cell r="AP215">
            <v>6230</v>
          </cell>
          <cell r="AQ215">
            <v>1</v>
          </cell>
          <cell r="AR215">
            <v>0</v>
          </cell>
        </row>
        <row r="216">
          <cell r="D216" t="str">
            <v>A911</v>
          </cell>
          <cell r="E216" t="str">
            <v>Bùi Thị Lụa</v>
          </cell>
          <cell r="F216" t="str">
            <v>QCX</v>
          </cell>
          <cell r="G216" t="str">
            <v>Công nhân</v>
          </cell>
          <cell r="H216" t="str">
            <v>T5/17</v>
          </cell>
          <cell r="I216" t="str">
            <v>8.I</v>
          </cell>
          <cell r="J216">
            <v>3750</v>
          </cell>
          <cell r="K216">
            <v>12</v>
          </cell>
          <cell r="L216">
            <v>2</v>
          </cell>
          <cell r="M216">
            <v>1</v>
          </cell>
          <cell r="N216">
            <v>0</v>
          </cell>
          <cell r="O216">
            <v>0</v>
          </cell>
          <cell r="P216">
            <v>0</v>
          </cell>
          <cell r="Q216">
            <v>1</v>
          </cell>
          <cell r="R216">
            <v>16</v>
          </cell>
          <cell r="S216">
            <v>50</v>
          </cell>
          <cell r="T216">
            <v>12</v>
          </cell>
          <cell r="U216">
            <v>0</v>
          </cell>
          <cell r="V216">
            <v>2222</v>
          </cell>
          <cell r="W216">
            <v>1719</v>
          </cell>
          <cell r="X216">
            <v>3941</v>
          </cell>
          <cell r="Y216">
            <v>0</v>
          </cell>
          <cell r="Z216">
            <v>0</v>
          </cell>
          <cell r="AA216">
            <v>192</v>
          </cell>
          <cell r="AB216">
            <v>-70</v>
          </cell>
          <cell r="AC216">
            <v>0</v>
          </cell>
          <cell r="AD216">
            <v>122</v>
          </cell>
          <cell r="AE216">
            <v>4063</v>
          </cell>
          <cell r="AF216">
            <v>417.9</v>
          </cell>
          <cell r="AH216">
            <v>0</v>
          </cell>
          <cell r="AI216">
            <v>9000</v>
          </cell>
          <cell r="AJ216">
            <v>9417.9</v>
          </cell>
          <cell r="AK216">
            <v>-5354.9</v>
          </cell>
          <cell r="AL216">
            <v>0</v>
          </cell>
          <cell r="AM216">
            <v>0</v>
          </cell>
          <cell r="AN216">
            <v>3645.1</v>
          </cell>
          <cell r="AO216">
            <v>3650</v>
          </cell>
          <cell r="AP216">
            <v>3650</v>
          </cell>
          <cell r="AQ216">
            <v>1</v>
          </cell>
          <cell r="AR216">
            <v>7</v>
          </cell>
        </row>
        <row r="217">
          <cell r="D217" t="str">
            <v>A921</v>
          </cell>
          <cell r="E217" t="str">
            <v>Nguyễn Nhựt Linh</v>
          </cell>
          <cell r="F217" t="str">
            <v>CII.1</v>
          </cell>
          <cell r="G217" t="str">
            <v>Công nhân</v>
          </cell>
          <cell r="H217" t="str">
            <v>T5/17</v>
          </cell>
          <cell r="I217" t="str">
            <v>8.I</v>
          </cell>
          <cell r="J217">
            <v>3750</v>
          </cell>
          <cell r="K217">
            <v>5</v>
          </cell>
          <cell r="L217">
            <v>0</v>
          </cell>
          <cell r="M217">
            <v>1</v>
          </cell>
          <cell r="N217">
            <v>0</v>
          </cell>
          <cell r="O217">
            <v>0</v>
          </cell>
          <cell r="P217">
            <v>9</v>
          </cell>
          <cell r="Q217">
            <v>1</v>
          </cell>
          <cell r="R217">
            <v>16</v>
          </cell>
          <cell r="S217">
            <v>56</v>
          </cell>
          <cell r="T217">
            <v>18.5</v>
          </cell>
          <cell r="U217">
            <v>0</v>
          </cell>
          <cell r="V217">
            <v>2597</v>
          </cell>
          <cell r="W217">
            <v>2101</v>
          </cell>
          <cell r="X217">
            <v>4698</v>
          </cell>
          <cell r="Y217">
            <v>0</v>
          </cell>
          <cell r="Z217">
            <v>0</v>
          </cell>
          <cell r="AA217">
            <v>368</v>
          </cell>
          <cell r="AB217">
            <v>-70</v>
          </cell>
          <cell r="AC217">
            <v>0</v>
          </cell>
          <cell r="AD217">
            <v>298</v>
          </cell>
          <cell r="AE217">
            <v>4996</v>
          </cell>
          <cell r="AF217">
            <v>417.9</v>
          </cell>
          <cell r="AH217">
            <v>0</v>
          </cell>
          <cell r="AI217">
            <v>9000</v>
          </cell>
          <cell r="AJ217">
            <v>9417.9</v>
          </cell>
          <cell r="AK217">
            <v>-4421.8999999999996</v>
          </cell>
          <cell r="AL217">
            <v>0</v>
          </cell>
          <cell r="AM217">
            <v>2000</v>
          </cell>
          <cell r="AN217">
            <v>2578.1000000000004</v>
          </cell>
          <cell r="AO217">
            <v>2580</v>
          </cell>
          <cell r="AP217">
            <v>4580</v>
          </cell>
          <cell r="AQ217">
            <v>1</v>
          </cell>
          <cell r="AR217">
            <v>1</v>
          </cell>
        </row>
        <row r="218">
          <cell r="D218" t="str">
            <v>A922</v>
          </cell>
          <cell r="E218" t="str">
            <v>Hồ Thị Hiếu</v>
          </cell>
          <cell r="F218" t="str">
            <v>CI.1</v>
          </cell>
          <cell r="G218" t="str">
            <v>Công nhân</v>
          </cell>
          <cell r="H218" t="str">
            <v>T5/17</v>
          </cell>
          <cell r="I218" t="str">
            <v>8.I</v>
          </cell>
          <cell r="J218">
            <v>3750</v>
          </cell>
          <cell r="K218">
            <v>8</v>
          </cell>
          <cell r="L218">
            <v>1</v>
          </cell>
          <cell r="M218">
            <v>1</v>
          </cell>
          <cell r="N218">
            <v>0</v>
          </cell>
          <cell r="O218">
            <v>0</v>
          </cell>
          <cell r="P218">
            <v>6</v>
          </cell>
          <cell r="Q218">
            <v>0</v>
          </cell>
          <cell r="R218">
            <v>16</v>
          </cell>
          <cell r="S218">
            <v>58</v>
          </cell>
          <cell r="T218">
            <v>20</v>
          </cell>
          <cell r="U218">
            <v>0</v>
          </cell>
          <cell r="V218">
            <v>2472</v>
          </cell>
          <cell r="W218">
            <v>2205</v>
          </cell>
          <cell r="X218">
            <v>4677</v>
          </cell>
          <cell r="Y218">
            <v>0</v>
          </cell>
          <cell r="Z218">
            <v>0</v>
          </cell>
          <cell r="AA218">
            <v>320</v>
          </cell>
          <cell r="AB218">
            <v>-70</v>
          </cell>
          <cell r="AC218">
            <v>0</v>
          </cell>
          <cell r="AD218">
            <v>250</v>
          </cell>
          <cell r="AE218">
            <v>4927</v>
          </cell>
          <cell r="AF218">
            <v>417.9</v>
          </cell>
          <cell r="AH218">
            <v>0</v>
          </cell>
          <cell r="AI218">
            <v>9000</v>
          </cell>
          <cell r="AJ218">
            <v>9417.9</v>
          </cell>
          <cell r="AK218">
            <v>-4490.8999999999996</v>
          </cell>
          <cell r="AL218">
            <v>0</v>
          </cell>
          <cell r="AM218">
            <v>2000</v>
          </cell>
          <cell r="AN218">
            <v>2509.1000000000004</v>
          </cell>
          <cell r="AO218">
            <v>2510</v>
          </cell>
          <cell r="AP218">
            <v>4510</v>
          </cell>
          <cell r="AQ218">
            <v>1</v>
          </cell>
          <cell r="AR218">
            <v>2.5</v>
          </cell>
        </row>
        <row r="219">
          <cell r="D219" t="str">
            <v>A925</v>
          </cell>
          <cell r="E219" t="str">
            <v>Đinh Thị Thùy Dương</v>
          </cell>
          <cell r="F219" t="str">
            <v>CI.1</v>
          </cell>
          <cell r="G219" t="str">
            <v>Công nhân</v>
          </cell>
          <cell r="H219" t="str">
            <v>T5/17</v>
          </cell>
          <cell r="I219" t="str">
            <v>8.I</v>
          </cell>
          <cell r="J219">
            <v>3750</v>
          </cell>
          <cell r="K219">
            <v>4</v>
          </cell>
          <cell r="L219">
            <v>1</v>
          </cell>
          <cell r="M219">
            <v>1</v>
          </cell>
          <cell r="N219">
            <v>0</v>
          </cell>
          <cell r="O219">
            <v>0</v>
          </cell>
          <cell r="P219">
            <v>8</v>
          </cell>
          <cell r="Q219">
            <v>1</v>
          </cell>
          <cell r="R219">
            <v>15</v>
          </cell>
          <cell r="S219">
            <v>50</v>
          </cell>
          <cell r="T219">
            <v>20</v>
          </cell>
          <cell r="U219">
            <v>0</v>
          </cell>
          <cell r="V219">
            <v>2417</v>
          </cell>
          <cell r="W219">
            <v>1997</v>
          </cell>
          <cell r="X219">
            <v>4414</v>
          </cell>
          <cell r="Y219">
            <v>0</v>
          </cell>
          <cell r="Z219">
            <v>0</v>
          </cell>
          <cell r="AA219">
            <v>320</v>
          </cell>
          <cell r="AB219">
            <v>-70</v>
          </cell>
          <cell r="AC219">
            <v>0</v>
          </cell>
          <cell r="AD219">
            <v>250</v>
          </cell>
          <cell r="AE219">
            <v>4664</v>
          </cell>
          <cell r="AF219">
            <v>417.9</v>
          </cell>
          <cell r="AH219">
            <v>0</v>
          </cell>
          <cell r="AI219">
            <v>9000</v>
          </cell>
          <cell r="AJ219">
            <v>9417.9</v>
          </cell>
          <cell r="AK219">
            <v>-4753.8999999999996</v>
          </cell>
          <cell r="AL219">
            <v>0</v>
          </cell>
          <cell r="AM219">
            <v>2000</v>
          </cell>
          <cell r="AN219">
            <v>2246.1000000000004</v>
          </cell>
          <cell r="AO219">
            <v>2250</v>
          </cell>
          <cell r="AP219">
            <v>4250</v>
          </cell>
          <cell r="AQ219">
            <v>1</v>
          </cell>
          <cell r="AR219">
            <v>0</v>
          </cell>
        </row>
        <row r="220">
          <cell r="D220" t="str">
            <v>A926</v>
          </cell>
          <cell r="E220" t="str">
            <v>Bùi Anh Tâm</v>
          </cell>
          <cell r="F220" t="str">
            <v>CI.1</v>
          </cell>
          <cell r="G220" t="str">
            <v>Công nhân</v>
          </cell>
          <cell r="H220" t="str">
            <v>T5/17</v>
          </cell>
          <cell r="I220" t="str">
            <v>8.I</v>
          </cell>
          <cell r="J220">
            <v>3750</v>
          </cell>
          <cell r="K220">
            <v>0</v>
          </cell>
          <cell r="L220">
            <v>0</v>
          </cell>
          <cell r="M220">
            <v>1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1</v>
          </cell>
          <cell r="S220">
            <v>0</v>
          </cell>
          <cell r="T220">
            <v>0</v>
          </cell>
          <cell r="U220">
            <v>0</v>
          </cell>
          <cell r="V220">
            <v>139</v>
          </cell>
          <cell r="W220">
            <v>0</v>
          </cell>
          <cell r="X220">
            <v>139</v>
          </cell>
          <cell r="Y220">
            <v>0</v>
          </cell>
          <cell r="Z220">
            <v>0</v>
          </cell>
          <cell r="AA220">
            <v>0</v>
          </cell>
          <cell r="AB220">
            <v>-70</v>
          </cell>
          <cell r="AC220">
            <v>0</v>
          </cell>
          <cell r="AD220">
            <v>-70</v>
          </cell>
          <cell r="AE220">
            <v>69</v>
          </cell>
          <cell r="AF220">
            <v>417.9</v>
          </cell>
          <cell r="AH220">
            <v>0</v>
          </cell>
          <cell r="AI220">
            <v>9000</v>
          </cell>
          <cell r="AJ220">
            <v>9417.9</v>
          </cell>
          <cell r="AK220">
            <v>-9348.9</v>
          </cell>
          <cell r="AL220">
            <v>0</v>
          </cell>
          <cell r="AM220">
            <v>2000</v>
          </cell>
          <cell r="AN220">
            <v>-2348.9</v>
          </cell>
          <cell r="AO220">
            <v>-2350</v>
          </cell>
          <cell r="AP220">
            <v>-350</v>
          </cell>
          <cell r="AQ220">
            <v>1</v>
          </cell>
          <cell r="AR220">
            <v>1.5</v>
          </cell>
        </row>
        <row r="221">
          <cell r="D221" t="str">
            <v>A928</v>
          </cell>
          <cell r="E221" t="str">
            <v>Huỳnh Thị Diễm</v>
          </cell>
          <cell r="F221" t="str">
            <v>CI.1</v>
          </cell>
          <cell r="G221" t="str">
            <v>Công nhân</v>
          </cell>
          <cell r="H221" t="str">
            <v>T5/17</v>
          </cell>
          <cell r="I221" t="str">
            <v>8.I</v>
          </cell>
          <cell r="J221">
            <v>3750</v>
          </cell>
          <cell r="K221">
            <v>7</v>
          </cell>
          <cell r="L221">
            <v>1</v>
          </cell>
          <cell r="M221">
            <v>1</v>
          </cell>
          <cell r="N221">
            <v>0</v>
          </cell>
          <cell r="O221">
            <v>0</v>
          </cell>
          <cell r="P221">
            <v>2</v>
          </cell>
          <cell r="Q221">
            <v>0</v>
          </cell>
          <cell r="R221">
            <v>11</v>
          </cell>
          <cell r="S221">
            <v>36</v>
          </cell>
          <cell r="T221">
            <v>20</v>
          </cell>
          <cell r="U221">
            <v>0</v>
          </cell>
          <cell r="V221">
            <v>1611</v>
          </cell>
          <cell r="W221">
            <v>1632</v>
          </cell>
          <cell r="X221">
            <v>3243</v>
          </cell>
          <cell r="Y221">
            <v>0</v>
          </cell>
          <cell r="Z221">
            <v>0</v>
          </cell>
          <cell r="AA221">
            <v>176</v>
          </cell>
          <cell r="AB221">
            <v>-70</v>
          </cell>
          <cell r="AC221">
            <v>0</v>
          </cell>
          <cell r="AD221">
            <v>106</v>
          </cell>
          <cell r="AE221">
            <v>3349</v>
          </cell>
          <cell r="AF221">
            <v>417.9</v>
          </cell>
          <cell r="AH221">
            <v>0</v>
          </cell>
          <cell r="AI221">
            <v>9000</v>
          </cell>
          <cell r="AJ221">
            <v>9417.9</v>
          </cell>
          <cell r="AK221">
            <v>-6068.9</v>
          </cell>
          <cell r="AL221">
            <v>0</v>
          </cell>
          <cell r="AM221">
            <v>2000</v>
          </cell>
          <cell r="AN221">
            <v>931.09999999999991</v>
          </cell>
          <cell r="AO221">
            <v>930</v>
          </cell>
          <cell r="AP221">
            <v>2930</v>
          </cell>
          <cell r="AQ221">
            <v>1</v>
          </cell>
          <cell r="AR221">
            <v>1.5</v>
          </cell>
        </row>
        <row r="222">
          <cell r="D222" t="str">
            <v>A929</v>
          </cell>
          <cell r="E222" t="str">
            <v>Trần Thị Muội</v>
          </cell>
          <cell r="F222" t="str">
            <v>CI.1</v>
          </cell>
          <cell r="G222" t="str">
            <v>Công nhân</v>
          </cell>
          <cell r="H222" t="str">
            <v>T5/17</v>
          </cell>
          <cell r="I222" t="str">
            <v>8.I</v>
          </cell>
          <cell r="J222">
            <v>3750</v>
          </cell>
          <cell r="K222">
            <v>6</v>
          </cell>
          <cell r="L222">
            <v>0</v>
          </cell>
          <cell r="M222">
            <v>1</v>
          </cell>
          <cell r="N222">
            <v>0</v>
          </cell>
          <cell r="O222">
            <v>0</v>
          </cell>
          <cell r="P222">
            <v>8.5</v>
          </cell>
          <cell r="Q222">
            <v>0.5</v>
          </cell>
          <cell r="R222">
            <v>16</v>
          </cell>
          <cell r="S222">
            <v>54</v>
          </cell>
          <cell r="T222">
            <v>20</v>
          </cell>
          <cell r="U222">
            <v>0</v>
          </cell>
          <cell r="V222">
            <v>2576</v>
          </cell>
          <cell r="W222">
            <v>2101</v>
          </cell>
          <cell r="X222">
            <v>4677</v>
          </cell>
          <cell r="Y222">
            <v>0</v>
          </cell>
          <cell r="Z222">
            <v>0</v>
          </cell>
          <cell r="AA222">
            <v>368</v>
          </cell>
          <cell r="AB222">
            <v>-70</v>
          </cell>
          <cell r="AC222">
            <v>0</v>
          </cell>
          <cell r="AD222">
            <v>298</v>
          </cell>
          <cell r="AE222">
            <v>4975</v>
          </cell>
          <cell r="AF222">
            <v>417.9</v>
          </cell>
          <cell r="AH222">
            <v>0</v>
          </cell>
          <cell r="AI222">
            <v>9000</v>
          </cell>
          <cell r="AJ222">
            <v>9417.9</v>
          </cell>
          <cell r="AK222">
            <v>-4442.8999999999996</v>
          </cell>
          <cell r="AL222">
            <v>0</v>
          </cell>
          <cell r="AM222">
            <v>2000</v>
          </cell>
          <cell r="AN222">
            <v>2557.1000000000004</v>
          </cell>
          <cell r="AO222">
            <v>2560</v>
          </cell>
          <cell r="AP222">
            <v>4560</v>
          </cell>
          <cell r="AQ222">
            <v>1</v>
          </cell>
          <cell r="AR222">
            <v>0.5</v>
          </cell>
        </row>
        <row r="223">
          <cell r="D223" t="str">
            <v>A930</v>
          </cell>
          <cell r="E223" t="str">
            <v>Trương Thị Giàu</v>
          </cell>
          <cell r="F223" t="str">
            <v>CI.1</v>
          </cell>
          <cell r="G223" t="str">
            <v>Công nhân</v>
          </cell>
          <cell r="H223" t="str">
            <v>T5/17</v>
          </cell>
          <cell r="I223" t="str">
            <v>8.I</v>
          </cell>
          <cell r="J223">
            <v>3750</v>
          </cell>
          <cell r="K223">
            <v>4</v>
          </cell>
          <cell r="L223">
            <v>1</v>
          </cell>
          <cell r="M223">
            <v>1</v>
          </cell>
          <cell r="N223">
            <v>0</v>
          </cell>
          <cell r="O223">
            <v>0</v>
          </cell>
          <cell r="P223">
            <v>6</v>
          </cell>
          <cell r="Q223">
            <v>3</v>
          </cell>
          <cell r="R223">
            <v>15</v>
          </cell>
          <cell r="S223">
            <v>50</v>
          </cell>
          <cell r="T223">
            <v>0</v>
          </cell>
          <cell r="U223">
            <v>0</v>
          </cell>
          <cell r="V223">
            <v>2333</v>
          </cell>
          <cell r="W223">
            <v>1302</v>
          </cell>
          <cell r="X223">
            <v>3635</v>
          </cell>
          <cell r="Y223">
            <v>0</v>
          </cell>
          <cell r="Z223">
            <v>0</v>
          </cell>
          <cell r="AA223">
            <v>256</v>
          </cell>
          <cell r="AB223">
            <v>-70</v>
          </cell>
          <cell r="AC223">
            <v>0</v>
          </cell>
          <cell r="AD223">
            <v>186</v>
          </cell>
          <cell r="AE223">
            <v>3821</v>
          </cell>
          <cell r="AF223">
            <v>417.9</v>
          </cell>
          <cell r="AH223">
            <v>0</v>
          </cell>
          <cell r="AI223">
            <v>9000</v>
          </cell>
          <cell r="AJ223">
            <v>9417.9</v>
          </cell>
          <cell r="AK223">
            <v>-5596.9</v>
          </cell>
          <cell r="AL223">
            <v>0</v>
          </cell>
          <cell r="AM223">
            <v>2000</v>
          </cell>
          <cell r="AN223">
            <v>1403.1</v>
          </cell>
          <cell r="AO223">
            <v>1410</v>
          </cell>
          <cell r="AP223">
            <v>3410</v>
          </cell>
          <cell r="AQ223">
            <v>1</v>
          </cell>
          <cell r="AR223">
            <v>-0.5</v>
          </cell>
        </row>
        <row r="224">
          <cell r="D224" t="str">
            <v>A931</v>
          </cell>
          <cell r="E224" t="str">
            <v>Cao Văn Phú</v>
          </cell>
          <cell r="F224" t="str">
            <v>CI.1</v>
          </cell>
          <cell r="G224" t="str">
            <v>Trưởng chuyền xi I.1</v>
          </cell>
          <cell r="H224" t="str">
            <v>T5/17</v>
          </cell>
          <cell r="I224" t="str">
            <v>4.IV</v>
          </cell>
          <cell r="J224">
            <v>5230</v>
          </cell>
          <cell r="K224">
            <v>2</v>
          </cell>
          <cell r="L224">
            <v>12</v>
          </cell>
          <cell r="M224">
            <v>1</v>
          </cell>
          <cell r="N224">
            <v>0</v>
          </cell>
          <cell r="O224">
            <v>0</v>
          </cell>
          <cell r="P224">
            <v>0</v>
          </cell>
          <cell r="Q224">
            <v>1</v>
          </cell>
          <cell r="R224">
            <v>16</v>
          </cell>
          <cell r="S224">
            <v>16.5</v>
          </cell>
          <cell r="T224">
            <v>0</v>
          </cell>
          <cell r="U224">
            <v>0</v>
          </cell>
          <cell r="V224">
            <v>3099</v>
          </cell>
          <cell r="W224">
            <v>599</v>
          </cell>
          <cell r="X224">
            <v>3698</v>
          </cell>
          <cell r="Y224">
            <v>6204.4444444444443</v>
          </cell>
          <cell r="Z224">
            <v>0</v>
          </cell>
          <cell r="AA224">
            <v>32</v>
          </cell>
          <cell r="AB224">
            <v>0</v>
          </cell>
          <cell r="AC224">
            <v>0</v>
          </cell>
          <cell r="AD224">
            <v>6236.4444444444443</v>
          </cell>
          <cell r="AE224">
            <v>9934</v>
          </cell>
          <cell r="AF224">
            <v>549.15</v>
          </cell>
          <cell r="AH224">
            <v>0</v>
          </cell>
          <cell r="AI224">
            <v>9000</v>
          </cell>
          <cell r="AJ224">
            <v>9549.15</v>
          </cell>
          <cell r="AK224">
            <v>384.85000000000036</v>
          </cell>
          <cell r="AL224">
            <v>19</v>
          </cell>
          <cell r="AM224">
            <v>3000</v>
          </cell>
          <cell r="AN224">
            <v>6365.85</v>
          </cell>
          <cell r="AO224">
            <v>6370</v>
          </cell>
          <cell r="AP224">
            <v>9370</v>
          </cell>
          <cell r="AQ224">
            <v>1</v>
          </cell>
          <cell r="AR224">
            <v>1</v>
          </cell>
        </row>
        <row r="225">
          <cell r="D225" t="str">
            <v>A932</v>
          </cell>
          <cell r="E225" t="str">
            <v>Nguyễn Giang Hải</v>
          </cell>
          <cell r="F225" t="str">
            <v>CI.1</v>
          </cell>
          <cell r="G225" t="str">
            <v>Công nhân</v>
          </cell>
          <cell r="H225" t="str">
            <v>T5/17</v>
          </cell>
          <cell r="I225" t="str">
            <v>8.I</v>
          </cell>
          <cell r="J225">
            <v>3750</v>
          </cell>
          <cell r="K225">
            <v>5</v>
          </cell>
          <cell r="L225">
            <v>0</v>
          </cell>
          <cell r="M225">
            <v>1</v>
          </cell>
          <cell r="N225">
            <v>0</v>
          </cell>
          <cell r="O225">
            <v>0</v>
          </cell>
          <cell r="P225">
            <v>9</v>
          </cell>
          <cell r="Q225">
            <v>1</v>
          </cell>
          <cell r="R225">
            <v>16</v>
          </cell>
          <cell r="S225">
            <v>56</v>
          </cell>
          <cell r="T225">
            <v>12</v>
          </cell>
          <cell r="U225">
            <v>0</v>
          </cell>
          <cell r="V225">
            <v>2597</v>
          </cell>
          <cell r="W225">
            <v>1875</v>
          </cell>
          <cell r="X225">
            <v>4472</v>
          </cell>
          <cell r="Y225">
            <v>0</v>
          </cell>
          <cell r="Z225">
            <v>0</v>
          </cell>
          <cell r="AA225">
            <v>368</v>
          </cell>
          <cell r="AB225">
            <v>-70</v>
          </cell>
          <cell r="AC225">
            <v>0</v>
          </cell>
          <cell r="AD225">
            <v>298</v>
          </cell>
          <cell r="AE225">
            <v>4770</v>
          </cell>
          <cell r="AF225">
            <v>417.9</v>
          </cell>
          <cell r="AH225">
            <v>0</v>
          </cell>
          <cell r="AI225">
            <v>9000</v>
          </cell>
          <cell r="AJ225">
            <v>9417.9</v>
          </cell>
          <cell r="AK225">
            <v>-4647.8999999999996</v>
          </cell>
          <cell r="AL225">
            <v>0</v>
          </cell>
          <cell r="AM225">
            <v>1000</v>
          </cell>
          <cell r="AN225">
            <v>3352.1000000000004</v>
          </cell>
          <cell r="AO225">
            <v>3350</v>
          </cell>
          <cell r="AP225">
            <v>4350</v>
          </cell>
          <cell r="AQ225">
            <v>1</v>
          </cell>
          <cell r="AR225">
            <v>0</v>
          </cell>
        </row>
        <row r="226">
          <cell r="D226" t="str">
            <v>A933</v>
          </cell>
          <cell r="E226" t="str">
            <v>Nguyễn Minh Mẫn</v>
          </cell>
          <cell r="F226" t="str">
            <v>EN</v>
          </cell>
          <cell r="G226" t="str">
            <v>Công nhân</v>
          </cell>
          <cell r="H226" t="str">
            <v>T5/17</v>
          </cell>
          <cell r="I226" t="str">
            <v>8.I</v>
          </cell>
          <cell r="J226">
            <v>3750</v>
          </cell>
          <cell r="K226">
            <v>6</v>
          </cell>
          <cell r="L226">
            <v>0</v>
          </cell>
          <cell r="M226">
            <v>1</v>
          </cell>
          <cell r="N226">
            <v>0</v>
          </cell>
          <cell r="O226">
            <v>0</v>
          </cell>
          <cell r="P226">
            <v>7</v>
          </cell>
          <cell r="Q226">
            <v>0</v>
          </cell>
          <cell r="R226">
            <v>14</v>
          </cell>
          <cell r="S226">
            <v>52</v>
          </cell>
          <cell r="T226">
            <v>0</v>
          </cell>
          <cell r="U226">
            <v>0</v>
          </cell>
          <cell r="V226">
            <v>2236</v>
          </cell>
          <cell r="W226">
            <v>1354</v>
          </cell>
          <cell r="X226">
            <v>3590</v>
          </cell>
          <cell r="Y226">
            <v>0</v>
          </cell>
          <cell r="Z226">
            <v>64</v>
          </cell>
          <cell r="AA226">
            <v>320</v>
          </cell>
          <cell r="AB226">
            <v>-70</v>
          </cell>
          <cell r="AC226">
            <v>0</v>
          </cell>
          <cell r="AD226">
            <v>314</v>
          </cell>
          <cell r="AE226">
            <v>3904</v>
          </cell>
          <cell r="AF226">
            <v>417.9</v>
          </cell>
          <cell r="AH226">
            <v>0</v>
          </cell>
          <cell r="AI226">
            <v>9000</v>
          </cell>
          <cell r="AJ226">
            <v>9417.9</v>
          </cell>
          <cell r="AK226">
            <v>-5513.9</v>
          </cell>
          <cell r="AL226">
            <v>0</v>
          </cell>
          <cell r="AM226">
            <v>2000</v>
          </cell>
          <cell r="AN226">
            <v>1486.1</v>
          </cell>
          <cell r="AO226">
            <v>1490</v>
          </cell>
          <cell r="AP226">
            <v>3490</v>
          </cell>
          <cell r="AQ226">
            <v>1</v>
          </cell>
          <cell r="AR226">
            <v>1</v>
          </cell>
        </row>
        <row r="227">
          <cell r="D227" t="str">
            <v>A934</v>
          </cell>
          <cell r="E227" t="str">
            <v>Lê Hoàng Tuấn An</v>
          </cell>
          <cell r="F227" t="str">
            <v>EN</v>
          </cell>
          <cell r="G227" t="str">
            <v>Công nhân</v>
          </cell>
          <cell r="H227" t="str">
            <v>T5/17</v>
          </cell>
          <cell r="I227" t="str">
            <v>8.I</v>
          </cell>
          <cell r="J227">
            <v>3750</v>
          </cell>
          <cell r="K227">
            <v>0</v>
          </cell>
          <cell r="L227">
            <v>0</v>
          </cell>
          <cell r="M227">
            <v>1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1</v>
          </cell>
          <cell r="S227">
            <v>0</v>
          </cell>
          <cell r="T227">
            <v>0</v>
          </cell>
          <cell r="U227">
            <v>0</v>
          </cell>
          <cell r="V227">
            <v>139</v>
          </cell>
          <cell r="W227">
            <v>0</v>
          </cell>
          <cell r="X227">
            <v>139</v>
          </cell>
          <cell r="Y227">
            <v>0</v>
          </cell>
          <cell r="Z227">
            <v>0</v>
          </cell>
          <cell r="AA227">
            <v>0</v>
          </cell>
          <cell r="AB227">
            <v>-70</v>
          </cell>
          <cell r="AC227">
            <v>0</v>
          </cell>
          <cell r="AD227">
            <v>-70</v>
          </cell>
          <cell r="AE227">
            <v>69</v>
          </cell>
          <cell r="AF227">
            <v>417.9</v>
          </cell>
          <cell r="AH227">
            <v>0</v>
          </cell>
          <cell r="AI227">
            <v>9000</v>
          </cell>
          <cell r="AJ227">
            <v>9417.9</v>
          </cell>
          <cell r="AK227">
            <v>-9348.9</v>
          </cell>
          <cell r="AL227">
            <v>0</v>
          </cell>
          <cell r="AM227">
            <v>0</v>
          </cell>
          <cell r="AN227">
            <v>-348.9</v>
          </cell>
          <cell r="AO227">
            <v>-350</v>
          </cell>
          <cell r="AP227">
            <v>-350</v>
          </cell>
          <cell r="AQ227">
            <v>1</v>
          </cell>
          <cell r="AR227">
            <v>2</v>
          </cell>
        </row>
        <row r="228">
          <cell r="D228" t="str">
            <v>A940</v>
          </cell>
          <cell r="E228" t="str">
            <v>Hoàng Thị Quý</v>
          </cell>
          <cell r="F228" t="str">
            <v>Gián tiếp</v>
          </cell>
          <cell r="G228" t="str">
            <v>Nhân viên kế hoạch</v>
          </cell>
          <cell r="H228" t="str">
            <v>T6/17</v>
          </cell>
          <cell r="I228" t="str">
            <v>4.II</v>
          </cell>
          <cell r="J228">
            <v>4740</v>
          </cell>
          <cell r="K228">
            <v>0</v>
          </cell>
          <cell r="L228">
            <v>14</v>
          </cell>
          <cell r="M228">
            <v>1</v>
          </cell>
          <cell r="N228">
            <v>0</v>
          </cell>
          <cell r="O228">
            <v>0</v>
          </cell>
          <cell r="P228">
            <v>0</v>
          </cell>
          <cell r="Q228">
            <v>1</v>
          </cell>
          <cell r="R228">
            <v>16</v>
          </cell>
          <cell r="S228">
            <v>0</v>
          </cell>
          <cell r="T228">
            <v>0</v>
          </cell>
          <cell r="U228">
            <v>0</v>
          </cell>
          <cell r="V228">
            <v>2809</v>
          </cell>
          <cell r="W228">
            <v>0</v>
          </cell>
          <cell r="X228">
            <v>2809</v>
          </cell>
          <cell r="Y228">
            <v>2820.7407407407409</v>
          </cell>
          <cell r="Z228">
            <v>0</v>
          </cell>
          <cell r="AA228">
            <v>0</v>
          </cell>
          <cell r="AB228">
            <v>-300</v>
          </cell>
          <cell r="AC228">
            <v>0</v>
          </cell>
          <cell r="AD228">
            <v>2520.7407407407409</v>
          </cell>
          <cell r="AE228">
            <v>5330</v>
          </cell>
          <cell r="AF228">
            <v>497.7</v>
          </cell>
          <cell r="AH228">
            <v>1</v>
          </cell>
          <cell r="AI228">
            <v>12600</v>
          </cell>
          <cell r="AJ228">
            <v>13097.7</v>
          </cell>
          <cell r="AK228">
            <v>-7767.7000000000007</v>
          </cell>
          <cell r="AL228">
            <v>0</v>
          </cell>
          <cell r="AM228">
            <v>0</v>
          </cell>
          <cell r="AN228">
            <v>4832.3</v>
          </cell>
          <cell r="AO228">
            <v>4830</v>
          </cell>
          <cell r="AP228">
            <v>4830</v>
          </cell>
          <cell r="AQ228">
            <v>1</v>
          </cell>
          <cell r="AR228">
            <v>-0.5</v>
          </cell>
        </row>
        <row r="229">
          <cell r="D229" t="str">
            <v>A941</v>
          </cell>
          <cell r="E229" t="str">
            <v>Dương Văn Phú</v>
          </cell>
          <cell r="F229" t="str">
            <v>CII.4</v>
          </cell>
          <cell r="G229" t="str">
            <v>công nhân</v>
          </cell>
          <cell r="H229" t="str">
            <v>T6/17</v>
          </cell>
          <cell r="I229" t="str">
            <v>8.I</v>
          </cell>
          <cell r="J229">
            <v>3750</v>
          </cell>
          <cell r="K229">
            <v>13</v>
          </cell>
          <cell r="L229">
            <v>2</v>
          </cell>
          <cell r="M229">
            <v>1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16</v>
          </cell>
          <cell r="S229">
            <v>59</v>
          </cell>
          <cell r="T229">
            <v>12</v>
          </cell>
          <cell r="U229">
            <v>0</v>
          </cell>
          <cell r="V229">
            <v>2222</v>
          </cell>
          <cell r="W229">
            <v>1953</v>
          </cell>
          <cell r="X229">
            <v>4175</v>
          </cell>
          <cell r="Y229">
            <v>0</v>
          </cell>
          <cell r="Z229">
            <v>0</v>
          </cell>
          <cell r="AA229">
            <v>208</v>
          </cell>
          <cell r="AB229">
            <v>70</v>
          </cell>
          <cell r="AC229">
            <v>0</v>
          </cell>
          <cell r="AD229">
            <v>278</v>
          </cell>
          <cell r="AE229">
            <v>4453</v>
          </cell>
          <cell r="AF229">
            <v>417.9</v>
          </cell>
          <cell r="AH229">
            <v>0</v>
          </cell>
          <cell r="AI229">
            <v>9000</v>
          </cell>
          <cell r="AJ229">
            <v>9417.9</v>
          </cell>
          <cell r="AK229">
            <v>-4964.8999999999996</v>
          </cell>
          <cell r="AL229">
            <v>0</v>
          </cell>
          <cell r="AM229">
            <v>2000</v>
          </cell>
          <cell r="AN229">
            <v>2035.1</v>
          </cell>
          <cell r="AO229">
            <v>2040</v>
          </cell>
          <cell r="AP229">
            <v>4040</v>
          </cell>
          <cell r="AQ229">
            <v>1</v>
          </cell>
          <cell r="AR229">
            <v>9.5</v>
          </cell>
        </row>
        <row r="230">
          <cell r="D230" t="str">
            <v>A944</v>
          </cell>
          <cell r="E230" t="str">
            <v>Nguyễn Văn Tuấn</v>
          </cell>
          <cell r="F230" t="str">
            <v>EN</v>
          </cell>
          <cell r="G230" t="str">
            <v>Công nhân</v>
          </cell>
          <cell r="H230" t="str">
            <v>T6/17</v>
          </cell>
          <cell r="I230" t="str">
            <v>8.I</v>
          </cell>
          <cell r="J230">
            <v>3750</v>
          </cell>
          <cell r="K230">
            <v>6</v>
          </cell>
          <cell r="L230">
            <v>0</v>
          </cell>
          <cell r="M230">
            <v>1</v>
          </cell>
          <cell r="N230">
            <v>0</v>
          </cell>
          <cell r="O230">
            <v>0</v>
          </cell>
          <cell r="P230">
            <v>9</v>
          </cell>
          <cell r="Q230">
            <v>0</v>
          </cell>
          <cell r="R230">
            <v>16</v>
          </cell>
          <cell r="S230">
            <v>60</v>
          </cell>
          <cell r="T230">
            <v>8</v>
          </cell>
          <cell r="U230">
            <v>0</v>
          </cell>
          <cell r="V230">
            <v>2597</v>
          </cell>
          <cell r="W230">
            <v>1840</v>
          </cell>
          <cell r="X230">
            <v>4437</v>
          </cell>
          <cell r="Y230">
            <v>0</v>
          </cell>
          <cell r="Z230">
            <v>32</v>
          </cell>
          <cell r="AA230">
            <v>384</v>
          </cell>
          <cell r="AB230">
            <v>-70</v>
          </cell>
          <cell r="AC230">
            <v>0</v>
          </cell>
          <cell r="AD230">
            <v>346</v>
          </cell>
          <cell r="AE230">
            <v>4783</v>
          </cell>
          <cell r="AF230">
            <v>417.9</v>
          </cell>
          <cell r="AH230">
            <v>0</v>
          </cell>
          <cell r="AI230">
            <v>9000</v>
          </cell>
          <cell r="AJ230">
            <v>9417.9</v>
          </cell>
          <cell r="AK230">
            <v>-4634.8999999999996</v>
          </cell>
          <cell r="AL230">
            <v>0</v>
          </cell>
          <cell r="AM230">
            <v>2000</v>
          </cell>
          <cell r="AN230">
            <v>2365.1000000000004</v>
          </cell>
          <cell r="AO230">
            <v>2370</v>
          </cell>
          <cell r="AP230">
            <v>4370</v>
          </cell>
          <cell r="AQ230">
            <v>1</v>
          </cell>
          <cell r="AR230">
            <v>6</v>
          </cell>
        </row>
        <row r="231">
          <cell r="D231" t="str">
            <v>A945</v>
          </cell>
          <cell r="E231" t="str">
            <v>Hồ Thị Liên</v>
          </cell>
          <cell r="F231" t="str">
            <v>QCE</v>
          </cell>
          <cell r="G231" t="str">
            <v>Công nhân</v>
          </cell>
          <cell r="H231" t="str">
            <v>T6/17</v>
          </cell>
          <cell r="I231" t="str">
            <v>8.I</v>
          </cell>
          <cell r="J231">
            <v>3750</v>
          </cell>
          <cell r="K231">
            <v>11</v>
          </cell>
          <cell r="L231">
            <v>3</v>
          </cell>
          <cell r="M231">
            <v>1</v>
          </cell>
          <cell r="N231">
            <v>0</v>
          </cell>
          <cell r="O231">
            <v>0</v>
          </cell>
          <cell r="P231">
            <v>0</v>
          </cell>
          <cell r="Q231">
            <v>1</v>
          </cell>
          <cell r="R231">
            <v>16</v>
          </cell>
          <cell r="S231">
            <v>44</v>
          </cell>
          <cell r="T231">
            <v>18</v>
          </cell>
          <cell r="U231">
            <v>0</v>
          </cell>
          <cell r="V231">
            <v>2222</v>
          </cell>
          <cell r="W231">
            <v>1771</v>
          </cell>
          <cell r="X231">
            <v>3993</v>
          </cell>
          <cell r="Y231">
            <v>0</v>
          </cell>
          <cell r="Z231">
            <v>16</v>
          </cell>
          <cell r="AA231">
            <v>176</v>
          </cell>
          <cell r="AB231">
            <v>-140</v>
          </cell>
          <cell r="AC231">
            <v>0</v>
          </cell>
          <cell r="AD231">
            <v>52</v>
          </cell>
          <cell r="AE231">
            <v>4045</v>
          </cell>
          <cell r="AF231">
            <v>417.9</v>
          </cell>
          <cell r="AH231">
            <v>0</v>
          </cell>
          <cell r="AI231">
            <v>9000</v>
          </cell>
          <cell r="AJ231">
            <v>9417.9</v>
          </cell>
          <cell r="AK231">
            <v>-5372.9</v>
          </cell>
          <cell r="AL231">
            <v>0</v>
          </cell>
          <cell r="AM231">
            <v>2000</v>
          </cell>
          <cell r="AN231">
            <v>1627.1</v>
          </cell>
          <cell r="AO231">
            <v>1630</v>
          </cell>
          <cell r="AP231">
            <v>3630</v>
          </cell>
          <cell r="AQ231">
            <v>1</v>
          </cell>
          <cell r="AR231">
            <v>2</v>
          </cell>
        </row>
        <row r="232">
          <cell r="D232" t="str">
            <v>A946</v>
          </cell>
          <cell r="E232" t="str">
            <v>Đoàn Huỳnh Như</v>
          </cell>
          <cell r="F232" t="str">
            <v>QCX</v>
          </cell>
          <cell r="G232" t="str">
            <v>Công nhân</v>
          </cell>
          <cell r="H232" t="str">
            <v>T6/17</v>
          </cell>
          <cell r="I232" t="str">
            <v>8.I</v>
          </cell>
          <cell r="J232">
            <v>3750</v>
          </cell>
          <cell r="K232">
            <v>3</v>
          </cell>
          <cell r="L232">
            <v>3</v>
          </cell>
          <cell r="M232">
            <v>1</v>
          </cell>
          <cell r="N232">
            <v>0</v>
          </cell>
          <cell r="O232">
            <v>0</v>
          </cell>
          <cell r="P232">
            <v>9</v>
          </cell>
          <cell r="Q232">
            <v>0</v>
          </cell>
          <cell r="R232">
            <v>16</v>
          </cell>
          <cell r="S232">
            <v>50</v>
          </cell>
          <cell r="T232">
            <v>8</v>
          </cell>
          <cell r="U232">
            <v>0</v>
          </cell>
          <cell r="V232">
            <v>2597</v>
          </cell>
          <cell r="W232">
            <v>1580</v>
          </cell>
          <cell r="X232">
            <v>4177</v>
          </cell>
          <cell r="Y232">
            <v>0</v>
          </cell>
          <cell r="Z232">
            <v>0</v>
          </cell>
          <cell r="AA232">
            <v>336</v>
          </cell>
          <cell r="AB232">
            <v>-70</v>
          </cell>
          <cell r="AC232">
            <v>0</v>
          </cell>
          <cell r="AD232">
            <v>266</v>
          </cell>
          <cell r="AE232">
            <v>4443</v>
          </cell>
          <cell r="AF232">
            <v>417.9</v>
          </cell>
          <cell r="AH232">
            <v>0</v>
          </cell>
          <cell r="AI232">
            <v>9000</v>
          </cell>
          <cell r="AJ232">
            <v>9417.9</v>
          </cell>
          <cell r="AK232">
            <v>-4974.8999999999996</v>
          </cell>
          <cell r="AL232">
            <v>0</v>
          </cell>
          <cell r="AM232">
            <v>1000</v>
          </cell>
          <cell r="AN232">
            <v>3025.1</v>
          </cell>
          <cell r="AO232">
            <v>3030</v>
          </cell>
          <cell r="AP232">
            <v>4030</v>
          </cell>
          <cell r="AQ232">
            <v>1</v>
          </cell>
          <cell r="AR232">
            <v>4</v>
          </cell>
        </row>
        <row r="233">
          <cell r="D233" t="str">
            <v>A947</v>
          </cell>
          <cell r="E233" t="str">
            <v>Phạm Văn Hào</v>
          </cell>
          <cell r="F233" t="str">
            <v>CII.4</v>
          </cell>
          <cell r="G233" t="str">
            <v>Công nhân</v>
          </cell>
          <cell r="H233" t="str">
            <v>T6/17</v>
          </cell>
          <cell r="I233" t="str">
            <v>8.I</v>
          </cell>
          <cell r="J233">
            <v>3750</v>
          </cell>
          <cell r="K233">
            <v>13</v>
          </cell>
          <cell r="L233">
            <v>1</v>
          </cell>
          <cell r="M233">
            <v>1</v>
          </cell>
          <cell r="N233">
            <v>0</v>
          </cell>
          <cell r="O233">
            <v>0</v>
          </cell>
          <cell r="P233">
            <v>0</v>
          </cell>
          <cell r="Q233">
            <v>1</v>
          </cell>
          <cell r="R233">
            <v>16</v>
          </cell>
          <cell r="S233">
            <v>64</v>
          </cell>
          <cell r="T233">
            <v>0</v>
          </cell>
          <cell r="U233">
            <v>0</v>
          </cell>
          <cell r="V233">
            <v>2222</v>
          </cell>
          <cell r="W233">
            <v>1667</v>
          </cell>
          <cell r="X233">
            <v>3889</v>
          </cell>
          <cell r="Y233">
            <v>0</v>
          </cell>
          <cell r="Z233">
            <v>0</v>
          </cell>
          <cell r="AA233">
            <v>208</v>
          </cell>
          <cell r="AB233">
            <v>70</v>
          </cell>
          <cell r="AC233">
            <v>0</v>
          </cell>
          <cell r="AD233">
            <v>278</v>
          </cell>
          <cell r="AE233">
            <v>4167</v>
          </cell>
          <cell r="AF233">
            <v>417.9</v>
          </cell>
          <cell r="AH233">
            <v>0</v>
          </cell>
          <cell r="AI233">
            <v>9000</v>
          </cell>
          <cell r="AJ233">
            <v>9417.9</v>
          </cell>
          <cell r="AK233">
            <v>-5250.9</v>
          </cell>
          <cell r="AL233">
            <v>0</v>
          </cell>
          <cell r="AM233">
            <v>2000</v>
          </cell>
          <cell r="AN233">
            <v>1749.1</v>
          </cell>
          <cell r="AO233">
            <v>1750</v>
          </cell>
          <cell r="AP233">
            <v>3750</v>
          </cell>
          <cell r="AQ233">
            <v>1</v>
          </cell>
          <cell r="AR233">
            <v>1</v>
          </cell>
        </row>
        <row r="234">
          <cell r="D234" t="str">
            <v>A948</v>
          </cell>
          <cell r="E234" t="str">
            <v>Trần Văn Thấm</v>
          </cell>
          <cell r="F234" t="str">
            <v>CII.4</v>
          </cell>
          <cell r="G234" t="str">
            <v>Công nhân</v>
          </cell>
          <cell r="H234" t="str">
            <v>T6/17</v>
          </cell>
          <cell r="I234" t="str">
            <v>8.I</v>
          </cell>
          <cell r="J234">
            <v>3750</v>
          </cell>
          <cell r="K234">
            <v>10</v>
          </cell>
          <cell r="L234">
            <v>4</v>
          </cell>
          <cell r="M234">
            <v>1</v>
          </cell>
          <cell r="N234">
            <v>0</v>
          </cell>
          <cell r="O234">
            <v>0</v>
          </cell>
          <cell r="P234">
            <v>0</v>
          </cell>
          <cell r="Q234">
            <v>1</v>
          </cell>
          <cell r="R234">
            <v>16</v>
          </cell>
          <cell r="S234">
            <v>44</v>
          </cell>
          <cell r="T234">
            <v>0</v>
          </cell>
          <cell r="U234">
            <v>0</v>
          </cell>
          <cell r="V234">
            <v>2222</v>
          </cell>
          <cell r="W234">
            <v>1146</v>
          </cell>
          <cell r="X234">
            <v>3368</v>
          </cell>
          <cell r="Y234">
            <v>0</v>
          </cell>
          <cell r="Z234">
            <v>0</v>
          </cell>
          <cell r="AA234">
            <v>160</v>
          </cell>
          <cell r="AB234">
            <v>70</v>
          </cell>
          <cell r="AC234">
            <v>0</v>
          </cell>
          <cell r="AD234">
            <v>230</v>
          </cell>
          <cell r="AE234">
            <v>3598</v>
          </cell>
          <cell r="AF234">
            <v>417.9</v>
          </cell>
          <cell r="AH234">
            <v>0</v>
          </cell>
          <cell r="AI234">
            <v>9000</v>
          </cell>
          <cell r="AJ234">
            <v>9417.9</v>
          </cell>
          <cell r="AK234">
            <v>-5819.9</v>
          </cell>
          <cell r="AL234">
            <v>0</v>
          </cell>
          <cell r="AM234">
            <v>2000</v>
          </cell>
          <cell r="AN234">
            <v>1180.0999999999999</v>
          </cell>
          <cell r="AO234">
            <v>1180</v>
          </cell>
          <cell r="AP234">
            <v>3180</v>
          </cell>
          <cell r="AQ234">
            <v>1</v>
          </cell>
          <cell r="AR234">
            <v>1</v>
          </cell>
        </row>
        <row r="235">
          <cell r="D235" t="str">
            <v>A950</v>
          </cell>
          <cell r="E235" t="str">
            <v>Nguyễn Minh Hiền</v>
          </cell>
          <cell r="F235" t="str">
            <v>CI.1</v>
          </cell>
          <cell r="G235" t="str">
            <v>Công nhân</v>
          </cell>
          <cell r="H235" t="str">
            <v>T6/17</v>
          </cell>
          <cell r="I235" t="str">
            <v>8.I</v>
          </cell>
          <cell r="J235">
            <v>3750</v>
          </cell>
          <cell r="K235">
            <v>8</v>
          </cell>
          <cell r="L235">
            <v>1</v>
          </cell>
          <cell r="M235">
            <v>1</v>
          </cell>
          <cell r="N235">
            <v>0</v>
          </cell>
          <cell r="O235">
            <v>0</v>
          </cell>
          <cell r="P235">
            <v>6</v>
          </cell>
          <cell r="Q235">
            <v>0</v>
          </cell>
          <cell r="R235">
            <v>16</v>
          </cell>
          <cell r="S235">
            <v>56</v>
          </cell>
          <cell r="T235">
            <v>20</v>
          </cell>
          <cell r="U235">
            <v>0</v>
          </cell>
          <cell r="V235">
            <v>2472</v>
          </cell>
          <cell r="W235">
            <v>2153</v>
          </cell>
          <cell r="X235">
            <v>4625</v>
          </cell>
          <cell r="Y235">
            <v>0</v>
          </cell>
          <cell r="Z235">
            <v>48</v>
          </cell>
          <cell r="AA235">
            <v>320</v>
          </cell>
          <cell r="AB235">
            <v>-70</v>
          </cell>
          <cell r="AC235">
            <v>0</v>
          </cell>
          <cell r="AD235">
            <v>298</v>
          </cell>
          <cell r="AE235">
            <v>4923</v>
          </cell>
          <cell r="AF235">
            <v>417.9</v>
          </cell>
          <cell r="AH235">
            <v>0</v>
          </cell>
          <cell r="AI235">
            <v>9000</v>
          </cell>
          <cell r="AJ235">
            <v>9417.9</v>
          </cell>
          <cell r="AK235">
            <v>-4494.8999999999996</v>
          </cell>
          <cell r="AL235">
            <v>0</v>
          </cell>
          <cell r="AM235">
            <v>2000</v>
          </cell>
          <cell r="AN235">
            <v>2505.1000000000004</v>
          </cell>
          <cell r="AO235">
            <v>2510</v>
          </cell>
          <cell r="AP235">
            <v>4510</v>
          </cell>
          <cell r="AQ235">
            <v>1</v>
          </cell>
          <cell r="AR235">
            <v>1</v>
          </cell>
        </row>
        <row r="236">
          <cell r="D236" t="str">
            <v>A951</v>
          </cell>
          <cell r="E236" t="str">
            <v>Nguyễn Văn Tuấn</v>
          </cell>
          <cell r="F236" t="str">
            <v>CI.1</v>
          </cell>
          <cell r="G236" t="str">
            <v>Công nhân</v>
          </cell>
          <cell r="H236" t="str">
            <v>T6/17</v>
          </cell>
          <cell r="I236" t="str">
            <v>8.I</v>
          </cell>
          <cell r="J236">
            <v>3750</v>
          </cell>
          <cell r="K236">
            <v>4.5</v>
          </cell>
          <cell r="L236">
            <v>1</v>
          </cell>
          <cell r="M236">
            <v>1</v>
          </cell>
          <cell r="N236">
            <v>0</v>
          </cell>
          <cell r="O236">
            <v>0</v>
          </cell>
          <cell r="P236">
            <v>9</v>
          </cell>
          <cell r="Q236">
            <v>0.5</v>
          </cell>
          <cell r="R236">
            <v>16</v>
          </cell>
          <cell r="S236">
            <v>55</v>
          </cell>
          <cell r="T236">
            <v>20</v>
          </cell>
          <cell r="U236">
            <v>0</v>
          </cell>
          <cell r="V236">
            <v>2597</v>
          </cell>
          <cell r="W236">
            <v>2127</v>
          </cell>
          <cell r="X236">
            <v>4724</v>
          </cell>
          <cell r="Y236">
            <v>0</v>
          </cell>
          <cell r="Z236">
            <v>32</v>
          </cell>
          <cell r="AA236">
            <v>360</v>
          </cell>
          <cell r="AB236">
            <v>-70</v>
          </cell>
          <cell r="AC236">
            <v>0</v>
          </cell>
          <cell r="AD236">
            <v>322</v>
          </cell>
          <cell r="AE236">
            <v>5046</v>
          </cell>
          <cell r="AF236">
            <v>417.9</v>
          </cell>
          <cell r="AH236">
            <v>0</v>
          </cell>
          <cell r="AI236">
            <v>9000</v>
          </cell>
          <cell r="AJ236">
            <v>9417.9</v>
          </cell>
          <cell r="AK236">
            <v>-4371.8999999999996</v>
          </cell>
          <cell r="AL236">
            <v>0</v>
          </cell>
          <cell r="AM236">
            <v>2000</v>
          </cell>
          <cell r="AN236">
            <v>2628.1000000000004</v>
          </cell>
          <cell r="AO236">
            <v>2630</v>
          </cell>
          <cell r="AP236">
            <v>4630</v>
          </cell>
          <cell r="AQ236">
            <v>1</v>
          </cell>
          <cell r="AR236">
            <v>1.5</v>
          </cell>
        </row>
        <row r="237">
          <cell r="D237" t="str">
            <v>A955</v>
          </cell>
          <cell r="E237" t="str">
            <v>Đỗ Vũ Anh Thuỳ</v>
          </cell>
          <cell r="F237" t="str">
            <v>Gián tiếp</v>
          </cell>
          <cell r="G237" t="str">
            <v>Phó Giám đốc</v>
          </cell>
          <cell r="H237" t="str">
            <v>T7/17</v>
          </cell>
          <cell r="I237" t="str">
            <v>1.I</v>
          </cell>
          <cell r="J237">
            <v>15050</v>
          </cell>
          <cell r="K237">
            <v>0</v>
          </cell>
          <cell r="L237">
            <v>15</v>
          </cell>
          <cell r="M237">
            <v>1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16</v>
          </cell>
          <cell r="S237">
            <v>0</v>
          </cell>
          <cell r="T237">
            <v>0</v>
          </cell>
          <cell r="U237">
            <v>0</v>
          </cell>
          <cell r="V237">
            <v>8919</v>
          </cell>
          <cell r="W237">
            <v>0</v>
          </cell>
          <cell r="X237">
            <v>8919</v>
          </cell>
          <cell r="Y237">
            <v>8266.6666666666661</v>
          </cell>
          <cell r="Z237">
            <v>0</v>
          </cell>
          <cell r="AA237">
            <v>0</v>
          </cell>
          <cell r="AB237">
            <v>0</v>
          </cell>
          <cell r="AC237">
            <v>-948.15</v>
          </cell>
          <cell r="AD237">
            <v>7318.5166666666664</v>
          </cell>
          <cell r="AE237">
            <v>16238</v>
          </cell>
          <cell r="AF237">
            <v>1580.25</v>
          </cell>
          <cell r="AH237">
            <v>4</v>
          </cell>
          <cell r="AI237">
            <v>23400</v>
          </cell>
          <cell r="AJ237">
            <v>24980.25</v>
          </cell>
          <cell r="AK237">
            <v>-8742.25</v>
          </cell>
          <cell r="AL237">
            <v>0</v>
          </cell>
          <cell r="AM237">
            <v>0</v>
          </cell>
          <cell r="AN237">
            <v>14657.75</v>
          </cell>
          <cell r="AO237">
            <v>14660</v>
          </cell>
          <cell r="AP237">
            <v>14660</v>
          </cell>
          <cell r="AQ237">
            <v>1</v>
          </cell>
          <cell r="AR237">
            <v>5</v>
          </cell>
        </row>
        <row r="238">
          <cell r="D238" t="str">
            <v>A956</v>
          </cell>
          <cell r="E238" t="str">
            <v>Phan Ngọc Thanh Trí</v>
          </cell>
          <cell r="F238" t="str">
            <v>Gián tiếp</v>
          </cell>
          <cell r="G238" t="str">
            <v>NV Kinh doanh</v>
          </cell>
          <cell r="H238" t="str">
            <v>T7/17</v>
          </cell>
          <cell r="I238" t="str">
            <v>4.I</v>
          </cell>
          <cell r="J238">
            <v>4511</v>
          </cell>
          <cell r="K238">
            <v>0</v>
          </cell>
          <cell r="L238">
            <v>25</v>
          </cell>
          <cell r="M238">
            <v>1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26</v>
          </cell>
          <cell r="S238">
            <v>0</v>
          </cell>
          <cell r="T238">
            <v>0</v>
          </cell>
          <cell r="U238">
            <v>0</v>
          </cell>
          <cell r="V238">
            <v>4344</v>
          </cell>
          <cell r="W238">
            <v>0</v>
          </cell>
          <cell r="X238">
            <v>4344</v>
          </cell>
          <cell r="Y238">
            <v>5285.7037037037035</v>
          </cell>
          <cell r="Z238">
            <v>64</v>
          </cell>
          <cell r="AA238">
            <v>0</v>
          </cell>
          <cell r="AB238">
            <v>-450</v>
          </cell>
          <cell r="AC238">
            <v>-568.38599999999997</v>
          </cell>
          <cell r="AD238">
            <v>4331.317703703704</v>
          </cell>
          <cell r="AE238">
            <v>8675</v>
          </cell>
          <cell r="AF238">
            <v>473.65499999999997</v>
          </cell>
          <cell r="AH238">
            <v>0</v>
          </cell>
          <cell r="AI238">
            <v>9000</v>
          </cell>
          <cell r="AJ238">
            <v>9473.6550000000007</v>
          </cell>
          <cell r="AK238">
            <v>-798.65500000000065</v>
          </cell>
          <cell r="AL238">
            <v>0</v>
          </cell>
          <cell r="AM238">
            <v>0</v>
          </cell>
          <cell r="AN238">
            <v>8201.3449999999993</v>
          </cell>
          <cell r="AO238">
            <v>8200</v>
          </cell>
          <cell r="AP238">
            <v>8200</v>
          </cell>
          <cell r="AQ238">
            <v>1</v>
          </cell>
          <cell r="AR238">
            <v>1.5</v>
          </cell>
        </row>
        <row r="239">
          <cell r="D239" t="str">
            <v>A957</v>
          </cell>
          <cell r="E239" t="str">
            <v>Trần Út Nhỏ</v>
          </cell>
          <cell r="F239" t="str">
            <v>SON</v>
          </cell>
          <cell r="G239" t="str">
            <v>Công nhân</v>
          </cell>
          <cell r="H239" t="str">
            <v>T7/17</v>
          </cell>
          <cell r="I239" t="str">
            <v>8.I</v>
          </cell>
          <cell r="J239">
            <v>4200</v>
          </cell>
          <cell r="K239">
            <v>14</v>
          </cell>
          <cell r="L239">
            <v>1</v>
          </cell>
          <cell r="M239">
            <v>1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16</v>
          </cell>
          <cell r="S239">
            <v>56.5</v>
          </cell>
          <cell r="T239">
            <v>10</v>
          </cell>
          <cell r="U239">
            <v>0</v>
          </cell>
          <cell r="V239">
            <v>2489</v>
          </cell>
          <cell r="W239">
            <v>2037</v>
          </cell>
          <cell r="X239">
            <v>4526</v>
          </cell>
          <cell r="Y239">
            <v>165.92592592592592</v>
          </cell>
          <cell r="Z239">
            <v>0</v>
          </cell>
          <cell r="AA239">
            <v>224</v>
          </cell>
          <cell r="AB239">
            <v>-70</v>
          </cell>
          <cell r="AC239">
            <v>0</v>
          </cell>
          <cell r="AD239">
            <v>319.92592592592592</v>
          </cell>
          <cell r="AE239">
            <v>4846</v>
          </cell>
          <cell r="AF239">
            <v>441</v>
          </cell>
          <cell r="AH239">
            <v>0</v>
          </cell>
          <cell r="AI239">
            <v>9000</v>
          </cell>
          <cell r="AJ239">
            <v>9441</v>
          </cell>
          <cell r="AK239">
            <v>-4595</v>
          </cell>
          <cell r="AL239">
            <v>0</v>
          </cell>
          <cell r="AM239">
            <v>2000</v>
          </cell>
          <cell r="AN239">
            <v>2405</v>
          </cell>
          <cell r="AO239">
            <v>2410</v>
          </cell>
          <cell r="AP239">
            <v>4410</v>
          </cell>
          <cell r="AQ239">
            <v>1</v>
          </cell>
          <cell r="AR239">
            <v>5</v>
          </cell>
        </row>
        <row r="240">
          <cell r="D240" t="str">
            <v>A960</v>
          </cell>
          <cell r="E240" t="str">
            <v>Dương Thị Diệu Hiền</v>
          </cell>
          <cell r="F240" t="str">
            <v>EN</v>
          </cell>
          <cell r="G240" t="str">
            <v>Công nhân</v>
          </cell>
          <cell r="H240" t="str">
            <v>T7/17</v>
          </cell>
          <cell r="I240" t="str">
            <v>8.I</v>
          </cell>
          <cell r="J240">
            <v>3750</v>
          </cell>
          <cell r="K240">
            <v>5</v>
          </cell>
          <cell r="L240">
            <v>0</v>
          </cell>
          <cell r="M240">
            <v>1</v>
          </cell>
          <cell r="N240">
            <v>0</v>
          </cell>
          <cell r="O240">
            <v>0</v>
          </cell>
          <cell r="P240">
            <v>9</v>
          </cell>
          <cell r="Q240">
            <v>1</v>
          </cell>
          <cell r="R240">
            <v>16</v>
          </cell>
          <cell r="S240">
            <v>54</v>
          </cell>
          <cell r="T240">
            <v>16</v>
          </cell>
          <cell r="U240">
            <v>0</v>
          </cell>
          <cell r="V240">
            <v>2597</v>
          </cell>
          <cell r="W240">
            <v>1962</v>
          </cell>
          <cell r="X240">
            <v>4559</v>
          </cell>
          <cell r="Y240">
            <v>0</v>
          </cell>
          <cell r="Z240">
            <v>0</v>
          </cell>
          <cell r="AA240">
            <v>368</v>
          </cell>
          <cell r="AB240">
            <v>-70</v>
          </cell>
          <cell r="AC240">
            <v>0</v>
          </cell>
          <cell r="AD240">
            <v>298</v>
          </cell>
          <cell r="AE240">
            <v>4857</v>
          </cell>
          <cell r="AF240">
            <v>417.9</v>
          </cell>
          <cell r="AH240">
            <v>0</v>
          </cell>
          <cell r="AI240">
            <v>9000</v>
          </cell>
          <cell r="AJ240">
            <v>9417.9</v>
          </cell>
          <cell r="AK240">
            <v>-4560.8999999999996</v>
          </cell>
          <cell r="AL240">
            <v>0</v>
          </cell>
          <cell r="AM240">
            <v>2000</v>
          </cell>
          <cell r="AN240">
            <v>2439.1000000000004</v>
          </cell>
          <cell r="AO240">
            <v>2440</v>
          </cell>
          <cell r="AP240">
            <v>4440</v>
          </cell>
          <cell r="AQ240">
            <v>1</v>
          </cell>
          <cell r="AR240">
            <v>4</v>
          </cell>
        </row>
        <row r="241">
          <cell r="D241" t="str">
            <v>A963</v>
          </cell>
          <cell r="E241" t="str">
            <v>Hoàng Thị Bé</v>
          </cell>
          <cell r="F241" t="str">
            <v>QCX</v>
          </cell>
          <cell r="G241" t="str">
            <v>Công nhân</v>
          </cell>
          <cell r="H241" t="str">
            <v>T7/17</v>
          </cell>
          <cell r="I241" t="str">
            <v>8.I</v>
          </cell>
          <cell r="J241">
            <v>3750</v>
          </cell>
          <cell r="K241">
            <v>6</v>
          </cell>
          <cell r="L241">
            <v>1</v>
          </cell>
          <cell r="M241">
            <v>1</v>
          </cell>
          <cell r="N241">
            <v>0</v>
          </cell>
          <cell r="O241">
            <v>0</v>
          </cell>
          <cell r="P241">
            <v>6</v>
          </cell>
          <cell r="Q241">
            <v>2</v>
          </cell>
          <cell r="R241">
            <v>16</v>
          </cell>
          <cell r="S241">
            <v>56</v>
          </cell>
          <cell r="T241">
            <v>12</v>
          </cell>
          <cell r="U241">
            <v>0</v>
          </cell>
          <cell r="V241">
            <v>2472</v>
          </cell>
          <cell r="W241">
            <v>1875</v>
          </cell>
          <cell r="X241">
            <v>4347</v>
          </cell>
          <cell r="Y241">
            <v>148.14814814814815</v>
          </cell>
          <cell r="Z241">
            <v>0</v>
          </cell>
          <cell r="AA241">
            <v>288</v>
          </cell>
          <cell r="AB241">
            <v>-70</v>
          </cell>
          <cell r="AC241">
            <v>0</v>
          </cell>
          <cell r="AD241">
            <v>366.14814814814815</v>
          </cell>
          <cell r="AE241">
            <v>4713</v>
          </cell>
          <cell r="AF241">
            <v>417.9</v>
          </cell>
          <cell r="AH241">
            <v>0</v>
          </cell>
          <cell r="AI241">
            <v>9000</v>
          </cell>
          <cell r="AJ241">
            <v>9417.9</v>
          </cell>
          <cell r="AK241">
            <v>-4704.8999999999996</v>
          </cell>
          <cell r="AL241">
            <v>0</v>
          </cell>
          <cell r="AM241">
            <v>2000</v>
          </cell>
          <cell r="AN241">
            <v>2295.1000000000004</v>
          </cell>
          <cell r="AO241">
            <v>2300</v>
          </cell>
          <cell r="AP241">
            <v>4300</v>
          </cell>
          <cell r="AQ241">
            <v>1</v>
          </cell>
          <cell r="AR241">
            <v>2</v>
          </cell>
        </row>
        <row r="242">
          <cell r="D242" t="str">
            <v>A964</v>
          </cell>
          <cell r="E242" t="str">
            <v>Lê Văn Thành</v>
          </cell>
          <cell r="F242" t="str">
            <v>CII.4</v>
          </cell>
          <cell r="G242" t="str">
            <v>Công nhân</v>
          </cell>
          <cell r="H242" t="str">
            <v>T7/17</v>
          </cell>
          <cell r="I242" t="str">
            <v>8.I</v>
          </cell>
          <cell r="J242">
            <v>3750</v>
          </cell>
          <cell r="K242">
            <v>11</v>
          </cell>
          <cell r="L242">
            <v>3</v>
          </cell>
          <cell r="M242">
            <v>1</v>
          </cell>
          <cell r="N242">
            <v>0</v>
          </cell>
          <cell r="O242">
            <v>0</v>
          </cell>
          <cell r="P242">
            <v>0</v>
          </cell>
          <cell r="Q242">
            <v>1</v>
          </cell>
          <cell r="R242">
            <v>16</v>
          </cell>
          <cell r="S242">
            <v>48</v>
          </cell>
          <cell r="T242">
            <v>12</v>
          </cell>
          <cell r="U242">
            <v>0</v>
          </cell>
          <cell r="V242">
            <v>2222</v>
          </cell>
          <cell r="W242">
            <v>1667</v>
          </cell>
          <cell r="X242">
            <v>3889</v>
          </cell>
          <cell r="Y242">
            <v>0</v>
          </cell>
          <cell r="Z242">
            <v>0</v>
          </cell>
          <cell r="AA242">
            <v>176</v>
          </cell>
          <cell r="AB242">
            <v>70</v>
          </cell>
          <cell r="AC242">
            <v>0</v>
          </cell>
          <cell r="AD242">
            <v>246</v>
          </cell>
          <cell r="AE242">
            <v>4135</v>
          </cell>
          <cell r="AF242">
            <v>417.9</v>
          </cell>
          <cell r="AH242">
            <v>0</v>
          </cell>
          <cell r="AI242">
            <v>9000</v>
          </cell>
          <cell r="AJ242">
            <v>9417.9</v>
          </cell>
          <cell r="AK242">
            <v>-5282.9</v>
          </cell>
          <cell r="AL242">
            <v>0</v>
          </cell>
          <cell r="AM242">
            <v>2000</v>
          </cell>
          <cell r="AN242">
            <v>1717.1</v>
          </cell>
          <cell r="AO242">
            <v>1720</v>
          </cell>
          <cell r="AP242">
            <v>3720</v>
          </cell>
          <cell r="AQ242">
            <v>1</v>
          </cell>
          <cell r="AR242">
            <v>0.5</v>
          </cell>
        </row>
        <row r="243">
          <cell r="D243" t="str">
            <v>A965</v>
          </cell>
          <cell r="E243" t="str">
            <v>Nguyễn Thị Hiền</v>
          </cell>
          <cell r="F243" t="str">
            <v>Gián tiếp</v>
          </cell>
          <cell r="G243" t="str">
            <v>Nv Iso</v>
          </cell>
          <cell r="H243" t="str">
            <v>T7/17</v>
          </cell>
          <cell r="I243" t="str">
            <v>4.I</v>
          </cell>
          <cell r="J243">
            <v>4511</v>
          </cell>
          <cell r="K243">
            <v>2</v>
          </cell>
          <cell r="L243">
            <v>13</v>
          </cell>
          <cell r="M243">
            <v>1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16</v>
          </cell>
          <cell r="S243">
            <v>7.5</v>
          </cell>
          <cell r="T243">
            <v>0</v>
          </cell>
          <cell r="U243">
            <v>0</v>
          </cell>
          <cell r="V243">
            <v>2673</v>
          </cell>
          <cell r="W243">
            <v>235</v>
          </cell>
          <cell r="X243">
            <v>2908</v>
          </cell>
          <cell r="Y243">
            <v>1474.962962962963</v>
          </cell>
          <cell r="Z243">
            <v>32</v>
          </cell>
          <cell r="AA243">
            <v>32</v>
          </cell>
          <cell r="AB243">
            <v>-300</v>
          </cell>
          <cell r="AC243">
            <v>0</v>
          </cell>
          <cell r="AD243">
            <v>1238.962962962963</v>
          </cell>
          <cell r="AE243">
            <v>4147</v>
          </cell>
          <cell r="AF243">
            <v>473.65499999999997</v>
          </cell>
          <cell r="AH243">
            <v>0</v>
          </cell>
          <cell r="AI243">
            <v>9000</v>
          </cell>
          <cell r="AJ243">
            <v>9473.6550000000007</v>
          </cell>
          <cell r="AK243">
            <v>-5326.6550000000007</v>
          </cell>
          <cell r="AL243">
            <v>0</v>
          </cell>
          <cell r="AM243">
            <v>0</v>
          </cell>
          <cell r="AN243">
            <v>3673.3450000000003</v>
          </cell>
          <cell r="AO243">
            <v>3680</v>
          </cell>
          <cell r="AP243">
            <v>3680</v>
          </cell>
          <cell r="AQ243">
            <v>1</v>
          </cell>
          <cell r="AR243">
            <v>2</v>
          </cell>
        </row>
        <row r="244">
          <cell r="D244" t="str">
            <v>A967</v>
          </cell>
          <cell r="E244" t="str">
            <v>Nguyễn Thị Kiều Trang</v>
          </cell>
          <cell r="F244" t="str">
            <v>CI.1</v>
          </cell>
          <cell r="G244" t="str">
            <v>Công nhân</v>
          </cell>
          <cell r="H244" t="str">
            <v>T7/17</v>
          </cell>
          <cell r="I244" t="str">
            <v>8.I</v>
          </cell>
          <cell r="J244">
            <v>3750</v>
          </cell>
          <cell r="K244">
            <v>6</v>
          </cell>
          <cell r="L244">
            <v>0</v>
          </cell>
          <cell r="M244">
            <v>1</v>
          </cell>
          <cell r="N244">
            <v>0</v>
          </cell>
          <cell r="O244">
            <v>0</v>
          </cell>
          <cell r="P244">
            <v>9</v>
          </cell>
          <cell r="Q244">
            <v>0</v>
          </cell>
          <cell r="R244">
            <v>16</v>
          </cell>
          <cell r="S244">
            <v>60</v>
          </cell>
          <cell r="T244">
            <v>20</v>
          </cell>
          <cell r="U244">
            <v>0</v>
          </cell>
          <cell r="V244">
            <v>2597</v>
          </cell>
          <cell r="W244">
            <v>2257</v>
          </cell>
          <cell r="X244">
            <v>4854</v>
          </cell>
          <cell r="Y244">
            <v>0</v>
          </cell>
          <cell r="Z244">
            <v>16</v>
          </cell>
          <cell r="AA244">
            <v>384</v>
          </cell>
          <cell r="AB244">
            <v>-70</v>
          </cell>
          <cell r="AC244">
            <v>0</v>
          </cell>
          <cell r="AD244">
            <v>330</v>
          </cell>
          <cell r="AE244">
            <v>5184</v>
          </cell>
          <cell r="AF244">
            <v>417.9</v>
          </cell>
          <cell r="AH244">
            <v>0</v>
          </cell>
          <cell r="AI244">
            <v>9000</v>
          </cell>
          <cell r="AJ244">
            <v>9417.9</v>
          </cell>
          <cell r="AK244">
            <v>-4233.8999999999996</v>
          </cell>
          <cell r="AL244">
            <v>0</v>
          </cell>
          <cell r="AM244">
            <v>2000</v>
          </cell>
          <cell r="AN244">
            <v>2766.1000000000004</v>
          </cell>
          <cell r="AO244">
            <v>2770</v>
          </cell>
          <cell r="AP244">
            <v>4770</v>
          </cell>
          <cell r="AQ244">
            <v>1</v>
          </cell>
          <cell r="AR244">
            <v>3</v>
          </cell>
        </row>
        <row r="245">
          <cell r="D245" t="str">
            <v>A968</v>
          </cell>
          <cell r="E245" t="str">
            <v>Lê Thị Trúc Cẩm</v>
          </cell>
          <cell r="F245" t="str">
            <v>CI.1</v>
          </cell>
          <cell r="G245" t="str">
            <v>Công nhân</v>
          </cell>
          <cell r="H245" t="str">
            <v>T7/17</v>
          </cell>
          <cell r="I245" t="str">
            <v>8.I</v>
          </cell>
          <cell r="J245">
            <v>3750</v>
          </cell>
          <cell r="K245">
            <v>5</v>
          </cell>
          <cell r="L245">
            <v>0</v>
          </cell>
          <cell r="M245">
            <v>1</v>
          </cell>
          <cell r="N245">
            <v>0</v>
          </cell>
          <cell r="O245">
            <v>0</v>
          </cell>
          <cell r="P245">
            <v>8</v>
          </cell>
          <cell r="Q245">
            <v>1</v>
          </cell>
          <cell r="R245">
            <v>15</v>
          </cell>
          <cell r="S245">
            <v>63</v>
          </cell>
          <cell r="T245">
            <v>12</v>
          </cell>
          <cell r="U245">
            <v>0</v>
          </cell>
          <cell r="V245">
            <v>2417</v>
          </cell>
          <cell r="W245">
            <v>2057</v>
          </cell>
          <cell r="X245">
            <v>4474</v>
          </cell>
          <cell r="Y245">
            <v>0</v>
          </cell>
          <cell r="Z245">
            <v>16</v>
          </cell>
          <cell r="AA245">
            <v>336</v>
          </cell>
          <cell r="AB245">
            <v>-70</v>
          </cell>
          <cell r="AC245">
            <v>0</v>
          </cell>
          <cell r="AD245">
            <v>282</v>
          </cell>
          <cell r="AE245">
            <v>4756</v>
          </cell>
          <cell r="AF245">
            <v>417.9</v>
          </cell>
          <cell r="AH245">
            <v>0</v>
          </cell>
          <cell r="AI245">
            <v>9000</v>
          </cell>
          <cell r="AJ245">
            <v>9417.9</v>
          </cell>
          <cell r="AK245">
            <v>-4661.8999999999996</v>
          </cell>
          <cell r="AL245">
            <v>0</v>
          </cell>
          <cell r="AM245">
            <v>2000</v>
          </cell>
          <cell r="AN245">
            <v>2338.1000000000004</v>
          </cell>
          <cell r="AO245">
            <v>2340</v>
          </cell>
          <cell r="AP245">
            <v>4340</v>
          </cell>
          <cell r="AQ245">
            <v>1</v>
          </cell>
          <cell r="AR245">
            <v>0.5</v>
          </cell>
        </row>
        <row r="246">
          <cell r="D246" t="str">
            <v>A970</v>
          </cell>
          <cell r="E246" t="str">
            <v>Thạch Út Mười</v>
          </cell>
          <cell r="F246" t="str">
            <v>Kho</v>
          </cell>
          <cell r="G246" t="str">
            <v>Công nhân</v>
          </cell>
          <cell r="H246" t="str">
            <v>T7/17</v>
          </cell>
          <cell r="I246" t="str">
            <v>8.I</v>
          </cell>
          <cell r="J246">
            <v>3750</v>
          </cell>
          <cell r="K246">
            <v>12</v>
          </cell>
          <cell r="L246">
            <v>3</v>
          </cell>
          <cell r="M246">
            <v>1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16</v>
          </cell>
          <cell r="S246">
            <v>65.5</v>
          </cell>
          <cell r="T246">
            <v>10</v>
          </cell>
          <cell r="U246">
            <v>0</v>
          </cell>
          <cell r="V246">
            <v>2222</v>
          </cell>
          <cell r="W246">
            <v>2053</v>
          </cell>
          <cell r="X246">
            <v>4275</v>
          </cell>
          <cell r="Y246">
            <v>444.44444444444446</v>
          </cell>
          <cell r="Z246">
            <v>16</v>
          </cell>
          <cell r="AA246">
            <v>192</v>
          </cell>
          <cell r="AB246">
            <v>-70</v>
          </cell>
          <cell r="AC246">
            <v>0</v>
          </cell>
          <cell r="AD246">
            <v>582.44444444444446</v>
          </cell>
          <cell r="AE246">
            <v>4857</v>
          </cell>
          <cell r="AF246">
            <v>417.9</v>
          </cell>
          <cell r="AH246">
            <v>0</v>
          </cell>
          <cell r="AI246">
            <v>9000</v>
          </cell>
          <cell r="AJ246">
            <v>9417.9</v>
          </cell>
          <cell r="AK246">
            <v>-4560.8999999999996</v>
          </cell>
          <cell r="AL246">
            <v>0</v>
          </cell>
          <cell r="AM246">
            <v>1000</v>
          </cell>
          <cell r="AN246">
            <v>3439.1000000000004</v>
          </cell>
          <cell r="AO246">
            <v>3440</v>
          </cell>
          <cell r="AP246">
            <v>4440</v>
          </cell>
          <cell r="AQ246">
            <v>1</v>
          </cell>
          <cell r="AR246">
            <v>5</v>
          </cell>
        </row>
        <row r="247">
          <cell r="D247" t="str">
            <v>A971</v>
          </cell>
          <cell r="E247" t="str">
            <v>Phan Khánh Phi</v>
          </cell>
          <cell r="F247" t="str">
            <v>CII.4</v>
          </cell>
          <cell r="G247" t="str">
            <v>Công nhân</v>
          </cell>
          <cell r="H247" t="str">
            <v>T7/17</v>
          </cell>
          <cell r="I247" t="str">
            <v>8.I</v>
          </cell>
          <cell r="J247">
            <v>3750</v>
          </cell>
          <cell r="K247">
            <v>15</v>
          </cell>
          <cell r="L247">
            <v>0</v>
          </cell>
          <cell r="M247">
            <v>1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16</v>
          </cell>
          <cell r="S247">
            <v>60</v>
          </cell>
          <cell r="T247">
            <v>24</v>
          </cell>
          <cell r="U247">
            <v>0</v>
          </cell>
          <cell r="V247">
            <v>2222</v>
          </cell>
          <cell r="W247">
            <v>2396</v>
          </cell>
          <cell r="X247">
            <v>4618</v>
          </cell>
          <cell r="Y247">
            <v>0</v>
          </cell>
          <cell r="Z247">
            <v>0</v>
          </cell>
          <cell r="AA247">
            <v>240</v>
          </cell>
          <cell r="AB247">
            <v>70</v>
          </cell>
          <cell r="AC247">
            <v>0</v>
          </cell>
          <cell r="AD247">
            <v>310</v>
          </cell>
          <cell r="AE247">
            <v>4928</v>
          </cell>
          <cell r="AF247">
            <v>417.9</v>
          </cell>
          <cell r="AH247">
            <v>0</v>
          </cell>
          <cell r="AI247">
            <v>9000</v>
          </cell>
          <cell r="AJ247">
            <v>9417.9</v>
          </cell>
          <cell r="AK247">
            <v>-4489.8999999999996</v>
          </cell>
          <cell r="AL247">
            <v>0</v>
          </cell>
          <cell r="AM247">
            <v>2000</v>
          </cell>
          <cell r="AN247">
            <v>2510.1000000000004</v>
          </cell>
          <cell r="AO247">
            <v>2510</v>
          </cell>
          <cell r="AP247">
            <v>4510</v>
          </cell>
          <cell r="AQ247">
            <v>1</v>
          </cell>
          <cell r="AR247">
            <v>3</v>
          </cell>
        </row>
        <row r="248">
          <cell r="D248" t="str">
            <v>A972</v>
          </cell>
          <cell r="E248" t="str">
            <v>Nguyễn Thị Bích Tuyền</v>
          </cell>
          <cell r="F248" t="str">
            <v>CII.4</v>
          </cell>
          <cell r="G248" t="str">
            <v>Công nhân</v>
          </cell>
          <cell r="H248" t="str">
            <v>T7/17</v>
          </cell>
          <cell r="I248" t="str">
            <v>8.I</v>
          </cell>
          <cell r="J248">
            <v>3750</v>
          </cell>
          <cell r="K248">
            <v>14</v>
          </cell>
          <cell r="L248">
            <v>0.5</v>
          </cell>
          <cell r="M248">
            <v>1</v>
          </cell>
          <cell r="N248">
            <v>0</v>
          </cell>
          <cell r="O248">
            <v>0</v>
          </cell>
          <cell r="P248">
            <v>0</v>
          </cell>
          <cell r="Q248">
            <v>0.5</v>
          </cell>
          <cell r="R248">
            <v>16</v>
          </cell>
          <cell r="S248">
            <v>56</v>
          </cell>
          <cell r="T248">
            <v>24</v>
          </cell>
          <cell r="U248">
            <v>0</v>
          </cell>
          <cell r="V248">
            <v>2222</v>
          </cell>
          <cell r="W248">
            <v>2292</v>
          </cell>
          <cell r="X248">
            <v>4514</v>
          </cell>
          <cell r="Y248">
            <v>0</v>
          </cell>
          <cell r="Z248">
            <v>0</v>
          </cell>
          <cell r="AA248">
            <v>224</v>
          </cell>
          <cell r="AB248">
            <v>0</v>
          </cell>
          <cell r="AC248">
            <v>0</v>
          </cell>
          <cell r="AD248">
            <v>224</v>
          </cell>
          <cell r="AE248">
            <v>4738</v>
          </cell>
          <cell r="AF248">
            <v>417.9</v>
          </cell>
          <cell r="AH248">
            <v>0</v>
          </cell>
          <cell r="AI248">
            <v>9000</v>
          </cell>
          <cell r="AJ248">
            <v>9417.9</v>
          </cell>
          <cell r="AK248">
            <v>-4679.8999999999996</v>
          </cell>
          <cell r="AL248">
            <v>0</v>
          </cell>
          <cell r="AM248">
            <v>2000</v>
          </cell>
          <cell r="AN248">
            <v>2320.1000000000004</v>
          </cell>
          <cell r="AO248">
            <v>2320</v>
          </cell>
          <cell r="AP248">
            <v>4320</v>
          </cell>
          <cell r="AQ248">
            <v>1</v>
          </cell>
          <cell r="AR248">
            <v>1.5</v>
          </cell>
        </row>
        <row r="249">
          <cell r="D249" t="str">
            <v>A975</v>
          </cell>
          <cell r="E249" t="str">
            <v>Trương Hoàng Thuận</v>
          </cell>
          <cell r="F249" t="str">
            <v>CI.1</v>
          </cell>
          <cell r="G249" t="str">
            <v>Công nhân</v>
          </cell>
          <cell r="H249" t="str">
            <v>T7/17</v>
          </cell>
          <cell r="I249" t="str">
            <v>8.I</v>
          </cell>
          <cell r="J249">
            <v>4220</v>
          </cell>
          <cell r="K249">
            <v>9</v>
          </cell>
          <cell r="L249">
            <v>0</v>
          </cell>
          <cell r="M249">
            <v>1</v>
          </cell>
          <cell r="N249">
            <v>0</v>
          </cell>
          <cell r="O249">
            <v>0</v>
          </cell>
          <cell r="P249">
            <v>6</v>
          </cell>
          <cell r="Q249">
            <v>0</v>
          </cell>
          <cell r="R249">
            <v>16</v>
          </cell>
          <cell r="S249">
            <v>60</v>
          </cell>
          <cell r="T249">
            <v>20</v>
          </cell>
          <cell r="U249">
            <v>12</v>
          </cell>
          <cell r="V249">
            <v>2782</v>
          </cell>
          <cell r="W249">
            <v>3243</v>
          </cell>
          <cell r="X249">
            <v>6025</v>
          </cell>
          <cell r="Y249">
            <v>77.037037037037038</v>
          </cell>
          <cell r="Z249">
            <v>32</v>
          </cell>
          <cell r="AA249">
            <v>336</v>
          </cell>
          <cell r="AB249">
            <v>-70</v>
          </cell>
          <cell r="AC249">
            <v>0</v>
          </cell>
          <cell r="AD249">
            <v>375.03703703703707</v>
          </cell>
          <cell r="AE249">
            <v>6400</v>
          </cell>
          <cell r="AF249">
            <v>443.1</v>
          </cell>
          <cell r="AH249">
            <v>0</v>
          </cell>
          <cell r="AI249">
            <v>9000</v>
          </cell>
          <cell r="AJ249">
            <v>9443.1</v>
          </cell>
          <cell r="AK249">
            <v>-3043.1000000000004</v>
          </cell>
          <cell r="AL249">
            <v>0</v>
          </cell>
          <cell r="AM249">
            <v>2000</v>
          </cell>
          <cell r="AN249">
            <v>3956.8999999999996</v>
          </cell>
          <cell r="AO249">
            <v>3960</v>
          </cell>
          <cell r="AP249">
            <v>5960</v>
          </cell>
          <cell r="AQ249">
            <v>1</v>
          </cell>
          <cell r="AR249">
            <v>1</v>
          </cell>
        </row>
        <row r="250">
          <cell r="D250" t="str">
            <v>A976</v>
          </cell>
          <cell r="E250" t="str">
            <v>Tăng Văn Tưởng</v>
          </cell>
          <cell r="F250" t="str">
            <v>CI.1</v>
          </cell>
          <cell r="G250" t="str">
            <v>Công nhân</v>
          </cell>
          <cell r="H250" t="str">
            <v>T8/17</v>
          </cell>
          <cell r="I250" t="str">
            <v>8.I</v>
          </cell>
          <cell r="J250">
            <v>4220</v>
          </cell>
          <cell r="K250">
            <v>6</v>
          </cell>
          <cell r="L250">
            <v>0</v>
          </cell>
          <cell r="M250">
            <v>1</v>
          </cell>
          <cell r="N250">
            <v>0</v>
          </cell>
          <cell r="O250">
            <v>0</v>
          </cell>
          <cell r="P250">
            <v>8</v>
          </cell>
          <cell r="Q250">
            <v>1</v>
          </cell>
          <cell r="R250">
            <v>16</v>
          </cell>
          <cell r="S250">
            <v>56</v>
          </cell>
          <cell r="T250">
            <v>20</v>
          </cell>
          <cell r="U250">
            <v>12</v>
          </cell>
          <cell r="V250">
            <v>2876</v>
          </cell>
          <cell r="W250">
            <v>3126</v>
          </cell>
          <cell r="X250">
            <v>6002</v>
          </cell>
          <cell r="Y250">
            <v>106.66666666666667</v>
          </cell>
          <cell r="Z250">
            <v>16</v>
          </cell>
          <cell r="AA250">
            <v>352</v>
          </cell>
          <cell r="AB250">
            <v>-70</v>
          </cell>
          <cell r="AC250">
            <v>0</v>
          </cell>
          <cell r="AD250">
            <v>404.66666666666669</v>
          </cell>
          <cell r="AE250">
            <v>6407</v>
          </cell>
          <cell r="AF250">
            <v>443.1</v>
          </cell>
          <cell r="AH250">
            <v>0</v>
          </cell>
          <cell r="AI250">
            <v>9000</v>
          </cell>
          <cell r="AJ250">
            <v>9443.1</v>
          </cell>
          <cell r="AK250">
            <v>-3036.1000000000004</v>
          </cell>
          <cell r="AL250">
            <v>0</v>
          </cell>
          <cell r="AM250">
            <v>2000</v>
          </cell>
          <cell r="AN250">
            <v>3963.8999999999996</v>
          </cell>
          <cell r="AO250">
            <v>3970</v>
          </cell>
          <cell r="AP250">
            <v>5970</v>
          </cell>
          <cell r="AQ250">
            <v>1</v>
          </cell>
          <cell r="AR250">
            <v>0.5</v>
          </cell>
        </row>
        <row r="251">
          <cell r="D251" t="str">
            <v>A977</v>
          </cell>
          <cell r="E251" t="str">
            <v>Nguyễn Kim Anh</v>
          </cell>
          <cell r="F251" t="str">
            <v>QCX</v>
          </cell>
          <cell r="G251" t="str">
            <v>Công nhân</v>
          </cell>
          <cell r="H251" t="str">
            <v>T8/17</v>
          </cell>
          <cell r="I251" t="str">
            <v>8.I</v>
          </cell>
          <cell r="J251">
            <v>3750</v>
          </cell>
          <cell r="K251">
            <v>5</v>
          </cell>
          <cell r="L251">
            <v>3</v>
          </cell>
          <cell r="M251">
            <v>1</v>
          </cell>
          <cell r="N251">
            <v>0</v>
          </cell>
          <cell r="O251">
            <v>0</v>
          </cell>
          <cell r="P251">
            <v>6</v>
          </cell>
          <cell r="Q251">
            <v>1</v>
          </cell>
          <cell r="R251">
            <v>16</v>
          </cell>
          <cell r="S251">
            <v>68</v>
          </cell>
          <cell r="T251">
            <v>8</v>
          </cell>
          <cell r="U251">
            <v>0</v>
          </cell>
          <cell r="V251">
            <v>2472</v>
          </cell>
          <cell r="W251">
            <v>2049</v>
          </cell>
          <cell r="X251">
            <v>4521</v>
          </cell>
          <cell r="Y251">
            <v>0</v>
          </cell>
          <cell r="Z251">
            <v>0</v>
          </cell>
          <cell r="AA251">
            <v>272</v>
          </cell>
          <cell r="AB251">
            <v>-70</v>
          </cell>
          <cell r="AC251">
            <v>0</v>
          </cell>
          <cell r="AD251">
            <v>202</v>
          </cell>
          <cell r="AE251">
            <v>4723</v>
          </cell>
          <cell r="AF251">
            <v>417.9</v>
          </cell>
          <cell r="AH251">
            <v>0</v>
          </cell>
          <cell r="AI251">
            <v>9000</v>
          </cell>
          <cell r="AJ251">
            <v>9417.9</v>
          </cell>
          <cell r="AK251">
            <v>-4694.8999999999996</v>
          </cell>
          <cell r="AL251">
            <v>0</v>
          </cell>
          <cell r="AM251">
            <v>2000</v>
          </cell>
          <cell r="AN251">
            <v>2305.1000000000004</v>
          </cell>
          <cell r="AO251">
            <v>2310</v>
          </cell>
          <cell r="AP251">
            <v>4310</v>
          </cell>
          <cell r="AQ251">
            <v>1</v>
          </cell>
          <cell r="AR251">
            <v>4</v>
          </cell>
        </row>
        <row r="252">
          <cell r="D252" t="str">
            <v>A978</v>
          </cell>
          <cell r="E252" t="str">
            <v>Thạch Thị Trang</v>
          </cell>
          <cell r="F252" t="str">
            <v>QCX</v>
          </cell>
          <cell r="G252" t="str">
            <v>Công nhân</v>
          </cell>
          <cell r="H252" t="str">
            <v>T8/17</v>
          </cell>
          <cell r="I252" t="str">
            <v>8.I</v>
          </cell>
          <cell r="J252">
            <v>3750</v>
          </cell>
          <cell r="K252">
            <v>7</v>
          </cell>
          <cell r="L252">
            <v>1</v>
          </cell>
          <cell r="M252">
            <v>1</v>
          </cell>
          <cell r="N252">
            <v>0</v>
          </cell>
          <cell r="O252">
            <v>0</v>
          </cell>
          <cell r="P252">
            <v>6</v>
          </cell>
          <cell r="Q252">
            <v>1</v>
          </cell>
          <cell r="R252">
            <v>16</v>
          </cell>
          <cell r="S252">
            <v>53</v>
          </cell>
          <cell r="T252">
            <v>12</v>
          </cell>
          <cell r="U252">
            <v>0</v>
          </cell>
          <cell r="V252">
            <v>2472</v>
          </cell>
          <cell r="W252">
            <v>1797</v>
          </cell>
          <cell r="X252">
            <v>4269</v>
          </cell>
          <cell r="Y252">
            <v>0</v>
          </cell>
          <cell r="Z252">
            <v>16</v>
          </cell>
          <cell r="AA252">
            <v>304</v>
          </cell>
          <cell r="AB252">
            <v>-70</v>
          </cell>
          <cell r="AC252">
            <v>0</v>
          </cell>
          <cell r="AD252">
            <v>250</v>
          </cell>
          <cell r="AE252">
            <v>4519</v>
          </cell>
          <cell r="AF252">
            <v>417.9</v>
          </cell>
          <cell r="AH252">
            <v>0</v>
          </cell>
          <cell r="AI252">
            <v>9000</v>
          </cell>
          <cell r="AJ252">
            <v>9417.9</v>
          </cell>
          <cell r="AK252">
            <v>-4898.8999999999996</v>
          </cell>
          <cell r="AL252">
            <v>0</v>
          </cell>
          <cell r="AM252">
            <v>2000</v>
          </cell>
          <cell r="AN252">
            <v>2101.1000000000004</v>
          </cell>
          <cell r="AO252">
            <v>2100</v>
          </cell>
          <cell r="AP252">
            <v>4100</v>
          </cell>
          <cell r="AQ252">
            <v>1</v>
          </cell>
          <cell r="AR252">
            <v>1.5</v>
          </cell>
        </row>
        <row r="253">
          <cell r="D253" t="str">
            <v>A981</v>
          </cell>
          <cell r="E253" t="str">
            <v>Hồ Tấn Tuy</v>
          </cell>
          <cell r="F253" t="str">
            <v>Gián tiếp</v>
          </cell>
          <cell r="G253" t="str">
            <v>Kế toán</v>
          </cell>
          <cell r="H253" t="str">
            <v>T8/17</v>
          </cell>
          <cell r="I253" t="str">
            <v>4.I</v>
          </cell>
          <cell r="J253">
            <v>4511</v>
          </cell>
          <cell r="K253">
            <v>0</v>
          </cell>
          <cell r="L253">
            <v>22</v>
          </cell>
          <cell r="M253">
            <v>1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23</v>
          </cell>
          <cell r="S253">
            <v>2</v>
          </cell>
          <cell r="T253">
            <v>0</v>
          </cell>
          <cell r="U253">
            <v>0</v>
          </cell>
          <cell r="V253">
            <v>3843</v>
          </cell>
          <cell r="W253">
            <v>63</v>
          </cell>
          <cell r="X253">
            <v>3906</v>
          </cell>
          <cell r="Y253">
            <v>2120.2592592592591</v>
          </cell>
          <cell r="Z253">
            <v>16</v>
          </cell>
          <cell r="AA253">
            <v>0</v>
          </cell>
          <cell r="AB253">
            <v>-450</v>
          </cell>
          <cell r="AC253">
            <v>0</v>
          </cell>
          <cell r="AD253">
            <v>1686.2592592592591</v>
          </cell>
          <cell r="AE253">
            <v>5592</v>
          </cell>
          <cell r="AF253">
            <v>473.65499999999997</v>
          </cell>
          <cell r="AH253">
            <v>0</v>
          </cell>
          <cell r="AI253">
            <v>9000</v>
          </cell>
          <cell r="AJ253">
            <v>9473.6550000000007</v>
          </cell>
          <cell r="AK253">
            <v>-3881.6550000000007</v>
          </cell>
          <cell r="AL253">
            <v>0</v>
          </cell>
          <cell r="AM253">
            <v>1000</v>
          </cell>
          <cell r="AN253">
            <v>4118.3450000000003</v>
          </cell>
          <cell r="AO253">
            <v>4120</v>
          </cell>
          <cell r="AP253">
            <v>5120</v>
          </cell>
          <cell r="AQ253">
            <v>1</v>
          </cell>
          <cell r="AR253">
            <v>-4.5</v>
          </cell>
        </row>
        <row r="254">
          <cell r="D254" t="str">
            <v>A854</v>
          </cell>
          <cell r="E254" t="str">
            <v>Nguyễn Ái Hậu</v>
          </cell>
          <cell r="F254" t="str">
            <v>KHUON</v>
          </cell>
          <cell r="G254" t="str">
            <v xml:space="preserve"> kỹ thuật Khuôn</v>
          </cell>
          <cell r="H254" t="str">
            <v>T3/17</v>
          </cell>
          <cell r="I254" t="str">
            <v>5.II</v>
          </cell>
          <cell r="J254">
            <v>4660</v>
          </cell>
          <cell r="K254">
            <v>7</v>
          </cell>
          <cell r="L254">
            <v>7.5</v>
          </cell>
          <cell r="M254">
            <v>1</v>
          </cell>
          <cell r="N254">
            <v>0</v>
          </cell>
          <cell r="O254">
            <v>0</v>
          </cell>
          <cell r="P254">
            <v>0</v>
          </cell>
          <cell r="Q254">
            <v>0.5</v>
          </cell>
          <cell r="R254">
            <v>16</v>
          </cell>
          <cell r="S254">
            <v>32.5</v>
          </cell>
          <cell r="T254">
            <v>0</v>
          </cell>
          <cell r="U254">
            <v>0</v>
          </cell>
          <cell r="V254">
            <v>2761</v>
          </cell>
          <cell r="W254">
            <v>1625</v>
          </cell>
          <cell r="X254">
            <v>4386</v>
          </cell>
          <cell r="Y254">
            <v>1505.1851851851852</v>
          </cell>
          <cell r="Z254">
            <v>0</v>
          </cell>
          <cell r="AA254">
            <v>112</v>
          </cell>
          <cell r="AB254">
            <v>-150</v>
          </cell>
          <cell r="AC254">
            <v>0</v>
          </cell>
          <cell r="AD254">
            <v>1467.1851851851852</v>
          </cell>
          <cell r="AE254">
            <v>5853</v>
          </cell>
          <cell r="AF254">
            <v>489.3</v>
          </cell>
          <cell r="AH254">
            <v>0</v>
          </cell>
          <cell r="AI254">
            <v>9000</v>
          </cell>
          <cell r="AJ254">
            <v>9489.2999999999993</v>
          </cell>
          <cell r="AK254">
            <v>-3636.2999999999993</v>
          </cell>
          <cell r="AL254">
            <v>0</v>
          </cell>
          <cell r="AM254">
            <v>3000</v>
          </cell>
          <cell r="AN254">
            <v>2363.6999999999998</v>
          </cell>
          <cell r="AO254">
            <v>2370</v>
          </cell>
          <cell r="AP254">
            <v>5370</v>
          </cell>
          <cell r="AQ254">
            <v>1</v>
          </cell>
          <cell r="AR254">
            <v>4.5</v>
          </cell>
        </row>
        <row r="255">
          <cell r="D255" t="str">
            <v>A983</v>
          </cell>
          <cell r="E255" t="str">
            <v>Nguyễn Đức Thành</v>
          </cell>
          <cell r="F255" t="str">
            <v>CI.1</v>
          </cell>
          <cell r="G255" t="str">
            <v>Công nhân</v>
          </cell>
          <cell r="H255" t="str">
            <v>T8/17</v>
          </cell>
          <cell r="I255" t="str">
            <v>8.I</v>
          </cell>
          <cell r="J255">
            <v>3750</v>
          </cell>
          <cell r="K255">
            <v>8</v>
          </cell>
          <cell r="L255">
            <v>0</v>
          </cell>
          <cell r="M255">
            <v>1</v>
          </cell>
          <cell r="N255">
            <v>0</v>
          </cell>
          <cell r="O255">
            <v>0</v>
          </cell>
          <cell r="P255">
            <v>6</v>
          </cell>
          <cell r="Q255">
            <v>0</v>
          </cell>
          <cell r="R255">
            <v>15</v>
          </cell>
          <cell r="S255">
            <v>56</v>
          </cell>
          <cell r="T255">
            <v>20</v>
          </cell>
          <cell r="U255">
            <v>0</v>
          </cell>
          <cell r="V255">
            <v>2333</v>
          </cell>
          <cell r="W255">
            <v>2153</v>
          </cell>
          <cell r="X255">
            <v>4486</v>
          </cell>
          <cell r="Y255">
            <v>0</v>
          </cell>
          <cell r="Z255">
            <v>32</v>
          </cell>
          <cell r="AA255">
            <v>320</v>
          </cell>
          <cell r="AB255">
            <v>-70</v>
          </cell>
          <cell r="AC255">
            <v>0</v>
          </cell>
          <cell r="AD255">
            <v>282</v>
          </cell>
          <cell r="AE255">
            <v>4768</v>
          </cell>
          <cell r="AF255">
            <v>417.9</v>
          </cell>
          <cell r="AH255">
            <v>0</v>
          </cell>
          <cell r="AI255">
            <v>9000</v>
          </cell>
          <cell r="AJ255">
            <v>9417.9</v>
          </cell>
          <cell r="AK255">
            <v>-4649.8999999999996</v>
          </cell>
          <cell r="AL255">
            <v>0</v>
          </cell>
          <cell r="AM255">
            <v>2000</v>
          </cell>
          <cell r="AN255">
            <v>2350.1000000000004</v>
          </cell>
          <cell r="AO255">
            <v>2350</v>
          </cell>
          <cell r="AP255">
            <v>4350</v>
          </cell>
          <cell r="AQ255">
            <v>1</v>
          </cell>
          <cell r="AR255">
            <v>1</v>
          </cell>
        </row>
        <row r="256">
          <cell r="D256" t="str">
            <v>A985</v>
          </cell>
          <cell r="E256" t="str">
            <v>Nguyễn Văn Tiện</v>
          </cell>
          <cell r="F256" t="str">
            <v>CI.1</v>
          </cell>
          <cell r="G256" t="str">
            <v>Công nhân</v>
          </cell>
          <cell r="H256" t="str">
            <v>T8/17</v>
          </cell>
          <cell r="I256" t="str">
            <v>8.I</v>
          </cell>
          <cell r="J256">
            <v>3750</v>
          </cell>
          <cell r="K256">
            <v>5</v>
          </cell>
          <cell r="L256">
            <v>0</v>
          </cell>
          <cell r="M256">
            <v>1</v>
          </cell>
          <cell r="N256">
            <v>0</v>
          </cell>
          <cell r="O256">
            <v>0</v>
          </cell>
          <cell r="P256">
            <v>9</v>
          </cell>
          <cell r="Q256">
            <v>1</v>
          </cell>
          <cell r="R256">
            <v>16</v>
          </cell>
          <cell r="S256">
            <v>53</v>
          </cell>
          <cell r="T256">
            <v>19</v>
          </cell>
          <cell r="U256">
            <v>0</v>
          </cell>
          <cell r="V256">
            <v>2597</v>
          </cell>
          <cell r="W256">
            <v>2040</v>
          </cell>
          <cell r="X256">
            <v>4637</v>
          </cell>
          <cell r="Y256">
            <v>0</v>
          </cell>
          <cell r="Z256">
            <v>32</v>
          </cell>
          <cell r="AA256">
            <v>368</v>
          </cell>
          <cell r="AB256">
            <v>-70</v>
          </cell>
          <cell r="AC256">
            <v>0</v>
          </cell>
          <cell r="AD256">
            <v>330</v>
          </cell>
          <cell r="AE256">
            <v>4967</v>
          </cell>
          <cell r="AF256">
            <v>417.9</v>
          </cell>
          <cell r="AH256">
            <v>0</v>
          </cell>
          <cell r="AI256">
            <v>9000</v>
          </cell>
          <cell r="AJ256">
            <v>9417.9</v>
          </cell>
          <cell r="AK256">
            <v>-4450.8999999999996</v>
          </cell>
          <cell r="AL256">
            <v>0</v>
          </cell>
          <cell r="AM256">
            <v>1000</v>
          </cell>
          <cell r="AN256">
            <v>3549.1000000000004</v>
          </cell>
          <cell r="AO256">
            <v>3550</v>
          </cell>
          <cell r="AP256">
            <v>4550</v>
          </cell>
          <cell r="AQ256">
            <v>1</v>
          </cell>
          <cell r="AR256">
            <v>0</v>
          </cell>
        </row>
        <row r="257">
          <cell r="D257" t="str">
            <v>A986</v>
          </cell>
          <cell r="E257" t="str">
            <v>Nguyễn Thị Yến Nhi</v>
          </cell>
          <cell r="F257" t="str">
            <v>CII.4</v>
          </cell>
          <cell r="G257" t="str">
            <v>Công nhân</v>
          </cell>
          <cell r="H257" t="str">
            <v>T8/17</v>
          </cell>
          <cell r="I257" t="str">
            <v>8.I</v>
          </cell>
          <cell r="J257">
            <v>3500</v>
          </cell>
          <cell r="K257">
            <v>7</v>
          </cell>
          <cell r="L257">
            <v>1</v>
          </cell>
          <cell r="M257">
            <v>1</v>
          </cell>
          <cell r="N257">
            <v>0</v>
          </cell>
          <cell r="O257">
            <v>0</v>
          </cell>
          <cell r="P257">
            <v>14.5</v>
          </cell>
          <cell r="Q257">
            <v>1.5</v>
          </cell>
          <cell r="R257">
            <v>25</v>
          </cell>
          <cell r="S257">
            <v>84</v>
          </cell>
          <cell r="T257">
            <v>24</v>
          </cell>
          <cell r="U257">
            <v>0</v>
          </cell>
          <cell r="V257">
            <v>3805</v>
          </cell>
          <cell r="W257">
            <v>2819</v>
          </cell>
          <cell r="X257">
            <v>6624</v>
          </cell>
          <cell r="Y257">
            <v>0</v>
          </cell>
          <cell r="Z257">
            <v>32</v>
          </cell>
          <cell r="AA257">
            <v>576</v>
          </cell>
          <cell r="AB257">
            <v>140</v>
          </cell>
          <cell r="AC257">
            <v>0</v>
          </cell>
          <cell r="AD257">
            <v>748</v>
          </cell>
          <cell r="AE257">
            <v>7372</v>
          </cell>
          <cell r="AF257">
            <v>443.1</v>
          </cell>
          <cell r="AH257">
            <v>0</v>
          </cell>
          <cell r="AI257">
            <v>9000</v>
          </cell>
          <cell r="AJ257">
            <v>9443.1</v>
          </cell>
          <cell r="AK257">
            <v>-2071.1000000000004</v>
          </cell>
          <cell r="AL257">
            <v>0</v>
          </cell>
          <cell r="AM257">
            <v>2000</v>
          </cell>
          <cell r="AN257">
            <v>4928.8999999999996</v>
          </cell>
          <cell r="AO257">
            <v>4930</v>
          </cell>
          <cell r="AP257">
            <v>6930</v>
          </cell>
          <cell r="AQ257">
            <v>1</v>
          </cell>
          <cell r="AR257">
            <v>0.5</v>
          </cell>
        </row>
        <row r="258">
          <cell r="D258" t="str">
            <v>A987</v>
          </cell>
          <cell r="E258" t="str">
            <v>Nguyễn Thị Thu Trang</v>
          </cell>
          <cell r="F258" t="str">
            <v>EN</v>
          </cell>
          <cell r="G258" t="str">
            <v>Công nhân</v>
          </cell>
          <cell r="H258" t="str">
            <v>T8/17</v>
          </cell>
          <cell r="I258" t="str">
            <v>8.I</v>
          </cell>
          <cell r="J258">
            <v>3500</v>
          </cell>
          <cell r="K258">
            <v>6</v>
          </cell>
          <cell r="L258">
            <v>0</v>
          </cell>
          <cell r="M258">
            <v>1</v>
          </cell>
          <cell r="N258">
            <v>0</v>
          </cell>
          <cell r="O258">
            <v>0</v>
          </cell>
          <cell r="P258">
            <v>9</v>
          </cell>
          <cell r="Q258">
            <v>0</v>
          </cell>
          <cell r="R258">
            <v>16</v>
          </cell>
          <cell r="S258">
            <v>60</v>
          </cell>
          <cell r="T258">
            <v>16</v>
          </cell>
          <cell r="U258">
            <v>0</v>
          </cell>
          <cell r="V258">
            <v>2424</v>
          </cell>
          <cell r="W258">
            <v>1977</v>
          </cell>
          <cell r="X258">
            <v>4401</v>
          </cell>
          <cell r="Y258">
            <v>0</v>
          </cell>
          <cell r="Z258">
            <v>0</v>
          </cell>
          <cell r="AA258">
            <v>384</v>
          </cell>
          <cell r="AB258">
            <v>-70</v>
          </cell>
          <cell r="AC258">
            <v>0</v>
          </cell>
          <cell r="AD258">
            <v>314</v>
          </cell>
          <cell r="AE258">
            <v>4715</v>
          </cell>
          <cell r="AF258">
            <v>417.9</v>
          </cell>
          <cell r="AH258">
            <v>0</v>
          </cell>
          <cell r="AI258">
            <v>9000</v>
          </cell>
          <cell r="AJ258">
            <v>9417.9</v>
          </cell>
          <cell r="AK258">
            <v>-4702.8999999999996</v>
          </cell>
          <cell r="AL258">
            <v>0</v>
          </cell>
          <cell r="AM258">
            <v>2000</v>
          </cell>
          <cell r="AN258">
            <v>2297.1000000000004</v>
          </cell>
          <cell r="AO258">
            <v>2300</v>
          </cell>
          <cell r="AP258">
            <v>4300</v>
          </cell>
          <cell r="AQ258">
            <v>1</v>
          </cell>
          <cell r="AR258">
            <v>7</v>
          </cell>
        </row>
        <row r="259">
          <cell r="D259" t="str">
            <v>A988</v>
          </cell>
          <cell r="E259" t="str">
            <v>Huỳnh Vũ Ý Nhi</v>
          </cell>
          <cell r="F259" t="str">
            <v>QCE</v>
          </cell>
          <cell r="G259" t="str">
            <v>tổ trưởng QC</v>
          </cell>
          <cell r="H259" t="str">
            <v>T8/17</v>
          </cell>
          <cell r="I259" t="str">
            <v>4.I</v>
          </cell>
          <cell r="J259">
            <v>4511</v>
          </cell>
          <cell r="K259">
            <v>3</v>
          </cell>
          <cell r="L259">
            <v>12</v>
          </cell>
          <cell r="M259">
            <v>1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16</v>
          </cell>
          <cell r="S259">
            <v>26</v>
          </cell>
          <cell r="T259">
            <v>0</v>
          </cell>
          <cell r="U259">
            <v>0</v>
          </cell>
          <cell r="V259">
            <v>2673</v>
          </cell>
          <cell r="W259">
            <v>814</v>
          </cell>
          <cell r="X259">
            <v>3487</v>
          </cell>
          <cell r="Y259">
            <v>2067.5555555555557</v>
          </cell>
          <cell r="Z259">
            <v>0</v>
          </cell>
          <cell r="AA259">
            <v>48</v>
          </cell>
          <cell r="AB259">
            <v>-300</v>
          </cell>
          <cell r="AC259">
            <v>0</v>
          </cell>
          <cell r="AD259">
            <v>1815.5555555555557</v>
          </cell>
          <cell r="AE259">
            <v>5303</v>
          </cell>
          <cell r="AF259">
            <v>473.65499999999997</v>
          </cell>
          <cell r="AH259">
            <v>0</v>
          </cell>
          <cell r="AI259">
            <v>9000</v>
          </cell>
          <cell r="AJ259">
            <v>9473.6550000000007</v>
          </cell>
          <cell r="AK259">
            <v>-4170.6550000000007</v>
          </cell>
          <cell r="AL259">
            <v>0</v>
          </cell>
          <cell r="AM259">
            <v>0</v>
          </cell>
          <cell r="AN259">
            <v>4829.3450000000003</v>
          </cell>
          <cell r="AO259">
            <v>4830</v>
          </cell>
          <cell r="AP259">
            <v>4830</v>
          </cell>
          <cell r="AQ259">
            <v>1</v>
          </cell>
          <cell r="AR259">
            <v>3.5</v>
          </cell>
        </row>
        <row r="260">
          <cell r="D260" t="str">
            <v>A989</v>
          </cell>
          <cell r="E260" t="str">
            <v>Hoàng Văn Quốc Trưởng</v>
          </cell>
          <cell r="F260" t="str">
            <v>CI.1</v>
          </cell>
          <cell r="G260" t="str">
            <v>Trưởng ca chuyền I.1</v>
          </cell>
          <cell r="H260" t="str">
            <v>T8/17</v>
          </cell>
          <cell r="I260" t="str">
            <v>4.I</v>
          </cell>
          <cell r="J260">
            <v>4511</v>
          </cell>
          <cell r="K260">
            <v>15</v>
          </cell>
          <cell r="L260">
            <v>0</v>
          </cell>
          <cell r="M260">
            <v>1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16</v>
          </cell>
          <cell r="S260">
            <v>65</v>
          </cell>
          <cell r="T260">
            <v>22</v>
          </cell>
          <cell r="U260">
            <v>0</v>
          </cell>
          <cell r="V260">
            <v>2673</v>
          </cell>
          <cell r="W260">
            <v>2955</v>
          </cell>
          <cell r="X260">
            <v>5628</v>
          </cell>
          <cell r="Y260">
            <v>2067.5555555555557</v>
          </cell>
          <cell r="Z260">
            <v>0</v>
          </cell>
          <cell r="AA260">
            <v>240</v>
          </cell>
          <cell r="AB260">
            <v>-150</v>
          </cell>
          <cell r="AC260">
            <v>0</v>
          </cell>
          <cell r="AD260">
            <v>2157.5555555555557</v>
          </cell>
          <cell r="AE260">
            <v>7786</v>
          </cell>
          <cell r="AF260">
            <v>473.65499999999997</v>
          </cell>
          <cell r="AH260">
            <v>0</v>
          </cell>
          <cell r="AI260">
            <v>9000</v>
          </cell>
          <cell r="AJ260">
            <v>9473.6550000000007</v>
          </cell>
          <cell r="AK260">
            <v>-1687.6550000000007</v>
          </cell>
          <cell r="AL260">
            <v>0</v>
          </cell>
          <cell r="AM260">
            <v>2000</v>
          </cell>
          <cell r="AN260">
            <v>5312.3450000000003</v>
          </cell>
          <cell r="AO260">
            <v>5310</v>
          </cell>
          <cell r="AP260">
            <v>7310</v>
          </cell>
          <cell r="AQ260">
            <v>1</v>
          </cell>
          <cell r="AR260">
            <v>3</v>
          </cell>
        </row>
        <row r="261">
          <cell r="D261" t="str">
            <v>A991</v>
          </cell>
          <cell r="E261" t="str">
            <v>Nguyễn Hoàn Kiếm</v>
          </cell>
          <cell r="F261" t="str">
            <v>CII.1</v>
          </cell>
          <cell r="G261" t="str">
            <v>Kỹ thuật xi mạ</v>
          </cell>
          <cell r="H261" t="str">
            <v>T8/18</v>
          </cell>
          <cell r="I261" t="str">
            <v>4.I</v>
          </cell>
          <cell r="J261">
            <v>4511</v>
          </cell>
          <cell r="K261">
            <v>2</v>
          </cell>
          <cell r="L261">
            <v>1</v>
          </cell>
          <cell r="M261">
            <v>1</v>
          </cell>
          <cell r="N261">
            <v>0</v>
          </cell>
          <cell r="O261">
            <v>0</v>
          </cell>
          <cell r="P261">
            <v>9</v>
          </cell>
          <cell r="Q261">
            <v>1</v>
          </cell>
          <cell r="R261">
            <v>14</v>
          </cell>
          <cell r="S261">
            <v>44</v>
          </cell>
          <cell r="T261">
            <v>0</v>
          </cell>
          <cell r="U261">
            <v>0</v>
          </cell>
          <cell r="V261">
            <v>2790</v>
          </cell>
          <cell r="W261">
            <v>1378</v>
          </cell>
          <cell r="X261">
            <v>4168</v>
          </cell>
          <cell r="Y261">
            <v>1809.1111111111111</v>
          </cell>
          <cell r="Z261">
            <v>0</v>
          </cell>
          <cell r="AA261">
            <v>320</v>
          </cell>
          <cell r="AB261">
            <v>-150</v>
          </cell>
          <cell r="AC261">
            <v>0</v>
          </cell>
          <cell r="AD261">
            <v>1979.1111111111113</v>
          </cell>
          <cell r="AE261">
            <v>6147</v>
          </cell>
          <cell r="AF261">
            <v>473.65499999999997</v>
          </cell>
          <cell r="AH261">
            <v>0</v>
          </cell>
          <cell r="AI261">
            <v>9000</v>
          </cell>
          <cell r="AJ261">
            <v>9473.6550000000007</v>
          </cell>
          <cell r="AK261">
            <v>-3326.6550000000007</v>
          </cell>
          <cell r="AL261">
            <v>0</v>
          </cell>
          <cell r="AM261">
            <v>2000</v>
          </cell>
          <cell r="AN261">
            <v>3673.3450000000003</v>
          </cell>
          <cell r="AO261">
            <v>3680</v>
          </cell>
          <cell r="AP261">
            <v>5680</v>
          </cell>
          <cell r="AQ261">
            <v>1</v>
          </cell>
          <cell r="AR261">
            <v>0.5</v>
          </cell>
        </row>
        <row r="262">
          <cell r="D262" t="str">
            <v>A993</v>
          </cell>
          <cell r="E262" t="str">
            <v>Đinh Thị Mỹ Linh</v>
          </cell>
          <cell r="F262" t="str">
            <v>QCX</v>
          </cell>
          <cell r="G262" t="str">
            <v>Công nhân</v>
          </cell>
          <cell r="H262" t="str">
            <v>T8/20</v>
          </cell>
          <cell r="I262" t="str">
            <v>8.I</v>
          </cell>
          <cell r="J262">
            <v>3750</v>
          </cell>
          <cell r="K262">
            <v>4</v>
          </cell>
          <cell r="L262">
            <v>2</v>
          </cell>
          <cell r="M262">
            <v>1</v>
          </cell>
          <cell r="N262">
            <v>0</v>
          </cell>
          <cell r="O262">
            <v>0</v>
          </cell>
          <cell r="P262">
            <v>9</v>
          </cell>
          <cell r="Q262">
            <v>0</v>
          </cell>
          <cell r="R262">
            <v>16</v>
          </cell>
          <cell r="S262">
            <v>50.5</v>
          </cell>
          <cell r="T262">
            <v>8</v>
          </cell>
          <cell r="U262">
            <v>0</v>
          </cell>
          <cell r="V262">
            <v>2597</v>
          </cell>
          <cell r="W262">
            <v>1593</v>
          </cell>
          <cell r="X262">
            <v>4190</v>
          </cell>
          <cell r="Y262">
            <v>0</v>
          </cell>
          <cell r="Z262">
            <v>64</v>
          </cell>
          <cell r="AA262">
            <v>352</v>
          </cell>
          <cell r="AB262">
            <v>-70</v>
          </cell>
          <cell r="AC262">
            <v>0</v>
          </cell>
          <cell r="AD262">
            <v>346</v>
          </cell>
          <cell r="AE262">
            <v>4536</v>
          </cell>
          <cell r="AF262">
            <v>417.9</v>
          </cell>
          <cell r="AH262">
            <v>0</v>
          </cell>
          <cell r="AI262">
            <v>9000</v>
          </cell>
          <cell r="AJ262">
            <v>9417.9</v>
          </cell>
          <cell r="AK262">
            <v>-4881.8999999999996</v>
          </cell>
          <cell r="AL262">
            <v>0</v>
          </cell>
          <cell r="AM262">
            <v>2000</v>
          </cell>
          <cell r="AN262">
            <v>2118.1000000000004</v>
          </cell>
          <cell r="AO262">
            <v>2120</v>
          </cell>
          <cell r="AP262">
            <v>4120</v>
          </cell>
          <cell r="AQ262">
            <v>1</v>
          </cell>
          <cell r="AR262">
            <v>4</v>
          </cell>
        </row>
        <row r="263">
          <cell r="D263" t="str">
            <v>A995</v>
          </cell>
          <cell r="E263" t="str">
            <v>Lê Vũ Thuật</v>
          </cell>
          <cell r="F263" t="str">
            <v>Gián tiếp</v>
          </cell>
          <cell r="G263" t="str">
            <v>kế toán quản trị</v>
          </cell>
          <cell r="H263" t="str">
            <v>T8/22</v>
          </cell>
          <cell r="I263" t="str">
            <v>4.III</v>
          </cell>
          <cell r="J263">
            <v>4980</v>
          </cell>
          <cell r="K263">
            <v>0</v>
          </cell>
          <cell r="L263">
            <v>23.5</v>
          </cell>
          <cell r="M263">
            <v>1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24.5</v>
          </cell>
          <cell r="S263">
            <v>0</v>
          </cell>
          <cell r="T263">
            <v>0</v>
          </cell>
          <cell r="U263">
            <v>0</v>
          </cell>
          <cell r="V263">
            <v>4519</v>
          </cell>
          <cell r="W263">
            <v>0</v>
          </cell>
          <cell r="X263">
            <v>4519</v>
          </cell>
          <cell r="Y263">
            <v>7277.4074074074078</v>
          </cell>
          <cell r="Z263">
            <v>16</v>
          </cell>
          <cell r="AA263">
            <v>0</v>
          </cell>
          <cell r="AB263">
            <v>-450</v>
          </cell>
          <cell r="AC263">
            <v>0</v>
          </cell>
          <cell r="AD263">
            <v>6843.4074074074078</v>
          </cell>
          <cell r="AE263">
            <v>11362</v>
          </cell>
          <cell r="AF263">
            <v>522.9</v>
          </cell>
          <cell r="AH263">
            <v>0</v>
          </cell>
          <cell r="AI263">
            <v>9000</v>
          </cell>
          <cell r="AJ263">
            <v>9522.9</v>
          </cell>
          <cell r="AK263">
            <v>1839.1000000000004</v>
          </cell>
          <cell r="AL263">
            <v>92</v>
          </cell>
          <cell r="AM263">
            <v>0</v>
          </cell>
          <cell r="AN263">
            <v>10747.1</v>
          </cell>
          <cell r="AO263">
            <v>10750</v>
          </cell>
          <cell r="AP263">
            <v>10750</v>
          </cell>
          <cell r="AQ263">
            <v>1</v>
          </cell>
          <cell r="AR263">
            <v>-2</v>
          </cell>
        </row>
        <row r="264">
          <cell r="D264" t="str">
            <v>A997</v>
          </cell>
          <cell r="E264" t="str">
            <v>Võ Tấn Tài</v>
          </cell>
          <cell r="F264" t="str">
            <v>EN</v>
          </cell>
          <cell r="G264" t="str">
            <v>Công nhân</v>
          </cell>
          <cell r="H264" t="str">
            <v>T8/24</v>
          </cell>
          <cell r="I264" t="str">
            <v>8.I</v>
          </cell>
          <cell r="J264">
            <v>3500</v>
          </cell>
          <cell r="K264">
            <v>5</v>
          </cell>
          <cell r="L264">
            <v>0</v>
          </cell>
          <cell r="M264">
            <v>1</v>
          </cell>
          <cell r="N264">
            <v>0</v>
          </cell>
          <cell r="O264">
            <v>0</v>
          </cell>
          <cell r="P264">
            <v>9</v>
          </cell>
          <cell r="Q264">
            <v>1</v>
          </cell>
          <cell r="R264">
            <v>16</v>
          </cell>
          <cell r="S264">
            <v>56</v>
          </cell>
          <cell r="T264">
            <v>0</v>
          </cell>
          <cell r="U264">
            <v>0</v>
          </cell>
          <cell r="V264">
            <v>2424</v>
          </cell>
          <cell r="W264">
            <v>1361</v>
          </cell>
          <cell r="X264">
            <v>3785</v>
          </cell>
          <cell r="Y264">
            <v>0</v>
          </cell>
          <cell r="Z264">
            <v>16</v>
          </cell>
          <cell r="AA264">
            <v>368</v>
          </cell>
          <cell r="AB264">
            <v>-70</v>
          </cell>
          <cell r="AC264">
            <v>0</v>
          </cell>
          <cell r="AD264">
            <v>314</v>
          </cell>
          <cell r="AE264">
            <v>4099</v>
          </cell>
          <cell r="AF264">
            <v>417.9</v>
          </cell>
          <cell r="AH264">
            <v>0</v>
          </cell>
          <cell r="AI264">
            <v>9000</v>
          </cell>
          <cell r="AJ264">
            <v>9417.9</v>
          </cell>
          <cell r="AK264">
            <v>-5318.9</v>
          </cell>
          <cell r="AL264">
            <v>0</v>
          </cell>
          <cell r="AM264">
            <v>2000</v>
          </cell>
          <cell r="AN264">
            <v>1681.1</v>
          </cell>
          <cell r="AO264">
            <v>1680</v>
          </cell>
          <cell r="AP264">
            <v>3680</v>
          </cell>
          <cell r="AQ264">
            <v>1</v>
          </cell>
          <cell r="AR264">
            <v>3</v>
          </cell>
        </row>
        <row r="265">
          <cell r="D265" t="str">
            <v>A998</v>
          </cell>
          <cell r="E265" t="str">
            <v>Trương Thanh Phong</v>
          </cell>
          <cell r="F265" t="str">
            <v>EN</v>
          </cell>
          <cell r="G265" t="str">
            <v>Công nhân</v>
          </cell>
          <cell r="H265" t="str">
            <v>T8/25</v>
          </cell>
          <cell r="I265" t="str">
            <v>8.I</v>
          </cell>
          <cell r="J265">
            <v>3500</v>
          </cell>
          <cell r="K265">
            <v>0</v>
          </cell>
          <cell r="L265">
            <v>0</v>
          </cell>
          <cell r="M265">
            <v>1</v>
          </cell>
          <cell r="N265">
            <v>0</v>
          </cell>
          <cell r="O265">
            <v>0</v>
          </cell>
          <cell r="P265">
            <v>12</v>
          </cell>
          <cell r="Q265">
            <v>3</v>
          </cell>
          <cell r="R265">
            <v>16</v>
          </cell>
          <cell r="S265">
            <v>48</v>
          </cell>
          <cell r="T265">
            <v>0</v>
          </cell>
          <cell r="U265">
            <v>0</v>
          </cell>
          <cell r="V265">
            <v>2541</v>
          </cell>
          <cell r="W265">
            <v>1167</v>
          </cell>
          <cell r="X265">
            <v>3708</v>
          </cell>
          <cell r="Y265">
            <v>0</v>
          </cell>
          <cell r="Z265">
            <v>16</v>
          </cell>
          <cell r="AA265">
            <v>384</v>
          </cell>
          <cell r="AB265">
            <v>-70</v>
          </cell>
          <cell r="AC265">
            <v>0</v>
          </cell>
          <cell r="AD265">
            <v>330</v>
          </cell>
          <cell r="AE265">
            <v>4038</v>
          </cell>
          <cell r="AF265">
            <v>417.9</v>
          </cell>
          <cell r="AH265">
            <v>0</v>
          </cell>
          <cell r="AI265">
            <v>9000</v>
          </cell>
          <cell r="AJ265">
            <v>9417.9</v>
          </cell>
          <cell r="AK265">
            <v>-5379.9</v>
          </cell>
          <cell r="AL265">
            <v>0</v>
          </cell>
          <cell r="AM265">
            <v>2000</v>
          </cell>
          <cell r="AN265">
            <v>1620.1</v>
          </cell>
          <cell r="AO265">
            <v>1620</v>
          </cell>
          <cell r="AP265">
            <v>3620</v>
          </cell>
          <cell r="AQ265">
            <v>1</v>
          </cell>
          <cell r="AR265">
            <v>0</v>
          </cell>
        </row>
        <row r="266">
          <cell r="D266" t="str">
            <v>A1007</v>
          </cell>
          <cell r="E266" t="str">
            <v>Ngô Văn Ba</v>
          </cell>
          <cell r="F266" t="str">
            <v>CII.1</v>
          </cell>
          <cell r="G266" t="str">
            <v>Kỹ thuật xi mạ</v>
          </cell>
          <cell r="H266" t="str">
            <v>T10/17</v>
          </cell>
          <cell r="I266" t="str">
            <v>4.I</v>
          </cell>
          <cell r="J266">
            <v>4511</v>
          </cell>
          <cell r="K266">
            <v>10</v>
          </cell>
          <cell r="L266">
            <v>1</v>
          </cell>
          <cell r="M266">
            <v>1</v>
          </cell>
          <cell r="N266">
            <v>0</v>
          </cell>
          <cell r="O266">
            <v>0</v>
          </cell>
          <cell r="P266">
            <v>4</v>
          </cell>
          <cell r="Q266">
            <v>0</v>
          </cell>
          <cell r="R266">
            <v>16</v>
          </cell>
          <cell r="S266">
            <v>61</v>
          </cell>
          <cell r="T266">
            <v>0</v>
          </cell>
          <cell r="U266">
            <v>0</v>
          </cell>
          <cell r="V266">
            <v>2874</v>
          </cell>
          <cell r="W266">
            <v>1911</v>
          </cell>
          <cell r="X266">
            <v>4785</v>
          </cell>
          <cell r="Y266">
            <v>2067.5555555555557</v>
          </cell>
          <cell r="Z266">
            <v>0</v>
          </cell>
          <cell r="AA266">
            <v>288</v>
          </cell>
          <cell r="AB266">
            <v>-150</v>
          </cell>
          <cell r="AC266">
            <v>0</v>
          </cell>
          <cell r="AD266">
            <v>2205.5555555555557</v>
          </cell>
          <cell r="AE266">
            <v>6991</v>
          </cell>
          <cell r="AF266">
            <v>473.65499999999997</v>
          </cell>
          <cell r="AH266">
            <v>1</v>
          </cell>
          <cell r="AI266">
            <v>12600</v>
          </cell>
          <cell r="AJ266">
            <v>13073.655000000001</v>
          </cell>
          <cell r="AK266">
            <v>-6082.6550000000007</v>
          </cell>
          <cell r="AL266">
            <v>0</v>
          </cell>
          <cell r="AM266">
            <v>2000</v>
          </cell>
          <cell r="AN266">
            <v>4517.3450000000003</v>
          </cell>
          <cell r="AO266">
            <v>4520</v>
          </cell>
          <cell r="AP266">
            <v>6520</v>
          </cell>
          <cell r="AQ266">
            <v>1</v>
          </cell>
          <cell r="AR266">
            <v>7</v>
          </cell>
        </row>
        <row r="267">
          <cell r="D267" t="str">
            <v>A1008</v>
          </cell>
          <cell r="E267" t="str">
            <v>Nguyễn Thiện Tâm</v>
          </cell>
          <cell r="F267" t="str">
            <v>CD</v>
          </cell>
          <cell r="G267" t="str">
            <v>Nhân viên bảo trì</v>
          </cell>
          <cell r="H267" t="str">
            <v>T10/17</v>
          </cell>
          <cell r="I267" t="str">
            <v>4.I</v>
          </cell>
          <cell r="J267">
            <v>4511</v>
          </cell>
          <cell r="K267">
            <v>19</v>
          </cell>
          <cell r="L267">
            <v>7</v>
          </cell>
          <cell r="M267">
            <v>1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27</v>
          </cell>
          <cell r="S267">
            <v>82.5</v>
          </cell>
          <cell r="T267">
            <v>36</v>
          </cell>
          <cell r="U267">
            <v>0</v>
          </cell>
          <cell r="V267">
            <v>4511</v>
          </cell>
          <cell r="W267">
            <v>4088</v>
          </cell>
          <cell r="X267">
            <v>8599</v>
          </cell>
          <cell r="Y267">
            <v>1489</v>
          </cell>
          <cell r="Z267">
            <v>0</v>
          </cell>
          <cell r="AA267">
            <v>304</v>
          </cell>
          <cell r="AB267">
            <v>-210</v>
          </cell>
          <cell r="AC267">
            <v>0</v>
          </cell>
          <cell r="AD267">
            <v>1583</v>
          </cell>
          <cell r="AE267">
            <v>10182</v>
          </cell>
          <cell r="AF267">
            <v>473.65499999999997</v>
          </cell>
          <cell r="AH267">
            <v>0</v>
          </cell>
          <cell r="AI267">
            <v>9000</v>
          </cell>
          <cell r="AJ267">
            <v>9473.6550000000007</v>
          </cell>
          <cell r="AK267">
            <v>708.34499999999935</v>
          </cell>
          <cell r="AL267">
            <v>35</v>
          </cell>
          <cell r="AM267">
            <v>2000</v>
          </cell>
          <cell r="AN267">
            <v>7673.3449999999993</v>
          </cell>
          <cell r="AO267">
            <v>7680</v>
          </cell>
          <cell r="AP267">
            <v>9680</v>
          </cell>
          <cell r="AQ267">
            <v>1</v>
          </cell>
          <cell r="AR267">
            <v>4</v>
          </cell>
        </row>
        <row r="268">
          <cell r="D268" t="str">
            <v>A1013</v>
          </cell>
          <cell r="E268" t="str">
            <v>Hữu Thị Sà Phép</v>
          </cell>
          <cell r="F268" t="str">
            <v>QCX</v>
          </cell>
          <cell r="G268" t="str">
            <v>Công nhân</v>
          </cell>
          <cell r="H268" t="str">
            <v>T10/17</v>
          </cell>
          <cell r="I268" t="str">
            <v>11.I</v>
          </cell>
          <cell r="J268">
            <v>3750</v>
          </cell>
          <cell r="K268">
            <v>6</v>
          </cell>
          <cell r="L268">
            <v>3</v>
          </cell>
          <cell r="M268">
            <v>1</v>
          </cell>
          <cell r="N268">
            <v>0</v>
          </cell>
          <cell r="O268">
            <v>0</v>
          </cell>
          <cell r="P268">
            <v>6</v>
          </cell>
          <cell r="Q268">
            <v>0</v>
          </cell>
          <cell r="R268">
            <v>16</v>
          </cell>
          <cell r="S268">
            <v>72</v>
          </cell>
          <cell r="T268">
            <v>12</v>
          </cell>
          <cell r="U268">
            <v>0</v>
          </cell>
          <cell r="V268">
            <v>2472</v>
          </cell>
          <cell r="W268">
            <v>2292</v>
          </cell>
          <cell r="X268">
            <v>4764</v>
          </cell>
          <cell r="Y268">
            <v>0</v>
          </cell>
          <cell r="Z268">
            <v>32</v>
          </cell>
          <cell r="AA268">
            <v>288</v>
          </cell>
          <cell r="AB268">
            <v>-70</v>
          </cell>
          <cell r="AC268">
            <v>0</v>
          </cell>
          <cell r="AD268">
            <v>250</v>
          </cell>
          <cell r="AE268">
            <v>5014</v>
          </cell>
          <cell r="AF268">
            <v>417.9</v>
          </cell>
          <cell r="AH268">
            <v>0</v>
          </cell>
          <cell r="AI268">
            <v>9000</v>
          </cell>
          <cell r="AJ268">
            <v>9417.9</v>
          </cell>
          <cell r="AK268">
            <v>-4403.8999999999996</v>
          </cell>
          <cell r="AL268">
            <v>0</v>
          </cell>
          <cell r="AM268">
            <v>2000</v>
          </cell>
          <cell r="AN268">
            <v>2596.1000000000004</v>
          </cell>
          <cell r="AO268">
            <v>2600</v>
          </cell>
          <cell r="AP268">
            <v>4600</v>
          </cell>
          <cell r="AQ268">
            <v>1</v>
          </cell>
          <cell r="AR268">
            <v>2</v>
          </cell>
        </row>
        <row r="269">
          <cell r="D269" t="str">
            <v>A1016</v>
          </cell>
          <cell r="E269" t="str">
            <v>Trần Thiên Tân</v>
          </cell>
          <cell r="F269" t="str">
            <v>EN</v>
          </cell>
          <cell r="G269" t="str">
            <v>Công nhân</v>
          </cell>
          <cell r="H269" t="str">
            <v>T11/17</v>
          </cell>
          <cell r="I269" t="str">
            <v>11.I</v>
          </cell>
          <cell r="J269">
            <v>3750</v>
          </cell>
          <cell r="K269">
            <v>6</v>
          </cell>
          <cell r="L269">
            <v>0</v>
          </cell>
          <cell r="M269">
            <v>1</v>
          </cell>
          <cell r="N269">
            <v>0</v>
          </cell>
          <cell r="O269">
            <v>0</v>
          </cell>
          <cell r="P269">
            <v>9</v>
          </cell>
          <cell r="Q269">
            <v>0</v>
          </cell>
          <cell r="R269">
            <v>16</v>
          </cell>
          <cell r="S269">
            <v>60</v>
          </cell>
          <cell r="T269">
            <v>12</v>
          </cell>
          <cell r="U269">
            <v>0</v>
          </cell>
          <cell r="V269">
            <v>2597</v>
          </cell>
          <cell r="W269">
            <v>1979</v>
          </cell>
          <cell r="X269">
            <v>4576</v>
          </cell>
          <cell r="Y269">
            <v>0</v>
          </cell>
          <cell r="Z269">
            <v>0</v>
          </cell>
          <cell r="AA269">
            <v>384</v>
          </cell>
          <cell r="AB269">
            <v>-70</v>
          </cell>
          <cell r="AC269">
            <v>0</v>
          </cell>
          <cell r="AD269">
            <v>314</v>
          </cell>
          <cell r="AE269">
            <v>4890</v>
          </cell>
          <cell r="AF269">
            <v>417.9</v>
          </cell>
          <cell r="AH269">
            <v>0</v>
          </cell>
          <cell r="AI269">
            <v>9000</v>
          </cell>
          <cell r="AJ269">
            <v>9417.9</v>
          </cell>
          <cell r="AK269">
            <v>-4527.8999999999996</v>
          </cell>
          <cell r="AL269">
            <v>0</v>
          </cell>
          <cell r="AM269">
            <v>2000</v>
          </cell>
          <cell r="AN269">
            <v>2472.1000000000004</v>
          </cell>
          <cell r="AO269">
            <v>2470</v>
          </cell>
          <cell r="AP269">
            <v>4470</v>
          </cell>
          <cell r="AQ269">
            <v>1</v>
          </cell>
          <cell r="AR269">
            <v>3</v>
          </cell>
        </row>
        <row r="270">
          <cell r="D270" t="str">
            <v>A1018</v>
          </cell>
          <cell r="E270" t="str">
            <v>Nguyễn Văn Đạm</v>
          </cell>
          <cell r="F270" t="str">
            <v>EN</v>
          </cell>
          <cell r="G270" t="str">
            <v>Công nhân</v>
          </cell>
          <cell r="H270" t="str">
            <v>T11/17</v>
          </cell>
          <cell r="I270" t="str">
            <v>11.I</v>
          </cell>
          <cell r="J270">
            <v>3750</v>
          </cell>
          <cell r="K270">
            <v>8</v>
          </cell>
          <cell r="L270">
            <v>1</v>
          </cell>
          <cell r="M270">
            <v>1</v>
          </cell>
          <cell r="N270">
            <v>0</v>
          </cell>
          <cell r="O270">
            <v>0</v>
          </cell>
          <cell r="P270">
            <v>5</v>
          </cell>
          <cell r="Q270">
            <v>1</v>
          </cell>
          <cell r="R270">
            <v>16</v>
          </cell>
          <cell r="S270">
            <v>54</v>
          </cell>
          <cell r="T270">
            <v>0</v>
          </cell>
          <cell r="U270">
            <v>0</v>
          </cell>
          <cell r="V270">
            <v>2431</v>
          </cell>
          <cell r="W270">
            <v>1406</v>
          </cell>
          <cell r="X270">
            <v>3837</v>
          </cell>
          <cell r="Y270">
            <v>0</v>
          </cell>
          <cell r="Z270">
            <v>0</v>
          </cell>
          <cell r="AA270">
            <v>288</v>
          </cell>
          <cell r="AB270">
            <v>-70</v>
          </cell>
          <cell r="AC270">
            <v>0</v>
          </cell>
          <cell r="AD270">
            <v>218</v>
          </cell>
          <cell r="AE270">
            <v>4055</v>
          </cell>
          <cell r="AF270">
            <v>417.9</v>
          </cell>
          <cell r="AH270">
            <v>0</v>
          </cell>
          <cell r="AI270">
            <v>9000</v>
          </cell>
          <cell r="AJ270">
            <v>9417.9</v>
          </cell>
          <cell r="AK270">
            <v>-5362.9</v>
          </cell>
          <cell r="AL270">
            <v>0</v>
          </cell>
          <cell r="AM270">
            <v>2000</v>
          </cell>
          <cell r="AN270">
            <v>1637.1</v>
          </cell>
          <cell r="AO270">
            <v>1640</v>
          </cell>
          <cell r="AP270">
            <v>3640</v>
          </cell>
          <cell r="AQ270">
            <v>1</v>
          </cell>
          <cell r="AR270">
            <v>1</v>
          </cell>
        </row>
        <row r="271">
          <cell r="D271" t="str">
            <v>A1019</v>
          </cell>
          <cell r="E271" t="str">
            <v>Nguyễn Tấn Phát</v>
          </cell>
          <cell r="F271" t="str">
            <v>EN</v>
          </cell>
          <cell r="G271" t="str">
            <v>Công nhân</v>
          </cell>
          <cell r="H271" t="str">
            <v>T11/17</v>
          </cell>
          <cell r="I271" t="str">
            <v>11.I</v>
          </cell>
          <cell r="J271">
            <v>3750</v>
          </cell>
          <cell r="K271">
            <v>8</v>
          </cell>
          <cell r="L271">
            <v>0</v>
          </cell>
          <cell r="M271">
            <v>1</v>
          </cell>
          <cell r="N271">
            <v>0</v>
          </cell>
          <cell r="O271">
            <v>0</v>
          </cell>
          <cell r="P271">
            <v>5</v>
          </cell>
          <cell r="Q271">
            <v>1</v>
          </cell>
          <cell r="R271">
            <v>15</v>
          </cell>
          <cell r="S271">
            <v>52</v>
          </cell>
          <cell r="T271">
            <v>0</v>
          </cell>
          <cell r="U271">
            <v>0</v>
          </cell>
          <cell r="V271">
            <v>2292</v>
          </cell>
          <cell r="W271">
            <v>1354</v>
          </cell>
          <cell r="X271">
            <v>3646</v>
          </cell>
          <cell r="Y271">
            <v>0</v>
          </cell>
          <cell r="Z271">
            <v>48</v>
          </cell>
          <cell r="AA271">
            <v>288</v>
          </cell>
          <cell r="AB271">
            <v>-70</v>
          </cell>
          <cell r="AC271">
            <v>0</v>
          </cell>
          <cell r="AD271">
            <v>266</v>
          </cell>
          <cell r="AE271">
            <v>3912</v>
          </cell>
          <cell r="AF271">
            <v>417.9</v>
          </cell>
          <cell r="AH271">
            <v>0</v>
          </cell>
          <cell r="AI271">
            <v>9000</v>
          </cell>
          <cell r="AJ271">
            <v>9417.9</v>
          </cell>
          <cell r="AK271">
            <v>-5505.9</v>
          </cell>
          <cell r="AL271">
            <v>0</v>
          </cell>
          <cell r="AM271">
            <v>1000</v>
          </cell>
          <cell r="AN271">
            <v>2494.1</v>
          </cell>
          <cell r="AO271">
            <v>2500</v>
          </cell>
          <cell r="AP271">
            <v>3500</v>
          </cell>
          <cell r="AQ271">
            <v>1</v>
          </cell>
          <cell r="AR271">
            <v>3</v>
          </cell>
        </row>
        <row r="272">
          <cell r="D272" t="str">
            <v>A1020</v>
          </cell>
          <cell r="E272" t="str">
            <v>Trần Thị Cẩm Hường</v>
          </cell>
          <cell r="F272" t="str">
            <v>CI.1</v>
          </cell>
          <cell r="G272" t="str">
            <v>Công nhân</v>
          </cell>
          <cell r="H272" t="str">
            <v>T11/17</v>
          </cell>
          <cell r="I272" t="str">
            <v>11.I</v>
          </cell>
          <cell r="J272">
            <v>3750</v>
          </cell>
          <cell r="K272">
            <v>9</v>
          </cell>
          <cell r="L272">
            <v>0</v>
          </cell>
          <cell r="M272">
            <v>1</v>
          </cell>
          <cell r="N272">
            <v>0</v>
          </cell>
          <cell r="O272">
            <v>0</v>
          </cell>
          <cell r="P272">
            <v>6</v>
          </cell>
          <cell r="Q272">
            <v>0</v>
          </cell>
          <cell r="R272">
            <v>16</v>
          </cell>
          <cell r="S272">
            <v>60</v>
          </cell>
          <cell r="T272">
            <v>12</v>
          </cell>
          <cell r="U272">
            <v>0</v>
          </cell>
          <cell r="V272">
            <v>2472</v>
          </cell>
          <cell r="W272">
            <v>1979</v>
          </cell>
          <cell r="X272">
            <v>4451</v>
          </cell>
          <cell r="Y272">
            <v>0</v>
          </cell>
          <cell r="Z272">
            <v>0</v>
          </cell>
          <cell r="AA272">
            <v>336</v>
          </cell>
          <cell r="AB272">
            <v>-70</v>
          </cell>
          <cell r="AC272">
            <v>0</v>
          </cell>
          <cell r="AD272">
            <v>266</v>
          </cell>
          <cell r="AE272">
            <v>4717</v>
          </cell>
          <cell r="AF272">
            <v>417.9</v>
          </cell>
          <cell r="AH272">
            <v>0</v>
          </cell>
          <cell r="AI272">
            <v>9000</v>
          </cell>
          <cell r="AJ272">
            <v>9417.9</v>
          </cell>
          <cell r="AK272">
            <v>-4700.8999999999996</v>
          </cell>
          <cell r="AL272">
            <v>0</v>
          </cell>
          <cell r="AM272">
            <v>2000</v>
          </cell>
          <cell r="AN272">
            <v>2299.1000000000004</v>
          </cell>
          <cell r="AO272">
            <v>2300</v>
          </cell>
          <cell r="AP272">
            <v>4300</v>
          </cell>
          <cell r="AQ272">
            <v>1</v>
          </cell>
          <cell r="AR272">
            <v>1</v>
          </cell>
        </row>
        <row r="273">
          <cell r="D273" t="str">
            <v>A1024</v>
          </cell>
          <cell r="E273" t="str">
            <v>Ngô Trọng Kính</v>
          </cell>
          <cell r="F273" t="str">
            <v>CD</v>
          </cell>
          <cell r="G273" t="str">
            <v>Nhân viên Cơ điện</v>
          </cell>
          <cell r="H273" t="str">
            <v>T11/17</v>
          </cell>
          <cell r="I273" t="str">
            <v>7.I</v>
          </cell>
          <cell r="J273">
            <v>4290</v>
          </cell>
          <cell r="K273">
            <v>14</v>
          </cell>
          <cell r="L273">
            <v>10</v>
          </cell>
          <cell r="M273">
            <v>1</v>
          </cell>
          <cell r="N273">
            <v>0</v>
          </cell>
          <cell r="O273">
            <v>0</v>
          </cell>
          <cell r="P273">
            <v>0</v>
          </cell>
          <cell r="Q273">
            <v>2</v>
          </cell>
          <cell r="R273">
            <v>27</v>
          </cell>
          <cell r="S273">
            <v>70.5</v>
          </cell>
          <cell r="T273">
            <v>48</v>
          </cell>
          <cell r="U273">
            <v>0</v>
          </cell>
          <cell r="V273">
            <v>4290</v>
          </cell>
          <cell r="W273">
            <v>4007</v>
          </cell>
          <cell r="X273">
            <v>8297</v>
          </cell>
          <cell r="Y273">
            <v>1710</v>
          </cell>
          <cell r="Z273">
            <v>0</v>
          </cell>
          <cell r="AA273">
            <v>224</v>
          </cell>
          <cell r="AB273">
            <v>-210</v>
          </cell>
          <cell r="AC273">
            <v>0</v>
          </cell>
          <cell r="AD273">
            <v>1724</v>
          </cell>
          <cell r="AE273">
            <v>10021</v>
          </cell>
          <cell r="AF273">
            <v>450.45</v>
          </cell>
          <cell r="AH273">
            <v>0</v>
          </cell>
          <cell r="AI273">
            <v>9000</v>
          </cell>
          <cell r="AJ273">
            <v>9450.4500000000007</v>
          </cell>
          <cell r="AK273">
            <v>570.54999999999927</v>
          </cell>
          <cell r="AL273">
            <v>29</v>
          </cell>
          <cell r="AM273">
            <v>2000</v>
          </cell>
          <cell r="AN273">
            <v>7541.5499999999993</v>
          </cell>
          <cell r="AO273">
            <v>7540</v>
          </cell>
          <cell r="AP273">
            <v>9540</v>
          </cell>
          <cell r="AQ273">
            <v>1</v>
          </cell>
          <cell r="AR273">
            <v>0</v>
          </cell>
        </row>
        <row r="274">
          <cell r="D274" t="str">
            <v>A1025</v>
          </cell>
          <cell r="E274" t="str">
            <v>Phạm Thị Ngọc Ánh</v>
          </cell>
          <cell r="F274" t="str">
            <v>TN</v>
          </cell>
          <cell r="G274" t="str">
            <v>Nhân viên phòng thí nghiệm</v>
          </cell>
          <cell r="H274" t="str">
            <v>T11/17</v>
          </cell>
          <cell r="I274" t="str">
            <v>4.I</v>
          </cell>
          <cell r="J274">
            <v>4511</v>
          </cell>
          <cell r="K274">
            <v>2</v>
          </cell>
          <cell r="L274">
            <v>13</v>
          </cell>
          <cell r="M274">
            <v>1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16</v>
          </cell>
          <cell r="S274">
            <v>9.5</v>
          </cell>
          <cell r="T274">
            <v>0</v>
          </cell>
          <cell r="U274">
            <v>0</v>
          </cell>
          <cell r="V274">
            <v>2673</v>
          </cell>
          <cell r="W274">
            <v>298</v>
          </cell>
          <cell r="X274">
            <v>2971</v>
          </cell>
          <cell r="Y274">
            <v>1459.5555555555557</v>
          </cell>
          <cell r="Z274">
            <v>0</v>
          </cell>
          <cell r="AA274">
            <v>32</v>
          </cell>
          <cell r="AB274">
            <v>-150</v>
          </cell>
          <cell r="AC274">
            <v>0</v>
          </cell>
          <cell r="AD274">
            <v>1341.5555555555557</v>
          </cell>
          <cell r="AE274">
            <v>4313</v>
          </cell>
          <cell r="AF274">
            <v>473.65499999999997</v>
          </cell>
          <cell r="AH274">
            <v>0</v>
          </cell>
          <cell r="AI274">
            <v>9000</v>
          </cell>
          <cell r="AJ274">
            <v>9473.6550000000007</v>
          </cell>
          <cell r="AK274">
            <v>-5160.6550000000007</v>
          </cell>
          <cell r="AL274">
            <v>0</v>
          </cell>
          <cell r="AM274">
            <v>0</v>
          </cell>
          <cell r="AN274">
            <v>3839.3450000000003</v>
          </cell>
          <cell r="AO274">
            <v>3840</v>
          </cell>
          <cell r="AP274">
            <v>3840</v>
          </cell>
          <cell r="AQ274">
            <v>1</v>
          </cell>
          <cell r="AR274">
            <v>2.5</v>
          </cell>
        </row>
        <row r="275">
          <cell r="D275" t="str">
            <v>A309</v>
          </cell>
          <cell r="E275" t="str">
            <v>Nguyễn Thị Trang</v>
          </cell>
          <cell r="F275" t="str">
            <v>QCE</v>
          </cell>
          <cell r="G275" t="str">
            <v xml:space="preserve">Công nhân </v>
          </cell>
          <cell r="H275" t="str">
            <v>T11/17</v>
          </cell>
          <cell r="I275" t="str">
            <v>8.I</v>
          </cell>
          <cell r="J275">
            <v>4440</v>
          </cell>
          <cell r="K275">
            <v>13</v>
          </cell>
          <cell r="L275">
            <v>1.5</v>
          </cell>
          <cell r="M275">
            <v>1</v>
          </cell>
          <cell r="N275">
            <v>0</v>
          </cell>
          <cell r="O275">
            <v>0</v>
          </cell>
          <cell r="P275">
            <v>0</v>
          </cell>
          <cell r="Q275">
            <v>0.5</v>
          </cell>
          <cell r="R275">
            <v>16</v>
          </cell>
          <cell r="S275">
            <v>95</v>
          </cell>
          <cell r="T275">
            <v>23.5</v>
          </cell>
          <cell r="U275">
            <v>0</v>
          </cell>
          <cell r="V275">
            <v>2631</v>
          </cell>
          <cell r="W275">
            <v>3895</v>
          </cell>
          <cell r="X275">
            <v>6526</v>
          </cell>
          <cell r="Y275">
            <v>135.7037037037037</v>
          </cell>
          <cell r="Z275">
            <v>0</v>
          </cell>
          <cell r="AA275">
            <v>208</v>
          </cell>
          <cell r="AB275">
            <v>-70</v>
          </cell>
          <cell r="AC275">
            <v>0</v>
          </cell>
          <cell r="AD275">
            <v>273.7037037037037</v>
          </cell>
          <cell r="AE275">
            <v>6800</v>
          </cell>
          <cell r="AF275">
            <v>466.2</v>
          </cell>
          <cell r="AH275">
            <v>0</v>
          </cell>
          <cell r="AI275">
            <v>9000</v>
          </cell>
          <cell r="AJ275">
            <v>9466.2000000000007</v>
          </cell>
          <cell r="AK275">
            <v>-2666.2000000000007</v>
          </cell>
          <cell r="AL275">
            <v>0</v>
          </cell>
          <cell r="AM275">
            <v>0</v>
          </cell>
          <cell r="AN275">
            <v>6333.8</v>
          </cell>
          <cell r="AO275">
            <v>6340</v>
          </cell>
          <cell r="AP275">
            <v>6340</v>
          </cell>
          <cell r="AQ275">
            <v>1</v>
          </cell>
          <cell r="AR275">
            <v>1.5</v>
          </cell>
        </row>
        <row r="276">
          <cell r="D276" t="str">
            <v>A1027</v>
          </cell>
          <cell r="E276" t="str">
            <v>Trần Thị Ngọc Lan</v>
          </cell>
          <cell r="F276" t="e">
            <v>#N/A</v>
          </cell>
          <cell r="G276" t="str">
            <v>Quanly</v>
          </cell>
          <cell r="H276" t="str">
            <v>T12/17</v>
          </cell>
          <cell r="I276" t="str">
            <v>3.III</v>
          </cell>
          <cell r="J276">
            <v>6770</v>
          </cell>
          <cell r="K276" t="e">
            <v>#N/A</v>
          </cell>
          <cell r="L276" t="e">
            <v>#N/A</v>
          </cell>
          <cell r="M276" t="e">
            <v>#N/A</v>
          </cell>
          <cell r="N276" t="e">
            <v>#N/A</v>
          </cell>
          <cell r="O276" t="e">
            <v>#N/A</v>
          </cell>
          <cell r="P276" t="e">
            <v>#N/A</v>
          </cell>
          <cell r="Q276" t="e">
            <v>#N/A</v>
          </cell>
          <cell r="R276" t="e">
            <v>#N/A</v>
          </cell>
          <cell r="S276" t="e">
            <v>#N/A</v>
          </cell>
          <cell r="T276" t="e">
            <v>#N/A</v>
          </cell>
          <cell r="U276" t="e">
            <v>#N/A</v>
          </cell>
          <cell r="V276" t="e">
            <v>#N/A</v>
          </cell>
          <cell r="W276" t="e">
            <v>#N/A</v>
          </cell>
          <cell r="X276" t="e">
            <v>#N/A</v>
          </cell>
          <cell r="Y276" t="e">
            <v>#N/A</v>
          </cell>
          <cell r="Z276" t="e">
            <v>#N/A</v>
          </cell>
          <cell r="AA276" t="e">
            <v>#N/A</v>
          </cell>
          <cell r="AB276" t="e">
            <v>#N/A</v>
          </cell>
          <cell r="AC276">
            <v>0</v>
          </cell>
          <cell r="AD276" t="e">
            <v>#N/A</v>
          </cell>
          <cell r="AE276" t="e">
            <v>#N/A</v>
          </cell>
          <cell r="AF276">
            <v>710.85</v>
          </cell>
          <cell r="AH276">
            <v>0</v>
          </cell>
          <cell r="AI276">
            <v>9000</v>
          </cell>
          <cell r="AJ276">
            <v>9710.85</v>
          </cell>
          <cell r="AK276" t="e">
            <v>#N/A</v>
          </cell>
          <cell r="AL276" t="e">
            <v>#N/A</v>
          </cell>
          <cell r="AM276">
            <v>5000</v>
          </cell>
          <cell r="AN276" t="e">
            <v>#N/A</v>
          </cell>
          <cell r="AO276" t="e">
            <v>#N/A</v>
          </cell>
          <cell r="AP276" t="e">
            <v>#N/A</v>
          </cell>
          <cell r="AQ276">
            <v>1</v>
          </cell>
          <cell r="AR276" t="e">
            <v>#N/A</v>
          </cell>
        </row>
        <row r="277">
          <cell r="D277" t="str">
            <v>A663</v>
          </cell>
          <cell r="E277" t="str">
            <v>Trần Thị Cúc</v>
          </cell>
          <cell r="F277" t="str">
            <v>EN</v>
          </cell>
          <cell r="G277" t="str">
            <v>Công nhân</v>
          </cell>
          <cell r="H277" t="str">
            <v>T8/15</v>
          </cell>
          <cell r="I277" t="str">
            <v>8.I</v>
          </cell>
          <cell r="J277">
            <v>4290</v>
          </cell>
          <cell r="K277">
            <v>15</v>
          </cell>
          <cell r="L277">
            <v>0</v>
          </cell>
          <cell r="M277">
            <v>1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16</v>
          </cell>
          <cell r="S277">
            <v>69</v>
          </cell>
          <cell r="T277">
            <v>0</v>
          </cell>
          <cell r="U277">
            <v>0</v>
          </cell>
          <cell r="V277">
            <v>2542</v>
          </cell>
          <cell r="W277">
            <v>2056</v>
          </cell>
          <cell r="X277">
            <v>4598</v>
          </cell>
          <cell r="Y277">
            <v>0</v>
          </cell>
          <cell r="Z277">
            <v>0</v>
          </cell>
          <cell r="AA277">
            <v>240</v>
          </cell>
          <cell r="AB277">
            <v>-70</v>
          </cell>
          <cell r="AC277">
            <v>0</v>
          </cell>
          <cell r="AD277">
            <v>170</v>
          </cell>
          <cell r="AE277">
            <v>4768</v>
          </cell>
          <cell r="AF277">
            <v>443.1</v>
          </cell>
          <cell r="AH277">
            <v>0</v>
          </cell>
          <cell r="AI277">
            <v>9000</v>
          </cell>
          <cell r="AJ277">
            <v>9443.1</v>
          </cell>
          <cell r="AK277">
            <v>-4675.1000000000004</v>
          </cell>
          <cell r="AL277">
            <v>0</v>
          </cell>
          <cell r="AM277">
            <v>2000</v>
          </cell>
          <cell r="AN277">
            <v>2324.8999999999996</v>
          </cell>
          <cell r="AO277">
            <v>2330</v>
          </cell>
          <cell r="AP277">
            <v>4330</v>
          </cell>
          <cell r="AQ277">
            <v>1</v>
          </cell>
          <cell r="AR277">
            <v>3</v>
          </cell>
        </row>
        <row r="278">
          <cell r="D278" t="str">
            <v>A601</v>
          </cell>
          <cell r="E278" t="str">
            <v>Đào Nhã Tâm</v>
          </cell>
          <cell r="F278" t="str">
            <v>Gián tiếp</v>
          </cell>
          <cell r="G278" t="str">
            <v>Quanly</v>
          </cell>
          <cell r="H278" t="str">
            <v>T4/15</v>
          </cell>
          <cell r="I278" t="str">
            <v>3.III</v>
          </cell>
          <cell r="J278">
            <v>10260</v>
          </cell>
          <cell r="K278">
            <v>0</v>
          </cell>
          <cell r="L278">
            <v>24</v>
          </cell>
          <cell r="M278">
            <v>1</v>
          </cell>
          <cell r="N278">
            <v>0</v>
          </cell>
          <cell r="O278">
            <v>0</v>
          </cell>
          <cell r="P278">
            <v>0</v>
          </cell>
          <cell r="Q278">
            <v>2</v>
          </cell>
          <cell r="R278">
            <v>27</v>
          </cell>
          <cell r="S278">
            <v>0</v>
          </cell>
          <cell r="T278">
            <v>0</v>
          </cell>
          <cell r="U278">
            <v>0</v>
          </cell>
          <cell r="V278">
            <v>10260</v>
          </cell>
          <cell r="W278">
            <v>0</v>
          </cell>
          <cell r="X278">
            <v>10260</v>
          </cell>
          <cell r="Y278">
            <v>14048</v>
          </cell>
          <cell r="Z278">
            <v>16</v>
          </cell>
          <cell r="AA278">
            <v>0</v>
          </cell>
          <cell r="AB278">
            <v>0</v>
          </cell>
          <cell r="AC278">
            <v>0</v>
          </cell>
          <cell r="AD278">
            <v>14064</v>
          </cell>
          <cell r="AE278">
            <v>24324</v>
          </cell>
          <cell r="AF278">
            <v>710.85</v>
          </cell>
          <cell r="AH278">
            <v>1</v>
          </cell>
          <cell r="AI278">
            <v>12600</v>
          </cell>
          <cell r="AJ278">
            <v>13310.85</v>
          </cell>
          <cell r="AK278">
            <v>11013.15</v>
          </cell>
          <cell r="AL278">
            <v>902</v>
          </cell>
          <cell r="AM278">
            <v>0</v>
          </cell>
          <cell r="AN278">
            <v>22711.15</v>
          </cell>
          <cell r="AO278">
            <v>22710</v>
          </cell>
          <cell r="AP278">
            <v>22710</v>
          </cell>
          <cell r="AQ278">
            <v>1</v>
          </cell>
          <cell r="AR278">
            <v>-2</v>
          </cell>
        </row>
        <row r="279">
          <cell r="D279" t="str">
            <v>A435</v>
          </cell>
          <cell r="E279" t="str">
            <v>Châu Thanh Kiệt</v>
          </cell>
          <cell r="F279" t="str">
            <v>EN</v>
          </cell>
          <cell r="G279" t="str">
            <v>Trưởng ca</v>
          </cell>
          <cell r="H279" t="str">
            <v>T12/13</v>
          </cell>
          <cell r="I279" t="str">
            <v>5.I</v>
          </cell>
          <cell r="J279">
            <v>4740</v>
          </cell>
          <cell r="K279">
            <v>12</v>
          </cell>
          <cell r="L279">
            <v>1</v>
          </cell>
          <cell r="M279">
            <v>1</v>
          </cell>
          <cell r="N279">
            <v>0</v>
          </cell>
          <cell r="O279">
            <v>0</v>
          </cell>
          <cell r="P279">
            <v>0</v>
          </cell>
          <cell r="Q279">
            <v>1</v>
          </cell>
          <cell r="R279">
            <v>15</v>
          </cell>
          <cell r="S279">
            <v>54</v>
          </cell>
          <cell r="T279">
            <v>0</v>
          </cell>
          <cell r="U279">
            <v>0</v>
          </cell>
          <cell r="V279">
            <v>2633</v>
          </cell>
          <cell r="W279">
            <v>1778</v>
          </cell>
          <cell r="X279">
            <v>4411</v>
          </cell>
          <cell r="Y279">
            <v>0</v>
          </cell>
          <cell r="Z279">
            <v>64</v>
          </cell>
          <cell r="AA279">
            <v>192</v>
          </cell>
          <cell r="AB279">
            <v>-150</v>
          </cell>
          <cell r="AC279">
            <v>0</v>
          </cell>
          <cell r="AD279">
            <v>106</v>
          </cell>
          <cell r="AE279">
            <v>4517</v>
          </cell>
          <cell r="AF279">
            <v>465.78</v>
          </cell>
          <cell r="AH279">
            <v>0</v>
          </cell>
          <cell r="AI279">
            <v>9000</v>
          </cell>
          <cell r="AJ279">
            <v>9465.7800000000007</v>
          </cell>
          <cell r="AK279">
            <v>-4948.7800000000007</v>
          </cell>
          <cell r="AL279">
            <v>0</v>
          </cell>
          <cell r="AM279">
            <v>2000</v>
          </cell>
          <cell r="AN279">
            <v>2051.2200000000003</v>
          </cell>
          <cell r="AO279">
            <v>2050</v>
          </cell>
          <cell r="AP279">
            <v>4050</v>
          </cell>
          <cell r="AQ279">
            <v>1</v>
          </cell>
          <cell r="AR279">
            <v>0</v>
          </cell>
        </row>
        <row r="280">
          <cell r="D280" t="str">
            <v>A1029</v>
          </cell>
          <cell r="E280" t="str">
            <v>Võ Kế Hậu</v>
          </cell>
          <cell r="F280" t="str">
            <v>CII.4</v>
          </cell>
          <cell r="G280" t="str">
            <v>Trưởng ca</v>
          </cell>
          <cell r="H280" t="str">
            <v>T1/18</v>
          </cell>
          <cell r="I280" t="str">
            <v>5.I</v>
          </cell>
          <cell r="J280">
            <v>4436</v>
          </cell>
          <cell r="K280">
            <v>9.5</v>
          </cell>
          <cell r="L280">
            <v>3</v>
          </cell>
          <cell r="M280">
            <v>1</v>
          </cell>
          <cell r="N280">
            <v>0</v>
          </cell>
          <cell r="O280">
            <v>0</v>
          </cell>
          <cell r="P280">
            <v>6</v>
          </cell>
          <cell r="Q280">
            <v>0.5</v>
          </cell>
          <cell r="R280">
            <v>20</v>
          </cell>
          <cell r="S280">
            <v>62</v>
          </cell>
          <cell r="T280">
            <v>20</v>
          </cell>
          <cell r="U280">
            <v>0</v>
          </cell>
          <cell r="V280">
            <v>3582</v>
          </cell>
          <cell r="W280">
            <v>2731</v>
          </cell>
          <cell r="X280">
            <v>6313</v>
          </cell>
          <cell r="Y280">
            <v>2761.4814814814813</v>
          </cell>
          <cell r="Z280">
            <v>32</v>
          </cell>
          <cell r="AA280">
            <v>344</v>
          </cell>
          <cell r="AB280">
            <v>0</v>
          </cell>
          <cell r="AC280">
            <v>-1038.0239999999999</v>
          </cell>
          <cell r="AD280">
            <v>2099.4574814814814</v>
          </cell>
          <cell r="AE280">
            <v>8412</v>
          </cell>
          <cell r="AF280">
            <v>465.78</v>
          </cell>
          <cell r="AH280">
            <v>0</v>
          </cell>
          <cell r="AI280">
            <v>9000</v>
          </cell>
          <cell r="AJ280">
            <v>9465.7800000000007</v>
          </cell>
          <cell r="AK280">
            <v>-1053.7800000000007</v>
          </cell>
          <cell r="AL280">
            <v>0</v>
          </cell>
          <cell r="AM280">
            <v>2000</v>
          </cell>
          <cell r="AN280">
            <v>5946.22</v>
          </cell>
          <cell r="AO280">
            <v>5950</v>
          </cell>
          <cell r="AP280">
            <v>7950</v>
          </cell>
          <cell r="AQ280">
            <v>0</v>
          </cell>
          <cell r="AR280">
            <v>-1.5</v>
          </cell>
        </row>
        <row r="281">
          <cell r="D281" t="str">
            <v>A1030</v>
          </cell>
          <cell r="E281" t="str">
            <v>Ngô Hoàng Nam</v>
          </cell>
          <cell r="F281" t="str">
            <v>Gián tiếp</v>
          </cell>
          <cell r="G281" t="str">
            <v>Kỹ thuật</v>
          </cell>
          <cell r="H281" t="str">
            <v>T1/18</v>
          </cell>
          <cell r="I281" t="str">
            <v>5.I</v>
          </cell>
          <cell r="J281">
            <v>4436</v>
          </cell>
          <cell r="K281">
            <v>0</v>
          </cell>
          <cell r="L281">
            <v>14</v>
          </cell>
          <cell r="M281">
            <v>1</v>
          </cell>
          <cell r="N281">
            <v>0</v>
          </cell>
          <cell r="O281">
            <v>0</v>
          </cell>
          <cell r="P281">
            <v>0</v>
          </cell>
          <cell r="Q281">
            <v>1</v>
          </cell>
          <cell r="R281">
            <v>16</v>
          </cell>
          <cell r="S281">
            <v>0</v>
          </cell>
          <cell r="T281">
            <v>0</v>
          </cell>
          <cell r="U281">
            <v>0</v>
          </cell>
          <cell r="V281">
            <v>2629</v>
          </cell>
          <cell r="W281">
            <v>0</v>
          </cell>
          <cell r="X281">
            <v>2629</v>
          </cell>
          <cell r="Y281">
            <v>926.81481481481478</v>
          </cell>
          <cell r="Z281">
            <v>0</v>
          </cell>
          <cell r="AA281">
            <v>0</v>
          </cell>
          <cell r="AB281">
            <v>-300</v>
          </cell>
          <cell r="AC281">
            <v>0</v>
          </cell>
          <cell r="AD281">
            <v>626.81481481481478</v>
          </cell>
          <cell r="AE281">
            <v>3256</v>
          </cell>
          <cell r="AF281">
            <v>465.78</v>
          </cell>
          <cell r="AH281">
            <v>0</v>
          </cell>
          <cell r="AI281">
            <v>9000</v>
          </cell>
          <cell r="AJ281">
            <v>9465.7800000000007</v>
          </cell>
          <cell r="AK281">
            <v>-6209.7800000000007</v>
          </cell>
          <cell r="AL281">
            <v>0</v>
          </cell>
          <cell r="AM281">
            <v>0</v>
          </cell>
          <cell r="AN281">
            <v>2790.2200000000003</v>
          </cell>
          <cell r="AO281">
            <v>2790</v>
          </cell>
          <cell r="AP281">
            <v>2790</v>
          </cell>
          <cell r="AQ281">
            <v>0</v>
          </cell>
          <cell r="AR281">
            <v>-4</v>
          </cell>
        </row>
        <row r="282">
          <cell r="D282" t="str">
            <v>A1032</v>
          </cell>
          <cell r="E282" t="str">
            <v>Đặng Duy Vũ</v>
          </cell>
          <cell r="F282" t="str">
            <v>CII.4</v>
          </cell>
          <cell r="G282" t="str">
            <v>Trưởng ca</v>
          </cell>
          <cell r="H282" t="str">
            <v>T1/18</v>
          </cell>
          <cell r="I282" t="str">
            <v>5.I</v>
          </cell>
          <cell r="J282">
            <v>4436</v>
          </cell>
          <cell r="K282">
            <v>11</v>
          </cell>
          <cell r="L282">
            <v>4</v>
          </cell>
          <cell r="M282">
            <v>1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16</v>
          </cell>
          <cell r="S282">
            <v>44</v>
          </cell>
          <cell r="T282">
            <v>0</v>
          </cell>
          <cell r="U282">
            <v>0</v>
          </cell>
          <cell r="V282">
            <v>2629</v>
          </cell>
          <cell r="W282">
            <v>1355</v>
          </cell>
          <cell r="X282">
            <v>3984</v>
          </cell>
          <cell r="Y282">
            <v>1223.1111111111111</v>
          </cell>
          <cell r="Z282">
            <v>0</v>
          </cell>
          <cell r="AA282">
            <v>176</v>
          </cell>
          <cell r="AB282">
            <v>0</v>
          </cell>
          <cell r="AC282">
            <v>0</v>
          </cell>
          <cell r="AD282">
            <v>1399.1111111111111</v>
          </cell>
          <cell r="AE282">
            <v>5383</v>
          </cell>
          <cell r="AF282">
            <v>0</v>
          </cell>
          <cell r="AH282">
            <v>0</v>
          </cell>
          <cell r="AI282">
            <v>9000</v>
          </cell>
          <cell r="AJ282">
            <v>9000</v>
          </cell>
          <cell r="AK282">
            <v>-3617</v>
          </cell>
          <cell r="AL282">
            <v>0</v>
          </cell>
          <cell r="AM282">
            <v>2000</v>
          </cell>
          <cell r="AN282">
            <v>3383</v>
          </cell>
          <cell r="AO282">
            <v>3390</v>
          </cell>
          <cell r="AP282">
            <v>5390</v>
          </cell>
          <cell r="AQ282">
            <v>0</v>
          </cell>
          <cell r="AR282">
            <v>-2.5</v>
          </cell>
        </row>
        <row r="283">
          <cell r="D283" t="str">
            <v>A1033</v>
          </cell>
          <cell r="E283" t="str">
            <v>Lê Thị Kim Ngân</v>
          </cell>
          <cell r="F283" t="str">
            <v>Gián tiếp</v>
          </cell>
          <cell r="G283" t="str">
            <v>Nhân viên thống kê</v>
          </cell>
          <cell r="H283" t="str">
            <v>T2/18</v>
          </cell>
          <cell r="I283" t="str">
            <v>6.I</v>
          </cell>
          <cell r="J283">
            <v>4361</v>
          </cell>
          <cell r="K283">
            <v>0</v>
          </cell>
          <cell r="L283">
            <v>26</v>
          </cell>
          <cell r="M283">
            <v>1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27</v>
          </cell>
          <cell r="S283">
            <v>0</v>
          </cell>
          <cell r="T283">
            <v>0</v>
          </cell>
          <cell r="U283">
            <v>0</v>
          </cell>
          <cell r="V283">
            <v>4361</v>
          </cell>
          <cell r="W283">
            <v>0</v>
          </cell>
          <cell r="X283">
            <v>4361</v>
          </cell>
          <cell r="Y283">
            <v>2139</v>
          </cell>
          <cell r="Z283">
            <v>16</v>
          </cell>
          <cell r="AA283">
            <v>0</v>
          </cell>
          <cell r="AB283">
            <v>-150</v>
          </cell>
          <cell r="AC283">
            <v>0</v>
          </cell>
          <cell r="AD283">
            <v>2005</v>
          </cell>
          <cell r="AE283">
            <v>6366</v>
          </cell>
          <cell r="AF283">
            <v>0</v>
          </cell>
          <cell r="AH283">
            <v>0</v>
          </cell>
          <cell r="AI283">
            <v>9000</v>
          </cell>
          <cell r="AJ283">
            <v>9000</v>
          </cell>
          <cell r="AK283">
            <v>-2634</v>
          </cell>
          <cell r="AL283">
            <v>0</v>
          </cell>
          <cell r="AM283">
            <v>0</v>
          </cell>
          <cell r="AN283">
            <v>6366</v>
          </cell>
          <cell r="AO283">
            <v>6370</v>
          </cell>
          <cell r="AP283">
            <v>6370</v>
          </cell>
          <cell r="AQ283">
            <v>0</v>
          </cell>
          <cell r="AR283">
            <v>0</v>
          </cell>
        </row>
        <row r="284">
          <cell r="D284" t="str">
            <v>A1038</v>
          </cell>
          <cell r="E284" t="str">
            <v>Hồ Nhựt  Minh</v>
          </cell>
          <cell r="F284" t="str">
            <v>CD</v>
          </cell>
          <cell r="G284" t="str">
            <v>Nhân viên bảo trì</v>
          </cell>
          <cell r="H284" t="str">
            <v>T2/18</v>
          </cell>
          <cell r="I284" t="str">
            <v>5.I</v>
          </cell>
          <cell r="J284">
            <v>4436</v>
          </cell>
          <cell r="K284">
            <v>13</v>
          </cell>
          <cell r="L284">
            <v>2</v>
          </cell>
          <cell r="M284">
            <v>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16</v>
          </cell>
          <cell r="S284">
            <v>57</v>
          </cell>
          <cell r="T284">
            <v>11</v>
          </cell>
          <cell r="U284">
            <v>0</v>
          </cell>
          <cell r="V284">
            <v>2629</v>
          </cell>
          <cell r="W284">
            <v>2208</v>
          </cell>
          <cell r="X284">
            <v>4837</v>
          </cell>
          <cell r="Y284">
            <v>1223.1111111111111</v>
          </cell>
          <cell r="Z284">
            <v>16</v>
          </cell>
          <cell r="AA284">
            <v>208</v>
          </cell>
          <cell r="AB284">
            <v>-300</v>
          </cell>
          <cell r="AC284">
            <v>0</v>
          </cell>
          <cell r="AD284">
            <v>1147.1111111111111</v>
          </cell>
          <cell r="AE284">
            <v>5984</v>
          </cell>
          <cell r="AF284">
            <v>0</v>
          </cell>
          <cell r="AH284">
            <v>0</v>
          </cell>
          <cell r="AI284">
            <v>9000</v>
          </cell>
          <cell r="AJ284">
            <v>9000</v>
          </cell>
          <cell r="AK284">
            <v>-3016</v>
          </cell>
          <cell r="AL284">
            <v>0</v>
          </cell>
          <cell r="AM284">
            <v>2000</v>
          </cell>
          <cell r="AN284">
            <v>3984</v>
          </cell>
          <cell r="AO284">
            <v>3990</v>
          </cell>
          <cell r="AP284">
            <v>5990</v>
          </cell>
          <cell r="AQ284">
            <v>0</v>
          </cell>
          <cell r="AR284">
            <v>0</v>
          </cell>
        </row>
        <row r="285">
          <cell r="D285" t="str">
            <v>A1035</v>
          </cell>
          <cell r="E285" t="str">
            <v>Huỳnh Mỹ Xuân</v>
          </cell>
          <cell r="F285" t="e">
            <v>#N/A</v>
          </cell>
          <cell r="G285" t="str">
            <v>Nhân viên HC-NS</v>
          </cell>
          <cell r="H285" t="str">
            <v>T2/18</v>
          </cell>
          <cell r="I285" t="str">
            <v>4.I</v>
          </cell>
          <cell r="J285">
            <v>4511</v>
          </cell>
          <cell r="K285" t="e">
            <v>#N/A</v>
          </cell>
          <cell r="L285" t="e">
            <v>#N/A</v>
          </cell>
          <cell r="M285" t="e">
            <v>#N/A</v>
          </cell>
          <cell r="N285" t="e">
            <v>#N/A</v>
          </cell>
          <cell r="O285" t="e">
            <v>#N/A</v>
          </cell>
          <cell r="P285" t="e">
            <v>#N/A</v>
          </cell>
          <cell r="Q285" t="e">
            <v>#N/A</v>
          </cell>
          <cell r="R285" t="e">
            <v>#N/A</v>
          </cell>
          <cell r="S285" t="e">
            <v>#N/A</v>
          </cell>
          <cell r="T285" t="e">
            <v>#N/A</v>
          </cell>
          <cell r="U285" t="e">
            <v>#N/A</v>
          </cell>
          <cell r="V285" t="e">
            <v>#N/A</v>
          </cell>
          <cell r="W285" t="e">
            <v>#N/A</v>
          </cell>
          <cell r="X285" t="e">
            <v>#N/A</v>
          </cell>
          <cell r="Y285" t="e">
            <v>#N/A</v>
          </cell>
          <cell r="Z285" t="e">
            <v>#N/A</v>
          </cell>
          <cell r="AA285" t="e">
            <v>#N/A</v>
          </cell>
          <cell r="AB285" t="e">
            <v>#N/A</v>
          </cell>
          <cell r="AC285">
            <v>0</v>
          </cell>
          <cell r="AD285" t="e">
            <v>#N/A</v>
          </cell>
          <cell r="AE285" t="e">
            <v>#N/A</v>
          </cell>
          <cell r="AF285">
            <v>0</v>
          </cell>
          <cell r="AH285">
            <v>0</v>
          </cell>
          <cell r="AI285">
            <v>9000</v>
          </cell>
          <cell r="AJ285">
            <v>9000</v>
          </cell>
          <cell r="AK285" t="e">
            <v>#N/A</v>
          </cell>
          <cell r="AL285" t="e">
            <v>#N/A</v>
          </cell>
          <cell r="AM285">
            <v>0</v>
          </cell>
          <cell r="AN285" t="e">
            <v>#N/A</v>
          </cell>
          <cell r="AO285" t="e">
            <v>#N/A</v>
          </cell>
          <cell r="AP285" t="e">
            <v>#N/A</v>
          </cell>
          <cell r="AQ285">
            <v>0</v>
          </cell>
          <cell r="AR285" t="e">
            <v>#N/A</v>
          </cell>
        </row>
        <row r="286">
          <cell r="D286" t="str">
            <v>A1042</v>
          </cell>
          <cell r="E286" t="str">
            <v>Diệp Hoài Ân</v>
          </cell>
          <cell r="F286" t="str">
            <v>CI.1</v>
          </cell>
          <cell r="G286" t="str">
            <v>Công nhân</v>
          </cell>
          <cell r="H286" t="str">
            <v>T2/18</v>
          </cell>
          <cell r="I286" t="str">
            <v>11.I</v>
          </cell>
          <cell r="J286">
            <v>3500</v>
          </cell>
          <cell r="K286">
            <v>0</v>
          </cell>
          <cell r="L286">
            <v>0</v>
          </cell>
          <cell r="M286">
            <v>1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1</v>
          </cell>
          <cell r="S286">
            <v>0</v>
          </cell>
          <cell r="T286">
            <v>0</v>
          </cell>
          <cell r="U286">
            <v>0</v>
          </cell>
          <cell r="V286">
            <v>130</v>
          </cell>
          <cell r="W286">
            <v>0</v>
          </cell>
          <cell r="X286">
            <v>130</v>
          </cell>
          <cell r="Y286">
            <v>0</v>
          </cell>
          <cell r="Z286">
            <v>16</v>
          </cell>
          <cell r="AA286">
            <v>0</v>
          </cell>
          <cell r="AB286">
            <v>-70</v>
          </cell>
          <cell r="AC286">
            <v>0</v>
          </cell>
          <cell r="AD286">
            <v>-54</v>
          </cell>
          <cell r="AE286">
            <v>76</v>
          </cell>
          <cell r="AF286">
            <v>0</v>
          </cell>
          <cell r="AH286">
            <v>0</v>
          </cell>
          <cell r="AI286">
            <v>9000</v>
          </cell>
          <cell r="AJ286">
            <v>9000</v>
          </cell>
          <cell r="AK286">
            <v>-8924</v>
          </cell>
          <cell r="AL286">
            <v>0</v>
          </cell>
          <cell r="AM286">
            <v>2000</v>
          </cell>
          <cell r="AN286">
            <v>-1924</v>
          </cell>
          <cell r="AO286">
            <v>-1920</v>
          </cell>
          <cell r="AP286">
            <v>80</v>
          </cell>
          <cell r="AQ286">
            <v>0</v>
          </cell>
          <cell r="AR286">
            <v>-0.5</v>
          </cell>
        </row>
        <row r="287">
          <cell r="D287" t="str">
            <v>A1037</v>
          </cell>
          <cell r="E287" t="str">
            <v>Nguyễn Công Khanh</v>
          </cell>
          <cell r="F287" t="str">
            <v>CI.1</v>
          </cell>
          <cell r="G287" t="str">
            <v>Công nhân</v>
          </cell>
          <cell r="H287" t="str">
            <v>T2/18</v>
          </cell>
          <cell r="I287" t="str">
            <v>11.I</v>
          </cell>
          <cell r="J287">
            <v>3500</v>
          </cell>
          <cell r="K287">
            <v>4</v>
          </cell>
          <cell r="L287">
            <v>1</v>
          </cell>
          <cell r="M287">
            <v>1</v>
          </cell>
          <cell r="N287">
            <v>0</v>
          </cell>
          <cell r="O287">
            <v>0</v>
          </cell>
          <cell r="P287">
            <v>9</v>
          </cell>
          <cell r="Q287">
            <v>0</v>
          </cell>
          <cell r="R287">
            <v>15</v>
          </cell>
          <cell r="S287">
            <v>53</v>
          </cell>
          <cell r="T287">
            <v>20</v>
          </cell>
          <cell r="U287">
            <v>0</v>
          </cell>
          <cell r="V287">
            <v>2294</v>
          </cell>
          <cell r="W287">
            <v>1936</v>
          </cell>
          <cell r="X287">
            <v>4230</v>
          </cell>
          <cell r="Y287">
            <v>0</v>
          </cell>
          <cell r="Z287">
            <v>0</v>
          </cell>
          <cell r="AA287">
            <v>352</v>
          </cell>
          <cell r="AB287">
            <v>-70</v>
          </cell>
          <cell r="AC287">
            <v>0</v>
          </cell>
          <cell r="AD287">
            <v>282</v>
          </cell>
          <cell r="AE287">
            <v>4512</v>
          </cell>
          <cell r="AF287">
            <v>0</v>
          </cell>
          <cell r="AH287">
            <v>0</v>
          </cell>
          <cell r="AI287">
            <v>9000</v>
          </cell>
          <cell r="AJ287">
            <v>9000</v>
          </cell>
          <cell r="AK287">
            <v>-4488</v>
          </cell>
          <cell r="AL287">
            <v>0</v>
          </cell>
          <cell r="AM287">
            <v>2000</v>
          </cell>
          <cell r="AN287">
            <v>2512</v>
          </cell>
          <cell r="AO287">
            <v>2510</v>
          </cell>
          <cell r="AP287">
            <v>4510</v>
          </cell>
          <cell r="AQ287">
            <v>0</v>
          </cell>
          <cell r="AR287">
            <v>-1</v>
          </cell>
        </row>
        <row r="288">
          <cell r="D288" t="str">
            <v>A1039</v>
          </cell>
          <cell r="E288" t="str">
            <v>Đặng Văn Pháp</v>
          </cell>
          <cell r="F288" t="str">
            <v>CI.1</v>
          </cell>
          <cell r="G288" t="str">
            <v>Công nhân</v>
          </cell>
          <cell r="H288" t="str">
            <v>T2/18</v>
          </cell>
          <cell r="I288" t="str">
            <v>11.I</v>
          </cell>
          <cell r="J288">
            <v>3500</v>
          </cell>
          <cell r="K288">
            <v>6</v>
          </cell>
          <cell r="L288">
            <v>0</v>
          </cell>
          <cell r="M288">
            <v>1</v>
          </cell>
          <cell r="N288">
            <v>0</v>
          </cell>
          <cell r="O288">
            <v>0</v>
          </cell>
          <cell r="P288">
            <v>9</v>
          </cell>
          <cell r="Q288">
            <v>0</v>
          </cell>
          <cell r="R288">
            <v>16</v>
          </cell>
          <cell r="S288">
            <v>60</v>
          </cell>
          <cell r="T288">
            <v>20</v>
          </cell>
          <cell r="U288">
            <v>0</v>
          </cell>
          <cell r="V288">
            <v>2424</v>
          </cell>
          <cell r="W288">
            <v>2106</v>
          </cell>
          <cell r="X288">
            <v>4530</v>
          </cell>
          <cell r="Y288">
            <v>0</v>
          </cell>
          <cell r="Z288">
            <v>16</v>
          </cell>
          <cell r="AA288">
            <v>384</v>
          </cell>
          <cell r="AB288">
            <v>-70</v>
          </cell>
          <cell r="AC288">
            <v>0</v>
          </cell>
          <cell r="AD288">
            <v>330</v>
          </cell>
          <cell r="AE288">
            <v>4860</v>
          </cell>
          <cell r="AF288">
            <v>0</v>
          </cell>
          <cell r="AH288">
            <v>0</v>
          </cell>
          <cell r="AI288">
            <v>9000</v>
          </cell>
          <cell r="AJ288">
            <v>9000</v>
          </cell>
          <cell r="AK288">
            <v>-4140</v>
          </cell>
          <cell r="AL288">
            <v>0</v>
          </cell>
          <cell r="AM288">
            <v>500</v>
          </cell>
          <cell r="AN288">
            <v>4360</v>
          </cell>
          <cell r="AO288">
            <v>4360</v>
          </cell>
          <cell r="AP288">
            <v>4860</v>
          </cell>
          <cell r="AQ288">
            <v>0</v>
          </cell>
          <cell r="AR288">
            <v>0</v>
          </cell>
        </row>
        <row r="289">
          <cell r="D289" t="str">
            <v>A1040</v>
          </cell>
          <cell r="E289" t="str">
            <v>Hồ Văn Tân</v>
          </cell>
          <cell r="F289" t="str">
            <v>CI.1</v>
          </cell>
          <cell r="G289" t="str">
            <v>Công nhân</v>
          </cell>
          <cell r="H289" t="str">
            <v>T2/18</v>
          </cell>
          <cell r="I289" t="str">
            <v>11.I</v>
          </cell>
          <cell r="J289">
            <v>3500</v>
          </cell>
          <cell r="K289">
            <v>6</v>
          </cell>
          <cell r="L289">
            <v>0</v>
          </cell>
          <cell r="M289">
            <v>1</v>
          </cell>
          <cell r="N289">
            <v>0</v>
          </cell>
          <cell r="O289">
            <v>0</v>
          </cell>
          <cell r="P289">
            <v>9</v>
          </cell>
          <cell r="Q289">
            <v>0</v>
          </cell>
          <cell r="R289">
            <v>16</v>
          </cell>
          <cell r="S289">
            <v>60</v>
          </cell>
          <cell r="T289">
            <v>12</v>
          </cell>
          <cell r="U289">
            <v>0</v>
          </cell>
          <cell r="V289">
            <v>2424</v>
          </cell>
          <cell r="W289">
            <v>1847</v>
          </cell>
          <cell r="X289">
            <v>4271</v>
          </cell>
          <cell r="Y289">
            <v>0</v>
          </cell>
          <cell r="Z289">
            <v>16</v>
          </cell>
          <cell r="AA289">
            <v>384</v>
          </cell>
          <cell r="AB289">
            <v>-70</v>
          </cell>
          <cell r="AC289">
            <v>0</v>
          </cell>
          <cell r="AD289">
            <v>330</v>
          </cell>
          <cell r="AE289">
            <v>4601</v>
          </cell>
          <cell r="AF289">
            <v>0</v>
          </cell>
          <cell r="AH289">
            <v>0</v>
          </cell>
          <cell r="AI289">
            <v>9000</v>
          </cell>
          <cell r="AJ289">
            <v>9000</v>
          </cell>
          <cell r="AK289">
            <v>-4399</v>
          </cell>
          <cell r="AL289">
            <v>0</v>
          </cell>
          <cell r="AM289">
            <v>2000</v>
          </cell>
          <cell r="AN289">
            <v>2601</v>
          </cell>
          <cell r="AO289">
            <v>2600</v>
          </cell>
          <cell r="AP289">
            <v>4600</v>
          </cell>
          <cell r="AQ289">
            <v>0</v>
          </cell>
          <cell r="AR289">
            <v>0</v>
          </cell>
        </row>
        <row r="290">
          <cell r="D290" t="str">
            <v>A1041</v>
          </cell>
          <cell r="E290" t="str">
            <v>Nguyễn Chí Linh</v>
          </cell>
          <cell r="F290" t="str">
            <v>CI.1</v>
          </cell>
          <cell r="G290" t="str">
            <v>Công nhân</v>
          </cell>
          <cell r="H290" t="str">
            <v>T2/18</v>
          </cell>
          <cell r="I290" t="str">
            <v>11.I</v>
          </cell>
          <cell r="J290">
            <v>3500</v>
          </cell>
          <cell r="K290">
            <v>5</v>
          </cell>
          <cell r="L290">
            <v>0</v>
          </cell>
          <cell r="M290">
            <v>1</v>
          </cell>
          <cell r="N290">
            <v>0</v>
          </cell>
          <cell r="O290">
            <v>0</v>
          </cell>
          <cell r="P290">
            <v>9</v>
          </cell>
          <cell r="Q290">
            <v>0</v>
          </cell>
          <cell r="R290">
            <v>15</v>
          </cell>
          <cell r="S290">
            <v>56</v>
          </cell>
          <cell r="T290">
            <v>20</v>
          </cell>
          <cell r="U290">
            <v>0</v>
          </cell>
          <cell r="V290">
            <v>2294</v>
          </cell>
          <cell r="W290">
            <v>2009</v>
          </cell>
          <cell r="X290">
            <v>4303</v>
          </cell>
          <cell r="Y290">
            <v>0</v>
          </cell>
          <cell r="Z290">
            <v>16</v>
          </cell>
          <cell r="AA290">
            <v>368</v>
          </cell>
          <cell r="AB290">
            <v>-70</v>
          </cell>
          <cell r="AC290">
            <v>0</v>
          </cell>
          <cell r="AD290">
            <v>314</v>
          </cell>
          <cell r="AE290">
            <v>4617</v>
          </cell>
          <cell r="AF290">
            <v>0</v>
          </cell>
          <cell r="AH290">
            <v>0</v>
          </cell>
          <cell r="AI290">
            <v>9000</v>
          </cell>
          <cell r="AJ290">
            <v>9000</v>
          </cell>
          <cell r="AK290">
            <v>-4383</v>
          </cell>
          <cell r="AL290">
            <v>0</v>
          </cell>
          <cell r="AM290">
            <v>1000</v>
          </cell>
          <cell r="AN290">
            <v>3617</v>
          </cell>
          <cell r="AO290">
            <v>3620</v>
          </cell>
          <cell r="AP290">
            <v>4620</v>
          </cell>
          <cell r="AQ290">
            <v>0</v>
          </cell>
          <cell r="AR290">
            <v>0</v>
          </cell>
        </row>
        <row r="291">
          <cell r="D291" t="str">
            <v>A1044</v>
          </cell>
          <cell r="E291" t="str">
            <v>Dương Tấn Mạnh</v>
          </cell>
          <cell r="F291" t="str">
            <v>CI.1</v>
          </cell>
          <cell r="G291" t="str">
            <v>Công nhân</v>
          </cell>
          <cell r="H291" t="str">
            <v>T2/18</v>
          </cell>
          <cell r="I291" t="str">
            <v>11.I</v>
          </cell>
          <cell r="J291">
            <v>3500</v>
          </cell>
          <cell r="K291">
            <v>8</v>
          </cell>
          <cell r="L291">
            <v>0</v>
          </cell>
          <cell r="M291">
            <v>1</v>
          </cell>
          <cell r="N291">
            <v>0</v>
          </cell>
          <cell r="O291">
            <v>0</v>
          </cell>
          <cell r="P291">
            <v>6</v>
          </cell>
          <cell r="Q291">
            <v>1</v>
          </cell>
          <cell r="R291">
            <v>16</v>
          </cell>
          <cell r="S291">
            <v>56</v>
          </cell>
          <cell r="T291">
            <v>12</v>
          </cell>
          <cell r="U291">
            <v>0</v>
          </cell>
          <cell r="V291">
            <v>2307</v>
          </cell>
          <cell r="W291">
            <v>1750</v>
          </cell>
          <cell r="X291">
            <v>4057</v>
          </cell>
          <cell r="Y291">
            <v>0</v>
          </cell>
          <cell r="Z291">
            <v>0</v>
          </cell>
          <cell r="AA291">
            <v>320</v>
          </cell>
          <cell r="AB291">
            <v>-70</v>
          </cell>
          <cell r="AC291">
            <v>0</v>
          </cell>
          <cell r="AD291">
            <v>250</v>
          </cell>
          <cell r="AE291">
            <v>4307</v>
          </cell>
          <cell r="AF291">
            <v>0</v>
          </cell>
          <cell r="AH291">
            <v>0</v>
          </cell>
          <cell r="AI291">
            <v>9000</v>
          </cell>
          <cell r="AJ291">
            <v>9000</v>
          </cell>
          <cell r="AK291">
            <v>-4693</v>
          </cell>
          <cell r="AL291">
            <v>0</v>
          </cell>
          <cell r="AM291">
            <v>1000</v>
          </cell>
          <cell r="AN291">
            <v>3307</v>
          </cell>
          <cell r="AO291">
            <v>3310</v>
          </cell>
          <cell r="AP291">
            <v>4310</v>
          </cell>
          <cell r="AQ291">
            <v>0</v>
          </cell>
          <cell r="AR291">
            <v>-1</v>
          </cell>
        </row>
        <row r="292">
          <cell r="D292" t="str">
            <v>A1047</v>
          </cell>
          <cell r="E292" t="str">
            <v>Trần Lý Quản</v>
          </cell>
          <cell r="F292" t="str">
            <v>QCE</v>
          </cell>
          <cell r="G292" t="str">
            <v>Công nhân</v>
          </cell>
          <cell r="H292" t="str">
            <v>T2/18</v>
          </cell>
          <cell r="I292" t="str">
            <v>11.I</v>
          </cell>
          <cell r="J292">
            <v>3500</v>
          </cell>
          <cell r="K292">
            <v>2</v>
          </cell>
          <cell r="L292">
            <v>2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0</v>
          </cell>
          <cell r="R292">
            <v>6</v>
          </cell>
          <cell r="S292">
            <v>24</v>
          </cell>
          <cell r="T292">
            <v>0</v>
          </cell>
          <cell r="U292">
            <v>0</v>
          </cell>
          <cell r="V292">
            <v>817</v>
          </cell>
          <cell r="W292">
            <v>583</v>
          </cell>
          <cell r="X292">
            <v>1400</v>
          </cell>
          <cell r="Y292">
            <v>0</v>
          </cell>
          <cell r="Z292">
            <v>16</v>
          </cell>
          <cell r="AA292">
            <v>64</v>
          </cell>
          <cell r="AB292">
            <v>-70</v>
          </cell>
          <cell r="AC292">
            <v>0</v>
          </cell>
          <cell r="AD292">
            <v>10</v>
          </cell>
          <cell r="AE292">
            <v>1410</v>
          </cell>
          <cell r="AF292">
            <v>0</v>
          </cell>
          <cell r="AH292">
            <v>0</v>
          </cell>
          <cell r="AI292">
            <v>9000</v>
          </cell>
          <cell r="AJ292">
            <v>9000</v>
          </cell>
          <cell r="AK292">
            <v>-7590</v>
          </cell>
          <cell r="AL292">
            <v>0</v>
          </cell>
          <cell r="AM292">
            <v>2000</v>
          </cell>
          <cell r="AN292">
            <v>-590</v>
          </cell>
          <cell r="AO292">
            <v>-590</v>
          </cell>
          <cell r="AP292">
            <v>1410</v>
          </cell>
          <cell r="AQ292">
            <v>0</v>
          </cell>
          <cell r="AR292">
            <v>0</v>
          </cell>
        </row>
        <row r="293">
          <cell r="D293" t="str">
            <v>A1043</v>
          </cell>
          <cell r="E293" t="str">
            <v>Lê Thị Kim Nhí</v>
          </cell>
          <cell r="F293" t="str">
            <v>QCX</v>
          </cell>
          <cell r="G293" t="str">
            <v>Công nhân Xưởng 1</v>
          </cell>
          <cell r="H293" t="str">
            <v>T2/18</v>
          </cell>
          <cell r="I293" t="str">
            <v>11.I</v>
          </cell>
          <cell r="J293">
            <v>3500</v>
          </cell>
          <cell r="K293">
            <v>9</v>
          </cell>
          <cell r="L293">
            <v>0</v>
          </cell>
          <cell r="M293">
            <v>1</v>
          </cell>
          <cell r="N293">
            <v>0</v>
          </cell>
          <cell r="O293">
            <v>1</v>
          </cell>
          <cell r="P293">
            <v>5</v>
          </cell>
          <cell r="Q293">
            <v>0</v>
          </cell>
          <cell r="R293">
            <v>16</v>
          </cell>
          <cell r="S293">
            <v>56</v>
          </cell>
          <cell r="T293">
            <v>28</v>
          </cell>
          <cell r="U293">
            <v>0</v>
          </cell>
          <cell r="V293">
            <v>2307</v>
          </cell>
          <cell r="W293">
            <v>2269</v>
          </cell>
          <cell r="X293">
            <v>4576</v>
          </cell>
          <cell r="Y293">
            <v>0</v>
          </cell>
          <cell r="Z293">
            <v>0</v>
          </cell>
          <cell r="AA293">
            <v>320</v>
          </cell>
          <cell r="AB293">
            <v>-70</v>
          </cell>
          <cell r="AC293">
            <v>0</v>
          </cell>
          <cell r="AD293">
            <v>250</v>
          </cell>
          <cell r="AE293">
            <v>4826</v>
          </cell>
          <cell r="AF293">
            <v>0</v>
          </cell>
          <cell r="AH293">
            <v>0</v>
          </cell>
          <cell r="AI293">
            <v>9000</v>
          </cell>
          <cell r="AJ293">
            <v>9000</v>
          </cell>
          <cell r="AK293">
            <v>-4174</v>
          </cell>
          <cell r="AL293">
            <v>0</v>
          </cell>
          <cell r="AM293">
            <v>2000</v>
          </cell>
          <cell r="AN293">
            <v>2826</v>
          </cell>
          <cell r="AO293">
            <v>2830</v>
          </cell>
          <cell r="AP293">
            <v>4830</v>
          </cell>
          <cell r="AQ293">
            <v>0</v>
          </cell>
          <cell r="AR293">
            <v>0</v>
          </cell>
        </row>
        <row r="294">
          <cell r="D294" t="str">
            <v>A1048</v>
          </cell>
          <cell r="E294" t="str">
            <v>Trần Đức Trọng</v>
          </cell>
          <cell r="F294" t="str">
            <v>CI.1</v>
          </cell>
          <cell r="G294" t="str">
            <v>Công nhân Xưởng 1</v>
          </cell>
          <cell r="H294" t="str">
            <v>T2/18</v>
          </cell>
          <cell r="I294" t="str">
            <v>11.I</v>
          </cell>
          <cell r="J294">
            <v>3500</v>
          </cell>
          <cell r="K294">
            <v>6</v>
          </cell>
          <cell r="L294">
            <v>0</v>
          </cell>
          <cell r="M294">
            <v>1</v>
          </cell>
          <cell r="N294">
            <v>0</v>
          </cell>
          <cell r="O294">
            <v>0</v>
          </cell>
          <cell r="P294">
            <v>9</v>
          </cell>
          <cell r="Q294">
            <v>0</v>
          </cell>
          <cell r="R294">
            <v>16</v>
          </cell>
          <cell r="S294">
            <v>60</v>
          </cell>
          <cell r="T294">
            <v>12</v>
          </cell>
          <cell r="U294">
            <v>0</v>
          </cell>
          <cell r="V294">
            <v>2424</v>
          </cell>
          <cell r="W294">
            <v>1847</v>
          </cell>
          <cell r="X294">
            <v>4271</v>
          </cell>
          <cell r="Y294">
            <v>0</v>
          </cell>
          <cell r="Z294">
            <v>0</v>
          </cell>
          <cell r="AA294">
            <v>384</v>
          </cell>
          <cell r="AB294">
            <v>-70</v>
          </cell>
          <cell r="AC294">
            <v>0</v>
          </cell>
          <cell r="AD294">
            <v>314</v>
          </cell>
          <cell r="AE294">
            <v>4585</v>
          </cell>
          <cell r="AF294">
            <v>0</v>
          </cell>
          <cell r="AH294">
            <v>0</v>
          </cell>
          <cell r="AI294">
            <v>9000</v>
          </cell>
          <cell r="AJ294">
            <v>9000</v>
          </cell>
          <cell r="AK294">
            <v>-4415</v>
          </cell>
          <cell r="AL294">
            <v>0</v>
          </cell>
          <cell r="AM294">
            <v>2000</v>
          </cell>
          <cell r="AN294">
            <v>2585</v>
          </cell>
          <cell r="AO294">
            <v>2590</v>
          </cell>
          <cell r="AP294">
            <v>4590</v>
          </cell>
          <cell r="AQ294">
            <v>0</v>
          </cell>
          <cell r="AR294">
            <v>0</v>
          </cell>
        </row>
        <row r="295">
          <cell r="D295" t="str">
            <v>A1050</v>
          </cell>
          <cell r="E295" t="str">
            <v>Nguyễn Thị Thanh Hằng</v>
          </cell>
          <cell r="F295" t="str">
            <v>CII.4</v>
          </cell>
          <cell r="G295" t="str">
            <v>Công nhân Xưởng 2</v>
          </cell>
          <cell r="H295" t="str">
            <v>T3/18</v>
          </cell>
          <cell r="I295" t="str">
            <v>11.I</v>
          </cell>
          <cell r="J295">
            <v>3500</v>
          </cell>
          <cell r="K295">
            <v>10</v>
          </cell>
          <cell r="L295">
            <v>3.5</v>
          </cell>
          <cell r="M295">
            <v>1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14.5</v>
          </cell>
          <cell r="S295">
            <v>44</v>
          </cell>
          <cell r="T295">
            <v>12</v>
          </cell>
          <cell r="U295">
            <v>0</v>
          </cell>
          <cell r="V295">
            <v>1880</v>
          </cell>
          <cell r="W295">
            <v>1458</v>
          </cell>
          <cell r="X295">
            <v>3338</v>
          </cell>
          <cell r="Y295">
            <v>0</v>
          </cell>
          <cell r="Z295">
            <v>0</v>
          </cell>
          <cell r="AA295">
            <v>160</v>
          </cell>
          <cell r="AB295">
            <v>70</v>
          </cell>
          <cell r="AC295">
            <v>0</v>
          </cell>
          <cell r="AD295">
            <v>230</v>
          </cell>
          <cell r="AE295">
            <v>3568</v>
          </cell>
          <cell r="AF295">
            <v>0</v>
          </cell>
          <cell r="AH295">
            <v>0</v>
          </cell>
          <cell r="AI295">
            <v>9000</v>
          </cell>
          <cell r="AJ295">
            <v>9000</v>
          </cell>
          <cell r="AK295">
            <v>-5432</v>
          </cell>
          <cell r="AL295">
            <v>0</v>
          </cell>
          <cell r="AM295">
            <v>1000</v>
          </cell>
          <cell r="AN295">
            <v>2568</v>
          </cell>
          <cell r="AO295">
            <v>2570</v>
          </cell>
          <cell r="AP295">
            <v>3570</v>
          </cell>
          <cell r="AQ295">
            <v>0</v>
          </cell>
          <cell r="AR295">
            <v>0</v>
          </cell>
        </row>
        <row r="296">
          <cell r="D296" t="str">
            <v>A1051</v>
          </cell>
          <cell r="E296" t="str">
            <v>Trần Chí Hào</v>
          </cell>
          <cell r="F296" t="str">
            <v>CI.1</v>
          </cell>
          <cell r="G296" t="str">
            <v>Công nhân Xưởng 1</v>
          </cell>
          <cell r="H296" t="str">
            <v>T3/18</v>
          </cell>
          <cell r="I296" t="str">
            <v>11.I</v>
          </cell>
          <cell r="J296">
            <v>3500</v>
          </cell>
          <cell r="K296">
            <v>7</v>
          </cell>
          <cell r="L296">
            <v>2</v>
          </cell>
          <cell r="M296">
            <v>1</v>
          </cell>
          <cell r="N296">
            <v>0</v>
          </cell>
          <cell r="O296">
            <v>0</v>
          </cell>
          <cell r="P296">
            <v>6</v>
          </cell>
          <cell r="Q296">
            <v>0</v>
          </cell>
          <cell r="R296">
            <v>16</v>
          </cell>
          <cell r="S296">
            <v>55</v>
          </cell>
          <cell r="T296">
            <v>20</v>
          </cell>
          <cell r="U296">
            <v>0</v>
          </cell>
          <cell r="V296">
            <v>2307</v>
          </cell>
          <cell r="W296">
            <v>1985</v>
          </cell>
          <cell r="X296">
            <v>4292</v>
          </cell>
          <cell r="Y296">
            <v>0</v>
          </cell>
          <cell r="Z296">
            <v>0</v>
          </cell>
          <cell r="AA296">
            <v>304</v>
          </cell>
          <cell r="AB296">
            <v>-70</v>
          </cell>
          <cell r="AC296">
            <v>0</v>
          </cell>
          <cell r="AD296">
            <v>234</v>
          </cell>
          <cell r="AE296">
            <v>4526</v>
          </cell>
          <cell r="AF296">
            <v>0</v>
          </cell>
          <cell r="AH296">
            <v>0</v>
          </cell>
          <cell r="AI296">
            <v>9000</v>
          </cell>
          <cell r="AJ296">
            <v>9000</v>
          </cell>
          <cell r="AK296">
            <v>-4474</v>
          </cell>
          <cell r="AL296">
            <v>0</v>
          </cell>
          <cell r="AM296">
            <v>2000</v>
          </cell>
          <cell r="AN296">
            <v>2526</v>
          </cell>
          <cell r="AO296">
            <v>2530</v>
          </cell>
          <cell r="AP296">
            <v>4530</v>
          </cell>
          <cell r="AQ296">
            <v>0</v>
          </cell>
          <cell r="AR296">
            <v>0</v>
          </cell>
        </row>
        <row r="297">
          <cell r="D297" t="str">
            <v>A1052</v>
          </cell>
          <cell r="E297" t="str">
            <v>Đinh Tấn Vũ</v>
          </cell>
          <cell r="F297" t="str">
            <v>CII.4</v>
          </cell>
          <cell r="G297" t="str">
            <v>Công nhân Xưởng 2</v>
          </cell>
          <cell r="H297" t="str">
            <v>T3/18</v>
          </cell>
          <cell r="I297" t="str">
            <v>11.I</v>
          </cell>
          <cell r="J297">
            <v>3500</v>
          </cell>
          <cell r="K297">
            <v>8</v>
          </cell>
          <cell r="L297">
            <v>6</v>
          </cell>
          <cell r="M297">
            <v>1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15</v>
          </cell>
          <cell r="S297">
            <v>32</v>
          </cell>
          <cell r="T297">
            <v>0</v>
          </cell>
          <cell r="U297">
            <v>0</v>
          </cell>
          <cell r="V297">
            <v>1944</v>
          </cell>
          <cell r="W297">
            <v>778</v>
          </cell>
          <cell r="X297">
            <v>2722</v>
          </cell>
          <cell r="Y297">
            <v>0</v>
          </cell>
          <cell r="Z297">
            <v>0</v>
          </cell>
          <cell r="AA297">
            <v>128</v>
          </cell>
          <cell r="AB297">
            <v>-70</v>
          </cell>
          <cell r="AC297">
            <v>0</v>
          </cell>
          <cell r="AD297">
            <v>58</v>
          </cell>
          <cell r="AE297">
            <v>2780</v>
          </cell>
          <cell r="AF297">
            <v>0</v>
          </cell>
          <cell r="AH297">
            <v>0</v>
          </cell>
          <cell r="AI297">
            <v>9000</v>
          </cell>
          <cell r="AJ297">
            <v>9000</v>
          </cell>
          <cell r="AK297">
            <v>-6220</v>
          </cell>
          <cell r="AL297">
            <v>0</v>
          </cell>
          <cell r="AM297">
            <v>0</v>
          </cell>
          <cell r="AN297">
            <v>2780</v>
          </cell>
          <cell r="AO297">
            <v>2780</v>
          </cell>
          <cell r="AP297">
            <v>2780</v>
          </cell>
          <cell r="AQ297">
            <v>0</v>
          </cell>
          <cell r="AR297">
            <v>0</v>
          </cell>
        </row>
        <row r="298">
          <cell r="D298" t="str">
            <v>A1054</v>
          </cell>
          <cell r="E298" t="str">
            <v>Nguyễn Ngọc Thanh Trí</v>
          </cell>
          <cell r="F298" t="str">
            <v>CI.1</v>
          </cell>
          <cell r="G298" t="str">
            <v>Công nhân Xưởng 1</v>
          </cell>
          <cell r="H298" t="str">
            <v>T3/18</v>
          </cell>
          <cell r="I298" t="str">
            <v>11.I</v>
          </cell>
          <cell r="J298">
            <v>3500</v>
          </cell>
          <cell r="K298">
            <v>9</v>
          </cell>
          <cell r="L298">
            <v>0</v>
          </cell>
          <cell r="M298">
            <v>1</v>
          </cell>
          <cell r="N298">
            <v>0</v>
          </cell>
          <cell r="O298">
            <v>0</v>
          </cell>
          <cell r="P298">
            <v>6</v>
          </cell>
          <cell r="Q298">
            <v>0</v>
          </cell>
          <cell r="R298">
            <v>16</v>
          </cell>
          <cell r="S298">
            <v>60</v>
          </cell>
          <cell r="T298">
            <v>20</v>
          </cell>
          <cell r="U298">
            <v>0</v>
          </cell>
          <cell r="V298">
            <v>2307</v>
          </cell>
          <cell r="W298">
            <v>2106</v>
          </cell>
          <cell r="X298">
            <v>4413</v>
          </cell>
          <cell r="Y298">
            <v>0</v>
          </cell>
          <cell r="Z298">
            <v>0</v>
          </cell>
          <cell r="AA298">
            <v>336</v>
          </cell>
          <cell r="AB298">
            <v>-70</v>
          </cell>
          <cell r="AC298">
            <v>0</v>
          </cell>
          <cell r="AD298">
            <v>266</v>
          </cell>
          <cell r="AE298">
            <v>4679</v>
          </cell>
          <cell r="AF298">
            <v>0</v>
          </cell>
          <cell r="AH298">
            <v>0</v>
          </cell>
          <cell r="AI298">
            <v>9000</v>
          </cell>
          <cell r="AJ298">
            <v>9000</v>
          </cell>
          <cell r="AK298">
            <v>-4321</v>
          </cell>
          <cell r="AL298">
            <v>0</v>
          </cell>
          <cell r="AM298">
            <v>1000</v>
          </cell>
          <cell r="AN298">
            <v>3679</v>
          </cell>
          <cell r="AO298">
            <v>3680</v>
          </cell>
          <cell r="AP298">
            <v>4680</v>
          </cell>
          <cell r="AQ298">
            <v>0</v>
          </cell>
          <cell r="AR298">
            <v>0</v>
          </cell>
        </row>
        <row r="299">
          <cell r="D299" t="str">
            <v>A1055</v>
          </cell>
          <cell r="E299" t="str">
            <v>Phạm Thành Nam</v>
          </cell>
          <cell r="F299" t="str">
            <v>CII.4</v>
          </cell>
          <cell r="G299" t="str">
            <v>Công nhân Xưởng 2</v>
          </cell>
          <cell r="H299" t="str">
            <v>T3/18</v>
          </cell>
          <cell r="I299" t="str">
            <v>11.I</v>
          </cell>
          <cell r="J299">
            <v>3500</v>
          </cell>
          <cell r="K299">
            <v>14</v>
          </cell>
          <cell r="L299">
            <v>1</v>
          </cell>
          <cell r="M299">
            <v>1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16</v>
          </cell>
          <cell r="S299">
            <v>64</v>
          </cell>
          <cell r="T299">
            <v>24</v>
          </cell>
          <cell r="U299">
            <v>0</v>
          </cell>
          <cell r="V299">
            <v>2074</v>
          </cell>
          <cell r="W299">
            <v>2333</v>
          </cell>
          <cell r="X299">
            <v>4407</v>
          </cell>
          <cell r="Y299">
            <v>0</v>
          </cell>
          <cell r="Z299">
            <v>0</v>
          </cell>
          <cell r="AA299">
            <v>224</v>
          </cell>
          <cell r="AB299">
            <v>70</v>
          </cell>
          <cell r="AC299">
            <v>0</v>
          </cell>
          <cell r="AD299">
            <v>294</v>
          </cell>
          <cell r="AE299">
            <v>4701</v>
          </cell>
          <cell r="AF299">
            <v>0</v>
          </cell>
          <cell r="AH299">
            <v>0</v>
          </cell>
          <cell r="AI299">
            <v>9000</v>
          </cell>
          <cell r="AJ299">
            <v>9000</v>
          </cell>
          <cell r="AK299">
            <v>-4299</v>
          </cell>
          <cell r="AL299">
            <v>0</v>
          </cell>
          <cell r="AM299">
            <v>1000</v>
          </cell>
          <cell r="AN299">
            <v>3701</v>
          </cell>
          <cell r="AO299">
            <v>3700</v>
          </cell>
          <cell r="AP299">
            <v>4700</v>
          </cell>
          <cell r="AQ299">
            <v>0</v>
          </cell>
          <cell r="AR299">
            <v>0</v>
          </cell>
        </row>
        <row r="300">
          <cell r="D300" t="str">
            <v>A1056</v>
          </cell>
          <cell r="E300" t="str">
            <v>Trần Duy Hưng</v>
          </cell>
          <cell r="F300" t="str">
            <v>Gián tiếp</v>
          </cell>
          <cell r="G300" t="str">
            <v>Kế toán tổng hợp</v>
          </cell>
          <cell r="H300" t="str">
            <v>T3/18</v>
          </cell>
          <cell r="I300" t="str">
            <v>4.III</v>
          </cell>
          <cell r="J300">
            <v>4980</v>
          </cell>
          <cell r="K300">
            <v>0</v>
          </cell>
          <cell r="L300">
            <v>0</v>
          </cell>
          <cell r="M300">
            <v>1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184</v>
          </cell>
          <cell r="W300">
            <v>0</v>
          </cell>
          <cell r="X300">
            <v>184</v>
          </cell>
          <cell r="Y300">
            <v>297.03703703703701</v>
          </cell>
          <cell r="Z300">
            <v>0</v>
          </cell>
          <cell r="AA300">
            <v>0</v>
          </cell>
          <cell r="AB300">
            <v>-150</v>
          </cell>
          <cell r="AC300">
            <v>0</v>
          </cell>
          <cell r="AD300">
            <v>147.03703703703701</v>
          </cell>
          <cell r="AE300">
            <v>331</v>
          </cell>
          <cell r="AF300">
            <v>0</v>
          </cell>
          <cell r="AH300">
            <v>0</v>
          </cell>
          <cell r="AJ300">
            <v>0</v>
          </cell>
          <cell r="AK300">
            <v>331</v>
          </cell>
          <cell r="AL300">
            <v>33.1</v>
          </cell>
          <cell r="AM300">
            <v>5000</v>
          </cell>
          <cell r="AN300">
            <v>-4702.1000000000004</v>
          </cell>
          <cell r="AO300">
            <v>-4700</v>
          </cell>
          <cell r="AP300">
            <v>300</v>
          </cell>
          <cell r="AQ300">
            <v>0</v>
          </cell>
          <cell r="AR300">
            <v>0</v>
          </cell>
        </row>
        <row r="301">
          <cell r="D301" t="str">
            <v>A1057</v>
          </cell>
          <cell r="E301" t="str">
            <v>Nguyễn Châu Điền</v>
          </cell>
          <cell r="F301" t="str">
            <v>CI.1</v>
          </cell>
          <cell r="G301" t="str">
            <v>Trưởng ca Xưởng 1</v>
          </cell>
          <cell r="H301" t="str">
            <v>T3/18</v>
          </cell>
          <cell r="I301" t="str">
            <v>5.I</v>
          </cell>
          <cell r="J301">
            <v>4436</v>
          </cell>
          <cell r="K301">
            <v>9</v>
          </cell>
          <cell r="L301">
            <v>0</v>
          </cell>
          <cell r="M301">
            <v>1</v>
          </cell>
          <cell r="N301">
            <v>0</v>
          </cell>
          <cell r="O301">
            <v>0</v>
          </cell>
          <cell r="P301">
            <v>6</v>
          </cell>
          <cell r="Q301">
            <v>0</v>
          </cell>
          <cell r="R301">
            <v>16</v>
          </cell>
          <cell r="S301">
            <v>61</v>
          </cell>
          <cell r="T301">
            <v>20</v>
          </cell>
          <cell r="U301">
            <v>0</v>
          </cell>
          <cell r="V301">
            <v>2924</v>
          </cell>
          <cell r="W301">
            <v>2701</v>
          </cell>
          <cell r="X301">
            <v>5625</v>
          </cell>
          <cell r="Y301">
            <v>2112</v>
          </cell>
          <cell r="Z301">
            <v>0</v>
          </cell>
          <cell r="AA301">
            <v>336</v>
          </cell>
          <cell r="AB301">
            <v>-150</v>
          </cell>
          <cell r="AC301">
            <v>0</v>
          </cell>
          <cell r="AD301">
            <v>2298</v>
          </cell>
          <cell r="AE301">
            <v>7923</v>
          </cell>
          <cell r="AF301">
            <v>0</v>
          </cell>
          <cell r="AH301">
            <v>0</v>
          </cell>
          <cell r="AI301">
            <v>9000</v>
          </cell>
          <cell r="AJ301">
            <v>9000</v>
          </cell>
          <cell r="AK301">
            <v>-1077</v>
          </cell>
          <cell r="AL301">
            <v>0</v>
          </cell>
          <cell r="AM301">
            <v>0</v>
          </cell>
          <cell r="AN301">
            <v>7923</v>
          </cell>
          <cell r="AO301">
            <v>7930</v>
          </cell>
          <cell r="AP301">
            <v>7930</v>
          </cell>
          <cell r="AQ301">
            <v>0</v>
          </cell>
          <cell r="AR301">
            <v>0</v>
          </cell>
        </row>
        <row r="302">
          <cell r="D302" t="str">
            <v>A1058</v>
          </cell>
          <cell r="E302" t="str">
            <v>Trương Quốc Tiến</v>
          </cell>
          <cell r="F302" t="str">
            <v>Kho</v>
          </cell>
          <cell r="G302" t="str">
            <v>Phụ kho</v>
          </cell>
          <cell r="H302" t="str">
            <v>T3/18</v>
          </cell>
          <cell r="I302" t="str">
            <v>11.I</v>
          </cell>
          <cell r="J302">
            <v>3980</v>
          </cell>
          <cell r="K302">
            <v>0</v>
          </cell>
          <cell r="L302">
            <v>0</v>
          </cell>
          <cell r="M302">
            <v>1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1</v>
          </cell>
          <cell r="S302">
            <v>0</v>
          </cell>
          <cell r="T302">
            <v>0</v>
          </cell>
          <cell r="U302">
            <v>0</v>
          </cell>
          <cell r="V302">
            <v>147</v>
          </cell>
          <cell r="W302">
            <v>0</v>
          </cell>
          <cell r="X302">
            <v>147</v>
          </cell>
          <cell r="Y302">
            <v>19.25925925925926</v>
          </cell>
          <cell r="Z302">
            <v>0</v>
          </cell>
          <cell r="AA302">
            <v>0</v>
          </cell>
          <cell r="AB302">
            <v>-70</v>
          </cell>
          <cell r="AC302">
            <v>0</v>
          </cell>
          <cell r="AD302">
            <v>-50.74074074074074</v>
          </cell>
          <cell r="AE302">
            <v>96</v>
          </cell>
          <cell r="AF302">
            <v>0</v>
          </cell>
          <cell r="AH302">
            <v>0</v>
          </cell>
          <cell r="AI302">
            <v>9000</v>
          </cell>
          <cell r="AJ302">
            <v>9000</v>
          </cell>
          <cell r="AK302">
            <v>-8904</v>
          </cell>
          <cell r="AL302">
            <v>0</v>
          </cell>
          <cell r="AM302">
            <v>0</v>
          </cell>
          <cell r="AN302">
            <v>96</v>
          </cell>
          <cell r="AO302">
            <v>100</v>
          </cell>
          <cell r="AP302">
            <v>100</v>
          </cell>
          <cell r="AQ302">
            <v>0</v>
          </cell>
          <cell r="AR302">
            <v>0</v>
          </cell>
        </row>
        <row r="303">
          <cell r="D303" t="str">
            <v>A1060</v>
          </cell>
          <cell r="E303" t="str">
            <v>Hồng Thị Hằng</v>
          </cell>
          <cell r="F303" t="str">
            <v>CI.1</v>
          </cell>
          <cell r="G303" t="str">
            <v>Công nhân Xưởng 1</v>
          </cell>
          <cell r="H303" t="str">
            <v>T3/18</v>
          </cell>
          <cell r="I303" t="str">
            <v>11.I</v>
          </cell>
          <cell r="J303">
            <v>3500</v>
          </cell>
          <cell r="K303">
            <v>7</v>
          </cell>
          <cell r="L303">
            <v>0</v>
          </cell>
          <cell r="M303">
            <v>1</v>
          </cell>
          <cell r="N303">
            <v>0</v>
          </cell>
          <cell r="O303">
            <v>0</v>
          </cell>
          <cell r="P303">
            <v>6</v>
          </cell>
          <cell r="Q303">
            <v>2</v>
          </cell>
          <cell r="R303">
            <v>16</v>
          </cell>
          <cell r="S303">
            <v>52</v>
          </cell>
          <cell r="T303">
            <v>12</v>
          </cell>
          <cell r="U303">
            <v>0</v>
          </cell>
          <cell r="V303">
            <v>2307</v>
          </cell>
          <cell r="W303">
            <v>1653</v>
          </cell>
          <cell r="X303">
            <v>3960</v>
          </cell>
          <cell r="Y303">
            <v>0</v>
          </cell>
          <cell r="Z303">
            <v>16</v>
          </cell>
          <cell r="AA303">
            <v>304</v>
          </cell>
          <cell r="AB303">
            <v>-70</v>
          </cell>
          <cell r="AC303">
            <v>0</v>
          </cell>
          <cell r="AD303">
            <v>250</v>
          </cell>
          <cell r="AE303">
            <v>4210</v>
          </cell>
          <cell r="AF303">
            <v>0</v>
          </cell>
          <cell r="AH303">
            <v>0</v>
          </cell>
          <cell r="AI303">
            <v>9000</v>
          </cell>
          <cell r="AJ303">
            <v>9000</v>
          </cell>
          <cell r="AK303">
            <v>-4790</v>
          </cell>
          <cell r="AL303">
            <v>0</v>
          </cell>
          <cell r="AM303">
            <v>2000</v>
          </cell>
          <cell r="AN303">
            <v>2210</v>
          </cell>
          <cell r="AO303">
            <v>2210</v>
          </cell>
          <cell r="AP303">
            <v>4210</v>
          </cell>
          <cell r="AQ303">
            <v>0</v>
          </cell>
          <cell r="AR303">
            <v>-2</v>
          </cell>
        </row>
        <row r="304">
          <cell r="D304" t="str">
            <v>A1061</v>
          </cell>
          <cell r="E304" t="str">
            <v>Võ Minh Kiệt</v>
          </cell>
          <cell r="F304" t="str">
            <v>QCX</v>
          </cell>
          <cell r="G304" t="str">
            <v>Công nhân Xưởng 1</v>
          </cell>
          <cell r="H304" t="str">
            <v>T3/18</v>
          </cell>
          <cell r="I304" t="str">
            <v>11.I</v>
          </cell>
          <cell r="J304">
            <v>3500</v>
          </cell>
          <cell r="K304">
            <v>3</v>
          </cell>
          <cell r="L304">
            <v>3</v>
          </cell>
          <cell r="M304">
            <v>1</v>
          </cell>
          <cell r="N304">
            <v>0</v>
          </cell>
          <cell r="O304">
            <v>0</v>
          </cell>
          <cell r="P304">
            <v>8</v>
          </cell>
          <cell r="Q304">
            <v>0</v>
          </cell>
          <cell r="R304">
            <v>15</v>
          </cell>
          <cell r="S304">
            <v>48</v>
          </cell>
          <cell r="T304">
            <v>0</v>
          </cell>
          <cell r="U304">
            <v>0</v>
          </cell>
          <cell r="V304">
            <v>2256</v>
          </cell>
          <cell r="W304">
            <v>1167</v>
          </cell>
          <cell r="X304">
            <v>3423</v>
          </cell>
          <cell r="Y304">
            <v>0</v>
          </cell>
          <cell r="Z304">
            <v>0</v>
          </cell>
          <cell r="AA304">
            <v>304</v>
          </cell>
          <cell r="AB304">
            <v>-70</v>
          </cell>
          <cell r="AC304">
            <v>0</v>
          </cell>
          <cell r="AD304">
            <v>234</v>
          </cell>
          <cell r="AE304">
            <v>3657</v>
          </cell>
          <cell r="AF304">
            <v>0</v>
          </cell>
          <cell r="AH304">
            <v>0</v>
          </cell>
          <cell r="AI304">
            <v>9000</v>
          </cell>
          <cell r="AJ304">
            <v>9000</v>
          </cell>
          <cell r="AK304">
            <v>-5343</v>
          </cell>
          <cell r="AL304">
            <v>0</v>
          </cell>
          <cell r="AM304">
            <v>0</v>
          </cell>
          <cell r="AN304">
            <v>3657</v>
          </cell>
          <cell r="AO304">
            <v>3660</v>
          </cell>
          <cell r="AP304">
            <v>3660</v>
          </cell>
          <cell r="AQ304">
            <v>0</v>
          </cell>
          <cell r="AR304">
            <v>0</v>
          </cell>
        </row>
        <row r="305">
          <cell r="D305" t="str">
            <v>A1062</v>
          </cell>
          <cell r="E305" t="str">
            <v>Lê Minh Chiêu</v>
          </cell>
          <cell r="F305" t="str">
            <v>EN</v>
          </cell>
          <cell r="G305" t="str">
            <v>Công nhân Xưởng 1</v>
          </cell>
          <cell r="H305" t="str">
            <v>T3/18</v>
          </cell>
          <cell r="I305" t="str">
            <v>11.I</v>
          </cell>
          <cell r="J305">
            <v>3500</v>
          </cell>
          <cell r="K305">
            <v>9</v>
          </cell>
          <cell r="L305">
            <v>0</v>
          </cell>
          <cell r="M305">
            <v>1</v>
          </cell>
          <cell r="N305">
            <v>0</v>
          </cell>
          <cell r="O305">
            <v>0</v>
          </cell>
          <cell r="P305">
            <v>6</v>
          </cell>
          <cell r="Q305">
            <v>0</v>
          </cell>
          <cell r="R305">
            <v>16</v>
          </cell>
          <cell r="S305">
            <v>60</v>
          </cell>
          <cell r="T305">
            <v>0</v>
          </cell>
          <cell r="U305">
            <v>0</v>
          </cell>
          <cell r="V305">
            <v>2307</v>
          </cell>
          <cell r="W305">
            <v>1458</v>
          </cell>
          <cell r="X305">
            <v>3765</v>
          </cell>
          <cell r="Y305">
            <v>0</v>
          </cell>
          <cell r="Z305">
            <v>0</v>
          </cell>
          <cell r="AA305">
            <v>336</v>
          </cell>
          <cell r="AB305">
            <v>-70</v>
          </cell>
          <cell r="AC305">
            <v>0</v>
          </cell>
          <cell r="AD305">
            <v>266</v>
          </cell>
          <cell r="AE305">
            <v>4031</v>
          </cell>
          <cell r="AF305">
            <v>0</v>
          </cell>
          <cell r="AH305">
            <v>0</v>
          </cell>
          <cell r="AI305">
            <v>9000</v>
          </cell>
          <cell r="AJ305">
            <v>9000</v>
          </cell>
          <cell r="AK305">
            <v>-4969</v>
          </cell>
          <cell r="AL305">
            <v>0</v>
          </cell>
          <cell r="AM305">
            <v>0</v>
          </cell>
          <cell r="AN305">
            <v>4031</v>
          </cell>
          <cell r="AO305">
            <v>4030</v>
          </cell>
          <cell r="AP305">
            <v>4030</v>
          </cell>
          <cell r="AQ305">
            <v>0</v>
          </cell>
          <cell r="AR305">
            <v>0</v>
          </cell>
        </row>
        <row r="306">
          <cell r="D306" t="str">
            <v>A1063</v>
          </cell>
          <cell r="E306" t="str">
            <v>Đỗ Quốc Trí</v>
          </cell>
          <cell r="F306" t="str">
            <v>Gián tiếp</v>
          </cell>
          <cell r="G306" t="str">
            <v>Phó GĐ</v>
          </cell>
          <cell r="H306" t="str">
            <v>T3/18</v>
          </cell>
          <cell r="I306" t="str">
            <v>1.I</v>
          </cell>
          <cell r="J306">
            <v>15050</v>
          </cell>
          <cell r="K306">
            <v>0</v>
          </cell>
          <cell r="L306">
            <v>26</v>
          </cell>
          <cell r="M306">
            <v>1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27</v>
          </cell>
          <cell r="S306">
            <v>0</v>
          </cell>
          <cell r="T306">
            <v>0</v>
          </cell>
          <cell r="U306">
            <v>0</v>
          </cell>
          <cell r="V306">
            <v>15050</v>
          </cell>
          <cell r="W306">
            <v>0</v>
          </cell>
          <cell r="X306">
            <v>15050</v>
          </cell>
          <cell r="Y306">
            <v>10950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10950</v>
          </cell>
          <cell r="AE306">
            <v>26000</v>
          </cell>
          <cell r="AF306">
            <v>0</v>
          </cell>
          <cell r="AH306">
            <v>0</v>
          </cell>
          <cell r="AJ306">
            <v>0</v>
          </cell>
          <cell r="AK306">
            <v>26000</v>
          </cell>
          <cell r="AL306">
            <v>2600</v>
          </cell>
          <cell r="AM306">
            <v>5000</v>
          </cell>
          <cell r="AN306">
            <v>18400</v>
          </cell>
          <cell r="AO306">
            <v>18400</v>
          </cell>
          <cell r="AP306">
            <v>23400</v>
          </cell>
          <cell r="AQ306">
            <v>0</v>
          </cell>
          <cell r="AR306">
            <v>0</v>
          </cell>
        </row>
        <row r="307">
          <cell r="D307" t="str">
            <v>A1064</v>
          </cell>
          <cell r="E307" t="str">
            <v>Nguyễn Thị Cẩm Loan</v>
          </cell>
          <cell r="F307" t="str">
            <v>TXBVTV</v>
          </cell>
          <cell r="G307" t="str">
            <v>Tạp vụ Xưởng 1</v>
          </cell>
          <cell r="H307" t="str">
            <v>T3/18</v>
          </cell>
          <cell r="I307" t="str">
            <v>11.I</v>
          </cell>
          <cell r="J307">
            <v>3980</v>
          </cell>
          <cell r="K307">
            <v>0</v>
          </cell>
          <cell r="L307">
            <v>15</v>
          </cell>
          <cell r="M307">
            <v>1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16</v>
          </cell>
          <cell r="S307">
            <v>0</v>
          </cell>
          <cell r="T307">
            <v>8</v>
          </cell>
          <cell r="U307">
            <v>0</v>
          </cell>
          <cell r="V307">
            <v>2359</v>
          </cell>
          <cell r="W307">
            <v>295</v>
          </cell>
          <cell r="X307">
            <v>2654</v>
          </cell>
          <cell r="Y307">
            <v>308.14814814814815</v>
          </cell>
          <cell r="Z307">
            <v>0</v>
          </cell>
          <cell r="AA307">
            <v>0</v>
          </cell>
          <cell r="AB307">
            <v>-70</v>
          </cell>
          <cell r="AC307">
            <v>0</v>
          </cell>
          <cell r="AD307">
            <v>238.14814814814815</v>
          </cell>
          <cell r="AE307">
            <v>2892</v>
          </cell>
          <cell r="AF307">
            <v>0</v>
          </cell>
          <cell r="AH307">
            <v>0</v>
          </cell>
          <cell r="AI307">
            <v>9000</v>
          </cell>
          <cell r="AJ307">
            <v>9000</v>
          </cell>
          <cell r="AK307">
            <v>-6108</v>
          </cell>
          <cell r="AL307">
            <v>0</v>
          </cell>
          <cell r="AM307">
            <v>2000</v>
          </cell>
          <cell r="AN307">
            <v>892</v>
          </cell>
          <cell r="AO307">
            <v>890</v>
          </cell>
          <cell r="AP307">
            <v>2890</v>
          </cell>
          <cell r="AQ307">
            <v>0</v>
          </cell>
          <cell r="AR307">
            <v>0</v>
          </cell>
        </row>
        <row r="308">
          <cell r="D308" t="str">
            <v>A1065</v>
          </cell>
          <cell r="E308" t="str">
            <v>Huỳnh Tí Nị</v>
          </cell>
          <cell r="F308" t="str">
            <v>CI.1</v>
          </cell>
          <cell r="G308" t="str">
            <v>Công nhân Xưởng 1</v>
          </cell>
          <cell r="H308" t="str">
            <v>T3/18</v>
          </cell>
          <cell r="I308" t="str">
            <v>11.I</v>
          </cell>
          <cell r="J308">
            <v>3500</v>
          </cell>
          <cell r="K308">
            <v>6</v>
          </cell>
          <cell r="L308">
            <v>0</v>
          </cell>
          <cell r="M308">
            <v>1</v>
          </cell>
          <cell r="N308">
            <v>0</v>
          </cell>
          <cell r="O308">
            <v>0</v>
          </cell>
          <cell r="P308">
            <v>9</v>
          </cell>
          <cell r="Q308">
            <v>0</v>
          </cell>
          <cell r="R308">
            <v>16</v>
          </cell>
          <cell r="S308">
            <v>60</v>
          </cell>
          <cell r="T308">
            <v>20</v>
          </cell>
          <cell r="U308">
            <v>0</v>
          </cell>
          <cell r="V308">
            <v>2424</v>
          </cell>
          <cell r="W308">
            <v>2106</v>
          </cell>
          <cell r="X308">
            <v>4530</v>
          </cell>
          <cell r="Y308">
            <v>0</v>
          </cell>
          <cell r="Z308">
            <v>0</v>
          </cell>
          <cell r="AA308">
            <v>384</v>
          </cell>
          <cell r="AB308">
            <v>-70</v>
          </cell>
          <cell r="AC308">
            <v>0</v>
          </cell>
          <cell r="AD308">
            <v>314</v>
          </cell>
          <cell r="AE308">
            <v>4844</v>
          </cell>
          <cell r="AF308">
            <v>0</v>
          </cell>
          <cell r="AH308">
            <v>0</v>
          </cell>
          <cell r="AI308">
            <v>9000</v>
          </cell>
          <cell r="AJ308">
            <v>9000</v>
          </cell>
          <cell r="AK308">
            <v>-4156</v>
          </cell>
          <cell r="AL308">
            <v>0</v>
          </cell>
          <cell r="AM308">
            <v>1000</v>
          </cell>
          <cell r="AN308">
            <v>3844</v>
          </cell>
          <cell r="AO308">
            <v>3850</v>
          </cell>
          <cell r="AP308">
            <v>4850</v>
          </cell>
          <cell r="AQ308">
            <v>0</v>
          </cell>
          <cell r="AR308">
            <v>0</v>
          </cell>
        </row>
        <row r="309">
          <cell r="D309" t="str">
            <v>A1067</v>
          </cell>
          <cell r="E309" t="str">
            <v>Ngô Văn Thanh</v>
          </cell>
          <cell r="F309" t="str">
            <v>QCX</v>
          </cell>
          <cell r="G309" t="str">
            <v>Công nhân Xưởng 1</v>
          </cell>
          <cell r="H309" t="str">
            <v>T3/18</v>
          </cell>
          <cell r="I309" t="str">
            <v>11.I</v>
          </cell>
          <cell r="J309">
            <v>3500</v>
          </cell>
          <cell r="K309">
            <v>7</v>
          </cell>
          <cell r="L309">
            <v>1</v>
          </cell>
          <cell r="M309">
            <v>1</v>
          </cell>
          <cell r="N309">
            <v>0</v>
          </cell>
          <cell r="O309">
            <v>0</v>
          </cell>
          <cell r="P309">
            <v>6</v>
          </cell>
          <cell r="Q309">
            <v>0</v>
          </cell>
          <cell r="R309">
            <v>15</v>
          </cell>
          <cell r="S309">
            <v>61</v>
          </cell>
          <cell r="T309">
            <v>12</v>
          </cell>
          <cell r="U309">
            <v>0</v>
          </cell>
          <cell r="V309">
            <v>2178</v>
          </cell>
          <cell r="W309">
            <v>1872</v>
          </cell>
          <cell r="X309">
            <v>4050</v>
          </cell>
          <cell r="Y309">
            <v>0</v>
          </cell>
          <cell r="Z309">
            <v>32</v>
          </cell>
          <cell r="AA309">
            <v>304</v>
          </cell>
          <cell r="AB309">
            <v>-70</v>
          </cell>
          <cell r="AC309">
            <v>0</v>
          </cell>
          <cell r="AD309">
            <v>266</v>
          </cell>
          <cell r="AE309">
            <v>4316</v>
          </cell>
          <cell r="AF309">
            <v>0</v>
          </cell>
          <cell r="AH309">
            <v>0</v>
          </cell>
          <cell r="AI309">
            <v>9000</v>
          </cell>
          <cell r="AJ309">
            <v>9000</v>
          </cell>
          <cell r="AK309">
            <v>-4684</v>
          </cell>
          <cell r="AL309">
            <v>0</v>
          </cell>
          <cell r="AM309">
            <v>2000</v>
          </cell>
          <cell r="AN309">
            <v>2316</v>
          </cell>
          <cell r="AO309">
            <v>2320</v>
          </cell>
          <cell r="AP309">
            <v>4320</v>
          </cell>
          <cell r="AQ309">
            <v>0</v>
          </cell>
          <cell r="AR309">
            <v>0</v>
          </cell>
        </row>
        <row r="310">
          <cell r="D310" t="str">
            <v>A1069</v>
          </cell>
          <cell r="E310" t="str">
            <v>Huỳnh Thị Ly</v>
          </cell>
          <cell r="F310" t="str">
            <v>QCX</v>
          </cell>
          <cell r="G310" t="str">
            <v>Công nhân Xưởng 1</v>
          </cell>
          <cell r="H310" t="str">
            <v>T3/18</v>
          </cell>
          <cell r="I310" t="str">
            <v>11.I</v>
          </cell>
          <cell r="J310">
            <v>3500</v>
          </cell>
          <cell r="K310">
            <v>4</v>
          </cell>
          <cell r="L310">
            <v>3</v>
          </cell>
          <cell r="M310">
            <v>1</v>
          </cell>
          <cell r="N310">
            <v>0</v>
          </cell>
          <cell r="O310">
            <v>0</v>
          </cell>
          <cell r="P310">
            <v>3</v>
          </cell>
          <cell r="Q310">
            <v>0</v>
          </cell>
          <cell r="R310">
            <v>11</v>
          </cell>
          <cell r="S310">
            <v>47</v>
          </cell>
          <cell r="T310">
            <v>12</v>
          </cell>
          <cell r="U310">
            <v>0</v>
          </cell>
          <cell r="V310">
            <v>1543</v>
          </cell>
          <cell r="W310">
            <v>1531</v>
          </cell>
          <cell r="X310">
            <v>3074</v>
          </cell>
          <cell r="Y310">
            <v>0</v>
          </cell>
          <cell r="Z310">
            <v>0</v>
          </cell>
          <cell r="AA310">
            <v>160</v>
          </cell>
          <cell r="AB310">
            <v>-70</v>
          </cell>
          <cell r="AC310">
            <v>0</v>
          </cell>
          <cell r="AD310">
            <v>90</v>
          </cell>
          <cell r="AE310">
            <v>3164</v>
          </cell>
          <cell r="AF310">
            <v>0</v>
          </cell>
          <cell r="AH310">
            <v>0</v>
          </cell>
          <cell r="AI310">
            <v>9000</v>
          </cell>
          <cell r="AJ310">
            <v>9000</v>
          </cell>
          <cell r="AK310">
            <v>-5836</v>
          </cell>
          <cell r="AL310">
            <v>0</v>
          </cell>
          <cell r="AM310">
            <v>2000</v>
          </cell>
          <cell r="AN310">
            <v>1164</v>
          </cell>
          <cell r="AO310">
            <v>1170</v>
          </cell>
          <cell r="AP310">
            <v>3170</v>
          </cell>
          <cell r="AQ310">
            <v>0</v>
          </cell>
          <cell r="AR310">
            <v>0</v>
          </cell>
        </row>
        <row r="311">
          <cell r="D311" t="str">
            <v>A1071</v>
          </cell>
          <cell r="E311" t="str">
            <v>Nguyễn Tấn Thành</v>
          </cell>
          <cell r="F311" t="str">
            <v>EN</v>
          </cell>
          <cell r="G311" t="str">
            <v>Công nhân Xưởng 1</v>
          </cell>
          <cell r="H311" t="str">
            <v>T3/18</v>
          </cell>
          <cell r="I311" t="str">
            <v>11.I</v>
          </cell>
          <cell r="J311">
            <v>3500</v>
          </cell>
          <cell r="K311">
            <v>5</v>
          </cell>
          <cell r="L311">
            <v>0</v>
          </cell>
          <cell r="M311">
            <v>1</v>
          </cell>
          <cell r="N311">
            <v>0</v>
          </cell>
          <cell r="O311">
            <v>0</v>
          </cell>
          <cell r="P311">
            <v>6</v>
          </cell>
          <cell r="Q311">
            <v>0</v>
          </cell>
          <cell r="R311">
            <v>12</v>
          </cell>
          <cell r="S311">
            <v>44</v>
          </cell>
          <cell r="T311">
            <v>0</v>
          </cell>
          <cell r="U311">
            <v>0</v>
          </cell>
          <cell r="V311">
            <v>1789</v>
          </cell>
          <cell r="W311">
            <v>1069</v>
          </cell>
          <cell r="X311">
            <v>2858</v>
          </cell>
          <cell r="Y311">
            <v>0</v>
          </cell>
          <cell r="Z311">
            <v>0</v>
          </cell>
          <cell r="AA311">
            <v>272</v>
          </cell>
          <cell r="AB311">
            <v>-70</v>
          </cell>
          <cell r="AC311">
            <v>0</v>
          </cell>
          <cell r="AD311">
            <v>202</v>
          </cell>
          <cell r="AE311">
            <v>3060</v>
          </cell>
          <cell r="AF311">
            <v>0</v>
          </cell>
          <cell r="AH311">
            <v>0</v>
          </cell>
          <cell r="AI311">
            <v>9000</v>
          </cell>
          <cell r="AJ311">
            <v>9000</v>
          </cell>
          <cell r="AK311">
            <v>-5940</v>
          </cell>
          <cell r="AL311">
            <v>0</v>
          </cell>
          <cell r="AM311">
            <v>0</v>
          </cell>
          <cell r="AN311">
            <v>3060</v>
          </cell>
          <cell r="AO311">
            <v>3060</v>
          </cell>
          <cell r="AP311">
            <v>3060</v>
          </cell>
          <cell r="AQ311">
            <v>0</v>
          </cell>
          <cell r="AR311">
            <v>0</v>
          </cell>
        </row>
        <row r="312">
          <cell r="D312" t="str">
            <v>A1072</v>
          </cell>
          <cell r="E312" t="str">
            <v>Nguyễn Thị Tiếm</v>
          </cell>
          <cell r="F312" t="str">
            <v>TXBVTV</v>
          </cell>
          <cell r="G312" t="str">
            <v>Tạp vụ xưởng 2</v>
          </cell>
          <cell r="H312" t="str">
            <v>T3/18</v>
          </cell>
          <cell r="I312" t="str">
            <v>11.I</v>
          </cell>
          <cell r="J312">
            <v>3980</v>
          </cell>
          <cell r="K312">
            <v>0</v>
          </cell>
          <cell r="L312">
            <v>0</v>
          </cell>
          <cell r="M312">
            <v>1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1</v>
          </cell>
          <cell r="S312">
            <v>0</v>
          </cell>
          <cell r="T312">
            <v>0</v>
          </cell>
          <cell r="U312">
            <v>0</v>
          </cell>
          <cell r="V312">
            <v>147</v>
          </cell>
          <cell r="W312">
            <v>0</v>
          </cell>
          <cell r="X312">
            <v>147</v>
          </cell>
          <cell r="Y312">
            <v>19.25925925925926</v>
          </cell>
          <cell r="Z312">
            <v>0</v>
          </cell>
          <cell r="AA312">
            <v>0</v>
          </cell>
          <cell r="AB312">
            <v>-70</v>
          </cell>
          <cell r="AC312">
            <v>0</v>
          </cell>
          <cell r="AD312">
            <v>-50.74074074074074</v>
          </cell>
          <cell r="AE312">
            <v>96</v>
          </cell>
          <cell r="AF312">
            <v>0</v>
          </cell>
          <cell r="AH312">
            <v>0</v>
          </cell>
          <cell r="AI312">
            <v>9000</v>
          </cell>
          <cell r="AJ312">
            <v>9000</v>
          </cell>
          <cell r="AK312">
            <v>-8904</v>
          </cell>
          <cell r="AL312">
            <v>0</v>
          </cell>
          <cell r="AM312">
            <v>0</v>
          </cell>
          <cell r="AN312">
            <v>96</v>
          </cell>
          <cell r="AO312">
            <v>100</v>
          </cell>
          <cell r="AP312">
            <v>100</v>
          </cell>
          <cell r="AQ312">
            <v>0</v>
          </cell>
          <cell r="AR312">
            <v>0</v>
          </cell>
        </row>
        <row r="313">
          <cell r="D313" t="str">
            <v>A1073</v>
          </cell>
          <cell r="E313" t="str">
            <v>Đoàn Cao Cường</v>
          </cell>
          <cell r="F313" t="str">
            <v>QCE</v>
          </cell>
          <cell r="G313" t="str">
            <v>Nhân viên Thí nghiệm</v>
          </cell>
          <cell r="H313" t="str">
            <v>T3/18</v>
          </cell>
          <cell r="I313" t="str">
            <v>6.I</v>
          </cell>
          <cell r="J313">
            <v>4361</v>
          </cell>
          <cell r="K313">
            <v>2</v>
          </cell>
          <cell r="L313">
            <v>13</v>
          </cell>
          <cell r="M313">
            <v>1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16</v>
          </cell>
          <cell r="S313">
            <v>7.5</v>
          </cell>
          <cell r="T313">
            <v>0</v>
          </cell>
          <cell r="U313">
            <v>0</v>
          </cell>
          <cell r="V313">
            <v>2584</v>
          </cell>
          <cell r="W313">
            <v>227</v>
          </cell>
          <cell r="X313">
            <v>2811</v>
          </cell>
          <cell r="Y313">
            <v>971.25925925925924</v>
          </cell>
          <cell r="Z313">
            <v>0</v>
          </cell>
          <cell r="AA313">
            <v>32</v>
          </cell>
          <cell r="AB313">
            <v>0</v>
          </cell>
          <cell r="AC313">
            <v>0</v>
          </cell>
          <cell r="AD313">
            <v>1003.2592592592592</v>
          </cell>
          <cell r="AE313">
            <v>3814</v>
          </cell>
          <cell r="AF313">
            <v>0</v>
          </cell>
          <cell r="AH313">
            <v>0</v>
          </cell>
          <cell r="AJ313">
            <v>0</v>
          </cell>
          <cell r="AK313">
            <v>3814</v>
          </cell>
          <cell r="AL313">
            <v>381.40000000000003</v>
          </cell>
          <cell r="AM313">
            <v>0</v>
          </cell>
          <cell r="AN313">
            <v>3432.6</v>
          </cell>
          <cell r="AO313">
            <v>3430</v>
          </cell>
          <cell r="AP313">
            <v>3430</v>
          </cell>
          <cell r="AQ313">
            <v>0</v>
          </cell>
          <cell r="AR313">
            <v>0</v>
          </cell>
        </row>
        <row r="314">
          <cell r="D314" t="str">
            <v>A1074</v>
          </cell>
          <cell r="E314" t="str">
            <v>Nguyễn Tuấn Anh</v>
          </cell>
          <cell r="F314" t="str">
            <v>EN</v>
          </cell>
          <cell r="G314" t="str">
            <v>Công nhân Xưởng 1</v>
          </cell>
          <cell r="H314" t="str">
            <v>T3/18</v>
          </cell>
          <cell r="I314" t="str">
            <v>11.I</v>
          </cell>
          <cell r="J314">
            <v>3500</v>
          </cell>
          <cell r="K314">
            <v>4</v>
          </cell>
          <cell r="L314">
            <v>0</v>
          </cell>
          <cell r="M314">
            <v>1</v>
          </cell>
          <cell r="N314">
            <v>0</v>
          </cell>
          <cell r="O314">
            <v>0</v>
          </cell>
          <cell r="P314">
            <v>11</v>
          </cell>
          <cell r="Q314">
            <v>0</v>
          </cell>
          <cell r="R314">
            <v>16</v>
          </cell>
          <cell r="S314">
            <v>60</v>
          </cell>
          <cell r="T314">
            <v>0</v>
          </cell>
          <cell r="U314">
            <v>0</v>
          </cell>
          <cell r="V314">
            <v>2502</v>
          </cell>
          <cell r="W314">
            <v>1458</v>
          </cell>
          <cell r="X314">
            <v>3960</v>
          </cell>
          <cell r="Y314">
            <v>0</v>
          </cell>
          <cell r="Z314">
            <v>0</v>
          </cell>
          <cell r="AA314">
            <v>416</v>
          </cell>
          <cell r="AB314">
            <v>0</v>
          </cell>
          <cell r="AC314">
            <v>0</v>
          </cell>
          <cell r="AD314">
            <v>416</v>
          </cell>
          <cell r="AE314">
            <v>4376</v>
          </cell>
          <cell r="AF314">
            <v>0</v>
          </cell>
          <cell r="AH314">
            <v>0</v>
          </cell>
          <cell r="AI314">
            <v>9000</v>
          </cell>
          <cell r="AJ314">
            <v>9000</v>
          </cell>
          <cell r="AK314">
            <v>-4624</v>
          </cell>
          <cell r="AL314">
            <v>0</v>
          </cell>
          <cell r="AM314">
            <v>0</v>
          </cell>
          <cell r="AN314">
            <v>4376</v>
          </cell>
          <cell r="AO314">
            <v>4380</v>
          </cell>
          <cell r="AP314">
            <v>4380</v>
          </cell>
          <cell r="AQ314">
            <v>0</v>
          </cell>
          <cell r="AR314">
            <v>0</v>
          </cell>
        </row>
        <row r="315">
          <cell r="D315" t="str">
            <v>A1075</v>
          </cell>
          <cell r="E315" t="str">
            <v>Huỳnh Đức Lợi</v>
          </cell>
          <cell r="F315" t="str">
            <v>GA</v>
          </cell>
          <cell r="G315" t="str">
            <v>Công nhân Xưởng 1</v>
          </cell>
          <cell r="H315" t="str">
            <v>T3/18</v>
          </cell>
          <cell r="I315" t="str">
            <v>11.I</v>
          </cell>
          <cell r="J315">
            <v>3500</v>
          </cell>
          <cell r="K315">
            <v>15</v>
          </cell>
          <cell r="L315">
            <v>0</v>
          </cell>
          <cell r="M315">
            <v>1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16</v>
          </cell>
          <cell r="S315">
            <v>60</v>
          </cell>
          <cell r="T315">
            <v>10</v>
          </cell>
          <cell r="U315">
            <v>0</v>
          </cell>
          <cell r="V315">
            <v>2074</v>
          </cell>
          <cell r="W315">
            <v>1782</v>
          </cell>
          <cell r="X315">
            <v>3856</v>
          </cell>
          <cell r="Y315">
            <v>0</v>
          </cell>
          <cell r="Z315">
            <v>0</v>
          </cell>
          <cell r="AA315">
            <v>240</v>
          </cell>
          <cell r="AB315">
            <v>0</v>
          </cell>
          <cell r="AC315">
            <v>0</v>
          </cell>
          <cell r="AD315">
            <v>240</v>
          </cell>
          <cell r="AE315">
            <v>4096</v>
          </cell>
          <cell r="AF315">
            <v>0</v>
          </cell>
          <cell r="AH315">
            <v>0</v>
          </cell>
          <cell r="AI315">
            <v>9000</v>
          </cell>
          <cell r="AJ315">
            <v>9000</v>
          </cell>
          <cell r="AK315">
            <v>-4904</v>
          </cell>
          <cell r="AL315">
            <v>0</v>
          </cell>
          <cell r="AM315">
            <v>1000</v>
          </cell>
          <cell r="AN315">
            <v>3096</v>
          </cell>
          <cell r="AO315">
            <v>3100</v>
          </cell>
          <cell r="AP315">
            <v>4100</v>
          </cell>
          <cell r="AQ315">
            <v>0</v>
          </cell>
          <cell r="AR315">
            <v>0</v>
          </cell>
        </row>
        <row r="316">
          <cell r="D316" t="str">
            <v>A1076</v>
          </cell>
          <cell r="E316" t="str">
            <v>Nguyễn Thành Lâm</v>
          </cell>
          <cell r="F316" t="str">
            <v>QCX</v>
          </cell>
          <cell r="G316" t="str">
            <v>Công nhân</v>
          </cell>
          <cell r="H316" t="str">
            <v>T4/18</v>
          </cell>
          <cell r="I316" t="str">
            <v>11.I</v>
          </cell>
          <cell r="J316">
            <v>3500</v>
          </cell>
          <cell r="K316">
            <v>10</v>
          </cell>
          <cell r="L316">
            <v>5</v>
          </cell>
          <cell r="M316">
            <v>1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16</v>
          </cell>
          <cell r="S316">
            <v>64</v>
          </cell>
          <cell r="T316">
            <v>8</v>
          </cell>
          <cell r="U316">
            <v>0</v>
          </cell>
          <cell r="V316">
            <v>2074</v>
          </cell>
          <cell r="W316">
            <v>1815</v>
          </cell>
          <cell r="X316">
            <v>3889</v>
          </cell>
          <cell r="Y316">
            <v>0</v>
          </cell>
          <cell r="Z316">
            <v>0</v>
          </cell>
          <cell r="AA316">
            <v>160</v>
          </cell>
          <cell r="AB316">
            <v>0</v>
          </cell>
          <cell r="AC316">
            <v>0</v>
          </cell>
          <cell r="AD316">
            <v>160</v>
          </cell>
          <cell r="AE316">
            <v>4049</v>
          </cell>
          <cell r="AF316">
            <v>0</v>
          </cell>
          <cell r="AH316">
            <v>0</v>
          </cell>
          <cell r="AI316">
            <v>9000</v>
          </cell>
          <cell r="AJ316">
            <v>9000</v>
          </cell>
          <cell r="AK316">
            <v>-4951</v>
          </cell>
          <cell r="AL316">
            <v>0</v>
          </cell>
          <cell r="AM316">
            <v>0</v>
          </cell>
          <cell r="AN316">
            <v>4049</v>
          </cell>
          <cell r="AO316">
            <v>4050</v>
          </cell>
          <cell r="AP316">
            <v>4050</v>
          </cell>
          <cell r="AQ316">
            <v>1</v>
          </cell>
          <cell r="AR316">
            <v>1</v>
          </cell>
        </row>
        <row r="317">
          <cell r="D317" t="str">
            <v>A1077</v>
          </cell>
          <cell r="E317" t="str">
            <v>Hồng Quang Phát</v>
          </cell>
          <cell r="F317" t="str">
            <v>Gián tiếp</v>
          </cell>
          <cell r="G317" t="str">
            <v>nhân viên</v>
          </cell>
          <cell r="H317" t="str">
            <v>T4/18</v>
          </cell>
          <cell r="I317" t="str">
            <v>5.I</v>
          </cell>
          <cell r="J317">
            <v>4436</v>
          </cell>
          <cell r="K317">
            <v>1</v>
          </cell>
          <cell r="L317">
            <v>11</v>
          </cell>
          <cell r="M317">
            <v>1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13</v>
          </cell>
          <cell r="S317">
            <v>4</v>
          </cell>
          <cell r="T317">
            <v>0</v>
          </cell>
          <cell r="U317">
            <v>0</v>
          </cell>
          <cell r="V317">
            <v>2136</v>
          </cell>
          <cell r="W317">
            <v>123</v>
          </cell>
          <cell r="X317">
            <v>2259</v>
          </cell>
          <cell r="Y317">
            <v>2197.4814814814813</v>
          </cell>
          <cell r="Z317">
            <v>0</v>
          </cell>
          <cell r="AA317">
            <v>16</v>
          </cell>
          <cell r="AB317">
            <v>0</v>
          </cell>
          <cell r="AC317">
            <v>0</v>
          </cell>
          <cell r="AD317">
            <v>2213.4814814814813</v>
          </cell>
          <cell r="AE317">
            <v>4472</v>
          </cell>
          <cell r="AF317">
            <v>0</v>
          </cell>
          <cell r="AH317">
            <v>0</v>
          </cell>
          <cell r="AI317">
            <v>9000</v>
          </cell>
          <cell r="AJ317">
            <v>9000</v>
          </cell>
          <cell r="AK317">
            <v>-4528</v>
          </cell>
          <cell r="AL317">
            <v>0</v>
          </cell>
          <cell r="AM317">
            <v>0</v>
          </cell>
          <cell r="AN317">
            <v>4472</v>
          </cell>
          <cell r="AO317">
            <v>4470</v>
          </cell>
          <cell r="AP317">
            <v>4470</v>
          </cell>
          <cell r="AQ317">
            <v>2</v>
          </cell>
          <cell r="AR317">
            <v>2</v>
          </cell>
        </row>
        <row r="318">
          <cell r="D318" t="str">
            <v>A1078</v>
          </cell>
          <cell r="E318" t="str">
            <v>Trương Tấn Tài</v>
          </cell>
          <cell r="F318" t="str">
            <v>KHUON</v>
          </cell>
          <cell r="G318" t="str">
            <v>Kỹ thuật</v>
          </cell>
          <cell r="H318" t="str">
            <v>T4/18</v>
          </cell>
          <cell r="I318" t="str">
            <v>9.I</v>
          </cell>
          <cell r="J318">
            <v>4258.6000000000004</v>
          </cell>
          <cell r="K318">
            <v>0</v>
          </cell>
          <cell r="L318">
            <v>8</v>
          </cell>
          <cell r="M318">
            <v>1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9</v>
          </cell>
          <cell r="S318">
            <v>0</v>
          </cell>
          <cell r="T318">
            <v>0</v>
          </cell>
          <cell r="U318">
            <v>0</v>
          </cell>
          <cell r="V318">
            <v>1420</v>
          </cell>
          <cell r="W318">
            <v>0</v>
          </cell>
          <cell r="X318">
            <v>1420</v>
          </cell>
          <cell r="Y318">
            <v>913.80000000000007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913.80000000000007</v>
          </cell>
          <cell r="AE318">
            <v>2334</v>
          </cell>
          <cell r="AF318">
            <v>0</v>
          </cell>
          <cell r="AH318">
            <v>0</v>
          </cell>
          <cell r="AI318">
            <v>9000</v>
          </cell>
          <cell r="AJ318">
            <v>9000</v>
          </cell>
          <cell r="AK318">
            <v>-6666</v>
          </cell>
          <cell r="AL318">
            <v>0</v>
          </cell>
          <cell r="AM318">
            <v>0</v>
          </cell>
          <cell r="AN318">
            <v>2334</v>
          </cell>
          <cell r="AO318">
            <v>2340</v>
          </cell>
          <cell r="AP318">
            <v>2340</v>
          </cell>
          <cell r="AQ318">
            <v>3</v>
          </cell>
          <cell r="AR318">
            <v>3</v>
          </cell>
        </row>
        <row r="319">
          <cell r="D319" t="str">
            <v>A1079</v>
          </cell>
          <cell r="E319" t="str">
            <v>Trần Đình Sơn</v>
          </cell>
          <cell r="F319" t="str">
            <v>KHUON</v>
          </cell>
        </row>
        <row r="320">
          <cell r="D320" t="str">
            <v>A1080</v>
          </cell>
          <cell r="E320" t="str">
            <v>Hồ Thanh Hào</v>
          </cell>
          <cell r="F320" t="str">
            <v>KHUON</v>
          </cell>
        </row>
        <row r="321">
          <cell r="D321" t="str">
            <v>A1081</v>
          </cell>
          <cell r="E321" t="str">
            <v>Lê Văn Thanh</v>
          </cell>
          <cell r="F321" t="str">
            <v>QCX</v>
          </cell>
          <cell r="G321" t="e">
            <v>#N/A</v>
          </cell>
          <cell r="H321" t="e">
            <v>#N/A</v>
          </cell>
          <cell r="I321" t="e">
            <v>#N/A</v>
          </cell>
          <cell r="J321">
            <v>3500</v>
          </cell>
          <cell r="K321">
            <v>10</v>
          </cell>
          <cell r="L321">
            <v>5</v>
          </cell>
          <cell r="M321">
            <v>1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16</v>
          </cell>
          <cell r="S321">
            <v>66</v>
          </cell>
          <cell r="T321">
            <v>12</v>
          </cell>
          <cell r="U321">
            <v>0</v>
          </cell>
          <cell r="V321" t="e">
            <v>#N/A</v>
          </cell>
          <cell r="W321" t="e">
            <v>#N/A</v>
          </cell>
          <cell r="X321" t="e">
            <v>#N/A</v>
          </cell>
          <cell r="Y321" t="e">
            <v>#N/A</v>
          </cell>
          <cell r="Z321">
            <v>0</v>
          </cell>
          <cell r="AA321">
            <v>160</v>
          </cell>
          <cell r="AB321">
            <v>0</v>
          </cell>
          <cell r="AC321">
            <v>0</v>
          </cell>
          <cell r="AD321" t="e">
            <v>#N/A</v>
          </cell>
          <cell r="AE321" t="e">
            <v>#N/A</v>
          </cell>
          <cell r="AF321">
            <v>0</v>
          </cell>
          <cell r="AH321">
            <v>0</v>
          </cell>
          <cell r="AI321">
            <v>9000</v>
          </cell>
          <cell r="AJ321">
            <v>9000</v>
          </cell>
          <cell r="AK321" t="e">
            <v>#N/A</v>
          </cell>
          <cell r="AL321" t="e">
            <v>#N/A</v>
          </cell>
          <cell r="AM321">
            <v>0</v>
          </cell>
          <cell r="AN321" t="e">
            <v>#N/A</v>
          </cell>
          <cell r="AO321" t="e">
            <v>#N/A</v>
          </cell>
          <cell r="AP321" t="e">
            <v>#N/A</v>
          </cell>
          <cell r="AQ321">
            <v>4</v>
          </cell>
          <cell r="AR321">
            <v>4</v>
          </cell>
        </row>
        <row r="322">
          <cell r="D322" t="str">
            <v>A1084</v>
          </cell>
          <cell r="E322" t="str">
            <v>Nguyễn Thanh Tú</v>
          </cell>
          <cell r="F322" t="str">
            <v>Kho</v>
          </cell>
        </row>
        <row r="323">
          <cell r="D323" t="str">
            <v>A1085</v>
          </cell>
          <cell r="E323" t="str">
            <v>Bùi Văn Hải</v>
          </cell>
          <cell r="F323" t="str">
            <v>Kho</v>
          </cell>
        </row>
        <row r="324">
          <cell r="D324" t="str">
            <v>A1095</v>
          </cell>
          <cell r="E324" t="str">
            <v>Lê Văn Cần</v>
          </cell>
          <cell r="F324" t="str">
            <v>Kho</v>
          </cell>
        </row>
        <row r="334">
          <cell r="E334" t="str">
            <v>TỔNG CỘNG</v>
          </cell>
          <cell r="J334" t="e">
            <v>#N/A</v>
          </cell>
          <cell r="K334" t="e">
            <v>#N/A</v>
          </cell>
          <cell r="L334" t="e">
            <v>#N/A</v>
          </cell>
          <cell r="M334" t="e">
            <v>#N/A</v>
          </cell>
          <cell r="N334" t="e">
            <v>#N/A</v>
          </cell>
          <cell r="O334" t="e">
            <v>#N/A</v>
          </cell>
          <cell r="P334" t="e">
            <v>#N/A</v>
          </cell>
          <cell r="Q334" t="e">
            <v>#N/A</v>
          </cell>
          <cell r="R334" t="e">
            <v>#N/A</v>
          </cell>
          <cell r="S334" t="e">
            <v>#N/A</v>
          </cell>
          <cell r="T334" t="e">
            <v>#N/A</v>
          </cell>
          <cell r="U334" t="e">
            <v>#N/A</v>
          </cell>
          <cell r="V334" t="e">
            <v>#N/A</v>
          </cell>
          <cell r="W334" t="e">
            <v>#N/A</v>
          </cell>
          <cell r="X334" t="e">
            <v>#N/A</v>
          </cell>
          <cell r="Y334" t="e">
            <v>#N/A</v>
          </cell>
          <cell r="Z334" t="e">
            <v>#N/A</v>
          </cell>
          <cell r="AA334" t="e">
            <v>#N/A</v>
          </cell>
          <cell r="AB334" t="e">
            <v>#N/A</v>
          </cell>
          <cell r="AC334" t="e">
            <v>#N/A</v>
          </cell>
          <cell r="AD334" t="e">
            <v>#N/A</v>
          </cell>
          <cell r="AE334" t="e">
            <v>#N/A</v>
          </cell>
          <cell r="AF334">
            <v>128515.37999999952</v>
          </cell>
          <cell r="AG334">
            <v>0</v>
          </cell>
          <cell r="AH334">
            <v>41</v>
          </cell>
          <cell r="AI334">
            <v>2919600</v>
          </cell>
          <cell r="AJ334">
            <v>3048115.3799999948</v>
          </cell>
          <cell r="AK334" t="e">
            <v>#N/A</v>
          </cell>
          <cell r="AL334" t="e">
            <v>#N/A</v>
          </cell>
          <cell r="AM334" t="e">
            <v>#N/A</v>
          </cell>
          <cell r="AN334" t="e">
            <v>#N/A</v>
          </cell>
          <cell r="AO334" t="e">
            <v>#N/A</v>
          </cell>
          <cell r="AP334" t="e">
            <v>#N/A</v>
          </cell>
          <cell r="AQ334">
            <v>283</v>
          </cell>
          <cell r="AR334" t="e">
            <v>#N/A</v>
          </cell>
        </row>
        <row r="335">
          <cell r="K335" t="e">
            <v>#N/A</v>
          </cell>
          <cell r="L335" t="e">
            <v>#N/A</v>
          </cell>
          <cell r="M335" t="e">
            <v>#N/A</v>
          </cell>
          <cell r="N335" t="e">
            <v>#N/A</v>
          </cell>
          <cell r="O335" t="e">
            <v>#N/A</v>
          </cell>
          <cell r="P335" t="e">
            <v>#N/A</v>
          </cell>
          <cell r="Q335" t="e">
            <v>#N/A</v>
          </cell>
          <cell r="R335" t="e">
            <v>#N/A</v>
          </cell>
          <cell r="S335" t="e">
            <v>#N/A</v>
          </cell>
          <cell r="T335" t="e">
            <v>#N/A</v>
          </cell>
          <cell r="U335" t="e">
            <v>#N/A</v>
          </cell>
          <cell r="AF335">
            <v>128515.38</v>
          </cell>
        </row>
        <row r="336">
          <cell r="K336" t="e">
            <v>#N/A</v>
          </cell>
          <cell r="AF336">
            <v>-4.8021320253610611E-10</v>
          </cell>
          <cell r="AL336" t="str">
            <v>khấu trừ 10% thuế TNCN cho những thử việc người vào tháng 12/17 và 1/2018</v>
          </cell>
        </row>
        <row r="337">
          <cell r="D337" t="str">
            <v>A001</v>
          </cell>
        </row>
        <row r="338">
          <cell r="D338" t="str">
            <v>A003</v>
          </cell>
        </row>
        <row r="339">
          <cell r="D339" t="str">
            <v>A005</v>
          </cell>
        </row>
        <row r="340">
          <cell r="D340" t="str">
            <v>A007</v>
          </cell>
        </row>
        <row r="341">
          <cell r="D341" t="str">
            <v>A010</v>
          </cell>
        </row>
        <row r="342">
          <cell r="D342" t="str">
            <v>A015</v>
          </cell>
        </row>
        <row r="343">
          <cell r="D343" t="str">
            <v>A019</v>
          </cell>
        </row>
        <row r="344">
          <cell r="D344" t="str">
            <v>A021</v>
          </cell>
        </row>
        <row r="345">
          <cell r="D345" t="str">
            <v>A023</v>
          </cell>
        </row>
        <row r="346">
          <cell r="D346" t="str">
            <v>A026</v>
          </cell>
        </row>
        <row r="347">
          <cell r="D347" t="str">
            <v>A027</v>
          </cell>
        </row>
        <row r="348">
          <cell r="D348" t="str">
            <v>A028</v>
          </cell>
        </row>
        <row r="349">
          <cell r="D349" t="str">
            <v>A030</v>
          </cell>
        </row>
        <row r="350">
          <cell r="D350" t="str">
            <v>A032</v>
          </cell>
        </row>
        <row r="351">
          <cell r="D351" t="str">
            <v>A033</v>
          </cell>
        </row>
        <row r="352">
          <cell r="D352" t="str">
            <v>A034</v>
          </cell>
        </row>
        <row r="353">
          <cell r="D353" t="str">
            <v>A038</v>
          </cell>
        </row>
        <row r="354">
          <cell r="D354" t="str">
            <v>A042</v>
          </cell>
        </row>
        <row r="355">
          <cell r="D355" t="str">
            <v>A046</v>
          </cell>
        </row>
        <row r="356">
          <cell r="D356" t="str">
            <v>A049</v>
          </cell>
        </row>
        <row r="357">
          <cell r="D357" t="str">
            <v>A055</v>
          </cell>
        </row>
        <row r="358">
          <cell r="D358" t="str">
            <v>A059</v>
          </cell>
        </row>
        <row r="359">
          <cell r="D359" t="str">
            <v>A061</v>
          </cell>
        </row>
        <row r="360">
          <cell r="D360" t="str">
            <v>A063</v>
          </cell>
        </row>
        <row r="361">
          <cell r="D361" t="str">
            <v>A068</v>
          </cell>
        </row>
        <row r="362">
          <cell r="D362" t="str">
            <v>A080</v>
          </cell>
        </row>
        <row r="363">
          <cell r="D363" t="str">
            <v>A082</v>
          </cell>
        </row>
        <row r="364">
          <cell r="D364" t="str">
            <v>A084</v>
          </cell>
        </row>
        <row r="365">
          <cell r="D365" t="str">
            <v>A086</v>
          </cell>
        </row>
        <row r="366">
          <cell r="D366" t="str">
            <v>A087</v>
          </cell>
        </row>
        <row r="367">
          <cell r="D367" t="str">
            <v>A093</v>
          </cell>
        </row>
        <row r="368">
          <cell r="D368" t="str">
            <v>A094</v>
          </cell>
        </row>
        <row r="369">
          <cell r="D369" t="str">
            <v>A105</v>
          </cell>
        </row>
        <row r="370">
          <cell r="D370" t="str">
            <v>A113</v>
          </cell>
        </row>
        <row r="371">
          <cell r="D371" t="str">
            <v>A120</v>
          </cell>
        </row>
        <row r="372">
          <cell r="D372" t="str">
            <v>A123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K7"/>
  <sheetViews>
    <sheetView tabSelected="1" workbookViewId="0">
      <selection activeCell="A2" sqref="A2"/>
    </sheetView>
  </sheetViews>
  <sheetFormatPr defaultRowHeight="15.75" x14ac:dyDescent="0.25"/>
  <sheetData>
    <row r="1" spans="1:89" ht="15.75" customHeight="1" x14ac:dyDescent="0.25">
      <c r="A1" s="51">
        <f>15+2</f>
        <v>17</v>
      </c>
      <c r="B1" s="52"/>
      <c r="C1" s="53"/>
      <c r="D1" s="54"/>
      <c r="E1" s="51"/>
      <c r="F1" s="51"/>
      <c r="G1" s="55"/>
      <c r="H1" s="56"/>
      <c r="I1" s="57"/>
      <c r="J1" s="58"/>
      <c r="K1" s="55"/>
      <c r="L1" s="59"/>
      <c r="M1" s="55"/>
      <c r="N1" s="59"/>
      <c r="O1" s="57"/>
      <c r="P1" s="58"/>
      <c r="Q1" s="60"/>
      <c r="R1" s="61"/>
      <c r="S1" s="55"/>
      <c r="T1" s="59"/>
      <c r="U1" s="55"/>
      <c r="V1" s="56"/>
      <c r="W1" s="55"/>
      <c r="X1" s="59"/>
      <c r="Y1" s="55"/>
      <c r="Z1" s="59"/>
      <c r="AA1" s="55"/>
      <c r="AB1" s="59"/>
      <c r="AC1" s="55"/>
      <c r="AD1" s="59"/>
      <c r="AE1" s="60"/>
      <c r="AF1" s="61"/>
      <c r="AG1" s="55"/>
      <c r="AH1" s="59"/>
      <c r="AI1" s="55"/>
      <c r="AJ1" s="59"/>
      <c r="AK1" s="55"/>
      <c r="AL1" s="59"/>
      <c r="AM1" s="55"/>
      <c r="AN1" s="59"/>
      <c r="AO1" s="55"/>
      <c r="AP1" s="59"/>
      <c r="AQ1" s="55"/>
      <c r="AR1" s="59"/>
      <c r="AS1" s="60"/>
      <c r="AT1" s="61"/>
      <c r="AU1" s="55"/>
      <c r="AV1" s="59"/>
      <c r="AW1" s="55"/>
      <c r="AX1" s="59"/>
      <c r="AY1" s="55"/>
      <c r="AZ1" s="59"/>
      <c r="BA1" s="55"/>
      <c r="BB1" s="59"/>
      <c r="BC1" s="55"/>
      <c r="BD1" s="59"/>
      <c r="BE1" s="55"/>
      <c r="BF1" s="56"/>
      <c r="BG1" s="60"/>
      <c r="BH1" s="61"/>
      <c r="BI1" s="55"/>
      <c r="BJ1" s="59"/>
      <c r="BK1" s="55"/>
      <c r="BL1" s="59"/>
      <c r="BM1" s="55"/>
      <c r="BN1" s="59"/>
      <c r="BO1" s="55"/>
      <c r="BP1" s="59"/>
      <c r="BQ1" s="51"/>
      <c r="BR1" s="51"/>
      <c r="BS1" s="51"/>
      <c r="BT1" s="51"/>
      <c r="BU1" s="51"/>
      <c r="BV1" s="51"/>
      <c r="BW1" s="51"/>
      <c r="BX1" s="51"/>
      <c r="BY1" s="51"/>
      <c r="BZ1" s="62"/>
      <c r="CA1" s="51"/>
      <c r="CB1" s="62"/>
      <c r="CC1" s="51"/>
      <c r="CD1" s="63"/>
      <c r="CE1" s="64"/>
      <c r="CF1" s="51"/>
      <c r="CG1" s="51"/>
      <c r="CH1" s="51"/>
      <c r="CI1" s="65"/>
      <c r="CJ1" s="66"/>
      <c r="CK1" s="66"/>
    </row>
    <row r="2" spans="1:89" x14ac:dyDescent="0.25">
      <c r="A2" s="67"/>
      <c r="B2" s="68" t="s">
        <v>28</v>
      </c>
      <c r="C2" s="69"/>
      <c r="D2" s="70"/>
      <c r="E2" s="67"/>
      <c r="F2" s="67"/>
      <c r="G2" s="71"/>
      <c r="H2" s="72"/>
      <c r="I2" s="73"/>
      <c r="J2" s="74"/>
      <c r="K2" s="71"/>
      <c r="L2" s="75"/>
      <c r="M2" s="71"/>
      <c r="N2" s="75"/>
      <c r="O2" s="73"/>
      <c r="P2" s="74"/>
      <c r="Q2" s="76"/>
      <c r="R2" s="77"/>
      <c r="S2" s="71"/>
      <c r="T2" s="75"/>
      <c r="U2" s="71"/>
      <c r="V2" s="72"/>
      <c r="W2" s="71"/>
      <c r="X2" s="75"/>
      <c r="Y2" s="71"/>
      <c r="Z2" s="75"/>
      <c r="AA2" s="71"/>
      <c r="AB2" s="75"/>
      <c r="AC2" s="71"/>
      <c r="AD2" s="75"/>
      <c r="AE2" s="76"/>
      <c r="AF2" s="77"/>
      <c r="AG2" s="71"/>
      <c r="AH2" s="75"/>
      <c r="AI2" s="71"/>
      <c r="AJ2" s="75"/>
      <c r="AK2" s="71"/>
      <c r="AL2" s="75"/>
      <c r="AM2" s="71"/>
      <c r="AN2" s="75"/>
      <c r="AO2" s="71"/>
      <c r="AP2" s="75"/>
      <c r="AQ2" s="71"/>
      <c r="AR2" s="75"/>
      <c r="AS2" s="76"/>
      <c r="AT2" s="77"/>
      <c r="AU2" s="71"/>
      <c r="AV2" s="75"/>
      <c r="AW2" s="71"/>
      <c r="AX2" s="75"/>
      <c r="AY2" s="71"/>
      <c r="AZ2" s="75"/>
      <c r="BA2" s="71"/>
      <c r="BB2" s="75"/>
      <c r="BC2" s="71"/>
      <c r="BD2" s="75"/>
      <c r="BE2" s="71"/>
      <c r="BF2" s="72"/>
      <c r="BG2" s="76"/>
      <c r="BH2" s="77"/>
      <c r="BI2" s="71"/>
      <c r="BJ2" s="75"/>
      <c r="BK2" s="71"/>
      <c r="BL2" s="75"/>
      <c r="BM2" s="71"/>
      <c r="BN2" s="75"/>
      <c r="BO2" s="71"/>
      <c r="BP2" s="75"/>
      <c r="BQ2" s="67"/>
      <c r="BR2" s="67"/>
      <c r="BS2" s="67"/>
      <c r="BT2" s="67"/>
      <c r="BU2" s="67"/>
      <c r="BV2" s="67"/>
      <c r="BW2" s="67"/>
      <c r="BX2" s="67"/>
      <c r="BY2" s="67"/>
      <c r="BZ2" s="78"/>
      <c r="CA2" s="79"/>
      <c r="CB2" s="78"/>
      <c r="CC2" s="67"/>
      <c r="CD2" s="80"/>
      <c r="CE2" s="78"/>
      <c r="CF2" s="67"/>
      <c r="CG2" s="67"/>
      <c r="CH2" s="67"/>
      <c r="CI2" s="81"/>
      <c r="CJ2" s="27"/>
      <c r="CK2" s="27"/>
    </row>
    <row r="3" spans="1:89" ht="16.5" thickBot="1" x14ac:dyDescent="0.3">
      <c r="A3" s="82">
        <v>1</v>
      </c>
      <c r="B3" s="83">
        <v>2</v>
      </c>
      <c r="C3" s="84">
        <v>3</v>
      </c>
      <c r="D3" s="83"/>
      <c r="E3" s="83">
        <v>5</v>
      </c>
      <c r="F3" s="83">
        <v>6</v>
      </c>
      <c r="G3" s="85">
        <v>7</v>
      </c>
      <c r="H3" s="86">
        <v>8</v>
      </c>
      <c r="I3" s="87">
        <v>9</v>
      </c>
      <c r="J3" s="88">
        <v>10</v>
      </c>
      <c r="K3" s="86">
        <v>11</v>
      </c>
      <c r="L3" s="86">
        <v>12</v>
      </c>
      <c r="M3" s="86">
        <v>13</v>
      </c>
      <c r="N3" s="86">
        <v>14</v>
      </c>
      <c r="O3" s="87">
        <v>15</v>
      </c>
      <c r="P3" s="88">
        <v>16</v>
      </c>
      <c r="Q3" s="89">
        <v>17</v>
      </c>
      <c r="R3" s="89">
        <v>18</v>
      </c>
      <c r="S3" s="86">
        <v>19</v>
      </c>
      <c r="T3" s="86">
        <v>20</v>
      </c>
      <c r="U3" s="85">
        <v>21</v>
      </c>
      <c r="V3" s="86">
        <v>22</v>
      </c>
      <c r="W3" s="86">
        <v>23</v>
      </c>
      <c r="X3" s="86">
        <v>24</v>
      </c>
      <c r="Y3" s="86">
        <v>25</v>
      </c>
      <c r="Z3" s="86">
        <v>26</v>
      </c>
      <c r="AA3" s="86">
        <v>27</v>
      </c>
      <c r="AB3" s="90">
        <v>28</v>
      </c>
      <c r="AC3" s="86">
        <v>29</v>
      </c>
      <c r="AD3" s="86">
        <v>30</v>
      </c>
      <c r="AE3" s="89">
        <v>31</v>
      </c>
      <c r="AF3" s="89">
        <v>32</v>
      </c>
      <c r="AG3" s="86">
        <v>33</v>
      </c>
      <c r="AH3" s="86">
        <v>34</v>
      </c>
      <c r="AI3" s="85">
        <v>35</v>
      </c>
      <c r="AJ3" s="86">
        <v>36</v>
      </c>
      <c r="AK3" s="86">
        <v>37</v>
      </c>
      <c r="AL3" s="86">
        <v>38</v>
      </c>
      <c r="AM3" s="86">
        <v>39</v>
      </c>
      <c r="AN3" s="86">
        <v>40</v>
      </c>
      <c r="AO3" s="86">
        <v>41</v>
      </c>
      <c r="AP3" s="86">
        <v>42</v>
      </c>
      <c r="AQ3" s="86">
        <v>43</v>
      </c>
      <c r="AR3" s="86">
        <v>44</v>
      </c>
      <c r="AS3" s="89">
        <v>45</v>
      </c>
      <c r="AT3" s="89">
        <v>46</v>
      </c>
      <c r="AU3" s="86">
        <v>47</v>
      </c>
      <c r="AV3" s="86">
        <v>48</v>
      </c>
      <c r="AW3" s="85">
        <v>49</v>
      </c>
      <c r="AX3" s="86">
        <v>50</v>
      </c>
      <c r="AY3" s="85">
        <v>51</v>
      </c>
      <c r="AZ3" s="86">
        <v>52</v>
      </c>
      <c r="BA3" s="85">
        <v>53</v>
      </c>
      <c r="BB3" s="86">
        <v>54</v>
      </c>
      <c r="BC3" s="86">
        <v>55</v>
      </c>
      <c r="BD3" s="86">
        <v>56</v>
      </c>
      <c r="BE3" s="86">
        <v>57</v>
      </c>
      <c r="BF3" s="86">
        <v>58</v>
      </c>
      <c r="BG3" s="89">
        <v>59</v>
      </c>
      <c r="BH3" s="89">
        <v>60</v>
      </c>
      <c r="BI3" s="86">
        <v>61</v>
      </c>
      <c r="BJ3" s="86">
        <v>62</v>
      </c>
      <c r="BK3" s="85">
        <v>63</v>
      </c>
      <c r="BL3" s="86">
        <v>64</v>
      </c>
      <c r="BM3" s="85">
        <v>65</v>
      </c>
      <c r="BN3" s="86">
        <v>66</v>
      </c>
      <c r="BO3" s="85">
        <v>67</v>
      </c>
      <c r="BP3" s="86">
        <v>68</v>
      </c>
      <c r="BQ3" s="91">
        <v>69</v>
      </c>
      <c r="BR3" s="91">
        <v>70</v>
      </c>
      <c r="BS3" s="91">
        <v>71</v>
      </c>
      <c r="BT3" s="83">
        <v>72</v>
      </c>
      <c r="BU3" s="83">
        <v>73</v>
      </c>
      <c r="BV3" s="83">
        <v>74</v>
      </c>
      <c r="BW3" s="83">
        <v>75</v>
      </c>
      <c r="BX3" s="83">
        <v>76</v>
      </c>
      <c r="BY3" s="83">
        <v>77</v>
      </c>
      <c r="BZ3" s="83">
        <v>78</v>
      </c>
      <c r="CA3" s="83">
        <v>79</v>
      </c>
      <c r="CB3" s="83">
        <v>80</v>
      </c>
      <c r="CC3" s="83">
        <v>81</v>
      </c>
      <c r="CD3" s="83">
        <v>82</v>
      </c>
      <c r="CE3" s="83">
        <v>83</v>
      </c>
      <c r="CF3" s="83">
        <v>84</v>
      </c>
      <c r="CG3" s="83">
        <v>85</v>
      </c>
      <c r="CH3" s="83">
        <v>86</v>
      </c>
      <c r="CI3" s="92">
        <v>87</v>
      </c>
      <c r="CJ3" s="80"/>
      <c r="CK3" s="80"/>
    </row>
    <row r="4" spans="1:89" x14ac:dyDescent="0.25">
      <c r="A4" s="20" t="s">
        <v>29</v>
      </c>
      <c r="B4" s="93" t="s">
        <v>30</v>
      </c>
      <c r="C4" s="94" t="s">
        <v>31</v>
      </c>
      <c r="D4" s="13"/>
      <c r="E4" s="95" t="s">
        <v>32</v>
      </c>
      <c r="F4" s="96" t="s">
        <v>33</v>
      </c>
      <c r="G4" s="97">
        <v>1</v>
      </c>
      <c r="H4" s="98"/>
      <c r="I4" s="99">
        <v>2</v>
      </c>
      <c r="J4" s="99"/>
      <c r="K4" s="97">
        <v>3</v>
      </c>
      <c r="L4" s="97"/>
      <c r="M4" s="97">
        <v>4</v>
      </c>
      <c r="N4" s="97"/>
      <c r="O4" s="99">
        <v>5</v>
      </c>
      <c r="P4" s="99"/>
      <c r="Q4" s="100">
        <v>6</v>
      </c>
      <c r="R4" s="100"/>
      <c r="S4" s="97">
        <v>7</v>
      </c>
      <c r="T4" s="97"/>
      <c r="U4" s="97">
        <v>8</v>
      </c>
      <c r="V4" s="98"/>
      <c r="W4" s="97">
        <v>9</v>
      </c>
      <c r="X4" s="97"/>
      <c r="Y4" s="97">
        <v>10</v>
      </c>
      <c r="Z4" s="97"/>
      <c r="AA4" s="97">
        <v>11</v>
      </c>
      <c r="AB4" s="97"/>
      <c r="AC4" s="97">
        <v>12</v>
      </c>
      <c r="AD4" s="97"/>
      <c r="AE4" s="100">
        <v>13</v>
      </c>
      <c r="AF4" s="100"/>
      <c r="AG4" s="97">
        <v>14</v>
      </c>
      <c r="AH4" s="97"/>
      <c r="AI4" s="97">
        <v>15</v>
      </c>
      <c r="AJ4" s="97"/>
      <c r="AK4" s="97">
        <v>16</v>
      </c>
      <c r="AL4" s="97"/>
      <c r="AM4" s="101">
        <v>17</v>
      </c>
      <c r="AN4" s="102"/>
      <c r="AO4" s="101">
        <v>18</v>
      </c>
      <c r="AP4" s="102"/>
      <c r="AQ4" s="101">
        <v>19</v>
      </c>
      <c r="AR4" s="102"/>
      <c r="AS4" s="103">
        <v>20</v>
      </c>
      <c r="AT4" s="104"/>
      <c r="AU4" s="101">
        <v>21</v>
      </c>
      <c r="AV4" s="102"/>
      <c r="AW4" s="97">
        <v>22</v>
      </c>
      <c r="AX4" s="97"/>
      <c r="AY4" s="97">
        <v>23</v>
      </c>
      <c r="AZ4" s="97"/>
      <c r="BA4" s="97">
        <v>24</v>
      </c>
      <c r="BB4" s="97"/>
      <c r="BC4" s="101">
        <v>25</v>
      </c>
      <c r="BD4" s="102"/>
      <c r="BE4" s="101">
        <v>26</v>
      </c>
      <c r="BF4" s="102"/>
      <c r="BG4" s="103">
        <v>27</v>
      </c>
      <c r="BH4" s="104"/>
      <c r="BI4" s="101">
        <v>28</v>
      </c>
      <c r="BJ4" s="102"/>
      <c r="BK4" s="97">
        <v>29</v>
      </c>
      <c r="BL4" s="97"/>
      <c r="BM4" s="97">
        <v>30</v>
      </c>
      <c r="BN4" s="97"/>
      <c r="BO4" s="97">
        <v>31</v>
      </c>
      <c r="BP4" s="97"/>
      <c r="BQ4" s="12" t="s">
        <v>0</v>
      </c>
      <c r="BR4" s="12" t="s">
        <v>1</v>
      </c>
      <c r="BS4" s="12" t="s">
        <v>2</v>
      </c>
      <c r="BT4" s="13" t="s">
        <v>3</v>
      </c>
      <c r="BU4" s="14" t="s">
        <v>4</v>
      </c>
      <c r="BV4" s="15"/>
      <c r="BW4" s="14" t="s">
        <v>5</v>
      </c>
      <c r="BX4" s="16" t="s">
        <v>6</v>
      </c>
      <c r="BY4" s="14" t="s">
        <v>7</v>
      </c>
      <c r="BZ4" s="17" t="s">
        <v>8</v>
      </c>
      <c r="CA4" s="18" t="s">
        <v>9</v>
      </c>
      <c r="CB4" s="19"/>
      <c r="CC4" s="20"/>
      <c r="CD4" s="21" t="s">
        <v>10</v>
      </c>
      <c r="CE4" s="22" t="s">
        <v>11</v>
      </c>
      <c r="CF4" s="23" t="s">
        <v>12</v>
      </c>
      <c r="CG4" s="24" t="s">
        <v>13</v>
      </c>
      <c r="CH4" s="23" t="s">
        <v>14</v>
      </c>
      <c r="CI4" s="25" t="s">
        <v>15</v>
      </c>
      <c r="CJ4" s="26"/>
      <c r="CK4" s="27"/>
    </row>
    <row r="5" spans="1:89" ht="78.75" x14ac:dyDescent="0.25">
      <c r="A5" s="105"/>
      <c r="B5" s="106"/>
      <c r="C5" s="107"/>
      <c r="D5" s="108"/>
      <c r="E5" s="109"/>
      <c r="F5" s="110"/>
      <c r="G5" s="111" t="s">
        <v>34</v>
      </c>
      <c r="H5" s="112" t="s">
        <v>35</v>
      </c>
      <c r="I5" s="113" t="s">
        <v>34</v>
      </c>
      <c r="J5" s="114" t="s">
        <v>35</v>
      </c>
      <c r="K5" s="111" t="s">
        <v>34</v>
      </c>
      <c r="L5" s="115" t="s">
        <v>35</v>
      </c>
      <c r="M5" s="111" t="s">
        <v>34</v>
      </c>
      <c r="N5" s="115" t="s">
        <v>35</v>
      </c>
      <c r="O5" s="113" t="s">
        <v>34</v>
      </c>
      <c r="P5" s="114" t="s">
        <v>35</v>
      </c>
      <c r="Q5" s="116" t="s">
        <v>34</v>
      </c>
      <c r="R5" s="117" t="s">
        <v>35</v>
      </c>
      <c r="S5" s="111" t="s">
        <v>34</v>
      </c>
      <c r="T5" s="115" t="s">
        <v>35</v>
      </c>
      <c r="U5" s="111" t="s">
        <v>34</v>
      </c>
      <c r="V5" s="112" t="s">
        <v>35</v>
      </c>
      <c r="W5" s="111" t="s">
        <v>34</v>
      </c>
      <c r="X5" s="115" t="s">
        <v>35</v>
      </c>
      <c r="Y5" s="111" t="s">
        <v>34</v>
      </c>
      <c r="Z5" s="115" t="s">
        <v>35</v>
      </c>
      <c r="AA5" s="111" t="s">
        <v>34</v>
      </c>
      <c r="AB5" s="115" t="s">
        <v>35</v>
      </c>
      <c r="AC5" s="111" t="s">
        <v>34</v>
      </c>
      <c r="AD5" s="115" t="s">
        <v>35</v>
      </c>
      <c r="AE5" s="116" t="s">
        <v>34</v>
      </c>
      <c r="AF5" s="117" t="s">
        <v>35</v>
      </c>
      <c r="AG5" s="111" t="s">
        <v>34</v>
      </c>
      <c r="AH5" s="115" t="s">
        <v>35</v>
      </c>
      <c r="AI5" s="111" t="s">
        <v>34</v>
      </c>
      <c r="AJ5" s="115" t="s">
        <v>35</v>
      </c>
      <c r="AK5" s="111" t="s">
        <v>34</v>
      </c>
      <c r="AL5" s="115" t="s">
        <v>35</v>
      </c>
      <c r="AM5" s="118" t="s">
        <v>34</v>
      </c>
      <c r="AN5" s="115" t="s">
        <v>35</v>
      </c>
      <c r="AO5" s="111" t="s">
        <v>34</v>
      </c>
      <c r="AP5" s="115" t="s">
        <v>35</v>
      </c>
      <c r="AQ5" s="118" t="s">
        <v>34</v>
      </c>
      <c r="AR5" s="115" t="s">
        <v>35</v>
      </c>
      <c r="AS5" s="116" t="s">
        <v>34</v>
      </c>
      <c r="AT5" s="117" t="s">
        <v>35</v>
      </c>
      <c r="AU5" s="111" t="s">
        <v>34</v>
      </c>
      <c r="AV5" s="115" t="s">
        <v>35</v>
      </c>
      <c r="AW5" s="111" t="s">
        <v>34</v>
      </c>
      <c r="AX5" s="115" t="s">
        <v>35</v>
      </c>
      <c r="AY5" s="111" t="s">
        <v>34</v>
      </c>
      <c r="AZ5" s="115" t="s">
        <v>35</v>
      </c>
      <c r="BA5" s="111" t="s">
        <v>34</v>
      </c>
      <c r="BB5" s="115" t="s">
        <v>35</v>
      </c>
      <c r="BC5" s="111" t="s">
        <v>34</v>
      </c>
      <c r="BD5" s="115" t="s">
        <v>35</v>
      </c>
      <c r="BE5" s="118" t="s">
        <v>34</v>
      </c>
      <c r="BF5" s="118" t="s">
        <v>35</v>
      </c>
      <c r="BG5" s="119" t="s">
        <v>34</v>
      </c>
      <c r="BH5" s="119" t="s">
        <v>35</v>
      </c>
      <c r="BI5" s="118" t="s">
        <v>34</v>
      </c>
      <c r="BJ5" s="118" t="s">
        <v>35</v>
      </c>
      <c r="BK5" s="111" t="s">
        <v>34</v>
      </c>
      <c r="BL5" s="115" t="s">
        <v>35</v>
      </c>
      <c r="BM5" s="111" t="s">
        <v>34</v>
      </c>
      <c r="BN5" s="115" t="s">
        <v>35</v>
      </c>
      <c r="BO5" s="111" t="s">
        <v>34</v>
      </c>
      <c r="BP5" s="115" t="s">
        <v>35</v>
      </c>
      <c r="BQ5" s="28" t="s">
        <v>16</v>
      </c>
      <c r="BR5" s="28" t="s">
        <v>17</v>
      </c>
      <c r="BS5" s="28" t="s">
        <v>18</v>
      </c>
      <c r="BT5" s="28" t="s">
        <v>19</v>
      </c>
      <c r="BU5" s="29"/>
      <c r="BV5" s="30"/>
      <c r="BW5" s="29"/>
      <c r="BX5" s="31"/>
      <c r="BY5" s="29"/>
      <c r="BZ5" s="32"/>
      <c r="CA5" s="33" t="s">
        <v>20</v>
      </c>
      <c r="CB5" s="34" t="s">
        <v>21</v>
      </c>
      <c r="CC5" s="33" t="s">
        <v>22</v>
      </c>
      <c r="CD5" s="35"/>
      <c r="CE5" s="36"/>
      <c r="CF5" s="37"/>
      <c r="CG5" s="38"/>
      <c r="CH5" s="37"/>
      <c r="CI5" s="25"/>
      <c r="CJ5" s="26"/>
      <c r="CK5" s="39"/>
    </row>
    <row r="6" spans="1:89" ht="16.5" thickBot="1" x14ac:dyDescent="0.3">
      <c r="A6" s="120"/>
      <c r="B6" s="121"/>
      <c r="C6" s="122"/>
      <c r="D6" s="123"/>
      <c r="E6" s="124"/>
      <c r="F6" s="125"/>
      <c r="G6" s="126"/>
      <c r="H6" s="127"/>
      <c r="I6" s="128"/>
      <c r="J6" s="129"/>
      <c r="K6" s="126"/>
      <c r="L6" s="127"/>
      <c r="M6" s="126"/>
      <c r="N6" s="127"/>
      <c r="O6" s="128"/>
      <c r="P6" s="129"/>
      <c r="Q6" s="130"/>
      <c r="R6" s="131"/>
      <c r="S6" s="126"/>
      <c r="T6" s="127"/>
      <c r="U6" s="126"/>
      <c r="V6" s="127"/>
      <c r="W6" s="126"/>
      <c r="X6" s="127"/>
      <c r="Y6" s="126"/>
      <c r="Z6" s="127"/>
      <c r="AA6" s="126"/>
      <c r="AB6" s="127"/>
      <c r="AC6" s="126"/>
      <c r="AD6" s="127"/>
      <c r="AE6" s="130"/>
      <c r="AF6" s="131"/>
      <c r="AG6" s="126"/>
      <c r="AH6" s="127"/>
      <c r="AI6" s="126"/>
      <c r="AJ6" s="127"/>
      <c r="AK6" s="126"/>
      <c r="AL6" s="127"/>
      <c r="AM6" s="132"/>
      <c r="AN6" s="127"/>
      <c r="AO6" s="126"/>
      <c r="AP6" s="127"/>
      <c r="AQ6" s="132"/>
      <c r="AR6" s="127"/>
      <c r="AS6" s="130"/>
      <c r="AT6" s="131"/>
      <c r="AU6" s="126"/>
      <c r="AV6" s="127"/>
      <c r="AW6" s="126"/>
      <c r="AX6" s="127"/>
      <c r="AY6" s="126"/>
      <c r="AZ6" s="127"/>
      <c r="BA6" s="126"/>
      <c r="BB6" s="127"/>
      <c r="BC6" s="126"/>
      <c r="BD6" s="127"/>
      <c r="BE6" s="132"/>
      <c r="BF6" s="132"/>
      <c r="BG6" s="133"/>
      <c r="BH6" s="133"/>
      <c r="BI6" s="132"/>
      <c r="BJ6" s="132"/>
      <c r="BK6" s="126"/>
      <c r="BL6" s="127"/>
      <c r="BM6" s="126"/>
      <c r="BN6" s="127"/>
      <c r="BO6" s="126"/>
      <c r="BP6" s="127"/>
      <c r="BQ6" s="40" t="s">
        <v>23</v>
      </c>
      <c r="BR6" s="40" t="s">
        <v>23</v>
      </c>
      <c r="BS6" s="40" t="s">
        <v>23</v>
      </c>
      <c r="BT6" s="40" t="s">
        <v>23</v>
      </c>
      <c r="BU6" s="41" t="s">
        <v>23</v>
      </c>
      <c r="BV6" s="41"/>
      <c r="BW6" s="41" t="s">
        <v>23</v>
      </c>
      <c r="BX6" s="41" t="s">
        <v>23</v>
      </c>
      <c r="BY6" s="41" t="s">
        <v>23</v>
      </c>
      <c r="BZ6" s="42" t="s">
        <v>23</v>
      </c>
      <c r="CA6" s="43" t="s">
        <v>24</v>
      </c>
      <c r="CB6" s="44" t="s">
        <v>24</v>
      </c>
      <c r="CC6" s="43" t="s">
        <v>24</v>
      </c>
      <c r="CD6" s="45" t="s">
        <v>23</v>
      </c>
      <c r="CE6" s="46" t="s">
        <v>25</v>
      </c>
      <c r="CF6" s="47" t="s">
        <v>26</v>
      </c>
      <c r="CG6" s="48" t="s">
        <v>23</v>
      </c>
      <c r="CH6" s="49" t="s">
        <v>27</v>
      </c>
      <c r="CI6" s="50"/>
      <c r="CJ6" s="27"/>
      <c r="CK6" s="27"/>
    </row>
    <row r="7" spans="1:89" x14ac:dyDescent="0.25">
      <c r="A7" s="134" t="s">
        <v>36</v>
      </c>
      <c r="B7" s="135" t="s">
        <v>37</v>
      </c>
      <c r="C7" s="136" t="s">
        <v>38</v>
      </c>
      <c r="D7" s="137"/>
      <c r="E7" s="138">
        <v>37987</v>
      </c>
      <c r="F7" s="139">
        <f>VLOOKUP(A7,[3]TONGHOP!$D$9:$AR$372,41,0)</f>
        <v>16</v>
      </c>
      <c r="G7" s="140" t="s">
        <v>39</v>
      </c>
      <c r="H7" s="140"/>
      <c r="I7" s="141"/>
      <c r="J7" s="142"/>
      <c r="K7" s="143"/>
      <c r="L7" s="142"/>
      <c r="M7" s="143"/>
      <c r="N7" s="142"/>
      <c r="O7" s="141"/>
      <c r="P7" s="142"/>
      <c r="Q7" s="144"/>
      <c r="R7" s="145"/>
      <c r="S7" s="146"/>
      <c r="T7" s="142"/>
      <c r="U7" s="146"/>
      <c r="V7" s="142"/>
      <c r="W7" s="146"/>
      <c r="X7" s="142"/>
      <c r="Y7" s="143"/>
      <c r="Z7" s="142"/>
      <c r="AA7" s="143"/>
      <c r="AB7" s="142"/>
      <c r="AC7" s="143"/>
      <c r="AD7" s="142"/>
      <c r="AE7" s="145"/>
      <c r="AF7" s="145"/>
      <c r="AG7" s="143"/>
      <c r="AH7" s="142"/>
      <c r="AI7" s="143"/>
      <c r="AJ7" s="142"/>
      <c r="AK7" s="143"/>
      <c r="AL7" s="142"/>
      <c r="AM7" s="143"/>
      <c r="AN7" s="142"/>
      <c r="AO7" s="143"/>
      <c r="AP7" s="142"/>
      <c r="AQ7" s="143"/>
      <c r="AR7" s="142"/>
      <c r="AS7" s="145"/>
      <c r="AT7" s="145"/>
      <c r="AU7" s="143"/>
      <c r="AV7" s="142"/>
      <c r="AW7" s="143"/>
      <c r="AX7" s="142"/>
      <c r="AY7" s="143"/>
      <c r="AZ7" s="142"/>
      <c r="BA7" s="143"/>
      <c r="BB7" s="142"/>
      <c r="BC7" s="143"/>
      <c r="BD7" s="142"/>
      <c r="BE7" s="143"/>
      <c r="BF7" s="142"/>
      <c r="BG7" s="145"/>
      <c r="BH7" s="145"/>
      <c r="BI7" s="143"/>
      <c r="BJ7" s="142"/>
      <c r="BK7" s="143"/>
      <c r="BL7" s="142"/>
      <c r="BM7" s="143"/>
      <c r="BN7" s="142"/>
      <c r="BO7" s="143"/>
      <c r="BP7" s="142"/>
      <c r="BQ7" s="1">
        <f>COUNTIF($G7:$BP7,"a")+COUNTIF($G7:$BP7,"r0,a5")/2+COUNTIF($G7:$BP7,"p5,a5")/2</f>
        <v>0</v>
      </c>
      <c r="BR7" s="1">
        <f t="shared" ref="BR7" si="0">COUNTIF($G7:$BP7,"d")+COUNTIF($G7:$BP7,"r0,d5")/2+COUNTIF($G7:$BP7,"p5,d5")/2</f>
        <v>0</v>
      </c>
      <c r="BS7" s="1">
        <f t="shared" ref="BS7" si="1">COUNTIF($G7:$BP7,"b")+COUNTIF($G7:$BP7,"r0,b5")/2+COUNTIF($G7:$BP7,"p5,b5")/2</f>
        <v>0</v>
      </c>
      <c r="BT7" s="1">
        <f t="shared" ref="BT7" si="2">COUNTIF($G7:$BP7,"c")+COUNTIF($G7:$BP7,"r0,c5")/2+COUNTIF($G7:$BP7,"p5,c5")/2</f>
        <v>0</v>
      </c>
      <c r="BU7" s="1">
        <f t="shared" ref="BU7" si="3">COUNTIF($G7:$BP7,"KH")+COUNTIF($G7:$BP7,"TL")+COUNTIF($G7:$BP7,"L")</f>
        <v>1</v>
      </c>
      <c r="BV7" s="1"/>
      <c r="BW7" s="1">
        <f t="shared" ref="BW7" si="4">COUNTIF($G7:$BP7,"hh")</f>
        <v>0</v>
      </c>
      <c r="BX7" s="1">
        <f t="shared" ref="BX7" si="5">COUNTIF($G7:$BP7,"nt7")</f>
        <v>0</v>
      </c>
      <c r="BY7" s="1">
        <f t="shared" ref="BY7" si="6">COUNTIF($G7:$BP7,"P")+COUNTIF($G7:$BP7,"p5,a5")/2+COUNTIF($G7:$BP7,"p5,b5")/2+COUNTIF($G7:$BP7,"p5,c5")/2+COUNTIF($G7:$BP7,"p5,d5")/2</f>
        <v>0</v>
      </c>
      <c r="BZ7" s="2">
        <f t="shared" ref="BZ7" si="7">SUBTOTAL(9,BQ7:BY7)</f>
        <v>1</v>
      </c>
      <c r="CA7" s="3">
        <f>SUM(J7,L7,N7,P7,R7,T7,X7,Z7,AB7,AD7,AF7,AH7,AL7,AN7,AP7,AR7,AT7,AV7,AZ7,BB7,BD7,BF7,BH7,BP7)</f>
        <v>0</v>
      </c>
      <c r="CB7" s="4">
        <f>SUM(H7,V7,AJ7,AX7,BL7)</f>
        <v>0</v>
      </c>
      <c r="CC7" s="5">
        <f>SUM(BJ7,BN7)</f>
        <v>0</v>
      </c>
      <c r="CD7" s="6">
        <f>IF(BZ7&gt;25,4,IF(BZ7&gt;18,3,IF(BZ7&gt;12,2,IF(BZ7&gt;4,1,0))))-BX7-2+1</f>
        <v>-1</v>
      </c>
      <c r="CE7" s="7"/>
      <c r="CF7" s="6">
        <f>CD7*CI7</f>
        <v>0</v>
      </c>
      <c r="CG7" s="8">
        <f>F7-BY7+1</f>
        <v>17</v>
      </c>
      <c r="CH7" s="6">
        <f>CE7*16</f>
        <v>0</v>
      </c>
      <c r="CI7" s="9">
        <f>VLOOKUP(A7,[1]DATA!$A$6:$AI$331,34,0)</f>
        <v>0</v>
      </c>
      <c r="CJ7" s="10">
        <f>VLOOKUP(A7,[2]CHAMCONG!A$7:CI$333,79,0)</f>
        <v>0</v>
      </c>
      <c r="CK7" s="11">
        <f>CJ7-CA7</f>
        <v>0</v>
      </c>
    </row>
  </sheetData>
  <mergeCells count="110">
    <mergeCell ref="BK5:BK6"/>
    <mergeCell ref="BL5:BL6"/>
    <mergeCell ref="BM5:BM6"/>
    <mergeCell ref="BN5:BN6"/>
    <mergeCell ref="BO5:BO6"/>
    <mergeCell ref="BP5:BP6"/>
    <mergeCell ref="BE5:BE6"/>
    <mergeCell ref="BF5:BF6"/>
    <mergeCell ref="BG5:BG6"/>
    <mergeCell ref="BH5:BH6"/>
    <mergeCell ref="BI5:BI6"/>
    <mergeCell ref="BJ5:BJ6"/>
    <mergeCell ref="AY5:AY6"/>
    <mergeCell ref="AZ5:AZ6"/>
    <mergeCell ref="BA5:BA6"/>
    <mergeCell ref="BB5:BB6"/>
    <mergeCell ref="BC5:BC6"/>
    <mergeCell ref="BD5:BD6"/>
    <mergeCell ref="AS5:AS6"/>
    <mergeCell ref="AT5:AT6"/>
    <mergeCell ref="AU5:AU6"/>
    <mergeCell ref="AV5:AV6"/>
    <mergeCell ref="AW5:AW6"/>
    <mergeCell ref="AX5:AX6"/>
    <mergeCell ref="AM5:AM6"/>
    <mergeCell ref="AN5:AN6"/>
    <mergeCell ref="AO5:AO6"/>
    <mergeCell ref="AP5:AP6"/>
    <mergeCell ref="AQ5:AQ6"/>
    <mergeCell ref="AR5:AR6"/>
    <mergeCell ref="AG5:AG6"/>
    <mergeCell ref="AH5:AH6"/>
    <mergeCell ref="AI5:AI6"/>
    <mergeCell ref="AJ5:AJ6"/>
    <mergeCell ref="AK5:AK6"/>
    <mergeCell ref="AL5:AL6"/>
    <mergeCell ref="AA5:AA6"/>
    <mergeCell ref="AB5:AB6"/>
    <mergeCell ref="AC5:AC6"/>
    <mergeCell ref="AD5:AD6"/>
    <mergeCell ref="AE5:AE6"/>
    <mergeCell ref="AF5:AF6"/>
    <mergeCell ref="U5:U6"/>
    <mergeCell ref="V5:V6"/>
    <mergeCell ref="W5:W6"/>
    <mergeCell ref="X5:X6"/>
    <mergeCell ref="Y5:Y6"/>
    <mergeCell ref="Z5:Z6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CD4:CD5"/>
    <mergeCell ref="CE4:CE5"/>
    <mergeCell ref="CF4:CF5"/>
    <mergeCell ref="CG4:CG5"/>
    <mergeCell ref="CH4:CH5"/>
    <mergeCell ref="CI4:CI5"/>
    <mergeCell ref="BU4:BU5"/>
    <mergeCell ref="BW4:BW5"/>
    <mergeCell ref="BX4:BX5"/>
    <mergeCell ref="BY4:BY5"/>
    <mergeCell ref="BZ4:BZ5"/>
    <mergeCell ref="CA4:CC4"/>
    <mergeCell ref="BE4:BF4"/>
    <mergeCell ref="BG4:BH4"/>
    <mergeCell ref="BI4:BJ4"/>
    <mergeCell ref="BK4:BL4"/>
    <mergeCell ref="BM4:BN4"/>
    <mergeCell ref="BO4:BP4"/>
    <mergeCell ref="AS4:AT4"/>
    <mergeCell ref="AU4:AV4"/>
    <mergeCell ref="AW4:AX4"/>
    <mergeCell ref="AY4:AZ4"/>
    <mergeCell ref="BA4:BB4"/>
    <mergeCell ref="BC4:BD4"/>
    <mergeCell ref="AG4:AH4"/>
    <mergeCell ref="AI4:AJ4"/>
    <mergeCell ref="AK4:AL4"/>
    <mergeCell ref="AM4:AN4"/>
    <mergeCell ref="AO4:AP4"/>
    <mergeCell ref="AQ4:AR4"/>
    <mergeCell ref="U4:V4"/>
    <mergeCell ref="W4:X4"/>
    <mergeCell ref="Y4:Z4"/>
    <mergeCell ref="AA4:AB4"/>
    <mergeCell ref="AC4:AD4"/>
    <mergeCell ref="AE4:AF4"/>
    <mergeCell ref="I4:J4"/>
    <mergeCell ref="K4:L4"/>
    <mergeCell ref="M4:N4"/>
    <mergeCell ref="O4:P4"/>
    <mergeCell ref="Q4:R4"/>
    <mergeCell ref="S4:T4"/>
    <mergeCell ref="A4:A6"/>
    <mergeCell ref="B4:B6"/>
    <mergeCell ref="C4:C6"/>
    <mergeCell ref="E4:E6"/>
    <mergeCell ref="F4:F6"/>
    <mergeCell ref="G4:H4"/>
    <mergeCell ref="G5:G6"/>
    <mergeCell ref="H5:H6"/>
  </mergeCells>
  <conditionalFormatting sqref="B4">
    <cfRule type="duplicateValues" dxfId="15" priority="16"/>
  </conditionalFormatting>
  <conditionalFormatting sqref="A4">
    <cfRule type="duplicateValues" dxfId="14" priority="15"/>
  </conditionalFormatting>
  <conditionalFormatting sqref="A4">
    <cfRule type="duplicateValues" dxfId="13" priority="12"/>
    <cfRule type="duplicateValues" dxfId="12" priority="13"/>
    <cfRule type="duplicateValues" dxfId="11" priority="14"/>
  </conditionalFormatting>
  <conditionalFormatting sqref="A7">
    <cfRule type="duplicateValues" dxfId="10" priority="11"/>
  </conditionalFormatting>
  <conditionalFormatting sqref="A7">
    <cfRule type="duplicateValues" dxfId="9" priority="8"/>
    <cfRule type="duplicateValues" dxfId="8" priority="9"/>
    <cfRule type="duplicateValues" dxfId="7" priority="10"/>
  </conditionalFormatting>
  <conditionalFormatting sqref="B7">
    <cfRule type="duplicateValues" dxfId="6" priority="7"/>
  </conditionalFormatting>
  <conditionalFormatting sqref="A3">
    <cfRule type="duplicateValues" dxfId="5" priority="6"/>
  </conditionalFormatting>
  <conditionalFormatting sqref="B7">
    <cfRule type="duplicateValues" dxfId="4" priority="5"/>
  </conditionalFormatting>
  <conditionalFormatting sqref="A1:A7">
    <cfRule type="duplicateValues" dxfId="3" priority="4"/>
  </conditionalFormatting>
  <conditionalFormatting sqref="B1:B7">
    <cfRule type="duplicateValues" dxfId="2" priority="3"/>
  </conditionalFormatting>
  <conditionalFormatting sqref="A1:A7">
    <cfRule type="duplicateValues" dxfId="1" priority="2"/>
  </conditionalFormatting>
  <conditionalFormatting sqref="A1:A7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2021-12-23T06:04:46Z</dcterms:created>
  <dcterms:modified xsi:type="dcterms:W3CDTF">2021-12-23T06:27:48Z</dcterms:modified>
</cp:coreProperties>
</file>