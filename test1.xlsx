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685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/>
  <calcPr calcId="162913" fullCalcOnLoad="1"/>
</workbook>
</file>

<file path=xl/styles.xml><?xml version="1.0" encoding="utf-8"?>
<styleSheet xmlns="http://schemas.openxmlformats.org/spreadsheetml/2006/main">
  <numFmts count="11">
    <numFmt numFmtId="164" formatCode="0.0"/>
    <numFmt numFmtId="165" formatCode="_(* #,##0.0_);_(* \(#,##0.0\);_(* &quot;-&quot;??_);_(@_)"/>
    <numFmt numFmtId="166" formatCode="_-* #,##0_-;\-* #,##0_-;_-* &quot;-&quot;??_-;_-@_-"/>
    <numFmt numFmtId="167" formatCode="_-* #,##0.0_-;\-* #,##0.0_-;_-* &quot;-&quot;??_-;_-@_-"/>
    <numFmt numFmtId="168" formatCode="_(* #,##0_);_(* \(#,##0\);_(* &quot;-&quot;??_);_(@_)"/>
    <numFmt numFmtId="169" formatCode="_-* #,##0.0\ _₫_-;\-* #,##0.0\ _₫_-;_-* &quot;-&quot;?\ _₫_-;_-@_-"/>
    <numFmt numFmtId="170" formatCode="_(* #,##0.0_);_(* \(#,##0.0\);_(* &quot;-&quot;?_);_(@_)"/>
    <numFmt numFmtId="171" formatCode="_-* #,##0.00\ &quot;₫&quot;_-;\-* #,##0.00\ &quot;₫&quot;_-;_-* &quot;-&quot;??\ &quot;₫&quot;_-;_-@_-"/>
    <numFmt numFmtId="172" formatCode="#,##0.0"/>
    <numFmt numFmtId="173" formatCode="_-* #,##0.00_-;\-* #,##0.00_-;_-* &quot;-&quot;??_-;_-@_-"/>
    <numFmt numFmtId="174" formatCode="dd"/>
  </numFmts>
  <fonts count="22">
    <font>
      <name val="Times New Roman"/>
      <family val="2"/>
      <color theme="1"/>
      <sz val="12"/>
    </font>
    <font>
      <name val="Times New Roman"/>
      <family val="2"/>
      <color theme="1"/>
      <sz val="12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color theme="1"/>
      <sz val="11"/>
    </font>
    <font>
      <name val="Times New Roman"/>
      <family val="1"/>
      <color rgb="FFFF0000"/>
      <sz val="11"/>
    </font>
    <font>
      <name val="Times New Roman"/>
      <family val="1"/>
      <color theme="0"/>
      <sz val="11"/>
    </font>
    <font>
      <name val="Times New Roman"/>
      <family val="1"/>
      <b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rgb="FFFF0000"/>
      <sz val="12"/>
    </font>
    <font>
      <name val="Calibri"/>
      <family val="2"/>
      <color theme="1"/>
      <sz val="11"/>
      <scheme val="minor"/>
    </font>
    <font>
      <name val="Times New Roman"/>
      <family val="1"/>
      <b val="1"/>
      <color theme="0"/>
      <sz val="12"/>
    </font>
    <font>
      <name val="Times New Roman"/>
      <family val="1"/>
      <b val="1"/>
      <sz val="11"/>
    </font>
    <font>
      <name val="Times New Roman"/>
      <family val="1"/>
      <b val="1"/>
      <color rgb="FFFF0000"/>
      <sz val="11"/>
    </font>
    <font>
      <name val="Times New Roman"/>
      <family val="1"/>
      <color rgb="FF002060"/>
      <sz val="10"/>
    </font>
    <font>
      <name val="Times New Roman"/>
      <family val="1"/>
      <color rgb="FF002060"/>
      <sz val="9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5">
    <xf numFmtId="0" fontId="1" fillId="0" borderId="0"/>
    <xf numFmtId="43" fontId="1" fillId="0" borderId="0"/>
    <xf numFmtId="44" fontId="1" fillId="0" borderId="0"/>
    <xf numFmtId="173" fontId="10" fillId="0" borderId="0"/>
    <xf numFmtId="0" fontId="10" fillId="0" borderId="0"/>
  </cellStyleXfs>
  <cellXfs count="22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2" fillId="2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right" vertical="center"/>
    </xf>
    <xf numFmtId="0" fontId="7" fillId="2" borderId="0" pivotButton="0" quotePrefix="0" xfId="0"/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right" vertical="center"/>
    </xf>
    <xf numFmtId="0" fontId="7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9" fillId="2" borderId="10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center"/>
    </xf>
    <xf numFmtId="0" fontId="7" fillId="2" borderId="12" applyAlignment="1" pivotButton="0" quotePrefix="0" xfId="0">
      <alignment horizontal="center" vertical="center" wrapText="1"/>
    </xf>
    <xf numFmtId="0" fontId="7" fillId="2" borderId="12" applyAlignment="1" pivotButton="0" quotePrefix="0" xfId="0">
      <alignment horizontal="center" vertical="center"/>
    </xf>
    <xf numFmtId="0" fontId="9" fillId="2" borderId="12" applyAlignment="1" pivotButton="0" quotePrefix="0" xfId="0">
      <alignment horizontal="center" vertical="center"/>
    </xf>
    <xf numFmtId="0" fontId="9" fillId="2" borderId="12" applyAlignment="1" pivotButton="0" quotePrefix="0" xfId="0">
      <alignment horizontal="center" vertical="center" wrapText="1"/>
    </xf>
    <xf numFmtId="0" fontId="8" fillId="2" borderId="12" applyAlignment="1" pivotButton="0" quotePrefix="0" xfId="0">
      <alignment horizontal="center" vertical="center" wrapText="1"/>
    </xf>
    <xf numFmtId="0" fontId="7" fillId="2" borderId="12" applyAlignment="1" pivotButton="0" quotePrefix="0" xfId="0">
      <alignment horizontal="right" vertical="center"/>
    </xf>
    <xf numFmtId="0" fontId="2" fillId="2" borderId="14" applyAlignment="1" pivotButton="0" quotePrefix="0" xfId="0">
      <alignment horizontal="center" vertical="center"/>
    </xf>
    <xf numFmtId="0" fontId="3" fillId="2" borderId="1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/>
    </xf>
    <xf numFmtId="14" fontId="3" fillId="2" borderId="10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12" fillId="2" borderId="10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165" fontId="12" fillId="2" borderId="10" applyAlignment="1" pivotButton="0" quotePrefix="0" xfId="3">
      <alignment horizontal="center" vertical="center"/>
    </xf>
    <xf numFmtId="165" fontId="13" fillId="2" borderId="10" applyAlignment="1" pivotButton="0" quotePrefix="0" xfId="3">
      <alignment horizontal="center" vertical="center"/>
    </xf>
    <xf numFmtId="164" fontId="12" fillId="2" borderId="1" applyAlignment="1" pivotButton="0" quotePrefix="0" xfId="0">
      <alignment horizontal="center" vertical="center"/>
    </xf>
    <xf numFmtId="164" fontId="13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166" fontId="12" fillId="2" borderId="10" applyAlignment="1" pivotButton="0" quotePrefix="0" xfId="3">
      <alignment horizontal="center" vertical="center"/>
    </xf>
    <xf numFmtId="167" fontId="12" fillId="2" borderId="10" applyAlignment="1" pivotButton="0" quotePrefix="0" xfId="3">
      <alignment horizontal="center" vertical="center"/>
    </xf>
    <xf numFmtId="168" fontId="12" fillId="2" borderId="10" applyAlignment="1" pivotButton="0" quotePrefix="0" xfId="1">
      <alignment horizontal="right" vertical="center"/>
    </xf>
    <xf numFmtId="168" fontId="12" fillId="2" borderId="0" pivotButton="0" quotePrefix="0" xfId="1"/>
    <xf numFmtId="169" fontId="12" fillId="2" borderId="0" pivotButton="0" quotePrefix="0" xfId="0"/>
    <xf numFmtId="0" fontId="12" fillId="2" borderId="0" pivotButton="0" quotePrefix="0" xfId="0"/>
    <xf numFmtId="0" fontId="2" fillId="2" borderId="7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165" fontId="12" fillId="2" borderId="1" applyAlignment="1" pivotButton="0" quotePrefix="0" xfId="3">
      <alignment horizontal="center" vertical="center"/>
    </xf>
    <xf numFmtId="165" fontId="13" fillId="2" borderId="1" applyAlignment="1" pivotButton="0" quotePrefix="0" xfId="3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2" fillId="2" borderId="0" pivotButton="0" quotePrefix="0" xfId="0"/>
    <xf numFmtId="0" fontId="2" fillId="2" borderId="1" applyAlignment="1" pivotButton="0" quotePrefix="0" xfId="0">
      <alignment horizontal="center" vertical="center"/>
    </xf>
    <xf numFmtId="0" fontId="4" fillId="2" borderId="0" pivotButton="0" quotePrefix="0" xfId="0"/>
    <xf numFmtId="0" fontId="2" fillId="2" borderId="1" applyAlignment="1" pivotButton="0" quotePrefix="0" xfId="0">
      <alignment horizontal="left" vertical="center"/>
    </xf>
    <xf numFmtId="1" fontId="12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14" fontId="12" fillId="2" borderId="1" applyAlignment="1" pivotButton="0" quotePrefix="0" xfId="0">
      <alignment horizontal="center" vertical="center"/>
    </xf>
    <xf numFmtId="0" fontId="4" fillId="2" borderId="0" pivotButton="0" quotePrefix="0" xfId="0"/>
    <xf numFmtId="0" fontId="3" fillId="2" borderId="15" applyAlignment="1" pivotButton="0" quotePrefix="0" xfId="0">
      <alignment horizontal="center" vertical="center"/>
    </xf>
    <xf numFmtId="166" fontId="12" fillId="2" borderId="1" applyAlignment="1" pivotButton="0" quotePrefix="0" xfId="3">
      <alignment horizontal="center" vertical="center"/>
    </xf>
    <xf numFmtId="165" fontId="4" fillId="2" borderId="1" applyAlignment="1" pivotButton="0" quotePrefix="0" xfId="3">
      <alignment horizontal="center" vertical="center"/>
    </xf>
    <xf numFmtId="166" fontId="4" fillId="2" borderId="1" applyAlignment="1" pivotButton="0" quotePrefix="0" xfId="3">
      <alignment horizontal="center" vertical="center"/>
    </xf>
    <xf numFmtId="0" fontId="3" fillId="2" borderId="1" applyAlignment="1" pivotButton="0" quotePrefix="0" xfId="0">
      <alignment horizontal="center"/>
    </xf>
    <xf numFmtId="14" fontId="3" fillId="2" borderId="1" applyAlignment="1" pivotButton="0" quotePrefix="1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3" fillId="2" borderId="9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14" fontId="3" fillId="2" borderId="16" applyAlignment="1" pivotButton="0" quotePrefix="1" xfId="0">
      <alignment horizontal="center" vertical="center"/>
    </xf>
    <xf numFmtId="14" fontId="3" fillId="2" borderId="17" applyAlignment="1" pivotButton="0" quotePrefix="1" xfId="0">
      <alignment horizontal="center" vertical="center"/>
    </xf>
    <xf numFmtId="0" fontId="12" fillId="2" borderId="8" applyAlignment="1" pivotButton="0" quotePrefix="0" xfId="0">
      <alignment horizontal="center" vertical="center"/>
    </xf>
    <xf numFmtId="165" fontId="12" fillId="2" borderId="8" applyAlignment="1" pivotButton="0" quotePrefix="0" xfId="3">
      <alignment horizontal="center" vertical="center"/>
    </xf>
    <xf numFmtId="165" fontId="12" fillId="2" borderId="9" applyAlignment="1" pivotButton="0" quotePrefix="0" xfId="3">
      <alignment horizontal="center" vertical="center"/>
    </xf>
    <xf numFmtId="165" fontId="13" fillId="2" borderId="9" applyAlignment="1" pivotButton="0" quotePrefix="0" xfId="3">
      <alignment horizontal="center" vertical="center"/>
    </xf>
    <xf numFmtId="164" fontId="12" fillId="2" borderId="9" applyAlignment="1" pivotButton="0" quotePrefix="0" xfId="0">
      <alignment horizontal="center" vertical="center"/>
    </xf>
    <xf numFmtId="164" fontId="13" fillId="2" borderId="9" applyAlignment="1" pivotButton="0" quotePrefix="0" xfId="0">
      <alignment horizontal="center" vertical="center"/>
    </xf>
    <xf numFmtId="0" fontId="13" fillId="2" borderId="9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166" fontId="12" fillId="2" borderId="9" applyAlignment="1" pivotButton="0" quotePrefix="0" xfId="3">
      <alignment horizontal="center" vertical="center"/>
    </xf>
    <xf numFmtId="167" fontId="12" fillId="2" borderId="8" applyAlignment="1" pivotButton="0" quotePrefix="0" xfId="3">
      <alignment horizontal="center" vertical="center"/>
    </xf>
    <xf numFmtId="166" fontId="12" fillId="2" borderId="8" applyAlignment="1" pivotButton="0" quotePrefix="0" xfId="3">
      <alignment horizontal="center" vertical="center"/>
    </xf>
    <xf numFmtId="167" fontId="12" fillId="2" borderId="1" applyAlignment="1" pivotButton="0" quotePrefix="0" xfId="3">
      <alignment horizontal="center" vertical="center"/>
    </xf>
    <xf numFmtId="168" fontId="12" fillId="2" borderId="1" pivotButton="0" quotePrefix="0" xfId="1"/>
    <xf numFmtId="169" fontId="12" fillId="2" borderId="1" pivotButton="0" quotePrefix="0" xfId="0"/>
    <xf numFmtId="0" fontId="4" fillId="2" borderId="1" pivotButton="0" quotePrefix="0" xfId="0"/>
    <xf numFmtId="168" fontId="12" fillId="2" borderId="1" applyAlignment="1" pivotButton="0" quotePrefix="0" xfId="1">
      <alignment horizontal="right" vertical="center"/>
    </xf>
    <xf numFmtId="164" fontId="12" fillId="2" borderId="10" applyAlignment="1" pivotButton="0" quotePrefix="0" xfId="0">
      <alignment horizontal="center" vertical="center"/>
    </xf>
    <xf numFmtId="164" fontId="13" fillId="2" borderId="10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164" fontId="3" fillId="2" borderId="1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165" fontId="2" fillId="2" borderId="1" applyAlignment="1" pivotButton="0" quotePrefix="0" xfId="3">
      <alignment horizontal="center" vertical="center"/>
    </xf>
    <xf numFmtId="169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17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4" fillId="2" borderId="19" applyAlignment="1" pivotButton="0" quotePrefix="0" xfId="4">
      <alignment vertic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1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6" fillId="2" borderId="0" applyAlignment="1" pivotButton="0" quotePrefix="0" xfId="0">
      <alignment horizontal="center" vertical="center"/>
    </xf>
    <xf numFmtId="0" fontId="14" fillId="2" borderId="19" applyAlignment="1" pivotButton="0" quotePrefix="0" xfId="4">
      <alignment horizontal="left" vertical="center"/>
    </xf>
    <xf numFmtId="170" fontId="2" fillId="2" borderId="0" applyAlignment="1" pivotButton="0" quotePrefix="0" xfId="0">
      <alignment horizontal="center" vertical="center"/>
    </xf>
    <xf numFmtId="43" fontId="15" fillId="2" borderId="19" applyAlignment="1" pivotButton="0" quotePrefix="0" xfId="1">
      <alignment vertical="center"/>
    </xf>
    <xf numFmtId="0" fontId="14" fillId="2" borderId="19" applyAlignment="1" pivotButton="0" quotePrefix="0" xfId="0">
      <alignment vertical="center"/>
    </xf>
    <xf numFmtId="0" fontId="14" fillId="2" borderId="19" applyAlignment="1" pivotButton="0" quotePrefix="0" xfId="0">
      <alignment horizontal="left" vertical="center"/>
    </xf>
    <xf numFmtId="171" fontId="14" fillId="2" borderId="19" applyAlignment="1" pivotButton="0" quotePrefix="0" xfId="2">
      <alignment vertical="center"/>
    </xf>
    <xf numFmtId="0" fontId="14" fillId="2" borderId="8" applyAlignment="1" pivotButton="0" quotePrefix="0" xfId="0">
      <alignment vertical="center"/>
    </xf>
    <xf numFmtId="0" fontId="3" fillId="2" borderId="16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2" fillId="2" borderId="18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172" fontId="8" fillId="2" borderId="1" applyAlignment="1" pivotButton="0" quotePrefix="0" xfId="0">
      <alignment horizontal="center" vertical="center"/>
    </xf>
    <xf numFmtId="172" fontId="8" fillId="2" borderId="12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164" fontId="8" fillId="2" borderId="12" applyAlignment="1" pivotButton="0" quotePrefix="0" xfId="0">
      <alignment horizontal="center" vertical="center"/>
    </xf>
    <xf numFmtId="172" fontId="8" fillId="2" borderId="9" applyAlignment="1" pivotButton="0" quotePrefix="0" xfId="0">
      <alignment horizontal="center" vertical="center"/>
    </xf>
    <xf numFmtId="172" fontId="8" fillId="2" borderId="1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172" fontId="7" fillId="2" borderId="1" applyAlignment="1" pivotButton="0" quotePrefix="0" xfId="0">
      <alignment horizontal="center" vertical="center"/>
    </xf>
    <xf numFmtId="172" fontId="7" fillId="2" borderId="12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7" fillId="2" borderId="12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 wrapText="1"/>
    </xf>
    <xf numFmtId="0" fontId="9" fillId="2" borderId="10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10" applyAlignment="1" pivotButton="0" quotePrefix="0" xfId="0">
      <alignment horizontal="center" vertical="center" wrapText="1"/>
    </xf>
    <xf numFmtId="0" fontId="11" fillId="2" borderId="4" applyAlignment="1" pivotButton="0" quotePrefix="0" xfId="0">
      <alignment horizontal="center" vertical="center" wrapText="1"/>
    </xf>
    <xf numFmtId="0" fontId="11" fillId="2" borderId="1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right" vertical="center" wrapText="1"/>
    </xf>
    <xf numFmtId="0" fontId="7" fillId="2" borderId="4" applyAlignment="1" pivotButton="0" quotePrefix="0" xfId="0">
      <alignment horizontal="center" vertical="center" wrapText="1"/>
    </xf>
    <xf numFmtId="0" fontId="7" fillId="2" borderId="10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12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2" borderId="12" applyAlignment="1" pivotButton="0" quotePrefix="0" xfId="0">
      <alignment horizontal="center" vertical="center" wrapText="1"/>
    </xf>
    <xf numFmtId="173" fontId="7" fillId="2" borderId="3" applyAlignment="1" pivotButton="0" quotePrefix="0" xfId="3">
      <alignment horizontal="center" vertical="center" wrapText="1"/>
    </xf>
    <xf numFmtId="173" fontId="7" fillId="2" borderId="1" applyAlignment="1" pivotButton="0" quotePrefix="0" xfId="3">
      <alignment horizontal="center" vertical="center" wrapText="1"/>
    </xf>
    <xf numFmtId="173" fontId="7" fillId="2" borderId="12" applyAlignment="1" pivotButton="0" quotePrefix="0" xfId="3">
      <alignment horizontal="center" vertical="center" wrapText="1"/>
    </xf>
    <xf numFmtId="174" fontId="0" fillId="0" borderId="1" applyAlignment="1" pivotButton="0" quotePrefix="0" xfId="0">
      <alignment horizontal="center" vertical="center"/>
    </xf>
    <xf numFmtId="0" fontId="7" fillId="2" borderId="23" applyAlignment="1" pivotButton="0" quotePrefix="0" xfId="0">
      <alignment horizontal="center" vertical="center" wrapText="1"/>
    </xf>
    <xf numFmtId="173" fontId="7" fillId="2" borderId="3" applyAlignment="1" pivotButton="0" quotePrefix="0" xfId="3">
      <alignment horizontal="center" vertical="center" wrapText="1"/>
    </xf>
    <xf numFmtId="0" fontId="0" fillId="0" borderId="7" pivotButton="0" quotePrefix="0" xfId="0"/>
    <xf numFmtId="0" fontId="8" fillId="2" borderId="3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2" pivotButton="0" quotePrefix="0" xfId="0"/>
    <xf numFmtId="0" fontId="11" fillId="2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8" pivotButton="0" quotePrefix="0" xfId="0"/>
    <xf numFmtId="172" fontId="8" fillId="2" borderId="1" applyAlignment="1" pivotButton="0" quotePrefix="0" xfId="0">
      <alignment horizontal="center" vertical="center"/>
    </xf>
    <xf numFmtId="172" fontId="7" fillId="2" borderId="1" applyAlignment="1" pivotButton="0" quotePrefix="0" xfId="0">
      <alignment horizontal="center" vertical="center"/>
    </xf>
    <xf numFmtId="172" fontId="8" fillId="2" borderId="1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4" pivotButton="0" quotePrefix="0" xfId="0"/>
    <xf numFmtId="0" fontId="0" fillId="0" borderId="13" pivotButton="0" quotePrefix="0" xfId="0"/>
    <xf numFmtId="165" fontId="12" fillId="2" borderId="10" applyAlignment="1" pivotButton="0" quotePrefix="0" xfId="3">
      <alignment horizontal="center" vertical="center"/>
    </xf>
    <xf numFmtId="165" fontId="13" fillId="2" borderId="10" applyAlignment="1" pivotButton="0" quotePrefix="0" xfId="3">
      <alignment horizontal="center" vertical="center"/>
    </xf>
    <xf numFmtId="166" fontId="12" fillId="2" borderId="10" applyAlignment="1" pivotButton="0" quotePrefix="0" xfId="3">
      <alignment horizontal="center" vertical="center"/>
    </xf>
    <xf numFmtId="167" fontId="12" fillId="2" borderId="10" applyAlignment="1" pivotButton="0" quotePrefix="0" xfId="3">
      <alignment horizontal="center" vertical="center"/>
    </xf>
    <xf numFmtId="168" fontId="12" fillId="2" borderId="10" applyAlignment="1" pivotButton="0" quotePrefix="0" xfId="1">
      <alignment horizontal="right" vertical="center"/>
    </xf>
    <xf numFmtId="168" fontId="12" fillId="2" borderId="0" pivotButton="0" quotePrefix="0" xfId="1"/>
    <xf numFmtId="169" fontId="12" fillId="2" borderId="0" pivotButton="0" quotePrefix="0" xfId="0"/>
    <xf numFmtId="165" fontId="12" fillId="2" borderId="1" applyAlignment="1" pivotButton="0" quotePrefix="0" xfId="3">
      <alignment horizontal="center" vertical="center"/>
    </xf>
    <xf numFmtId="165" fontId="13" fillId="2" borderId="1" applyAlignment="1" pivotButton="0" quotePrefix="0" xfId="3">
      <alignment horizontal="center" vertical="center"/>
    </xf>
    <xf numFmtId="166" fontId="12" fillId="2" borderId="1" applyAlignment="1" pivotButton="0" quotePrefix="0" xfId="3">
      <alignment horizontal="center" vertical="center"/>
    </xf>
    <xf numFmtId="165" fontId="4" fillId="2" borderId="1" applyAlignment="1" pivotButton="0" quotePrefix="0" xfId="3">
      <alignment horizontal="center" vertical="center"/>
    </xf>
    <xf numFmtId="166" fontId="4" fillId="2" borderId="1" applyAlignment="1" pivotButton="0" quotePrefix="0" xfId="3">
      <alignment horizontal="center" vertical="center"/>
    </xf>
    <xf numFmtId="165" fontId="12" fillId="2" borderId="8" applyAlignment="1" pivotButton="0" quotePrefix="0" xfId="3">
      <alignment horizontal="center" vertical="center"/>
    </xf>
    <xf numFmtId="165" fontId="12" fillId="2" borderId="9" applyAlignment="1" pivotButton="0" quotePrefix="0" xfId="3">
      <alignment horizontal="center" vertical="center"/>
    </xf>
    <xf numFmtId="165" fontId="13" fillId="2" borderId="9" applyAlignment="1" pivotButton="0" quotePrefix="0" xfId="3">
      <alignment horizontal="center" vertical="center"/>
    </xf>
    <xf numFmtId="166" fontId="12" fillId="2" borderId="9" applyAlignment="1" pivotButton="0" quotePrefix="0" xfId="3">
      <alignment horizontal="center" vertical="center"/>
    </xf>
    <xf numFmtId="167" fontId="12" fillId="2" borderId="8" applyAlignment="1" pivotButton="0" quotePrefix="0" xfId="3">
      <alignment horizontal="center" vertical="center"/>
    </xf>
    <xf numFmtId="166" fontId="12" fillId="2" borderId="8" applyAlignment="1" pivotButton="0" quotePrefix="0" xfId="3">
      <alignment horizontal="center" vertical="center"/>
    </xf>
    <xf numFmtId="167" fontId="12" fillId="2" borderId="1" applyAlignment="1" pivotButton="0" quotePrefix="0" xfId="3">
      <alignment horizontal="center" vertical="center"/>
    </xf>
    <xf numFmtId="168" fontId="12" fillId="2" borderId="1" pivotButton="0" quotePrefix="0" xfId="1"/>
    <xf numFmtId="169" fontId="12" fillId="2" borderId="1" pivotButton="0" quotePrefix="0" xfId="0"/>
    <xf numFmtId="168" fontId="12" fillId="2" borderId="1" applyAlignment="1" pivotButton="0" quotePrefix="0" xfId="1">
      <alignment horizontal="right" vertical="center"/>
    </xf>
    <xf numFmtId="165" fontId="4" fillId="2" borderId="0" applyAlignment="1" pivotButton="0" quotePrefix="0" xfId="0">
      <alignment horizontal="center" vertical="center"/>
    </xf>
    <xf numFmtId="165" fontId="2" fillId="2" borderId="1" applyAlignment="1" pivotButton="0" quotePrefix="0" xfId="3">
      <alignment horizontal="center" vertical="center"/>
    </xf>
    <xf numFmtId="169" fontId="2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170" fontId="5" fillId="2" borderId="0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170" fontId="2" fillId="2" borderId="0" applyAlignment="1" pivotButton="0" quotePrefix="0" xfId="0">
      <alignment horizontal="center" vertical="center"/>
    </xf>
    <xf numFmtId="171" fontId="14" fillId="2" borderId="19" applyAlignment="1" pivotButton="0" quotePrefix="0" xfId="2">
      <alignment vertical="center"/>
    </xf>
  </cellXfs>
  <cellStyles count="5">
    <cellStyle name="Normal" xfId="0" builtinId="0"/>
    <cellStyle name="Comma" xfId="1" builtinId="3"/>
    <cellStyle name="Currency" xfId="2" builtinId="4"/>
    <cellStyle name="Comma 5" xfId="3"/>
    <cellStyle name="Normal 3" xfId="4"/>
  </cellStyles>
  <dxfs count="424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Author</author>
    <author>Mai Nhung</author>
    <author>Xuân Huỳnh</author>
    <author>user</author>
    <author>huy_ctn</author>
  </authors>
  <commentList>
    <comment ref="CD8" authorId="0" shapeId="0">
      <text>
        <t>Author:
CẤP QUẢN LÝ M&amp;M  KHÔNG ĐƯƠC HƯỞNG PHỤ
 CẤP THỨ 7</t>
      </text>
    </comment>
    <comment ref="C17" authorId="0" shapeId="0">
      <text>
        <t>Author:
XLP</t>
      </text>
    </comment>
    <comment ref="C26" authorId="0" shapeId="0">
      <text>
        <t>Author:
tháng 5 bp Ga</t>
      </text>
    </comment>
    <comment ref="B46" authorId="1" shapeId="0">
      <text>
        <t>Mai Nhung:
nghỉ thai sản</t>
      </text>
    </comment>
    <comment ref="C50" authorId="0" shapeId="0">
      <text>
        <t>Author:
XLP</t>
      </text>
    </comment>
    <comment ref="C84" authorId="2" shapeId="0">
      <text>
        <t>Xuân Huỳnh:
PHOI</t>
      </text>
    </comment>
    <comment ref="I104" authorId="3" shapeId="0">
      <text>
        <t xml:space="preserve">user:
NGHỈ VỢ SINH CON
</t>
      </text>
    </comment>
    <comment ref="K104" authorId="3" shapeId="0">
      <text>
        <t xml:space="preserve">user:
NGHỈ VỢ SINH CON
</t>
      </text>
    </comment>
    <comment ref="M104" authorId="3" shapeId="0">
      <text>
        <t xml:space="preserve">user:
NGHỈ VỢ SINH CON
</t>
      </text>
    </comment>
    <comment ref="O104" authorId="3" shapeId="0">
      <text>
        <t xml:space="preserve">user:
NGHỈ VỢ SINH CON
</t>
      </text>
    </comment>
    <comment ref="S104" authorId="3" shapeId="0">
      <text>
        <t xml:space="preserve">user:
NGHỈ VỢ SINH CON
</t>
      </text>
    </comment>
    <comment ref="C127" authorId="2" shapeId="0">
      <text>
        <t>Xuân Huỳnh:
QC</t>
      </text>
    </comment>
    <comment ref="C137" authorId="2" shapeId="0">
      <text>
        <t>Xuân Huỳnh:
QC</t>
      </text>
    </comment>
    <comment ref="C176" authorId="0" shapeId="0">
      <text>
        <t>Author:
XLP</t>
      </text>
    </comment>
    <comment ref="C178" authorId="0" shapeId="0">
      <text>
        <t>Author:
XLP</t>
      </text>
    </comment>
    <comment ref="C194" authorId="2" shapeId="0">
      <text>
        <t>Xuân Huỳnh:
KHUON</t>
      </text>
    </comment>
    <comment ref="C199" authorId="3" shapeId="0">
      <text>
        <t>user:
KHUÔN</t>
      </text>
    </comment>
    <comment ref="C222" authorId="3" shapeId="0">
      <text>
        <t>user:
chuyển từ qc qua kho tháng 04.2018</t>
      </text>
    </comment>
    <comment ref="C254" authorId="2" shapeId="0">
      <text>
        <t>Xuân Huỳnh:
QC</t>
      </text>
    </comment>
    <comment ref="C255" authorId="2" shapeId="0">
      <text>
        <t>Xuân Huỳnh:
QC</t>
      </text>
    </comment>
    <comment ref="C277" authorId="3" shapeId="0">
      <text>
        <t>user:
CC CII.1</t>
      </text>
    </comment>
    <comment ref="C289" authorId="3" shapeId="0">
      <text>
        <t>user:
CC CII.1</t>
      </text>
    </comment>
    <comment ref="C295" authorId="2" shapeId="0">
      <text>
        <t>Xuân Huỳnh:
QC</t>
      </text>
    </comment>
    <comment ref="A342" authorId="4" shapeId="0">
      <text>
        <t xml:space="preserve">mã mới" A320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E:\1.%20ACCOUNTING\A.%20INTERNAL\5.%20SALARY-HR\2018%20PAYROLL\2018%2004%20SALARY\2018%2004%20UNG%20LUONG%20(v)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nhung/AppData/Local/Microsoft/Windows/INetCache/Content.Outlook/8PG1AW3O/Copy%20of%202018%2003%20PAYROLL%20(2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BC"/>
      <sheetName val="QUY DINH CHAM CONG"/>
      <sheetName val="THANG LUONG BHXH 2017"/>
      <sheetName val="pivot THANG LUONG 2018"/>
      <sheetName val="BHXH2018"/>
      <sheetName val="CACH TINH LUONG"/>
      <sheetName val="CHAMCONG"/>
      <sheetName val="DATA"/>
      <sheetName val="TONGHOP"/>
      <sheetName val="Sheet1"/>
      <sheetName val="TK"/>
      <sheetName val="TAM UNG"/>
      <sheetName val="T32018_dieu chinh"/>
      <sheetName val="TONG TRUY THU T3"/>
      <sheetName val="CK"/>
      <sheetName val="TM"/>
      <sheetName val="BO SUNG LUONG "/>
      <sheetName val="PLuong "/>
      <sheetName val="NPT"/>
      <sheetName val="taikhoan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A6" t="str">
            <v>A001</v>
          </cell>
          <cell r="B6" t="str">
            <v>Tống Viết Cường</v>
          </cell>
          <cell r="C6" t="str">
            <v>Gián tiếp</v>
          </cell>
          <cell r="D6" t="str">
            <v>QUANLY</v>
          </cell>
          <cell r="E6" t="str">
            <v>T4/05</v>
          </cell>
          <cell r="F6">
            <v>156</v>
          </cell>
          <cell r="G6" t="str">
            <v>A</v>
          </cell>
          <cell r="H6" t="str">
            <v>1.I</v>
          </cell>
          <cell r="I6">
            <v>9030</v>
          </cell>
          <cell r="J6">
            <v>48752.235000000001</v>
          </cell>
          <cell r="K6">
            <v>57782.235000000001</v>
          </cell>
          <cell r="L6">
            <v>16540</v>
          </cell>
          <cell r="M6">
            <v>63460.169099999999</v>
          </cell>
          <cell r="N6">
            <v>80000.169099999999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13</v>
          </cell>
          <cell r="AF6">
            <v>0</v>
          </cell>
          <cell r="AG6">
            <v>155</v>
          </cell>
          <cell r="AH6">
            <v>0</v>
          </cell>
          <cell r="AI6">
            <v>1</v>
          </cell>
        </row>
        <row r="7">
          <cell r="A7" t="str">
            <v>A003</v>
          </cell>
          <cell r="B7" t="str">
            <v>Tống Phước Tiến</v>
          </cell>
          <cell r="C7" t="str">
            <v>Gián tiếp</v>
          </cell>
          <cell r="D7" t="str">
            <v>QUANLY</v>
          </cell>
          <cell r="E7" t="str">
            <v>T4/05</v>
          </cell>
          <cell r="F7">
            <v>156</v>
          </cell>
          <cell r="G7" t="str">
            <v>A</v>
          </cell>
          <cell r="H7" t="str">
            <v>3.II</v>
          </cell>
          <cell r="I7">
            <v>5439</v>
          </cell>
          <cell r="J7">
            <v>16607.377500000002</v>
          </cell>
          <cell r="K7">
            <v>22046.377500000002</v>
          </cell>
          <cell r="L7">
            <v>6770</v>
          </cell>
          <cell r="M7">
            <v>16599.160150000003</v>
          </cell>
          <cell r="N7">
            <v>23369.160150000003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13</v>
          </cell>
          <cell r="AF7">
            <v>2</v>
          </cell>
          <cell r="AG7">
            <v>155</v>
          </cell>
          <cell r="AH7">
            <v>0</v>
          </cell>
          <cell r="AI7">
            <v>3</v>
          </cell>
        </row>
        <row r="8">
          <cell r="A8" t="str">
            <v>A005</v>
          </cell>
          <cell r="B8" t="str">
            <v>Trần Thanh Bình</v>
          </cell>
          <cell r="C8" t="str">
            <v>Kho</v>
          </cell>
          <cell r="D8" t="str">
            <v>QUANLY</v>
          </cell>
          <cell r="E8" t="str">
            <v>T4/05</v>
          </cell>
          <cell r="F8">
            <v>156</v>
          </cell>
          <cell r="G8" t="str">
            <v>B</v>
          </cell>
          <cell r="H8" t="str">
            <v>3.II</v>
          </cell>
          <cell r="I8">
            <v>5387.2</v>
          </cell>
          <cell r="J8">
            <v>15168.348000000002</v>
          </cell>
          <cell r="K8">
            <v>20555.548000000003</v>
          </cell>
          <cell r="L8">
            <v>6770</v>
          </cell>
          <cell r="M8">
            <v>14607.769920000002</v>
          </cell>
          <cell r="N8">
            <v>21377.769920000002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-300</v>
          </cell>
          <cell r="AC8">
            <v>0</v>
          </cell>
          <cell r="AD8">
            <v>1000000</v>
          </cell>
          <cell r="AE8">
            <v>4</v>
          </cell>
          <cell r="AF8">
            <v>2</v>
          </cell>
          <cell r="AG8">
            <v>155</v>
          </cell>
          <cell r="AH8">
            <v>150</v>
          </cell>
          <cell r="AI8">
            <v>3</v>
          </cell>
        </row>
        <row r="9">
          <cell r="A9" t="str">
            <v>A007</v>
          </cell>
          <cell r="B9" t="str">
            <v>Đào Thanh Điền</v>
          </cell>
          <cell r="C9" t="str">
            <v>CII.1</v>
          </cell>
          <cell r="D9" t="str">
            <v>QUANLY</v>
          </cell>
          <cell r="E9" t="str">
            <v>T2/05</v>
          </cell>
          <cell r="F9">
            <v>158</v>
          </cell>
          <cell r="G9" t="str">
            <v>A</v>
          </cell>
          <cell r="H9" t="str">
            <v>4.X</v>
          </cell>
          <cell r="I9">
            <v>7072.4999999999991</v>
          </cell>
          <cell r="J9">
            <v>5172.0249999999996</v>
          </cell>
          <cell r="K9">
            <v>12244.524999999998</v>
          </cell>
          <cell r="L9">
            <v>7072.4999999999991</v>
          </cell>
          <cell r="M9">
            <v>5172.0249999999987</v>
          </cell>
          <cell r="N9">
            <v>12244.524999999998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-300</v>
          </cell>
          <cell r="AC9">
            <v>0</v>
          </cell>
          <cell r="AD9">
            <v>0</v>
          </cell>
          <cell r="AE9">
            <v>12.5</v>
          </cell>
          <cell r="AF9">
            <v>1</v>
          </cell>
          <cell r="AG9">
            <v>157</v>
          </cell>
          <cell r="AH9">
            <v>150</v>
          </cell>
          <cell r="AI9">
            <v>4</v>
          </cell>
        </row>
        <row r="10">
          <cell r="A10" t="str">
            <v>A010</v>
          </cell>
          <cell r="B10" t="str">
            <v>Dương Khánh Linh</v>
          </cell>
          <cell r="C10" t="str">
            <v>Gián tiếp</v>
          </cell>
          <cell r="D10" t="str">
            <v>QUANLY</v>
          </cell>
          <cell r="E10" t="str">
            <v>T11/13</v>
          </cell>
          <cell r="F10">
            <v>53</v>
          </cell>
          <cell r="G10" t="str">
            <v>A</v>
          </cell>
          <cell r="H10" t="str">
            <v>4.III</v>
          </cell>
          <cell r="I10">
            <v>4586.4000000000005</v>
          </cell>
          <cell r="J10">
            <v>6586.3719999999994</v>
          </cell>
          <cell r="K10">
            <v>11172.772000000001</v>
          </cell>
          <cell r="L10">
            <v>4810</v>
          </cell>
          <cell r="M10">
            <v>7033.1383200000018</v>
          </cell>
          <cell r="N10">
            <v>11843.138320000002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-300</v>
          </cell>
          <cell r="AC10">
            <v>0</v>
          </cell>
          <cell r="AD10">
            <v>0</v>
          </cell>
          <cell r="AE10">
            <v>3</v>
          </cell>
          <cell r="AF10">
            <v>1</v>
          </cell>
          <cell r="AG10">
            <v>52</v>
          </cell>
          <cell r="AH10">
            <v>150</v>
          </cell>
          <cell r="AI10">
            <v>4</v>
          </cell>
        </row>
        <row r="11">
          <cell r="A11" t="str">
            <v>A015</v>
          </cell>
          <cell r="B11" t="str">
            <v>Nguyễn Văn Năm</v>
          </cell>
          <cell r="C11" t="str">
            <v>CII.4</v>
          </cell>
          <cell r="D11" t="str">
            <v xml:space="preserve">Công nhân </v>
          </cell>
          <cell r="E11" t="str">
            <v>T6/06</v>
          </cell>
          <cell r="F11">
            <v>142</v>
          </cell>
          <cell r="G11" t="str">
            <v>B</v>
          </cell>
          <cell r="H11" t="str">
            <v>7.VII</v>
          </cell>
          <cell r="I11">
            <v>5013.8</v>
          </cell>
          <cell r="J11">
            <v>1766.5319999999999</v>
          </cell>
          <cell r="K11">
            <v>6780.3320000000003</v>
          </cell>
          <cell r="L11">
            <v>5013.8</v>
          </cell>
          <cell r="M11">
            <v>2037.7452800000001</v>
          </cell>
          <cell r="N11">
            <v>7051.5452800000003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48</v>
          </cell>
          <cell r="AA11">
            <v>0</v>
          </cell>
          <cell r="AB11">
            <v>-140</v>
          </cell>
          <cell r="AC11">
            <v>0</v>
          </cell>
          <cell r="AD11">
            <v>2000000</v>
          </cell>
          <cell r="AE11">
            <v>7</v>
          </cell>
          <cell r="AF11">
            <v>0</v>
          </cell>
          <cell r="AG11">
            <v>141</v>
          </cell>
          <cell r="AH11">
            <v>70</v>
          </cell>
          <cell r="AI11">
            <v>7</v>
          </cell>
        </row>
        <row r="12">
          <cell r="A12" t="str">
            <v>A019</v>
          </cell>
          <cell r="B12" t="str">
            <v>Đoàn Thanh Hải</v>
          </cell>
          <cell r="C12" t="str">
            <v>CII.4</v>
          </cell>
          <cell r="D12" t="str">
            <v xml:space="preserve">Công nhân </v>
          </cell>
          <cell r="E12" t="str">
            <v>T11/05</v>
          </cell>
          <cell r="F12">
            <v>149</v>
          </cell>
          <cell r="G12" t="str">
            <v>B</v>
          </cell>
          <cell r="H12" t="str">
            <v>7.IX</v>
          </cell>
          <cell r="I12">
            <v>5428.8</v>
          </cell>
          <cell r="J12">
            <v>1618.6559999999997</v>
          </cell>
          <cell r="K12">
            <v>7047.4560000000001</v>
          </cell>
          <cell r="L12">
            <v>5428.8</v>
          </cell>
          <cell r="M12">
            <v>1900.5542400000004</v>
          </cell>
          <cell r="N12">
            <v>7329.3542400000006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16</v>
          </cell>
          <cell r="AA12">
            <v>0</v>
          </cell>
          <cell r="AB12">
            <v>-140</v>
          </cell>
          <cell r="AC12">
            <v>0</v>
          </cell>
          <cell r="AD12">
            <v>2000000</v>
          </cell>
          <cell r="AE12">
            <v>7.5</v>
          </cell>
          <cell r="AF12">
            <v>1</v>
          </cell>
          <cell r="AG12">
            <v>148</v>
          </cell>
          <cell r="AH12">
            <v>70</v>
          </cell>
          <cell r="AI12">
            <v>7</v>
          </cell>
        </row>
        <row r="13">
          <cell r="A13" t="str">
            <v>A021</v>
          </cell>
          <cell r="B13" t="str">
            <v>Cao Thị Kim Thu</v>
          </cell>
          <cell r="C13" t="str">
            <v>QCE</v>
          </cell>
          <cell r="D13" t="str">
            <v xml:space="preserve">Công nhân </v>
          </cell>
          <cell r="E13" t="str">
            <v>T6/08</v>
          </cell>
          <cell r="F13">
            <v>118</v>
          </cell>
          <cell r="G13">
            <v>0</v>
          </cell>
          <cell r="H13" t="str">
            <v>8.IV</v>
          </cell>
          <cell r="I13">
            <v>4514.2</v>
          </cell>
          <cell r="J13">
            <v>2002.7839999999997</v>
          </cell>
          <cell r="K13">
            <v>6516.9839999999995</v>
          </cell>
          <cell r="L13">
            <v>4670</v>
          </cell>
          <cell r="M13">
            <v>1846.9839999999995</v>
          </cell>
          <cell r="N13">
            <v>6516.9839999999995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16</v>
          </cell>
          <cell r="AA13">
            <v>0</v>
          </cell>
          <cell r="AB13">
            <v>-140</v>
          </cell>
          <cell r="AC13">
            <v>0</v>
          </cell>
          <cell r="AD13">
            <v>0</v>
          </cell>
          <cell r="AE13">
            <v>7</v>
          </cell>
          <cell r="AF13">
            <v>2</v>
          </cell>
          <cell r="AG13">
            <v>117</v>
          </cell>
          <cell r="AH13">
            <v>70</v>
          </cell>
          <cell r="AI13">
            <v>8</v>
          </cell>
        </row>
        <row r="14">
          <cell r="A14" t="str">
            <v>A023</v>
          </cell>
          <cell r="B14" t="str">
            <v>Nguyễn Văn Mừng</v>
          </cell>
          <cell r="C14" t="str">
            <v>CI.1</v>
          </cell>
          <cell r="D14" t="str">
            <v xml:space="preserve">Công nhân </v>
          </cell>
          <cell r="E14" t="str">
            <v>T10/07</v>
          </cell>
          <cell r="F14">
            <v>126</v>
          </cell>
          <cell r="G14" t="str">
            <v>B</v>
          </cell>
          <cell r="H14" t="str">
            <v>7.V</v>
          </cell>
          <cell r="I14">
            <v>4536.8</v>
          </cell>
          <cell r="J14">
            <v>1523.6969999999999</v>
          </cell>
          <cell r="K14">
            <v>6060.4970000000003</v>
          </cell>
          <cell r="L14">
            <v>4740</v>
          </cell>
          <cell r="M14">
            <v>1562.9168800000007</v>
          </cell>
          <cell r="N14">
            <v>6302.9168800000007</v>
          </cell>
          <cell r="O14">
            <v>2</v>
          </cell>
          <cell r="P14">
            <v>0</v>
          </cell>
          <cell r="Q14">
            <v>0</v>
          </cell>
          <cell r="R14">
            <v>0</v>
          </cell>
          <cell r="S14">
            <v>4</v>
          </cell>
          <cell r="T14">
            <v>3</v>
          </cell>
          <cell r="U14">
            <v>5</v>
          </cell>
          <cell r="V14">
            <v>14</v>
          </cell>
          <cell r="W14">
            <v>16</v>
          </cell>
          <cell r="X14">
            <v>4</v>
          </cell>
          <cell r="Y14">
            <v>0</v>
          </cell>
          <cell r="Z14">
            <v>16</v>
          </cell>
          <cell r="AA14">
            <v>192</v>
          </cell>
          <cell r="AB14">
            <v>0</v>
          </cell>
          <cell r="AC14">
            <v>0</v>
          </cell>
          <cell r="AD14">
            <v>2000000</v>
          </cell>
          <cell r="AE14">
            <v>5</v>
          </cell>
          <cell r="AF14">
            <v>0</v>
          </cell>
          <cell r="AG14">
            <v>125</v>
          </cell>
          <cell r="AH14">
            <v>70</v>
          </cell>
          <cell r="AI14">
            <v>7</v>
          </cell>
        </row>
        <row r="15">
          <cell r="A15" t="str">
            <v>A026</v>
          </cell>
          <cell r="B15" t="str">
            <v>Nguyễn Văn Bình</v>
          </cell>
          <cell r="C15" t="str">
            <v>CII.1</v>
          </cell>
          <cell r="D15" t="str">
            <v xml:space="preserve">Công nhân </v>
          </cell>
          <cell r="E15" t="str">
            <v>T6/08</v>
          </cell>
          <cell r="F15">
            <v>118</v>
          </cell>
          <cell r="G15" t="str">
            <v>A</v>
          </cell>
          <cell r="H15" t="str">
            <v>7.IV</v>
          </cell>
          <cell r="I15">
            <v>4232.8</v>
          </cell>
          <cell r="J15">
            <v>1265.0559999999996</v>
          </cell>
          <cell r="K15">
            <v>5497.8559999999998</v>
          </cell>
          <cell r="L15">
            <v>4740</v>
          </cell>
          <cell r="M15">
            <v>1087.7273599999999</v>
          </cell>
          <cell r="N15">
            <v>5827.7273599999999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-140</v>
          </cell>
          <cell r="AC15">
            <v>0</v>
          </cell>
          <cell r="AD15">
            <v>2000000</v>
          </cell>
          <cell r="AE15">
            <v>2</v>
          </cell>
          <cell r="AF15">
            <v>0</v>
          </cell>
          <cell r="AG15">
            <v>117</v>
          </cell>
          <cell r="AH15">
            <v>70</v>
          </cell>
          <cell r="AI15">
            <v>7</v>
          </cell>
        </row>
        <row r="16">
          <cell r="A16" t="str">
            <v>A027</v>
          </cell>
          <cell r="B16" t="str">
            <v>Đỗ Tấn Lạnh</v>
          </cell>
          <cell r="C16" t="str">
            <v>CII.1</v>
          </cell>
          <cell r="D16" t="str">
            <v xml:space="preserve">Công nhân </v>
          </cell>
          <cell r="E16" t="str">
            <v>T8/08</v>
          </cell>
          <cell r="F16">
            <v>116</v>
          </cell>
          <cell r="G16" t="str">
            <v>A</v>
          </cell>
          <cell r="H16" t="str">
            <v>7.IV</v>
          </cell>
          <cell r="I16">
            <v>4314.2</v>
          </cell>
          <cell r="J16">
            <v>1278.7839999999997</v>
          </cell>
          <cell r="K16">
            <v>5592.9839999999995</v>
          </cell>
          <cell r="L16">
            <v>4740</v>
          </cell>
          <cell r="M16">
            <v>1188.56304</v>
          </cell>
          <cell r="N16">
            <v>5928.56304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-140</v>
          </cell>
          <cell r="AC16">
            <v>0</v>
          </cell>
          <cell r="AD16">
            <v>0</v>
          </cell>
          <cell r="AE16">
            <v>11.5</v>
          </cell>
          <cell r="AF16">
            <v>0</v>
          </cell>
          <cell r="AG16">
            <v>115</v>
          </cell>
          <cell r="AH16">
            <v>70</v>
          </cell>
          <cell r="AI16">
            <v>7</v>
          </cell>
        </row>
        <row r="17">
          <cell r="A17" t="str">
            <v>A028</v>
          </cell>
          <cell r="B17" t="str">
            <v>Nguyễn Trung Lập</v>
          </cell>
          <cell r="C17" t="str">
            <v>CII.2</v>
          </cell>
          <cell r="D17" t="str">
            <v xml:space="preserve">Công nhân </v>
          </cell>
          <cell r="E17" t="str">
            <v>T8/08</v>
          </cell>
          <cell r="F17">
            <v>116</v>
          </cell>
          <cell r="G17" t="str">
            <v>B</v>
          </cell>
          <cell r="H17" t="str">
            <v>7.IV</v>
          </cell>
          <cell r="I17">
            <v>4232.8</v>
          </cell>
          <cell r="J17">
            <v>1454.6559999999997</v>
          </cell>
          <cell r="K17">
            <v>5687.4560000000001</v>
          </cell>
          <cell r="L17">
            <v>4740</v>
          </cell>
          <cell r="M17">
            <v>1174.95424</v>
          </cell>
          <cell r="N17">
            <v>5914.95424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-140</v>
          </cell>
          <cell r="AC17">
            <v>0</v>
          </cell>
          <cell r="AD17">
            <v>2000000</v>
          </cell>
          <cell r="AE17">
            <v>3.5</v>
          </cell>
          <cell r="AF17">
            <v>0</v>
          </cell>
          <cell r="AG17">
            <v>115</v>
          </cell>
          <cell r="AH17">
            <v>70</v>
          </cell>
          <cell r="AI17">
            <v>7</v>
          </cell>
        </row>
        <row r="18">
          <cell r="A18" t="str">
            <v>A030</v>
          </cell>
          <cell r="B18" t="str">
            <v>Phạm Tấn Minh</v>
          </cell>
          <cell r="C18" t="str">
            <v>CII.2</v>
          </cell>
          <cell r="D18" t="str">
            <v>Công nhân</v>
          </cell>
          <cell r="E18" t="str">
            <v>T11/07</v>
          </cell>
          <cell r="F18">
            <v>125</v>
          </cell>
          <cell r="G18" t="str">
            <v>A</v>
          </cell>
          <cell r="H18" t="str">
            <v>7.V</v>
          </cell>
          <cell r="I18">
            <v>4536.8</v>
          </cell>
          <cell r="J18">
            <v>1975.5839999999996</v>
          </cell>
          <cell r="K18">
            <v>6512.384</v>
          </cell>
          <cell r="L18">
            <v>4740</v>
          </cell>
          <cell r="M18">
            <v>2163.1270400000003</v>
          </cell>
          <cell r="N18">
            <v>6903.1270400000003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-140</v>
          </cell>
          <cell r="AC18">
            <v>0</v>
          </cell>
          <cell r="AD18">
            <v>2000000</v>
          </cell>
          <cell r="AE18">
            <v>8</v>
          </cell>
          <cell r="AF18">
            <v>0</v>
          </cell>
          <cell r="AG18">
            <v>124</v>
          </cell>
          <cell r="AH18">
            <v>70</v>
          </cell>
          <cell r="AI18">
            <v>7</v>
          </cell>
        </row>
        <row r="19">
          <cell r="A19" t="str">
            <v>A032</v>
          </cell>
          <cell r="B19" t="str">
            <v>Lý Tuệ Vân</v>
          </cell>
          <cell r="C19" t="str">
            <v>Gián tiếp</v>
          </cell>
          <cell r="D19" t="str">
            <v>QUANLY</v>
          </cell>
          <cell r="E19" t="str">
            <v>T3/14</v>
          </cell>
          <cell r="F19">
            <v>49</v>
          </cell>
          <cell r="G19" t="str">
            <v>A</v>
          </cell>
          <cell r="H19" t="str">
            <v>4.III</v>
          </cell>
          <cell r="I19">
            <v>4586.4000000000005</v>
          </cell>
          <cell r="J19">
            <v>12729.495999999997</v>
          </cell>
          <cell r="K19">
            <v>17315.895999999997</v>
          </cell>
          <cell r="L19">
            <v>4740</v>
          </cell>
          <cell r="M19">
            <v>13614.849759999997</v>
          </cell>
          <cell r="N19">
            <v>18354.849759999997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-300</v>
          </cell>
          <cell r="AC19">
            <v>0</v>
          </cell>
          <cell r="AD19">
            <v>0</v>
          </cell>
          <cell r="AE19">
            <v>10</v>
          </cell>
          <cell r="AF19">
            <v>1</v>
          </cell>
          <cell r="AG19">
            <v>48</v>
          </cell>
          <cell r="AH19">
            <v>150</v>
          </cell>
          <cell r="AI19">
            <v>4</v>
          </cell>
        </row>
        <row r="20">
          <cell r="A20" t="str">
            <v>A033</v>
          </cell>
          <cell r="B20" t="str">
            <v>Hà Công Hoàng Minh</v>
          </cell>
          <cell r="C20" t="str">
            <v>CII.1</v>
          </cell>
          <cell r="D20" t="str">
            <v>Công nhân</v>
          </cell>
          <cell r="E20" t="str">
            <v>T4/08</v>
          </cell>
          <cell r="F20">
            <v>120</v>
          </cell>
          <cell r="G20" t="str">
            <v>A</v>
          </cell>
          <cell r="H20" t="str">
            <v>7.IV</v>
          </cell>
          <cell r="I20">
            <v>4232.8</v>
          </cell>
          <cell r="J20">
            <v>1275.4559999999997</v>
          </cell>
          <cell r="K20">
            <v>5508.2559999999994</v>
          </cell>
          <cell r="L20">
            <v>4740</v>
          </cell>
          <cell r="M20">
            <v>1098.7513599999993</v>
          </cell>
          <cell r="N20">
            <v>5838.7513599999993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-140</v>
          </cell>
          <cell r="AC20">
            <v>0</v>
          </cell>
          <cell r="AD20">
            <v>2000000</v>
          </cell>
          <cell r="AE20">
            <v>7</v>
          </cell>
          <cell r="AF20">
            <v>0</v>
          </cell>
          <cell r="AG20">
            <v>119</v>
          </cell>
          <cell r="AH20">
            <v>70</v>
          </cell>
          <cell r="AI20">
            <v>7</v>
          </cell>
        </row>
        <row r="21">
          <cell r="A21" t="str">
            <v>A034</v>
          </cell>
          <cell r="B21" t="str">
            <v>Võ Thái Nguyên</v>
          </cell>
          <cell r="C21" t="str">
            <v>SON</v>
          </cell>
          <cell r="D21" t="str">
            <v>QUANLY</v>
          </cell>
          <cell r="E21" t="str">
            <v>T4/14</v>
          </cell>
          <cell r="F21">
            <v>48</v>
          </cell>
          <cell r="G21" t="str">
            <v>A</v>
          </cell>
          <cell r="H21" t="str">
            <v>3.X</v>
          </cell>
          <cell r="I21">
            <v>8925.2000000000007</v>
          </cell>
          <cell r="J21">
            <v>3458.8860000000004</v>
          </cell>
          <cell r="K21">
            <v>12384.086000000001</v>
          </cell>
          <cell r="L21">
            <v>8925.2000000000007</v>
          </cell>
          <cell r="M21">
            <v>4201.9311600000019</v>
          </cell>
          <cell r="N21">
            <v>13127.131160000003</v>
          </cell>
          <cell r="O21">
            <v>0</v>
          </cell>
          <cell r="P21">
            <v>1</v>
          </cell>
          <cell r="Q21">
            <v>0</v>
          </cell>
          <cell r="R21">
            <v>0</v>
          </cell>
          <cell r="S21">
            <v>14</v>
          </cell>
          <cell r="T21">
            <v>0</v>
          </cell>
          <cell r="U21">
            <v>0</v>
          </cell>
          <cell r="V21">
            <v>15</v>
          </cell>
          <cell r="W21">
            <v>4</v>
          </cell>
          <cell r="X21">
            <v>0</v>
          </cell>
          <cell r="Y21">
            <v>0</v>
          </cell>
          <cell r="Z21">
            <v>0</v>
          </cell>
          <cell r="AA21">
            <v>224</v>
          </cell>
          <cell r="AB21">
            <v>-150</v>
          </cell>
          <cell r="AC21">
            <v>0</v>
          </cell>
          <cell r="AD21">
            <v>0</v>
          </cell>
          <cell r="AE21">
            <v>6</v>
          </cell>
          <cell r="AF21">
            <v>0</v>
          </cell>
          <cell r="AG21">
            <v>47</v>
          </cell>
          <cell r="AH21">
            <v>150</v>
          </cell>
          <cell r="AI21">
            <v>3</v>
          </cell>
        </row>
        <row r="22">
          <cell r="A22" t="str">
            <v>A038</v>
          </cell>
          <cell r="B22" t="str">
            <v>Nguyễn Văn Chung</v>
          </cell>
          <cell r="C22" t="str">
            <v>CII.1</v>
          </cell>
          <cell r="D22" t="str">
            <v>QUANLY</v>
          </cell>
          <cell r="E22" t="str">
            <v>T10/08</v>
          </cell>
          <cell r="F22">
            <v>114</v>
          </cell>
          <cell r="G22" t="str">
            <v>A</v>
          </cell>
          <cell r="H22" t="str">
            <v>7.IV</v>
          </cell>
          <cell r="I22">
            <v>4305</v>
          </cell>
          <cell r="J22">
            <v>2487.6749999999997</v>
          </cell>
          <cell r="K22">
            <v>6792.6749999999993</v>
          </cell>
          <cell r="L22">
            <v>4740</v>
          </cell>
          <cell r="M22">
            <v>2460.2354999999998</v>
          </cell>
          <cell r="N22">
            <v>7200.2354999999998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96</v>
          </cell>
          <cell r="AA22">
            <v>0</v>
          </cell>
          <cell r="AB22">
            <v>-300</v>
          </cell>
          <cell r="AC22">
            <v>0</v>
          </cell>
          <cell r="AD22">
            <v>3000000</v>
          </cell>
          <cell r="AE22">
            <v>3</v>
          </cell>
          <cell r="AF22">
            <v>0</v>
          </cell>
          <cell r="AG22">
            <v>113</v>
          </cell>
          <cell r="AH22">
            <v>150</v>
          </cell>
        </row>
        <row r="23">
          <cell r="A23" t="str">
            <v>A042</v>
          </cell>
          <cell r="B23" t="str">
            <v>Phạm Hoàng Khanh</v>
          </cell>
          <cell r="C23" t="str">
            <v>Gián tiếp</v>
          </cell>
          <cell r="D23" t="str">
            <v>QUANLY</v>
          </cell>
          <cell r="E23" t="str">
            <v>T7/13</v>
          </cell>
          <cell r="F23">
            <v>57</v>
          </cell>
          <cell r="G23" t="str">
            <v>A</v>
          </cell>
          <cell r="H23" t="str">
            <v>3.X</v>
          </cell>
          <cell r="I23">
            <v>8841</v>
          </cell>
          <cell r="J23">
            <v>18236.715000000004</v>
          </cell>
          <cell r="K23">
            <v>27077.715000000004</v>
          </cell>
          <cell r="L23">
            <v>8841</v>
          </cell>
          <cell r="M23">
            <v>19861.377900000007</v>
          </cell>
          <cell r="N23">
            <v>28702.377900000007</v>
          </cell>
          <cell r="O23">
            <v>0</v>
          </cell>
          <cell r="P23">
            <v>1</v>
          </cell>
          <cell r="Q23">
            <v>0</v>
          </cell>
          <cell r="R23">
            <v>0</v>
          </cell>
          <cell r="S23">
            <v>13</v>
          </cell>
          <cell r="T23">
            <v>0</v>
          </cell>
          <cell r="U23">
            <v>1</v>
          </cell>
          <cell r="V23">
            <v>15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208</v>
          </cell>
          <cell r="AB23">
            <v>0</v>
          </cell>
          <cell r="AC23">
            <v>0</v>
          </cell>
          <cell r="AD23">
            <v>0</v>
          </cell>
          <cell r="AE23">
            <v>7</v>
          </cell>
          <cell r="AF23">
            <v>3</v>
          </cell>
          <cell r="AG23">
            <v>56</v>
          </cell>
          <cell r="AH23">
            <v>0</v>
          </cell>
          <cell r="AI23">
            <v>3</v>
          </cell>
        </row>
        <row r="24">
          <cell r="A24" t="str">
            <v>A046</v>
          </cell>
          <cell r="B24" t="str">
            <v>Lê Văn Hà</v>
          </cell>
          <cell r="C24" t="str">
            <v>CII.1</v>
          </cell>
          <cell r="D24" t="str">
            <v xml:space="preserve">Công nhân </v>
          </cell>
          <cell r="E24" t="str">
            <v>T4/09</v>
          </cell>
          <cell r="F24">
            <v>108</v>
          </cell>
          <cell r="G24" t="str">
            <v>C</v>
          </cell>
          <cell r="H24" t="str">
            <v>7.II</v>
          </cell>
          <cell r="I24">
            <v>3827.2000000000003</v>
          </cell>
          <cell r="J24">
            <v>1476.6000000000001</v>
          </cell>
          <cell r="K24">
            <v>5303.8</v>
          </cell>
          <cell r="L24">
            <v>4740</v>
          </cell>
          <cell r="M24">
            <v>669.8760000000002</v>
          </cell>
          <cell r="N24">
            <v>5409.8760000000002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-140</v>
          </cell>
          <cell r="AC24">
            <v>0</v>
          </cell>
          <cell r="AD24">
            <v>2000000</v>
          </cell>
          <cell r="AE24">
            <v>0</v>
          </cell>
          <cell r="AF24">
            <v>0</v>
          </cell>
          <cell r="AG24">
            <v>107</v>
          </cell>
          <cell r="AH24">
            <v>70</v>
          </cell>
          <cell r="AI24">
            <v>7</v>
          </cell>
        </row>
        <row r="25">
          <cell r="A25" t="str">
            <v>A049</v>
          </cell>
          <cell r="B25" t="str">
            <v>Phạm Tấn Việt</v>
          </cell>
          <cell r="C25" t="str">
            <v>CI.1</v>
          </cell>
          <cell r="D25" t="str">
            <v xml:space="preserve">Công nhân </v>
          </cell>
          <cell r="E25" t="str">
            <v>T4/09</v>
          </cell>
          <cell r="F25">
            <v>108</v>
          </cell>
          <cell r="G25" t="str">
            <v>B</v>
          </cell>
          <cell r="H25" t="str">
            <v>7.II</v>
          </cell>
          <cell r="I25">
            <v>3827.2000000000003</v>
          </cell>
          <cell r="J25">
            <v>1287</v>
          </cell>
          <cell r="K25">
            <v>5114.2000000000007</v>
          </cell>
          <cell r="L25">
            <v>4740</v>
          </cell>
          <cell r="M25">
            <v>578.76800000000094</v>
          </cell>
          <cell r="N25">
            <v>5318.7680000000009</v>
          </cell>
          <cell r="O25">
            <v>2</v>
          </cell>
          <cell r="P25">
            <v>0</v>
          </cell>
          <cell r="Q25">
            <v>0</v>
          </cell>
          <cell r="R25">
            <v>0</v>
          </cell>
          <cell r="S25">
            <v>6</v>
          </cell>
          <cell r="T25">
            <v>3</v>
          </cell>
          <cell r="U25">
            <v>5</v>
          </cell>
          <cell r="V25">
            <v>16</v>
          </cell>
          <cell r="W25">
            <v>16</v>
          </cell>
          <cell r="X25">
            <v>4</v>
          </cell>
          <cell r="Y25">
            <v>0</v>
          </cell>
          <cell r="Z25">
            <v>16</v>
          </cell>
          <cell r="AA25">
            <v>224</v>
          </cell>
          <cell r="AB25">
            <v>0</v>
          </cell>
          <cell r="AC25">
            <v>0</v>
          </cell>
          <cell r="AD25">
            <v>2000000</v>
          </cell>
          <cell r="AE25">
            <v>8</v>
          </cell>
          <cell r="AF25">
            <v>0</v>
          </cell>
          <cell r="AG25">
            <v>107</v>
          </cell>
          <cell r="AH25">
            <v>70</v>
          </cell>
          <cell r="AI25">
            <v>7</v>
          </cell>
        </row>
        <row r="26">
          <cell r="A26" t="str">
            <v>A055</v>
          </cell>
          <cell r="B26" t="str">
            <v>Nguyễn Thị Dung Em</v>
          </cell>
          <cell r="C26" t="str">
            <v>CI.1</v>
          </cell>
          <cell r="D26" t="str">
            <v xml:space="preserve">Công nhân </v>
          </cell>
          <cell r="E26" t="str">
            <v>T5/09</v>
          </cell>
          <cell r="F26">
            <v>107</v>
          </cell>
          <cell r="G26" t="str">
            <v>B</v>
          </cell>
          <cell r="H26" t="str">
            <v>7.II</v>
          </cell>
          <cell r="I26">
            <v>3827.2000000000003</v>
          </cell>
          <cell r="J26">
            <v>1068.6000000000001</v>
          </cell>
          <cell r="K26">
            <v>4895.8</v>
          </cell>
          <cell r="L26">
            <v>4740</v>
          </cell>
          <cell r="M26">
            <v>351.63200000000052</v>
          </cell>
          <cell r="N26">
            <v>5091.6320000000005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1</v>
          </cell>
          <cell r="V26">
            <v>1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-140</v>
          </cell>
          <cell r="AC26">
            <v>0</v>
          </cell>
          <cell r="AD26">
            <v>1000000</v>
          </cell>
          <cell r="AE26">
            <v>8.5</v>
          </cell>
          <cell r="AF26">
            <v>0</v>
          </cell>
          <cell r="AG26">
            <v>106</v>
          </cell>
          <cell r="AH26">
            <v>70</v>
          </cell>
          <cell r="AI26">
            <v>7</v>
          </cell>
        </row>
        <row r="27">
          <cell r="A27" t="str">
            <v>A059</v>
          </cell>
          <cell r="B27" t="str">
            <v>Ngô Nhật Thanh</v>
          </cell>
          <cell r="C27" t="str">
            <v>CII.1</v>
          </cell>
          <cell r="D27" t="str">
            <v>Công nhân</v>
          </cell>
          <cell r="E27" t="str">
            <v>T6/09</v>
          </cell>
          <cell r="F27">
            <v>106</v>
          </cell>
          <cell r="G27" t="str">
            <v>A</v>
          </cell>
          <cell r="H27" t="str">
            <v>7.II</v>
          </cell>
          <cell r="I27">
            <v>3900.8</v>
          </cell>
          <cell r="J27">
            <v>1544.95</v>
          </cell>
          <cell r="K27">
            <v>5445.75</v>
          </cell>
          <cell r="L27">
            <v>4740</v>
          </cell>
          <cell r="M27">
            <v>1032.4949999999999</v>
          </cell>
          <cell r="N27">
            <v>5772.4949999999999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32</v>
          </cell>
          <cell r="AA27">
            <v>0</v>
          </cell>
          <cell r="AB27">
            <v>-140</v>
          </cell>
          <cell r="AC27">
            <v>0</v>
          </cell>
          <cell r="AD27">
            <v>2000000</v>
          </cell>
          <cell r="AE27">
            <v>7</v>
          </cell>
          <cell r="AF27">
            <v>0</v>
          </cell>
          <cell r="AG27">
            <v>105</v>
          </cell>
          <cell r="AH27">
            <v>70</v>
          </cell>
          <cell r="AI27">
            <v>7</v>
          </cell>
        </row>
        <row r="28">
          <cell r="A28" t="str">
            <v>A061</v>
          </cell>
          <cell r="B28" t="str">
            <v>Đỗ Thị Thanh Thảo</v>
          </cell>
          <cell r="C28" t="str">
            <v>QCX</v>
          </cell>
          <cell r="D28" t="str">
            <v xml:space="preserve">Công nhân </v>
          </cell>
          <cell r="E28" t="str">
            <v>T6/09</v>
          </cell>
          <cell r="F28">
            <v>106</v>
          </cell>
          <cell r="G28">
            <v>0</v>
          </cell>
          <cell r="H28" t="str">
            <v>8.II</v>
          </cell>
          <cell r="I28">
            <v>4400.8</v>
          </cell>
          <cell r="J28">
            <v>1301.1500000000001</v>
          </cell>
          <cell r="K28">
            <v>5701.9500000000007</v>
          </cell>
          <cell r="L28">
            <v>4670</v>
          </cell>
          <cell r="M28">
            <v>1031.9500000000007</v>
          </cell>
          <cell r="N28">
            <v>5701.9500000000007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-140</v>
          </cell>
          <cell r="AC28">
            <v>0</v>
          </cell>
          <cell r="AD28">
            <v>0</v>
          </cell>
          <cell r="AE28">
            <v>4</v>
          </cell>
          <cell r="AF28">
            <v>0</v>
          </cell>
          <cell r="AG28">
            <v>105</v>
          </cell>
          <cell r="AH28">
            <v>70</v>
          </cell>
          <cell r="AI28">
            <v>8</v>
          </cell>
        </row>
        <row r="29">
          <cell r="A29" t="str">
            <v>A063</v>
          </cell>
          <cell r="B29" t="str">
            <v>Nguyễn Thị Liễu</v>
          </cell>
          <cell r="C29" t="str">
            <v>EN</v>
          </cell>
          <cell r="D29" t="str">
            <v xml:space="preserve">Công nhân </v>
          </cell>
          <cell r="E29" t="str">
            <v>T7/09</v>
          </cell>
          <cell r="F29">
            <v>105</v>
          </cell>
          <cell r="G29" t="str">
            <v>B</v>
          </cell>
          <cell r="H29" t="str">
            <v>8.II</v>
          </cell>
          <cell r="I29">
            <v>3827.2000000000003</v>
          </cell>
          <cell r="J29">
            <v>1276.6000000000001</v>
          </cell>
          <cell r="K29">
            <v>5103.8</v>
          </cell>
          <cell r="L29">
            <v>4670</v>
          </cell>
          <cell r="M29">
            <v>637.95200000000023</v>
          </cell>
          <cell r="N29">
            <v>5307.9520000000002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16</v>
          </cell>
          <cell r="AA29">
            <v>0</v>
          </cell>
          <cell r="AB29">
            <v>-140</v>
          </cell>
          <cell r="AC29">
            <v>0</v>
          </cell>
          <cell r="AD29">
            <v>0</v>
          </cell>
          <cell r="AE29">
            <v>4.5</v>
          </cell>
          <cell r="AF29">
            <v>0</v>
          </cell>
          <cell r="AG29">
            <v>104</v>
          </cell>
          <cell r="AH29">
            <v>70</v>
          </cell>
          <cell r="AI29">
            <v>8</v>
          </cell>
        </row>
        <row r="30">
          <cell r="A30" t="str">
            <v>A068</v>
          </cell>
          <cell r="B30" t="str">
            <v>Nguyễn Văn Phúc cd</v>
          </cell>
          <cell r="C30" t="str">
            <v>CD</v>
          </cell>
          <cell r="D30" t="str">
            <v xml:space="preserve">Công nhân </v>
          </cell>
          <cell r="E30" t="str">
            <v>T9/03</v>
          </cell>
          <cell r="F30">
            <v>175</v>
          </cell>
          <cell r="G30" t="str">
            <v>A</v>
          </cell>
          <cell r="H30" t="str">
            <v>7.X</v>
          </cell>
          <cell r="I30">
            <v>6402.4000000000005</v>
          </cell>
          <cell r="J30">
            <v>2268.6630000000005</v>
          </cell>
          <cell r="K30">
            <v>8671.0630000000019</v>
          </cell>
          <cell r="L30">
            <v>6402.4000000000005</v>
          </cell>
          <cell r="M30">
            <v>2788.9267800000025</v>
          </cell>
          <cell r="N30">
            <v>9191.3267800000031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16</v>
          </cell>
          <cell r="AA30">
            <v>0</v>
          </cell>
          <cell r="AB30">
            <v>-300</v>
          </cell>
          <cell r="AC30">
            <v>0</v>
          </cell>
          <cell r="AD30">
            <v>0</v>
          </cell>
          <cell r="AE30">
            <v>10</v>
          </cell>
          <cell r="AF30">
            <v>0</v>
          </cell>
          <cell r="AG30">
            <v>174</v>
          </cell>
          <cell r="AH30">
            <v>150</v>
          </cell>
          <cell r="AI30">
            <v>7</v>
          </cell>
        </row>
        <row r="31">
          <cell r="A31" t="str">
            <v>A080</v>
          </cell>
          <cell r="B31" t="str">
            <v>Trần Minh Thuận</v>
          </cell>
          <cell r="C31" t="str">
            <v>PHOI</v>
          </cell>
          <cell r="D31" t="str">
            <v>Công nhân</v>
          </cell>
          <cell r="E31" t="str">
            <v>T4/10</v>
          </cell>
          <cell r="F31">
            <v>96</v>
          </cell>
          <cell r="G31" t="str">
            <v>A</v>
          </cell>
          <cell r="H31" t="str">
            <v>7.IV</v>
          </cell>
          <cell r="I31">
            <v>3710</v>
          </cell>
          <cell r="J31">
            <v>1152.75</v>
          </cell>
          <cell r="K31">
            <v>4862.75</v>
          </cell>
          <cell r="L31">
            <v>4980</v>
          </cell>
          <cell r="M31">
            <v>174.51500000000033</v>
          </cell>
          <cell r="N31">
            <v>5154.5150000000003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32</v>
          </cell>
          <cell r="AA31">
            <v>0</v>
          </cell>
          <cell r="AB31">
            <v>-140</v>
          </cell>
          <cell r="AC31">
            <v>0</v>
          </cell>
          <cell r="AD31">
            <v>0</v>
          </cell>
          <cell r="AE31">
            <v>3.5</v>
          </cell>
          <cell r="AF31">
            <v>0</v>
          </cell>
          <cell r="AG31">
            <v>95</v>
          </cell>
          <cell r="AH31">
            <v>70</v>
          </cell>
          <cell r="AI31">
            <v>7</v>
          </cell>
        </row>
        <row r="32">
          <cell r="A32" t="str">
            <v>A082</v>
          </cell>
          <cell r="B32" t="str">
            <v>Bùi Văn Đá</v>
          </cell>
          <cell r="C32" t="str">
            <v>CII.1</v>
          </cell>
          <cell r="D32" t="str">
            <v xml:space="preserve">Công nhân </v>
          </cell>
          <cell r="E32" t="str">
            <v>T4/10</v>
          </cell>
          <cell r="F32">
            <v>96</v>
          </cell>
          <cell r="G32" t="str">
            <v>A</v>
          </cell>
          <cell r="H32" t="str">
            <v>7.I</v>
          </cell>
          <cell r="I32">
            <v>3710</v>
          </cell>
          <cell r="J32">
            <v>1152.75</v>
          </cell>
          <cell r="K32">
            <v>4862.75</v>
          </cell>
          <cell r="L32">
            <v>4740</v>
          </cell>
          <cell r="M32">
            <v>414.51500000000033</v>
          </cell>
          <cell r="N32">
            <v>5154.5150000000003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-140</v>
          </cell>
          <cell r="AC32">
            <v>0</v>
          </cell>
          <cell r="AD32">
            <v>2000000</v>
          </cell>
          <cell r="AE32">
            <v>0</v>
          </cell>
          <cell r="AF32">
            <v>0</v>
          </cell>
          <cell r="AG32">
            <v>95</v>
          </cell>
          <cell r="AH32">
            <v>70</v>
          </cell>
          <cell r="AI32">
            <v>7</v>
          </cell>
        </row>
        <row r="33">
          <cell r="A33" t="str">
            <v>A084</v>
          </cell>
          <cell r="B33" t="str">
            <v>Trần Kim Thoa</v>
          </cell>
          <cell r="C33" t="str">
            <v>PHOI</v>
          </cell>
          <cell r="D33" t="str">
            <v xml:space="preserve">Công nhân </v>
          </cell>
          <cell r="E33" t="str">
            <v>T10/10</v>
          </cell>
          <cell r="F33">
            <v>90</v>
          </cell>
          <cell r="G33" t="str">
            <v>B</v>
          </cell>
          <cell r="H33" t="str">
            <v>7.I</v>
          </cell>
          <cell r="I33">
            <v>3710</v>
          </cell>
          <cell r="J33">
            <v>951.35</v>
          </cell>
          <cell r="K33">
            <v>4661.3500000000004</v>
          </cell>
          <cell r="L33">
            <v>4740</v>
          </cell>
          <cell r="M33">
            <v>107.804000000001</v>
          </cell>
          <cell r="N33">
            <v>4847.804000000001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16</v>
          </cell>
          <cell r="AA33">
            <v>0</v>
          </cell>
          <cell r="AB33">
            <v>-140</v>
          </cell>
          <cell r="AC33">
            <v>0</v>
          </cell>
          <cell r="AD33">
            <v>0</v>
          </cell>
          <cell r="AE33">
            <v>6.5</v>
          </cell>
          <cell r="AF33">
            <v>0</v>
          </cell>
          <cell r="AG33">
            <v>89</v>
          </cell>
          <cell r="AH33">
            <v>70</v>
          </cell>
          <cell r="AI33">
            <v>7</v>
          </cell>
        </row>
        <row r="34">
          <cell r="A34" t="str">
            <v>A086</v>
          </cell>
          <cell r="B34" t="str">
            <v>Nguyễn Tấn Hưng</v>
          </cell>
          <cell r="C34" t="str">
            <v>CD</v>
          </cell>
          <cell r="D34" t="str">
            <v xml:space="preserve">Công nhân </v>
          </cell>
          <cell r="E34" t="str">
            <v>T4/06</v>
          </cell>
          <cell r="F34">
            <v>144</v>
          </cell>
          <cell r="G34" t="str">
            <v>B</v>
          </cell>
          <cell r="H34" t="str">
            <v>7.VII</v>
          </cell>
          <cell r="I34">
            <v>4919.2</v>
          </cell>
          <cell r="J34">
            <v>1505.4</v>
          </cell>
          <cell r="K34">
            <v>6424.6</v>
          </cell>
          <cell r="L34">
            <v>4919.2</v>
          </cell>
          <cell r="M34">
            <v>1762.3840000000009</v>
          </cell>
          <cell r="N34">
            <v>6681.5840000000007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32</v>
          </cell>
          <cell r="AA34">
            <v>0</v>
          </cell>
          <cell r="AB34">
            <v>-140</v>
          </cell>
          <cell r="AC34">
            <v>0</v>
          </cell>
          <cell r="AD34">
            <v>2000000</v>
          </cell>
          <cell r="AE34">
            <v>12</v>
          </cell>
          <cell r="AF34">
            <v>0</v>
          </cell>
          <cell r="AG34">
            <v>143</v>
          </cell>
          <cell r="AH34">
            <v>70</v>
          </cell>
          <cell r="AI34">
            <v>7</v>
          </cell>
        </row>
        <row r="35">
          <cell r="A35" t="str">
            <v>A087</v>
          </cell>
          <cell r="B35" t="str">
            <v>Đoàn Văn Cường</v>
          </cell>
          <cell r="C35" t="str">
            <v>GA</v>
          </cell>
          <cell r="D35" t="str">
            <v xml:space="preserve">Công nhân </v>
          </cell>
          <cell r="E35" t="str">
            <v>T4/06</v>
          </cell>
          <cell r="F35">
            <v>144</v>
          </cell>
          <cell r="G35">
            <v>0</v>
          </cell>
          <cell r="H35" t="str">
            <v>7.VII</v>
          </cell>
          <cell r="I35">
            <v>5513.8</v>
          </cell>
          <cell r="J35">
            <v>2403.6539999999995</v>
          </cell>
          <cell r="K35">
            <v>7917.4539999999997</v>
          </cell>
          <cell r="L35">
            <v>5514</v>
          </cell>
          <cell r="M35">
            <v>2403.4539999999997</v>
          </cell>
          <cell r="N35">
            <v>7917.4539999999997</v>
          </cell>
          <cell r="O35">
            <v>12</v>
          </cell>
          <cell r="P35">
            <v>0</v>
          </cell>
          <cell r="Q35">
            <v>0</v>
          </cell>
          <cell r="R35">
            <v>0</v>
          </cell>
          <cell r="S35">
            <v>3</v>
          </cell>
          <cell r="T35">
            <v>0</v>
          </cell>
          <cell r="U35">
            <v>0</v>
          </cell>
          <cell r="V35">
            <v>15</v>
          </cell>
          <cell r="W35">
            <v>58.5</v>
          </cell>
          <cell r="X35">
            <v>12</v>
          </cell>
          <cell r="Y35">
            <v>0</v>
          </cell>
          <cell r="Z35">
            <v>16</v>
          </cell>
          <cell r="AA35">
            <v>240</v>
          </cell>
          <cell r="AB35">
            <v>0</v>
          </cell>
          <cell r="AC35">
            <v>0</v>
          </cell>
          <cell r="AD35">
            <v>2000000</v>
          </cell>
          <cell r="AE35">
            <v>5</v>
          </cell>
          <cell r="AF35">
            <v>2</v>
          </cell>
          <cell r="AG35">
            <v>143</v>
          </cell>
          <cell r="AH35">
            <v>70</v>
          </cell>
          <cell r="AI35">
            <v>7</v>
          </cell>
        </row>
        <row r="36">
          <cell r="A36" t="str">
            <v>A093</v>
          </cell>
          <cell r="B36" t="str">
            <v>Trần văn Đông</v>
          </cell>
          <cell r="C36" t="str">
            <v>GA</v>
          </cell>
          <cell r="D36" t="str">
            <v>Công nhân</v>
          </cell>
          <cell r="E36" t="str">
            <v>T5/06</v>
          </cell>
          <cell r="F36">
            <v>143</v>
          </cell>
          <cell r="G36">
            <v>0</v>
          </cell>
          <cell r="H36" t="str">
            <v>7.VII</v>
          </cell>
          <cell r="I36">
            <v>5513.8</v>
          </cell>
          <cell r="J36">
            <v>1852.3500000000001</v>
          </cell>
          <cell r="K36">
            <v>7366.1500000000005</v>
          </cell>
          <cell r="L36">
            <v>5514</v>
          </cell>
          <cell r="M36">
            <v>1852.1500000000005</v>
          </cell>
          <cell r="N36">
            <v>7366.1500000000005</v>
          </cell>
          <cell r="O36">
            <v>12</v>
          </cell>
          <cell r="P36">
            <v>0</v>
          </cell>
          <cell r="Q36">
            <v>0</v>
          </cell>
          <cell r="R36">
            <v>0</v>
          </cell>
          <cell r="S36">
            <v>1</v>
          </cell>
          <cell r="T36">
            <v>0</v>
          </cell>
          <cell r="U36">
            <v>2</v>
          </cell>
          <cell r="V36">
            <v>15</v>
          </cell>
          <cell r="W36">
            <v>70.5</v>
          </cell>
          <cell r="X36">
            <v>12</v>
          </cell>
          <cell r="Y36">
            <v>0</v>
          </cell>
          <cell r="Z36">
            <v>16</v>
          </cell>
          <cell r="AA36">
            <v>208</v>
          </cell>
          <cell r="AB36">
            <v>0</v>
          </cell>
          <cell r="AC36">
            <v>0</v>
          </cell>
          <cell r="AD36">
            <v>3000000</v>
          </cell>
          <cell r="AE36">
            <v>10.5</v>
          </cell>
          <cell r="AF36">
            <v>1</v>
          </cell>
          <cell r="AG36">
            <v>142</v>
          </cell>
          <cell r="AH36">
            <v>70</v>
          </cell>
          <cell r="AI36">
            <v>7</v>
          </cell>
        </row>
        <row r="37">
          <cell r="A37" t="str">
            <v>A094</v>
          </cell>
          <cell r="B37" t="str">
            <v>Trần Thanh Trực</v>
          </cell>
          <cell r="C37" t="str">
            <v>CD</v>
          </cell>
          <cell r="D37" t="str">
            <v>Công nhân</v>
          </cell>
          <cell r="E37" t="str">
            <v>T5/07</v>
          </cell>
          <cell r="F37">
            <v>131</v>
          </cell>
          <cell r="G37" t="str">
            <v>A</v>
          </cell>
          <cell r="H37" t="str">
            <v>7.VII</v>
          </cell>
          <cell r="I37">
            <v>4970</v>
          </cell>
          <cell r="J37">
            <v>3367.037037037037</v>
          </cell>
          <cell r="K37">
            <v>8337.0370370370365</v>
          </cell>
          <cell r="L37">
            <v>4970</v>
          </cell>
          <cell r="M37">
            <v>3530</v>
          </cell>
          <cell r="N37">
            <v>8500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-300</v>
          </cell>
          <cell r="AC37">
            <v>0</v>
          </cell>
          <cell r="AD37">
            <v>2000000</v>
          </cell>
          <cell r="AE37">
            <v>10.5</v>
          </cell>
          <cell r="AF37">
            <v>0</v>
          </cell>
          <cell r="AG37">
            <v>130</v>
          </cell>
          <cell r="AH37">
            <v>150</v>
          </cell>
          <cell r="AI37">
            <v>7</v>
          </cell>
        </row>
        <row r="38">
          <cell r="A38" t="str">
            <v>A105</v>
          </cell>
          <cell r="B38" t="str">
            <v>Trần Thị Diệp</v>
          </cell>
          <cell r="C38" t="str">
            <v>EN</v>
          </cell>
          <cell r="D38" t="str">
            <v>Công nhân</v>
          </cell>
          <cell r="E38" t="str">
            <v>T7/10</v>
          </cell>
          <cell r="F38">
            <v>93</v>
          </cell>
          <cell r="G38" t="str">
            <v>C</v>
          </cell>
          <cell r="H38" t="str">
            <v>7.I</v>
          </cell>
          <cell r="I38">
            <v>3710</v>
          </cell>
          <cell r="J38">
            <v>977.58500000000004</v>
          </cell>
          <cell r="K38">
            <v>4687.585</v>
          </cell>
          <cell r="L38">
            <v>4740</v>
          </cell>
          <cell r="M38">
            <v>41.336699999999837</v>
          </cell>
          <cell r="N38">
            <v>4781.3366999999998</v>
          </cell>
          <cell r="O38">
            <v>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9</v>
          </cell>
          <cell r="U38">
            <v>1</v>
          </cell>
          <cell r="V38">
            <v>15</v>
          </cell>
          <cell r="W38">
            <v>48</v>
          </cell>
          <cell r="X38">
            <v>8</v>
          </cell>
          <cell r="Y38">
            <v>0</v>
          </cell>
          <cell r="Z38">
            <v>0</v>
          </cell>
          <cell r="AA38">
            <v>368</v>
          </cell>
          <cell r="AB38">
            <v>0</v>
          </cell>
          <cell r="AC38">
            <v>0</v>
          </cell>
          <cell r="AD38">
            <v>2000000</v>
          </cell>
          <cell r="AE38">
            <v>8</v>
          </cell>
          <cell r="AF38">
            <v>0</v>
          </cell>
          <cell r="AG38">
            <v>92</v>
          </cell>
          <cell r="AH38">
            <v>70</v>
          </cell>
          <cell r="AI38">
            <v>7</v>
          </cell>
        </row>
        <row r="39">
          <cell r="A39" t="str">
            <v>A113</v>
          </cell>
          <cell r="B39" t="str">
            <v>Bùi Văn Vũ</v>
          </cell>
          <cell r="C39" t="str">
            <v>CII.2</v>
          </cell>
          <cell r="D39" t="str">
            <v>QUANLY</v>
          </cell>
          <cell r="E39" t="str">
            <v>T8/10</v>
          </cell>
          <cell r="F39">
            <v>92</v>
          </cell>
          <cell r="G39" t="str">
            <v>A</v>
          </cell>
          <cell r="H39" t="str">
            <v>7.I</v>
          </cell>
          <cell r="I39">
            <v>4100</v>
          </cell>
          <cell r="J39">
            <v>1844.9999999999998</v>
          </cell>
          <cell r="K39">
            <v>5945</v>
          </cell>
          <cell r="L39">
            <v>4740</v>
          </cell>
          <cell r="M39">
            <v>1561.7000000000007</v>
          </cell>
          <cell r="N39">
            <v>6301.7000000000007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-300</v>
          </cell>
          <cell r="AC39">
            <v>0</v>
          </cell>
          <cell r="AD39">
            <v>2000000</v>
          </cell>
          <cell r="AE39">
            <v>3.5</v>
          </cell>
          <cell r="AF39">
            <v>0</v>
          </cell>
          <cell r="AG39">
            <v>91</v>
          </cell>
          <cell r="AH39">
            <v>150</v>
          </cell>
          <cell r="AI39">
            <v>7</v>
          </cell>
        </row>
        <row r="40">
          <cell r="A40" t="str">
            <v>A120</v>
          </cell>
          <cell r="B40" t="str">
            <v>Bùi Thị Kim Liên</v>
          </cell>
          <cell r="C40" t="str">
            <v>QCX</v>
          </cell>
          <cell r="D40" t="str">
            <v>Công Nhân</v>
          </cell>
          <cell r="E40" t="str">
            <v>T8/10</v>
          </cell>
          <cell r="F40">
            <v>92</v>
          </cell>
          <cell r="G40">
            <v>0</v>
          </cell>
          <cell r="H40" t="str">
            <v>8.I</v>
          </cell>
          <cell r="I40">
            <v>4410</v>
          </cell>
          <cell r="J40">
            <v>1652.75</v>
          </cell>
          <cell r="K40">
            <v>6062.75</v>
          </cell>
          <cell r="L40">
            <v>4670</v>
          </cell>
          <cell r="M40">
            <v>1392.75</v>
          </cell>
          <cell r="N40">
            <v>6062.75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-140</v>
          </cell>
          <cell r="AC40">
            <v>0</v>
          </cell>
          <cell r="AD40">
            <v>0</v>
          </cell>
          <cell r="AE40">
            <v>0.5</v>
          </cell>
          <cell r="AF40">
            <v>0</v>
          </cell>
          <cell r="AG40">
            <v>91</v>
          </cell>
          <cell r="AH40">
            <v>70</v>
          </cell>
          <cell r="AI40">
            <v>8</v>
          </cell>
        </row>
        <row r="41">
          <cell r="A41" t="str">
            <v>A122</v>
          </cell>
          <cell r="B41" t="str">
            <v>Nguyễn Thị Ánh Nguyệt</v>
          </cell>
          <cell r="C41" t="str">
            <v>CII.4</v>
          </cell>
          <cell r="D41" t="str">
            <v>Công nhân</v>
          </cell>
          <cell r="E41" t="str">
            <v>T8/10</v>
          </cell>
          <cell r="F41">
            <v>92</v>
          </cell>
          <cell r="G41" t="str">
            <v>A</v>
          </cell>
          <cell r="H41" t="str">
            <v>7.I</v>
          </cell>
          <cell r="I41">
            <v>3640</v>
          </cell>
          <cell r="J41">
            <v>923</v>
          </cell>
          <cell r="K41">
            <v>4563</v>
          </cell>
          <cell r="L41">
            <v>4740</v>
          </cell>
          <cell r="M41">
            <v>96.780000000000655</v>
          </cell>
          <cell r="N41">
            <v>4836.7800000000007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-140</v>
          </cell>
          <cell r="AC41">
            <v>0</v>
          </cell>
          <cell r="AD41">
            <v>0</v>
          </cell>
          <cell r="AE41">
            <v>2</v>
          </cell>
          <cell r="AF41">
            <v>0</v>
          </cell>
          <cell r="AG41">
            <v>91</v>
          </cell>
          <cell r="AH41">
            <v>70</v>
          </cell>
          <cell r="AI41">
            <v>7</v>
          </cell>
        </row>
        <row r="42">
          <cell r="A42" t="str">
            <v>A123</v>
          </cell>
          <cell r="B42" t="str">
            <v>Phạm Thị Kim Xuyến</v>
          </cell>
          <cell r="C42" t="str">
            <v>CI.1</v>
          </cell>
          <cell r="D42" t="str">
            <v>Công nhân</v>
          </cell>
          <cell r="E42" t="str">
            <v>T8/10</v>
          </cell>
          <cell r="F42">
            <v>92</v>
          </cell>
          <cell r="G42" t="str">
            <v>B</v>
          </cell>
          <cell r="H42" t="str">
            <v>7.I</v>
          </cell>
          <cell r="I42">
            <v>3710</v>
          </cell>
          <cell r="J42">
            <v>1364.75</v>
          </cell>
          <cell r="K42">
            <v>5074.75</v>
          </cell>
          <cell r="L42">
            <v>4740</v>
          </cell>
          <cell r="M42">
            <v>537.73999999999978</v>
          </cell>
          <cell r="N42">
            <v>5277.74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1</v>
          </cell>
          <cell r="V42">
            <v>1</v>
          </cell>
          <cell r="W42">
            <v>0</v>
          </cell>
          <cell r="X42">
            <v>0</v>
          </cell>
          <cell r="Y42">
            <v>0</v>
          </cell>
          <cell r="Z42">
            <v>16</v>
          </cell>
          <cell r="AA42">
            <v>0</v>
          </cell>
          <cell r="AB42">
            <v>-140</v>
          </cell>
          <cell r="AC42">
            <v>0</v>
          </cell>
          <cell r="AD42">
            <v>2000000</v>
          </cell>
          <cell r="AE42">
            <v>3.5</v>
          </cell>
          <cell r="AF42">
            <v>0</v>
          </cell>
          <cell r="AG42">
            <v>91</v>
          </cell>
          <cell r="AH42">
            <v>70</v>
          </cell>
          <cell r="AI42">
            <v>7</v>
          </cell>
        </row>
        <row r="43">
          <cell r="A43" t="str">
            <v>A128</v>
          </cell>
          <cell r="B43" t="str">
            <v>Nguyễn Minh Hải</v>
          </cell>
          <cell r="C43" t="str">
            <v>Kho</v>
          </cell>
          <cell r="D43" t="str">
            <v xml:space="preserve">Tài xế </v>
          </cell>
          <cell r="E43" t="str">
            <v>T4/12</v>
          </cell>
          <cell r="F43">
            <v>72</v>
          </cell>
          <cell r="G43" t="str">
            <v>B</v>
          </cell>
          <cell r="H43" t="str">
            <v>9.IX</v>
          </cell>
          <cell r="I43">
            <v>5428.8</v>
          </cell>
          <cell r="J43">
            <v>2741.8559999999998</v>
          </cell>
          <cell r="K43">
            <v>8170.6559999999999</v>
          </cell>
          <cell r="L43">
            <v>5428.8</v>
          </cell>
          <cell r="M43">
            <v>3068.6822399999992</v>
          </cell>
          <cell r="N43">
            <v>8497.4822399999994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-140</v>
          </cell>
          <cell r="AC43">
            <v>0</v>
          </cell>
          <cell r="AD43">
            <v>0</v>
          </cell>
          <cell r="AE43">
            <v>6</v>
          </cell>
          <cell r="AF43">
            <v>2</v>
          </cell>
          <cell r="AG43">
            <v>71</v>
          </cell>
          <cell r="AH43">
            <v>70</v>
          </cell>
          <cell r="AI43">
            <v>9</v>
          </cell>
        </row>
        <row r="44">
          <cell r="A44" t="str">
            <v>A133</v>
          </cell>
          <cell r="B44" t="str">
            <v>Trần Thị Nương</v>
          </cell>
          <cell r="C44" t="str">
            <v>CII.1</v>
          </cell>
          <cell r="D44" t="str">
            <v>Công nhân</v>
          </cell>
          <cell r="E44" t="str">
            <v>T9/10</v>
          </cell>
          <cell r="F44">
            <v>91</v>
          </cell>
          <cell r="G44" t="str">
            <v>A</v>
          </cell>
          <cell r="H44" t="str">
            <v>7.I</v>
          </cell>
          <cell r="I44">
            <v>3640</v>
          </cell>
          <cell r="J44">
            <v>933.4</v>
          </cell>
          <cell r="K44">
            <v>4573.3999999999996</v>
          </cell>
          <cell r="L44">
            <v>4740</v>
          </cell>
          <cell r="M44">
            <v>107.80400000000009</v>
          </cell>
          <cell r="N44">
            <v>4847.8040000000001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-140</v>
          </cell>
          <cell r="AC44">
            <v>0</v>
          </cell>
          <cell r="AD44">
            <v>2000000</v>
          </cell>
          <cell r="AE44">
            <v>0</v>
          </cell>
          <cell r="AF44">
            <v>0</v>
          </cell>
          <cell r="AG44">
            <v>90</v>
          </cell>
          <cell r="AH44">
            <v>70</v>
          </cell>
          <cell r="AI44">
            <v>7</v>
          </cell>
        </row>
        <row r="45">
          <cell r="A45" t="str">
            <v>A135</v>
          </cell>
          <cell r="B45" t="str">
            <v>Nguyễn Thị Kim Phương</v>
          </cell>
          <cell r="C45" t="str">
            <v>CII.4</v>
          </cell>
          <cell r="D45" t="str">
            <v>Công nhân</v>
          </cell>
          <cell r="E45" t="str">
            <v>T9/10</v>
          </cell>
          <cell r="F45">
            <v>91</v>
          </cell>
          <cell r="G45" t="str">
            <v>A</v>
          </cell>
          <cell r="H45" t="str">
            <v>7.I</v>
          </cell>
          <cell r="I45">
            <v>3640</v>
          </cell>
          <cell r="J45">
            <v>923</v>
          </cell>
          <cell r="K45">
            <v>4563</v>
          </cell>
          <cell r="L45">
            <v>4740</v>
          </cell>
          <cell r="M45">
            <v>96.780000000000655</v>
          </cell>
          <cell r="N45">
            <v>4836.7800000000007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48</v>
          </cell>
          <cell r="AA45">
            <v>0</v>
          </cell>
          <cell r="AB45">
            <v>-140</v>
          </cell>
          <cell r="AC45">
            <v>0</v>
          </cell>
          <cell r="AD45">
            <v>2000000</v>
          </cell>
          <cell r="AE45">
            <v>2.5</v>
          </cell>
          <cell r="AF45">
            <v>0</v>
          </cell>
          <cell r="AG45">
            <v>90</v>
          </cell>
          <cell r="AH45">
            <v>70</v>
          </cell>
          <cell r="AI45">
            <v>7</v>
          </cell>
        </row>
        <row r="46">
          <cell r="A46" t="str">
            <v>A144</v>
          </cell>
          <cell r="B46" t="str">
            <v>Bùi Thị Bòn</v>
          </cell>
          <cell r="C46" t="str">
            <v>QCX</v>
          </cell>
          <cell r="D46" t="str">
            <v>Công nhân</v>
          </cell>
          <cell r="E46" t="str">
            <v>T9/10</v>
          </cell>
          <cell r="F46">
            <v>91</v>
          </cell>
          <cell r="G46">
            <v>0</v>
          </cell>
          <cell r="H46" t="str">
            <v>8.I</v>
          </cell>
          <cell r="I46">
            <v>4310</v>
          </cell>
          <cell r="J46">
            <v>763.2</v>
          </cell>
          <cell r="K46">
            <v>5073.2</v>
          </cell>
          <cell r="L46">
            <v>4670</v>
          </cell>
          <cell r="M46">
            <v>403.19999999999982</v>
          </cell>
          <cell r="N46">
            <v>5073.2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-140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90</v>
          </cell>
          <cell r="AH46">
            <v>70</v>
          </cell>
          <cell r="AI46">
            <v>8</v>
          </cell>
        </row>
        <row r="47">
          <cell r="A47" t="str">
            <v>A145</v>
          </cell>
          <cell r="B47" t="str">
            <v>Bùi Thị Linh</v>
          </cell>
          <cell r="C47" t="str">
            <v>PHOI</v>
          </cell>
          <cell r="D47" t="str">
            <v>công nhân</v>
          </cell>
          <cell r="E47" t="str">
            <v>T9/10</v>
          </cell>
          <cell r="F47">
            <v>91</v>
          </cell>
          <cell r="G47" t="str">
            <v>B</v>
          </cell>
          <cell r="H47" t="str">
            <v>7.I</v>
          </cell>
          <cell r="I47">
            <v>3640</v>
          </cell>
          <cell r="J47">
            <v>380</v>
          </cell>
          <cell r="K47">
            <v>4020</v>
          </cell>
          <cell r="L47">
            <v>4740</v>
          </cell>
          <cell r="M47">
            <v>0</v>
          </cell>
          <cell r="N47">
            <v>4740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32</v>
          </cell>
          <cell r="AA47">
            <v>0</v>
          </cell>
          <cell r="AB47">
            <v>-140</v>
          </cell>
          <cell r="AC47">
            <v>0</v>
          </cell>
          <cell r="AD47">
            <v>0</v>
          </cell>
          <cell r="AE47">
            <v>3</v>
          </cell>
          <cell r="AF47">
            <v>0</v>
          </cell>
          <cell r="AG47">
            <v>90</v>
          </cell>
          <cell r="AH47">
            <v>70</v>
          </cell>
          <cell r="AI47">
            <v>7</v>
          </cell>
        </row>
        <row r="48">
          <cell r="A48" t="str">
            <v>A148</v>
          </cell>
          <cell r="B48" t="str">
            <v>Huỳnh Thị Châu</v>
          </cell>
          <cell r="C48" t="str">
            <v>EN</v>
          </cell>
          <cell r="D48" t="str">
            <v>Công nhân</v>
          </cell>
          <cell r="E48" t="str">
            <v>T9/10</v>
          </cell>
          <cell r="F48">
            <v>91</v>
          </cell>
          <cell r="G48" t="str">
            <v>C</v>
          </cell>
          <cell r="H48" t="str">
            <v>7.I</v>
          </cell>
          <cell r="I48">
            <v>3710</v>
          </cell>
          <cell r="J48">
            <v>972.55000000000007</v>
          </cell>
          <cell r="K48">
            <v>4682.55</v>
          </cell>
          <cell r="L48">
            <v>4740</v>
          </cell>
          <cell r="M48">
            <v>36.201000000000022</v>
          </cell>
          <cell r="N48">
            <v>4776.201</v>
          </cell>
          <cell r="O48">
            <v>5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9</v>
          </cell>
          <cell r="U48">
            <v>1</v>
          </cell>
          <cell r="V48">
            <v>15</v>
          </cell>
          <cell r="W48">
            <v>44</v>
          </cell>
          <cell r="X48">
            <v>12</v>
          </cell>
          <cell r="Y48">
            <v>0</v>
          </cell>
          <cell r="Z48">
            <v>0</v>
          </cell>
          <cell r="AA48">
            <v>368</v>
          </cell>
          <cell r="AB48">
            <v>0</v>
          </cell>
          <cell r="AC48">
            <v>0</v>
          </cell>
          <cell r="AD48">
            <v>2000000</v>
          </cell>
          <cell r="AE48">
            <v>8.5</v>
          </cell>
          <cell r="AF48">
            <v>0</v>
          </cell>
          <cell r="AG48">
            <v>90</v>
          </cell>
          <cell r="AH48">
            <v>70</v>
          </cell>
          <cell r="AI48">
            <v>7</v>
          </cell>
        </row>
        <row r="49">
          <cell r="A49" t="str">
            <v>A172</v>
          </cell>
          <cell r="B49" t="str">
            <v>Trần Văn Ướt</v>
          </cell>
          <cell r="C49" t="str">
            <v>CII.1</v>
          </cell>
          <cell r="D49" t="str">
            <v>Công nhân</v>
          </cell>
          <cell r="E49" t="str">
            <v>T9/10</v>
          </cell>
          <cell r="F49">
            <v>91</v>
          </cell>
          <cell r="G49" t="str">
            <v>A</v>
          </cell>
          <cell r="H49" t="str">
            <v>7.I</v>
          </cell>
          <cell r="I49">
            <v>3710</v>
          </cell>
          <cell r="J49">
            <v>1173.95</v>
          </cell>
          <cell r="K49">
            <v>4883.95</v>
          </cell>
          <cell r="L49">
            <v>4740</v>
          </cell>
          <cell r="M49">
            <v>436.98700000000008</v>
          </cell>
          <cell r="N49">
            <v>5176.9870000000001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-140</v>
          </cell>
          <cell r="AC49">
            <v>0</v>
          </cell>
          <cell r="AD49">
            <v>1000000</v>
          </cell>
          <cell r="AE49">
            <v>1.5</v>
          </cell>
          <cell r="AF49">
            <v>0</v>
          </cell>
          <cell r="AG49">
            <v>90</v>
          </cell>
          <cell r="AH49">
            <v>70</v>
          </cell>
          <cell r="AI49">
            <v>7</v>
          </cell>
        </row>
        <row r="50">
          <cell r="A50" t="str">
            <v>A173</v>
          </cell>
          <cell r="B50" t="str">
            <v>Lê Thị Lệ Hồng</v>
          </cell>
          <cell r="C50" t="str">
            <v>CII.1</v>
          </cell>
          <cell r="D50" t="str">
            <v>Công nhân</v>
          </cell>
          <cell r="E50" t="str">
            <v>T9/10</v>
          </cell>
          <cell r="F50">
            <v>91</v>
          </cell>
          <cell r="G50" t="str">
            <v>A</v>
          </cell>
          <cell r="H50" t="str">
            <v>7.I</v>
          </cell>
          <cell r="I50">
            <v>3640</v>
          </cell>
          <cell r="J50">
            <v>943.80000000000007</v>
          </cell>
          <cell r="K50">
            <v>4583.8</v>
          </cell>
          <cell r="L50">
            <v>4740</v>
          </cell>
          <cell r="M50">
            <v>118.82800000000043</v>
          </cell>
          <cell r="N50">
            <v>4858.8280000000004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-140</v>
          </cell>
          <cell r="AC50">
            <v>0</v>
          </cell>
          <cell r="AD50">
            <v>1000000</v>
          </cell>
          <cell r="AE50">
            <v>0</v>
          </cell>
          <cell r="AF50">
            <v>0</v>
          </cell>
          <cell r="AG50">
            <v>90</v>
          </cell>
          <cell r="AH50">
            <v>70</v>
          </cell>
          <cell r="AI50">
            <v>7</v>
          </cell>
        </row>
        <row r="51">
          <cell r="A51" t="str">
            <v>A178</v>
          </cell>
          <cell r="B51" t="str">
            <v>Phạm Thanh Tú</v>
          </cell>
          <cell r="C51" t="str">
            <v>CII.1</v>
          </cell>
          <cell r="D51" t="str">
            <v>Công nhân</v>
          </cell>
          <cell r="E51" t="str">
            <v>T9/10</v>
          </cell>
          <cell r="F51">
            <v>91</v>
          </cell>
          <cell r="G51" t="str">
            <v>A</v>
          </cell>
          <cell r="H51" t="str">
            <v>7.I</v>
          </cell>
          <cell r="I51">
            <v>3640</v>
          </cell>
          <cell r="J51">
            <v>1123</v>
          </cell>
          <cell r="K51">
            <v>4763</v>
          </cell>
          <cell r="L51">
            <v>4740</v>
          </cell>
          <cell r="M51">
            <v>308.78000000000065</v>
          </cell>
          <cell r="N51">
            <v>5048.7800000000007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-140</v>
          </cell>
          <cell r="AC51">
            <v>0</v>
          </cell>
          <cell r="AD51">
            <v>2000000</v>
          </cell>
          <cell r="AE51">
            <v>6</v>
          </cell>
          <cell r="AF51">
            <v>0</v>
          </cell>
          <cell r="AG51">
            <v>90</v>
          </cell>
          <cell r="AH51">
            <v>70</v>
          </cell>
          <cell r="AI51">
            <v>7</v>
          </cell>
        </row>
        <row r="52">
          <cell r="A52" t="str">
            <v>A187</v>
          </cell>
          <cell r="B52" t="str">
            <v>Trần Thị Hồng</v>
          </cell>
          <cell r="C52" t="str">
            <v>CII.4</v>
          </cell>
          <cell r="D52" t="str">
            <v xml:space="preserve">Công nhân </v>
          </cell>
          <cell r="E52" t="str">
            <v>T10/10</v>
          </cell>
          <cell r="F52">
            <v>90</v>
          </cell>
          <cell r="G52" t="str">
            <v>A</v>
          </cell>
          <cell r="H52" t="str">
            <v>7.I</v>
          </cell>
          <cell r="I52">
            <v>3640</v>
          </cell>
          <cell r="J52">
            <v>933.4</v>
          </cell>
          <cell r="K52">
            <v>4573.3999999999996</v>
          </cell>
          <cell r="L52">
            <v>4740</v>
          </cell>
          <cell r="M52">
            <v>107.80400000000009</v>
          </cell>
          <cell r="N52">
            <v>4847.8040000000001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16</v>
          </cell>
          <cell r="AA52">
            <v>0</v>
          </cell>
          <cell r="AB52">
            <v>-140</v>
          </cell>
          <cell r="AC52">
            <v>0</v>
          </cell>
          <cell r="AD52">
            <v>2000000</v>
          </cell>
          <cell r="AE52">
            <v>1</v>
          </cell>
          <cell r="AF52">
            <v>0</v>
          </cell>
          <cell r="AG52">
            <v>89</v>
          </cell>
          <cell r="AH52">
            <v>70</v>
          </cell>
          <cell r="AI52">
            <v>7</v>
          </cell>
        </row>
        <row r="53">
          <cell r="A53" t="str">
            <v>A191</v>
          </cell>
          <cell r="B53" t="str">
            <v>Nguyễn Thị Mộng Cầm</v>
          </cell>
          <cell r="C53" t="str">
            <v>TXBVTV</v>
          </cell>
          <cell r="D53" t="str">
            <v xml:space="preserve">Công nhân </v>
          </cell>
          <cell r="E53" t="str">
            <v>T10/10</v>
          </cell>
          <cell r="F53">
            <v>90</v>
          </cell>
          <cell r="G53" t="str">
            <v>A</v>
          </cell>
          <cell r="H53" t="str">
            <v>11.I</v>
          </cell>
          <cell r="I53">
            <v>3710</v>
          </cell>
          <cell r="J53">
            <v>2576.75</v>
          </cell>
          <cell r="K53">
            <v>6286.75</v>
          </cell>
          <cell r="L53">
            <v>4140</v>
          </cell>
          <cell r="M53">
            <v>2523.9549999999999</v>
          </cell>
          <cell r="N53">
            <v>6663.9549999999999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-140</v>
          </cell>
          <cell r="AC53">
            <v>0</v>
          </cell>
          <cell r="AD53">
            <v>0</v>
          </cell>
          <cell r="AE53">
            <v>4.5</v>
          </cell>
          <cell r="AF53">
            <v>0</v>
          </cell>
          <cell r="AG53">
            <v>89</v>
          </cell>
          <cell r="AH53">
            <v>70</v>
          </cell>
          <cell r="AI53">
            <v>11</v>
          </cell>
        </row>
        <row r="54">
          <cell r="A54" t="str">
            <v>A193</v>
          </cell>
          <cell r="B54" t="str">
            <v>Trần Thị Diệu</v>
          </cell>
          <cell r="C54" t="str">
            <v>PHOI</v>
          </cell>
          <cell r="D54" t="str">
            <v xml:space="preserve">Công nhân </v>
          </cell>
          <cell r="E54" t="str">
            <v>T10/10</v>
          </cell>
          <cell r="F54">
            <v>90</v>
          </cell>
          <cell r="G54" t="str">
            <v>B</v>
          </cell>
          <cell r="H54" t="str">
            <v>7.I</v>
          </cell>
          <cell r="I54">
            <v>3710</v>
          </cell>
          <cell r="J54">
            <v>951.35</v>
          </cell>
          <cell r="K54">
            <v>4661.3500000000004</v>
          </cell>
          <cell r="L54">
            <v>4740</v>
          </cell>
          <cell r="M54">
            <v>107.804000000001</v>
          </cell>
          <cell r="N54">
            <v>4847.804000000001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-140</v>
          </cell>
          <cell r="AC54">
            <v>0</v>
          </cell>
          <cell r="AD54">
            <v>0</v>
          </cell>
          <cell r="AE54">
            <v>5.5</v>
          </cell>
          <cell r="AF54">
            <v>0</v>
          </cell>
          <cell r="AG54">
            <v>89</v>
          </cell>
          <cell r="AH54">
            <v>70</v>
          </cell>
          <cell r="AI54">
            <v>7</v>
          </cell>
        </row>
        <row r="55">
          <cell r="A55" t="str">
            <v>A211</v>
          </cell>
          <cell r="B55" t="str">
            <v>Nguyễn Thị Thanh Tuyền</v>
          </cell>
          <cell r="C55" t="str">
            <v>QCX</v>
          </cell>
          <cell r="D55" t="str">
            <v xml:space="preserve">Công nhân </v>
          </cell>
          <cell r="E55" t="str">
            <v>T11/10</v>
          </cell>
          <cell r="F55">
            <v>89</v>
          </cell>
          <cell r="G55">
            <v>0</v>
          </cell>
          <cell r="H55" t="str">
            <v>8.I</v>
          </cell>
          <cell r="I55">
            <v>4510</v>
          </cell>
          <cell r="J55">
            <v>2976.75</v>
          </cell>
          <cell r="K55">
            <v>7486.75</v>
          </cell>
          <cell r="L55">
            <v>4910</v>
          </cell>
          <cell r="M55">
            <v>2576.75</v>
          </cell>
          <cell r="N55">
            <v>7486.75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8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-300</v>
          </cell>
          <cell r="AC55">
            <v>0</v>
          </cell>
          <cell r="AD55">
            <v>0</v>
          </cell>
          <cell r="AE55">
            <v>8</v>
          </cell>
          <cell r="AF55">
            <v>0</v>
          </cell>
          <cell r="AG55">
            <v>88</v>
          </cell>
          <cell r="AH55">
            <v>150</v>
          </cell>
          <cell r="AI55">
            <v>8</v>
          </cell>
        </row>
        <row r="56">
          <cell r="A56" t="str">
            <v>A228</v>
          </cell>
          <cell r="B56" t="str">
            <v>Lê Hoàng Thảo</v>
          </cell>
          <cell r="C56" t="str">
            <v>CII.2</v>
          </cell>
          <cell r="D56" t="str">
            <v>Công nhân</v>
          </cell>
          <cell r="E56" t="str">
            <v>T3/10</v>
          </cell>
          <cell r="F56">
            <v>97</v>
          </cell>
          <cell r="G56" t="str">
            <v>B</v>
          </cell>
          <cell r="H56" t="str">
            <v>7.I</v>
          </cell>
          <cell r="I56">
            <v>3710</v>
          </cell>
          <cell r="J56">
            <v>1152.75</v>
          </cell>
          <cell r="K56">
            <v>4862.75</v>
          </cell>
          <cell r="L56">
            <v>4740</v>
          </cell>
          <cell r="M56">
            <v>317.26000000000022</v>
          </cell>
          <cell r="N56">
            <v>5057.26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-140</v>
          </cell>
          <cell r="AC56">
            <v>0</v>
          </cell>
          <cell r="AD56">
            <v>2000000</v>
          </cell>
          <cell r="AE56">
            <v>6</v>
          </cell>
          <cell r="AF56">
            <v>0</v>
          </cell>
          <cell r="AG56">
            <v>96</v>
          </cell>
          <cell r="AH56">
            <v>70</v>
          </cell>
          <cell r="AI56">
            <v>7</v>
          </cell>
        </row>
        <row r="57">
          <cell r="A57" t="str">
            <v>A230</v>
          </cell>
          <cell r="B57" t="str">
            <v>Trương Thị Tuyết</v>
          </cell>
          <cell r="C57" t="str">
            <v>Gián tiếp</v>
          </cell>
          <cell r="D57" t="str">
            <v>QUANLY</v>
          </cell>
          <cell r="E57" t="str">
            <v>T3/11</v>
          </cell>
          <cell r="F57">
            <v>85</v>
          </cell>
          <cell r="G57" t="str">
            <v>B</v>
          </cell>
          <cell r="H57" t="str">
            <v>8.X</v>
          </cell>
          <cell r="I57">
            <v>5883</v>
          </cell>
          <cell r="J57">
            <v>3783.2000000000003</v>
          </cell>
          <cell r="K57">
            <v>9666.2000000000007</v>
          </cell>
          <cell r="L57">
            <v>5883</v>
          </cell>
          <cell r="M57">
            <v>4169.8480000000018</v>
          </cell>
          <cell r="N57">
            <v>10052.848000000002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-300</v>
          </cell>
          <cell r="AC57">
            <v>0</v>
          </cell>
          <cell r="AD57">
            <v>0</v>
          </cell>
          <cell r="AE57">
            <v>0.5</v>
          </cell>
          <cell r="AF57">
            <v>0</v>
          </cell>
          <cell r="AG57">
            <v>84</v>
          </cell>
          <cell r="AH57">
            <v>150</v>
          </cell>
          <cell r="AI57">
            <v>8</v>
          </cell>
        </row>
        <row r="58">
          <cell r="A58" t="str">
            <v>A231</v>
          </cell>
          <cell r="B58" t="str">
            <v>Trần Thị Phường</v>
          </cell>
          <cell r="C58" t="str">
            <v>QCE</v>
          </cell>
          <cell r="D58" t="str">
            <v>Công Nhân</v>
          </cell>
          <cell r="E58" t="str">
            <v>T3/11</v>
          </cell>
          <cell r="F58">
            <v>85</v>
          </cell>
          <cell r="G58">
            <v>0</v>
          </cell>
          <cell r="H58" t="str">
            <v>8.I</v>
          </cell>
          <cell r="I58">
            <v>4210</v>
          </cell>
          <cell r="J58">
            <v>739.35</v>
          </cell>
          <cell r="K58">
            <v>4949.3500000000004</v>
          </cell>
          <cell r="L58">
            <v>4670</v>
          </cell>
          <cell r="M58">
            <v>279.35000000000036</v>
          </cell>
          <cell r="N58">
            <v>4949.3500000000004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-140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84</v>
          </cell>
          <cell r="AH58">
            <v>70</v>
          </cell>
          <cell r="AI58">
            <v>8</v>
          </cell>
        </row>
        <row r="59">
          <cell r="A59" t="str">
            <v>A232</v>
          </cell>
          <cell r="B59" t="str">
            <v>Lê Thanh Sang</v>
          </cell>
          <cell r="C59" t="str">
            <v>XLN</v>
          </cell>
          <cell r="D59" t="str">
            <v>Công Nhân</v>
          </cell>
          <cell r="E59" t="str">
            <v>T3/11</v>
          </cell>
          <cell r="F59">
            <v>85</v>
          </cell>
          <cell r="G59" t="str">
            <v>B</v>
          </cell>
          <cell r="H59" t="str">
            <v>7.I</v>
          </cell>
          <cell r="I59">
            <v>3710</v>
          </cell>
          <cell r="J59">
            <v>1700.0280000000002</v>
          </cell>
          <cell r="K59">
            <v>5410.0280000000002</v>
          </cell>
          <cell r="L59">
            <v>4740</v>
          </cell>
          <cell r="M59">
            <v>886.42912000000069</v>
          </cell>
          <cell r="N59">
            <v>5626.4291200000007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96</v>
          </cell>
          <cell r="AA59">
            <v>0</v>
          </cell>
          <cell r="AB59">
            <v>-140</v>
          </cell>
          <cell r="AC59">
            <v>0</v>
          </cell>
          <cell r="AD59">
            <v>0</v>
          </cell>
          <cell r="AE59">
            <v>3.5</v>
          </cell>
          <cell r="AF59">
            <v>0</v>
          </cell>
          <cell r="AG59">
            <v>84</v>
          </cell>
          <cell r="AH59">
            <v>70</v>
          </cell>
          <cell r="AI59">
            <v>7</v>
          </cell>
        </row>
        <row r="60">
          <cell r="A60" t="str">
            <v>A272</v>
          </cell>
          <cell r="B60" t="str">
            <v>Võ Minh Vân</v>
          </cell>
          <cell r="C60" t="str">
            <v>EN</v>
          </cell>
          <cell r="D60" t="str">
            <v>Công Nhân</v>
          </cell>
          <cell r="E60" t="str">
            <v>T10/11</v>
          </cell>
          <cell r="F60">
            <v>78</v>
          </cell>
          <cell r="G60" t="str">
            <v>A</v>
          </cell>
          <cell r="H60" t="str">
            <v>7.I</v>
          </cell>
          <cell r="I60">
            <v>3710</v>
          </cell>
          <cell r="J60">
            <v>983.15000000000009</v>
          </cell>
          <cell r="K60">
            <v>4693.1499999999996</v>
          </cell>
          <cell r="L60">
            <v>4740</v>
          </cell>
          <cell r="M60">
            <v>234.73899999999958</v>
          </cell>
          <cell r="N60">
            <v>4974.7389999999996</v>
          </cell>
          <cell r="O60">
            <v>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9</v>
          </cell>
          <cell r="U60">
            <v>1</v>
          </cell>
          <cell r="V60">
            <v>15</v>
          </cell>
          <cell r="W60">
            <v>51</v>
          </cell>
          <cell r="X60">
            <v>12</v>
          </cell>
          <cell r="Y60">
            <v>0</v>
          </cell>
          <cell r="Z60">
            <v>32</v>
          </cell>
          <cell r="AA60">
            <v>368</v>
          </cell>
          <cell r="AB60">
            <v>0</v>
          </cell>
          <cell r="AC60">
            <v>0</v>
          </cell>
          <cell r="AD60">
            <v>0</v>
          </cell>
          <cell r="AE60">
            <v>4</v>
          </cell>
          <cell r="AF60">
            <v>0</v>
          </cell>
          <cell r="AG60">
            <v>77</v>
          </cell>
          <cell r="AH60">
            <v>70</v>
          </cell>
          <cell r="AI60">
            <v>7</v>
          </cell>
        </row>
        <row r="61">
          <cell r="A61" t="str">
            <v>A280</v>
          </cell>
          <cell r="B61" t="str">
            <v>Trần Tâm</v>
          </cell>
          <cell r="C61" t="str">
            <v>CII.4</v>
          </cell>
          <cell r="D61" t="str">
            <v>Công Nhân</v>
          </cell>
          <cell r="E61" t="str">
            <v>T2/12</v>
          </cell>
          <cell r="F61">
            <v>74</v>
          </cell>
          <cell r="G61" t="str">
            <v>B</v>
          </cell>
          <cell r="H61" t="str">
            <v>7.I</v>
          </cell>
          <cell r="I61">
            <v>3710</v>
          </cell>
          <cell r="J61">
            <v>559.15</v>
          </cell>
          <cell r="K61">
            <v>4269.1499999999996</v>
          </cell>
          <cell r="L61">
            <v>4740</v>
          </cell>
          <cell r="M61">
            <v>0</v>
          </cell>
          <cell r="N61">
            <v>4740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32</v>
          </cell>
          <cell r="AA61">
            <v>0</v>
          </cell>
          <cell r="AB61">
            <v>-140</v>
          </cell>
          <cell r="AC61">
            <v>0</v>
          </cell>
          <cell r="AD61">
            <v>2000000</v>
          </cell>
          <cell r="AE61">
            <v>0.5</v>
          </cell>
          <cell r="AF61">
            <v>0</v>
          </cell>
          <cell r="AG61">
            <v>73</v>
          </cell>
          <cell r="AH61">
            <v>70</v>
          </cell>
          <cell r="AI61">
            <v>7</v>
          </cell>
        </row>
        <row r="62">
          <cell r="A62" t="str">
            <v>A293</v>
          </cell>
          <cell r="B62" t="str">
            <v>Nguyễn Văn Hồng</v>
          </cell>
          <cell r="C62" t="str">
            <v>Gián tiếp</v>
          </cell>
          <cell r="D62" t="str">
            <v>QUANLY</v>
          </cell>
          <cell r="E62" t="str">
            <v>T4/13</v>
          </cell>
          <cell r="F62">
            <v>60</v>
          </cell>
          <cell r="G62" t="str">
            <v>B</v>
          </cell>
          <cell r="H62" t="str">
            <v>3.VIII</v>
          </cell>
          <cell r="I62">
            <v>7864.5</v>
          </cell>
          <cell r="J62">
            <v>11541.39</v>
          </cell>
          <cell r="K62">
            <v>19405.89</v>
          </cell>
          <cell r="L62">
            <v>7864.5</v>
          </cell>
          <cell r="M62">
            <v>12317.625599999999</v>
          </cell>
          <cell r="N62">
            <v>20182.125599999999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3.5</v>
          </cell>
          <cell r="AF62">
            <v>2</v>
          </cell>
          <cell r="AG62">
            <v>59</v>
          </cell>
          <cell r="AH62">
            <v>0</v>
          </cell>
          <cell r="AI62">
            <v>3</v>
          </cell>
        </row>
        <row r="63">
          <cell r="A63" t="str">
            <v>A296</v>
          </cell>
          <cell r="B63" t="str">
            <v>Phạm Thanh Ngọc</v>
          </cell>
          <cell r="C63" t="str">
            <v>XLN</v>
          </cell>
          <cell r="D63" t="str">
            <v>Công Nhân</v>
          </cell>
          <cell r="E63" t="str">
            <v>T4/12</v>
          </cell>
          <cell r="F63">
            <v>72</v>
          </cell>
          <cell r="G63" t="str">
            <v>A</v>
          </cell>
          <cell r="H63" t="str">
            <v>7.I</v>
          </cell>
          <cell r="I63">
            <v>3710</v>
          </cell>
          <cell r="J63">
            <v>1417.75</v>
          </cell>
          <cell r="K63">
            <v>5127.75</v>
          </cell>
          <cell r="L63">
            <v>4740</v>
          </cell>
          <cell r="M63">
            <v>695.41499999999996</v>
          </cell>
          <cell r="N63">
            <v>5435.415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48</v>
          </cell>
          <cell r="AA63">
            <v>0</v>
          </cell>
          <cell r="AB63">
            <v>-140</v>
          </cell>
          <cell r="AC63">
            <v>0</v>
          </cell>
          <cell r="AD63">
            <v>0</v>
          </cell>
          <cell r="AE63">
            <v>11</v>
          </cell>
          <cell r="AF63">
            <v>0</v>
          </cell>
          <cell r="AG63">
            <v>71</v>
          </cell>
          <cell r="AH63">
            <v>70</v>
          </cell>
          <cell r="AI63">
            <v>7</v>
          </cell>
        </row>
        <row r="64">
          <cell r="A64" t="str">
            <v>A310</v>
          </cell>
          <cell r="B64" t="str">
            <v>Phạm Thị Bông</v>
          </cell>
          <cell r="C64" t="str">
            <v>CI.1</v>
          </cell>
          <cell r="D64" t="str">
            <v>Công Nhân</v>
          </cell>
          <cell r="E64" t="str">
            <v>T6/12</v>
          </cell>
          <cell r="F64">
            <v>70</v>
          </cell>
          <cell r="G64">
            <v>0</v>
          </cell>
          <cell r="H64" t="str">
            <v>8.I</v>
          </cell>
          <cell r="I64">
            <v>4210</v>
          </cell>
          <cell r="J64">
            <v>559.15</v>
          </cell>
          <cell r="K64">
            <v>4769.1499999999996</v>
          </cell>
          <cell r="L64">
            <v>4440</v>
          </cell>
          <cell r="M64">
            <v>529.14999999999964</v>
          </cell>
          <cell r="N64">
            <v>4969.1499999999996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1</v>
          </cell>
          <cell r="V64">
            <v>1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-140</v>
          </cell>
          <cell r="AC64">
            <v>0</v>
          </cell>
          <cell r="AD64">
            <v>2000000</v>
          </cell>
          <cell r="AE64">
            <v>4</v>
          </cell>
          <cell r="AF64">
            <v>0</v>
          </cell>
          <cell r="AG64">
            <v>69</v>
          </cell>
          <cell r="AH64">
            <v>70</v>
          </cell>
          <cell r="AI64">
            <v>8</v>
          </cell>
        </row>
        <row r="65">
          <cell r="A65" t="str">
            <v>A326</v>
          </cell>
          <cell r="B65" t="str">
            <v>Nguyễn Lê Thọ</v>
          </cell>
          <cell r="C65" t="str">
            <v>Gián tiếp</v>
          </cell>
          <cell r="D65" t="str">
            <v>QUANLY</v>
          </cell>
          <cell r="E65" t="str">
            <v>T3/12</v>
          </cell>
          <cell r="F65">
            <v>73</v>
          </cell>
          <cell r="G65" t="str">
            <v>B</v>
          </cell>
          <cell r="H65" t="str">
            <v>4.X</v>
          </cell>
          <cell r="I65">
            <v>6978.4000000000005</v>
          </cell>
          <cell r="J65">
            <v>6052.8</v>
          </cell>
          <cell r="K65">
            <v>13031.2</v>
          </cell>
          <cell r="L65">
            <v>8373</v>
          </cell>
          <cell r="M65">
            <v>7827</v>
          </cell>
          <cell r="N65">
            <v>16200</v>
          </cell>
          <cell r="O65">
            <v>0</v>
          </cell>
          <cell r="P65">
            <v>1</v>
          </cell>
          <cell r="Q65">
            <v>0</v>
          </cell>
          <cell r="R65">
            <v>0</v>
          </cell>
          <cell r="S65">
            <v>13</v>
          </cell>
          <cell r="T65">
            <v>0</v>
          </cell>
          <cell r="U65">
            <v>1</v>
          </cell>
          <cell r="V65">
            <v>15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208</v>
          </cell>
          <cell r="AB65">
            <v>-150</v>
          </cell>
          <cell r="AC65">
            <v>0</v>
          </cell>
          <cell r="AD65">
            <v>0</v>
          </cell>
          <cell r="AE65">
            <v>2.5</v>
          </cell>
          <cell r="AF65">
            <v>2</v>
          </cell>
          <cell r="AG65">
            <v>72</v>
          </cell>
          <cell r="AH65">
            <v>150</v>
          </cell>
          <cell r="AI65">
            <v>4</v>
          </cell>
        </row>
        <row r="66">
          <cell r="A66" t="str">
            <v>A328</v>
          </cell>
          <cell r="B66" t="str">
            <v>Bùi Thị Bé Tư</v>
          </cell>
          <cell r="C66" t="str">
            <v>CII.4</v>
          </cell>
          <cell r="D66" t="str">
            <v>Công Nhân</v>
          </cell>
          <cell r="E66" t="str">
            <v>T10/12</v>
          </cell>
          <cell r="F66">
            <v>66</v>
          </cell>
          <cell r="G66" t="str">
            <v>A</v>
          </cell>
          <cell r="H66" t="str">
            <v>7.I</v>
          </cell>
          <cell r="I66">
            <v>3710</v>
          </cell>
          <cell r="J66">
            <v>347.15000000000003</v>
          </cell>
          <cell r="K66">
            <v>4057.15</v>
          </cell>
          <cell r="L66">
            <v>4510</v>
          </cell>
          <cell r="M66">
            <v>0</v>
          </cell>
          <cell r="N66">
            <v>4510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32</v>
          </cell>
          <cell r="AA66">
            <v>0</v>
          </cell>
          <cell r="AB66">
            <v>-140</v>
          </cell>
          <cell r="AC66">
            <v>0</v>
          </cell>
          <cell r="AD66">
            <v>1000000</v>
          </cell>
          <cell r="AE66">
            <v>4</v>
          </cell>
          <cell r="AF66">
            <v>0</v>
          </cell>
          <cell r="AG66">
            <v>65</v>
          </cell>
          <cell r="AH66">
            <v>70</v>
          </cell>
          <cell r="AI66">
            <v>7</v>
          </cell>
        </row>
        <row r="67">
          <cell r="A67" t="str">
            <v>A330</v>
          </cell>
          <cell r="B67" t="str">
            <v>Nguyễn Thị Tuyết Nhung</v>
          </cell>
          <cell r="C67" t="str">
            <v>CII.4</v>
          </cell>
          <cell r="D67" t="str">
            <v>Công Nhân</v>
          </cell>
          <cell r="E67" t="str">
            <v>T11/12</v>
          </cell>
          <cell r="F67">
            <v>65</v>
          </cell>
          <cell r="G67" t="str">
            <v>A</v>
          </cell>
          <cell r="H67" t="str">
            <v>7.I</v>
          </cell>
          <cell r="I67">
            <v>3710</v>
          </cell>
          <cell r="J67">
            <v>347.15000000000003</v>
          </cell>
          <cell r="K67">
            <v>4057.15</v>
          </cell>
          <cell r="L67">
            <v>4510</v>
          </cell>
          <cell r="M67">
            <v>0</v>
          </cell>
          <cell r="N67">
            <v>4510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-140</v>
          </cell>
          <cell r="AC67">
            <v>0</v>
          </cell>
          <cell r="AD67">
            <v>2000000</v>
          </cell>
          <cell r="AE67">
            <v>2.5</v>
          </cell>
          <cell r="AF67">
            <v>0</v>
          </cell>
          <cell r="AG67">
            <v>64</v>
          </cell>
          <cell r="AH67">
            <v>70</v>
          </cell>
          <cell r="AI67">
            <v>7</v>
          </cell>
        </row>
        <row r="68">
          <cell r="A68" t="str">
            <v>A336</v>
          </cell>
          <cell r="B68" t="str">
            <v>Dương Văn Minh Thanh</v>
          </cell>
          <cell r="C68" t="str">
            <v>QCX</v>
          </cell>
          <cell r="D68" t="str">
            <v>Công Nhân</v>
          </cell>
          <cell r="E68" t="str">
            <v>T11/12</v>
          </cell>
          <cell r="F68">
            <v>65</v>
          </cell>
          <cell r="G68">
            <v>0</v>
          </cell>
          <cell r="H68" t="str">
            <v>8.I</v>
          </cell>
          <cell r="I68">
            <v>4110</v>
          </cell>
          <cell r="J68">
            <v>877.15000000000009</v>
          </cell>
          <cell r="K68">
            <v>4987.1499999999996</v>
          </cell>
          <cell r="L68">
            <v>4440</v>
          </cell>
          <cell r="M68">
            <v>547.14999999999964</v>
          </cell>
          <cell r="N68">
            <v>4987.1499999999996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12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-140</v>
          </cell>
          <cell r="AC68">
            <v>0</v>
          </cell>
          <cell r="AD68">
            <v>0</v>
          </cell>
          <cell r="AE68">
            <v>4</v>
          </cell>
          <cell r="AF68">
            <v>0</v>
          </cell>
          <cell r="AG68">
            <v>64</v>
          </cell>
          <cell r="AH68">
            <v>70</v>
          </cell>
          <cell r="AI68">
            <v>8</v>
          </cell>
        </row>
        <row r="69">
          <cell r="A69" t="str">
            <v>A341</v>
          </cell>
          <cell r="B69" t="str">
            <v>Đặng Phước Hoàng</v>
          </cell>
          <cell r="C69" t="str">
            <v>CII.4</v>
          </cell>
          <cell r="D69" t="str">
            <v>Công Nhân</v>
          </cell>
          <cell r="E69" t="str">
            <v>T2/13</v>
          </cell>
          <cell r="F69">
            <v>62</v>
          </cell>
          <cell r="G69" t="str">
            <v>B</v>
          </cell>
          <cell r="H69" t="str">
            <v>7.I</v>
          </cell>
          <cell r="I69">
            <v>3640</v>
          </cell>
          <cell r="J69">
            <v>455</v>
          </cell>
          <cell r="K69">
            <v>4095</v>
          </cell>
          <cell r="L69">
            <v>4510</v>
          </cell>
          <cell r="M69">
            <v>0</v>
          </cell>
          <cell r="N69">
            <v>4510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48</v>
          </cell>
          <cell r="AA69">
            <v>0</v>
          </cell>
          <cell r="AB69">
            <v>-140</v>
          </cell>
          <cell r="AC69">
            <v>0</v>
          </cell>
          <cell r="AD69">
            <v>2000000</v>
          </cell>
          <cell r="AE69">
            <v>3</v>
          </cell>
          <cell r="AF69">
            <v>0</v>
          </cell>
          <cell r="AG69">
            <v>61</v>
          </cell>
          <cell r="AH69">
            <v>70</v>
          </cell>
          <cell r="AI69">
            <v>7</v>
          </cell>
        </row>
        <row r="70">
          <cell r="A70" t="str">
            <v>A355</v>
          </cell>
          <cell r="B70" t="str">
            <v>Đặng Văn Thật</v>
          </cell>
          <cell r="C70" t="str">
            <v>CII.1</v>
          </cell>
          <cell r="D70" t="str">
            <v>Công Nhân</v>
          </cell>
          <cell r="E70" t="str">
            <v>T3/13</v>
          </cell>
          <cell r="F70">
            <v>61</v>
          </cell>
          <cell r="G70" t="str">
            <v>A</v>
          </cell>
          <cell r="H70" t="str">
            <v>7.I</v>
          </cell>
          <cell r="I70">
            <v>3710</v>
          </cell>
          <cell r="J70">
            <v>675.75</v>
          </cell>
          <cell r="K70">
            <v>4385.75</v>
          </cell>
          <cell r="L70">
            <v>4510</v>
          </cell>
          <cell r="M70">
            <v>138.89500000000044</v>
          </cell>
          <cell r="N70">
            <v>4648.8950000000004</v>
          </cell>
          <cell r="O70">
            <v>10</v>
          </cell>
          <cell r="P70">
            <v>0</v>
          </cell>
          <cell r="Q70">
            <v>0</v>
          </cell>
          <cell r="R70">
            <v>0</v>
          </cell>
          <cell r="S70">
            <v>5</v>
          </cell>
          <cell r="T70">
            <v>0</v>
          </cell>
          <cell r="U70">
            <v>0</v>
          </cell>
          <cell r="V70">
            <v>15</v>
          </cell>
          <cell r="W70">
            <v>47.5</v>
          </cell>
          <cell r="X70">
            <v>4.5</v>
          </cell>
          <cell r="Y70">
            <v>0</v>
          </cell>
          <cell r="Z70">
            <v>16</v>
          </cell>
          <cell r="AA70">
            <v>240</v>
          </cell>
          <cell r="AB70">
            <v>0</v>
          </cell>
          <cell r="AC70">
            <v>0</v>
          </cell>
          <cell r="AD70">
            <v>2000000</v>
          </cell>
          <cell r="AE70">
            <v>0</v>
          </cell>
          <cell r="AF70">
            <v>0</v>
          </cell>
          <cell r="AG70">
            <v>60</v>
          </cell>
          <cell r="AH70">
            <v>70</v>
          </cell>
          <cell r="AI70">
            <v>7</v>
          </cell>
        </row>
        <row r="71">
          <cell r="A71" t="str">
            <v>A356</v>
          </cell>
          <cell r="B71" t="str">
            <v>Nguyễn Văn Tùng</v>
          </cell>
          <cell r="C71" t="str">
            <v>CII.1</v>
          </cell>
          <cell r="D71" t="str">
            <v>Công Nhân</v>
          </cell>
          <cell r="E71" t="str">
            <v>T3/13</v>
          </cell>
          <cell r="F71">
            <v>61</v>
          </cell>
          <cell r="G71" t="str">
            <v>A</v>
          </cell>
          <cell r="H71" t="str">
            <v>7.I</v>
          </cell>
          <cell r="I71">
            <v>3640</v>
          </cell>
          <cell r="J71">
            <v>465.40000000000003</v>
          </cell>
          <cell r="K71">
            <v>4105.3999999999996</v>
          </cell>
          <cell r="L71">
            <v>4510</v>
          </cell>
          <cell r="M71">
            <v>0</v>
          </cell>
          <cell r="N71">
            <v>4510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-140</v>
          </cell>
          <cell r="AC71">
            <v>0</v>
          </cell>
          <cell r="AD71">
            <v>1000000</v>
          </cell>
          <cell r="AE71">
            <v>0</v>
          </cell>
          <cell r="AF71">
            <v>0</v>
          </cell>
          <cell r="AG71">
            <v>60</v>
          </cell>
          <cell r="AH71">
            <v>70</v>
          </cell>
          <cell r="AI71">
            <v>7</v>
          </cell>
        </row>
        <row r="72">
          <cell r="A72" t="str">
            <v>A380</v>
          </cell>
          <cell r="B72" t="str">
            <v>Đỗ Thị Phương</v>
          </cell>
          <cell r="C72" t="str">
            <v>QCE</v>
          </cell>
          <cell r="D72" t="str">
            <v>QUANLY</v>
          </cell>
          <cell r="E72" t="str">
            <v>T4/13</v>
          </cell>
          <cell r="F72">
            <v>60</v>
          </cell>
          <cell r="G72" t="str">
            <v>A</v>
          </cell>
          <cell r="H72" t="str">
            <v>6.IV</v>
          </cell>
          <cell r="I72">
            <v>4368</v>
          </cell>
          <cell r="J72">
            <v>2548</v>
          </cell>
          <cell r="K72">
            <v>6916</v>
          </cell>
          <cell r="L72">
            <v>4787</v>
          </cell>
          <cell r="M72">
            <v>3213</v>
          </cell>
          <cell r="N72">
            <v>8000</v>
          </cell>
          <cell r="O72">
            <v>0</v>
          </cell>
          <cell r="P72">
            <v>2</v>
          </cell>
          <cell r="Q72">
            <v>0</v>
          </cell>
          <cell r="R72">
            <v>0</v>
          </cell>
          <cell r="S72">
            <v>8</v>
          </cell>
          <cell r="T72">
            <v>0</v>
          </cell>
          <cell r="U72">
            <v>4</v>
          </cell>
          <cell r="V72">
            <v>14</v>
          </cell>
          <cell r="W72">
            <v>1</v>
          </cell>
          <cell r="X72">
            <v>0</v>
          </cell>
          <cell r="Y72">
            <v>0</v>
          </cell>
          <cell r="Z72">
            <v>0</v>
          </cell>
          <cell r="AA72">
            <v>128</v>
          </cell>
          <cell r="AB72">
            <v>-300</v>
          </cell>
          <cell r="AC72">
            <v>0</v>
          </cell>
          <cell r="AD72">
            <v>0</v>
          </cell>
          <cell r="AE72">
            <v>4</v>
          </cell>
          <cell r="AF72">
            <v>0</v>
          </cell>
          <cell r="AG72">
            <v>59</v>
          </cell>
          <cell r="AH72">
            <v>150</v>
          </cell>
          <cell r="AI72">
            <v>6</v>
          </cell>
        </row>
        <row r="73">
          <cell r="A73" t="str">
            <v>A416</v>
          </cell>
          <cell r="B73" t="str">
            <v>Huỳnh Ngọc Tịnh</v>
          </cell>
          <cell r="C73" t="str">
            <v>CI.1</v>
          </cell>
          <cell r="D73" t="str">
            <v>Công Nhân</v>
          </cell>
          <cell r="E73" t="str">
            <v>T8/13</v>
          </cell>
          <cell r="F73">
            <v>56</v>
          </cell>
          <cell r="G73" t="str">
            <v>B</v>
          </cell>
          <cell r="H73" t="str">
            <v>7.I</v>
          </cell>
          <cell r="I73">
            <v>3640</v>
          </cell>
          <cell r="J73">
            <v>663</v>
          </cell>
          <cell r="K73">
            <v>4303</v>
          </cell>
          <cell r="L73">
            <v>4510</v>
          </cell>
          <cell r="M73">
            <v>0</v>
          </cell>
          <cell r="N73">
            <v>4510</v>
          </cell>
          <cell r="O73">
            <v>0</v>
          </cell>
          <cell r="P73">
            <v>0</v>
          </cell>
          <cell r="Q73">
            <v>0</v>
          </cell>
          <cell r="R73">
            <v>1</v>
          </cell>
          <cell r="S73">
            <v>7</v>
          </cell>
          <cell r="T73">
            <v>5</v>
          </cell>
          <cell r="U73">
            <v>0</v>
          </cell>
          <cell r="V73">
            <v>13</v>
          </cell>
          <cell r="W73">
            <v>26</v>
          </cell>
          <cell r="X73">
            <v>4</v>
          </cell>
          <cell r="Y73">
            <v>0</v>
          </cell>
          <cell r="Z73">
            <v>0</v>
          </cell>
          <cell r="AA73">
            <v>272</v>
          </cell>
          <cell r="AB73">
            <v>0</v>
          </cell>
          <cell r="AC73">
            <v>0</v>
          </cell>
          <cell r="AD73">
            <v>2000000</v>
          </cell>
          <cell r="AE73">
            <v>0</v>
          </cell>
          <cell r="AF73">
            <v>0</v>
          </cell>
          <cell r="AG73">
            <v>55</v>
          </cell>
          <cell r="AH73">
            <v>70</v>
          </cell>
          <cell r="AI73">
            <v>7</v>
          </cell>
        </row>
        <row r="74">
          <cell r="A74" t="str">
            <v>A417</v>
          </cell>
          <cell r="B74" t="str">
            <v>Lê Thanh Tùng</v>
          </cell>
          <cell r="C74" t="str">
            <v>EN</v>
          </cell>
          <cell r="D74" t="str">
            <v>Công Nhân</v>
          </cell>
          <cell r="E74" t="str">
            <v>T8/13</v>
          </cell>
          <cell r="F74">
            <v>56</v>
          </cell>
          <cell r="G74" t="str">
            <v>B</v>
          </cell>
          <cell r="H74" t="str">
            <v>7.I</v>
          </cell>
          <cell r="I74">
            <v>3710</v>
          </cell>
          <cell r="J74">
            <v>272.95</v>
          </cell>
          <cell r="K74">
            <v>3982.95</v>
          </cell>
          <cell r="L74">
            <v>4510</v>
          </cell>
          <cell r="M74">
            <v>0</v>
          </cell>
          <cell r="N74">
            <v>4510</v>
          </cell>
          <cell r="O74">
            <v>9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5</v>
          </cell>
          <cell r="U74">
            <v>1</v>
          </cell>
          <cell r="V74">
            <v>15</v>
          </cell>
          <cell r="W74">
            <v>42</v>
          </cell>
          <cell r="X74">
            <v>12</v>
          </cell>
          <cell r="Y74">
            <v>0</v>
          </cell>
          <cell r="Z74">
            <v>0</v>
          </cell>
          <cell r="AA74">
            <v>304</v>
          </cell>
          <cell r="AB74">
            <v>0</v>
          </cell>
          <cell r="AC74">
            <v>0</v>
          </cell>
          <cell r="AD74">
            <v>2000000</v>
          </cell>
          <cell r="AE74">
            <v>2</v>
          </cell>
          <cell r="AF74">
            <v>0</v>
          </cell>
          <cell r="AG74">
            <v>55</v>
          </cell>
          <cell r="AH74">
            <v>70</v>
          </cell>
          <cell r="AI74">
            <v>7</v>
          </cell>
        </row>
        <row r="75">
          <cell r="A75" t="str">
            <v>A424</v>
          </cell>
          <cell r="B75" t="str">
            <v>Nguyễn Văn Song</v>
          </cell>
          <cell r="C75" t="str">
            <v>CD</v>
          </cell>
          <cell r="D75" t="str">
            <v>QUANLY</v>
          </cell>
          <cell r="E75" t="str">
            <v>T9/13</v>
          </cell>
          <cell r="F75">
            <v>55</v>
          </cell>
          <cell r="G75" t="str">
            <v>B</v>
          </cell>
          <cell r="H75" t="str">
            <v>5.VIII</v>
          </cell>
          <cell r="I75">
            <v>5724</v>
          </cell>
          <cell r="J75">
            <v>1788.0610000000004</v>
          </cell>
          <cell r="K75">
            <v>7512.0610000000006</v>
          </cell>
          <cell r="L75">
            <v>5724</v>
          </cell>
          <cell r="M75">
            <v>2288.5434400000013</v>
          </cell>
          <cell r="N75">
            <v>8012.5434400000013</v>
          </cell>
          <cell r="O75">
            <v>11</v>
          </cell>
          <cell r="P75">
            <v>1</v>
          </cell>
          <cell r="Q75">
            <v>0</v>
          </cell>
          <cell r="R75">
            <v>0</v>
          </cell>
          <cell r="S75">
            <v>0</v>
          </cell>
          <cell r="T75">
            <v>3</v>
          </cell>
          <cell r="U75">
            <v>0</v>
          </cell>
          <cell r="V75">
            <v>15</v>
          </cell>
          <cell r="W75">
            <v>52</v>
          </cell>
          <cell r="X75">
            <v>17.5</v>
          </cell>
          <cell r="Y75">
            <v>0</v>
          </cell>
          <cell r="Z75">
            <v>0</v>
          </cell>
          <cell r="AA75">
            <v>272</v>
          </cell>
          <cell r="AB75">
            <v>0</v>
          </cell>
          <cell r="AC75">
            <v>0</v>
          </cell>
          <cell r="AD75">
            <v>0</v>
          </cell>
          <cell r="AE75">
            <v>1</v>
          </cell>
          <cell r="AF75">
            <v>0</v>
          </cell>
          <cell r="AG75">
            <v>54</v>
          </cell>
          <cell r="AH75">
            <v>150</v>
          </cell>
          <cell r="AI75">
            <v>5</v>
          </cell>
        </row>
        <row r="76">
          <cell r="A76" t="str">
            <v>A428</v>
          </cell>
          <cell r="B76" t="str">
            <v>Nguyễn Hồng Nhật</v>
          </cell>
          <cell r="C76" t="str">
            <v>TXBVTV</v>
          </cell>
          <cell r="D76" t="str">
            <v xml:space="preserve">Tài xế </v>
          </cell>
          <cell r="E76" t="str">
            <v>T10/13</v>
          </cell>
          <cell r="F76">
            <v>54</v>
          </cell>
          <cell r="G76" t="str">
            <v>A</v>
          </cell>
          <cell r="H76" t="str">
            <v>9.II</v>
          </cell>
          <cell r="I76">
            <v>3900.8</v>
          </cell>
          <cell r="J76">
            <v>2730.9839999999999</v>
          </cell>
          <cell r="K76">
            <v>6631.7839999999997</v>
          </cell>
          <cell r="L76">
            <v>4180</v>
          </cell>
          <cell r="M76">
            <v>2849.6910399999997</v>
          </cell>
          <cell r="N76">
            <v>7029.6910399999997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-140</v>
          </cell>
          <cell r="AC76">
            <v>0</v>
          </cell>
          <cell r="AD76">
            <v>0</v>
          </cell>
          <cell r="AE76">
            <v>9</v>
          </cell>
          <cell r="AF76">
            <v>2</v>
          </cell>
          <cell r="AG76">
            <v>53</v>
          </cell>
          <cell r="AH76">
            <v>70</v>
          </cell>
          <cell r="AI76">
            <v>9</v>
          </cell>
        </row>
        <row r="77">
          <cell r="A77" t="str">
            <v>A432</v>
          </cell>
          <cell r="B77" t="str">
            <v>Đặng Văn Việt</v>
          </cell>
          <cell r="C77" t="str">
            <v>GA</v>
          </cell>
          <cell r="D77" t="str">
            <v>Công Nhân</v>
          </cell>
          <cell r="E77" t="str">
            <v>T11/13</v>
          </cell>
          <cell r="F77">
            <v>53</v>
          </cell>
          <cell r="G77">
            <v>0</v>
          </cell>
          <cell r="H77" t="str">
            <v>7.I</v>
          </cell>
          <cell r="I77">
            <v>4200</v>
          </cell>
          <cell r="J77">
            <v>1027</v>
          </cell>
          <cell r="K77">
            <v>5227</v>
          </cell>
          <cell r="L77">
            <v>4510</v>
          </cell>
          <cell r="M77">
            <v>717</v>
          </cell>
          <cell r="N77">
            <v>5227</v>
          </cell>
          <cell r="O77">
            <v>5</v>
          </cell>
          <cell r="P77">
            <v>0</v>
          </cell>
          <cell r="Q77">
            <v>0</v>
          </cell>
          <cell r="R77">
            <v>0</v>
          </cell>
          <cell r="S77">
            <v>3</v>
          </cell>
          <cell r="T77">
            <v>0</v>
          </cell>
          <cell r="U77">
            <v>1</v>
          </cell>
          <cell r="V77">
            <v>9</v>
          </cell>
          <cell r="W77">
            <v>17.5</v>
          </cell>
          <cell r="X77">
            <v>0</v>
          </cell>
          <cell r="Y77">
            <v>0</v>
          </cell>
          <cell r="Z77">
            <v>0</v>
          </cell>
          <cell r="AA77">
            <v>128</v>
          </cell>
          <cell r="AB77">
            <v>-70</v>
          </cell>
          <cell r="AC77">
            <v>125.27777777777777</v>
          </cell>
          <cell r="AD77">
            <v>0</v>
          </cell>
          <cell r="AE77">
            <v>1</v>
          </cell>
          <cell r="AF77">
            <v>0</v>
          </cell>
          <cell r="AG77">
            <v>52</v>
          </cell>
          <cell r="AH77">
            <v>70</v>
          </cell>
          <cell r="AI77">
            <v>7</v>
          </cell>
        </row>
        <row r="78">
          <cell r="A78" t="str">
            <v>A433</v>
          </cell>
          <cell r="B78" t="str">
            <v>Ngô Văn Thương</v>
          </cell>
          <cell r="C78" t="str">
            <v>PHOI</v>
          </cell>
          <cell r="D78" t="str">
            <v>Công nhân</v>
          </cell>
          <cell r="E78" t="str">
            <v>T12/13</v>
          </cell>
          <cell r="F78">
            <v>52</v>
          </cell>
          <cell r="G78" t="str">
            <v>A</v>
          </cell>
          <cell r="H78" t="str">
            <v>7.I</v>
          </cell>
          <cell r="I78">
            <v>3710</v>
          </cell>
          <cell r="J78">
            <v>283.55</v>
          </cell>
          <cell r="K78">
            <v>3993.55</v>
          </cell>
          <cell r="L78">
            <v>4510</v>
          </cell>
          <cell r="M78">
            <v>0</v>
          </cell>
          <cell r="N78">
            <v>4510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16</v>
          </cell>
          <cell r="AA78">
            <v>0</v>
          </cell>
          <cell r="AB78">
            <v>-140</v>
          </cell>
          <cell r="AC78">
            <v>0</v>
          </cell>
          <cell r="AD78">
            <v>0</v>
          </cell>
          <cell r="AE78">
            <v>3.5</v>
          </cell>
          <cell r="AF78">
            <v>0</v>
          </cell>
          <cell r="AG78">
            <v>51</v>
          </cell>
          <cell r="AH78">
            <v>70</v>
          </cell>
          <cell r="AI78">
            <v>7</v>
          </cell>
        </row>
        <row r="79">
          <cell r="A79" t="str">
            <v>A439</v>
          </cell>
          <cell r="B79" t="str">
            <v>Huỳnh Thị Kiều</v>
          </cell>
          <cell r="C79" t="str">
            <v>PHOI</v>
          </cell>
          <cell r="D79" t="str">
            <v>Công nhân</v>
          </cell>
          <cell r="E79" t="str">
            <v>T12/13</v>
          </cell>
          <cell r="F79">
            <v>52</v>
          </cell>
          <cell r="G79" t="str">
            <v>B</v>
          </cell>
          <cell r="H79" t="str">
            <v>7.I</v>
          </cell>
          <cell r="I79">
            <v>3710</v>
          </cell>
          <cell r="J79">
            <v>283.55</v>
          </cell>
          <cell r="K79">
            <v>3993.55</v>
          </cell>
          <cell r="L79">
            <v>4510</v>
          </cell>
          <cell r="M79">
            <v>0</v>
          </cell>
          <cell r="N79">
            <v>4510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16</v>
          </cell>
          <cell r="AA79">
            <v>0</v>
          </cell>
          <cell r="AB79">
            <v>-140</v>
          </cell>
          <cell r="AC79">
            <v>0</v>
          </cell>
          <cell r="AD79">
            <v>0</v>
          </cell>
          <cell r="AE79">
            <v>5.5</v>
          </cell>
          <cell r="AF79">
            <v>0</v>
          </cell>
          <cell r="AG79">
            <v>51</v>
          </cell>
          <cell r="AH79">
            <v>70</v>
          </cell>
          <cell r="AI79">
            <v>7</v>
          </cell>
        </row>
        <row r="80">
          <cell r="A80" t="str">
            <v>A440</v>
          </cell>
          <cell r="B80" t="str">
            <v>Lâm Quốc Phong</v>
          </cell>
          <cell r="C80" t="str">
            <v>EN</v>
          </cell>
          <cell r="D80" t="str">
            <v>Công nhân</v>
          </cell>
          <cell r="E80" t="str">
            <v>T1/14</v>
          </cell>
          <cell r="F80">
            <v>51</v>
          </cell>
          <cell r="G80" t="str">
            <v>A</v>
          </cell>
          <cell r="H80" t="str">
            <v>7.I</v>
          </cell>
          <cell r="I80">
            <v>3710</v>
          </cell>
          <cell r="J80">
            <v>124.55000000000001</v>
          </cell>
          <cell r="K80">
            <v>3834.55</v>
          </cell>
          <cell r="L80">
            <v>4510</v>
          </cell>
          <cell r="M80">
            <v>300</v>
          </cell>
          <cell r="N80">
            <v>4810</v>
          </cell>
          <cell r="O80">
            <v>14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1</v>
          </cell>
          <cell r="V80">
            <v>15</v>
          </cell>
          <cell r="W80">
            <v>111</v>
          </cell>
          <cell r="X80">
            <v>12</v>
          </cell>
          <cell r="Y80">
            <v>0</v>
          </cell>
          <cell r="Z80">
            <v>64</v>
          </cell>
          <cell r="AA80">
            <v>224</v>
          </cell>
          <cell r="AB80">
            <v>0</v>
          </cell>
          <cell r="AC80">
            <v>0</v>
          </cell>
          <cell r="AD80">
            <v>0</v>
          </cell>
          <cell r="AE80">
            <v>11.5</v>
          </cell>
          <cell r="AF80">
            <v>0</v>
          </cell>
          <cell r="AG80">
            <v>50</v>
          </cell>
          <cell r="AH80">
            <v>70</v>
          </cell>
          <cell r="AI80">
            <v>7</v>
          </cell>
        </row>
        <row r="81">
          <cell r="A81" t="str">
            <v>A451</v>
          </cell>
          <cell r="B81" t="str">
            <v>Lê Thị Quế</v>
          </cell>
          <cell r="C81" t="str">
            <v>Gián tiếp</v>
          </cell>
          <cell r="D81" t="str">
            <v>QUANLY</v>
          </cell>
          <cell r="E81" t="str">
            <v>T3/14</v>
          </cell>
          <cell r="F81">
            <v>49</v>
          </cell>
          <cell r="G81" t="str">
            <v>A</v>
          </cell>
          <cell r="H81" t="str">
            <v>4.I</v>
          </cell>
          <cell r="I81">
            <v>4160</v>
          </cell>
          <cell r="J81">
            <v>3839.8</v>
          </cell>
          <cell r="K81">
            <v>7999.8</v>
          </cell>
          <cell r="L81">
            <v>4740</v>
          </cell>
          <cell r="M81">
            <v>3739.7880000000005</v>
          </cell>
          <cell r="N81">
            <v>8479.7880000000005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-300</v>
          </cell>
          <cell r="AC81">
            <v>0</v>
          </cell>
          <cell r="AD81">
            <v>0</v>
          </cell>
          <cell r="AE81">
            <v>5</v>
          </cell>
          <cell r="AF81">
            <v>1</v>
          </cell>
          <cell r="AG81">
            <v>48</v>
          </cell>
          <cell r="AH81">
            <v>150</v>
          </cell>
          <cell r="AI81">
            <v>4</v>
          </cell>
        </row>
        <row r="82">
          <cell r="A82" t="str">
            <v>A463</v>
          </cell>
          <cell r="B82" t="str">
            <v>Phạm Minh Tuấn</v>
          </cell>
          <cell r="C82" t="str">
            <v>QCX</v>
          </cell>
          <cell r="D82" t="str">
            <v>Công Nhân</v>
          </cell>
          <cell r="E82" t="str">
            <v>T2/14</v>
          </cell>
          <cell r="F82">
            <v>50</v>
          </cell>
          <cell r="G82">
            <v>0</v>
          </cell>
          <cell r="H82" t="str">
            <v>8.I</v>
          </cell>
          <cell r="I82">
            <v>4210</v>
          </cell>
          <cell r="J82">
            <v>404.75</v>
          </cell>
          <cell r="K82">
            <v>4614.75</v>
          </cell>
          <cell r="L82">
            <v>4440</v>
          </cell>
          <cell r="M82">
            <v>174.75</v>
          </cell>
          <cell r="N82">
            <v>4614.75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-140</v>
          </cell>
          <cell r="AC82">
            <v>0</v>
          </cell>
          <cell r="AD82">
            <v>0</v>
          </cell>
          <cell r="AE82">
            <v>3</v>
          </cell>
          <cell r="AF82">
            <v>0</v>
          </cell>
          <cell r="AG82">
            <v>49</v>
          </cell>
          <cell r="AH82">
            <v>70</v>
          </cell>
          <cell r="AI82">
            <v>8</v>
          </cell>
        </row>
        <row r="83">
          <cell r="A83" t="str">
            <v>A471</v>
          </cell>
          <cell r="B83" t="str">
            <v>Trần Duy Lâm</v>
          </cell>
          <cell r="C83" t="str">
            <v>QCX</v>
          </cell>
          <cell r="D83" t="str">
            <v>Công Nhân</v>
          </cell>
          <cell r="E83" t="str">
            <v>T4/14</v>
          </cell>
          <cell r="F83">
            <v>48</v>
          </cell>
          <cell r="G83">
            <v>0</v>
          </cell>
          <cell r="H83" t="str">
            <v>8.I</v>
          </cell>
          <cell r="I83">
            <v>3910</v>
          </cell>
          <cell r="J83">
            <v>841</v>
          </cell>
          <cell r="K83">
            <v>4751</v>
          </cell>
          <cell r="L83">
            <v>4440</v>
          </cell>
          <cell r="M83">
            <v>311</v>
          </cell>
          <cell r="N83">
            <v>4751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12</v>
          </cell>
          <cell r="X83">
            <v>0</v>
          </cell>
          <cell r="Y83">
            <v>0</v>
          </cell>
          <cell r="Z83">
            <v>16</v>
          </cell>
          <cell r="AA83">
            <v>0</v>
          </cell>
          <cell r="AB83">
            <v>-140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47</v>
          </cell>
          <cell r="AH83">
            <v>70</v>
          </cell>
          <cell r="AI83">
            <v>8</v>
          </cell>
        </row>
        <row r="84">
          <cell r="A84" t="str">
            <v>A477</v>
          </cell>
          <cell r="B84" t="str">
            <v>Trần Văn Mến</v>
          </cell>
          <cell r="C84" t="str">
            <v>EN</v>
          </cell>
          <cell r="D84" t="str">
            <v>Công Nhân</v>
          </cell>
          <cell r="E84" t="str">
            <v>T4/14</v>
          </cell>
          <cell r="F84">
            <v>48</v>
          </cell>
          <cell r="G84" t="str">
            <v>B</v>
          </cell>
          <cell r="H84" t="str">
            <v>7.I</v>
          </cell>
          <cell r="I84">
            <v>3710</v>
          </cell>
          <cell r="J84">
            <v>124.55000000000001</v>
          </cell>
          <cell r="K84">
            <v>3834.55</v>
          </cell>
          <cell r="L84">
            <v>4510</v>
          </cell>
          <cell r="M84">
            <v>0</v>
          </cell>
          <cell r="N84">
            <v>4510</v>
          </cell>
          <cell r="O84">
            <v>9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5</v>
          </cell>
          <cell r="U84">
            <v>1</v>
          </cell>
          <cell r="V84">
            <v>15</v>
          </cell>
          <cell r="W84">
            <v>74</v>
          </cell>
          <cell r="X84">
            <v>12</v>
          </cell>
          <cell r="Y84">
            <v>0</v>
          </cell>
          <cell r="Z84">
            <v>0</v>
          </cell>
          <cell r="AA84">
            <v>304</v>
          </cell>
          <cell r="AB84">
            <v>0</v>
          </cell>
          <cell r="AC84">
            <v>0</v>
          </cell>
          <cell r="AD84">
            <v>1000000</v>
          </cell>
          <cell r="AE84">
            <v>0.5</v>
          </cell>
          <cell r="AF84">
            <v>0</v>
          </cell>
          <cell r="AG84">
            <v>47</v>
          </cell>
          <cell r="AH84">
            <v>70</v>
          </cell>
          <cell r="AI84">
            <v>7</v>
          </cell>
        </row>
        <row r="85">
          <cell r="A85" t="str">
            <v>A490</v>
          </cell>
          <cell r="B85" t="str">
            <v>Lâm Huỳnh Lộc</v>
          </cell>
          <cell r="C85" t="str">
            <v>CI.1</v>
          </cell>
          <cell r="D85" t="str">
            <v>Kỹ thuật</v>
          </cell>
          <cell r="E85" t="str">
            <v>T5/14</v>
          </cell>
          <cell r="F85">
            <v>47</v>
          </cell>
          <cell r="G85" t="str">
            <v>A</v>
          </cell>
          <cell r="H85" t="str">
            <v>5.I</v>
          </cell>
          <cell r="I85">
            <v>3800</v>
          </cell>
          <cell r="J85">
            <v>1967.3500000000001</v>
          </cell>
          <cell r="K85">
            <v>5767.35</v>
          </cell>
          <cell r="L85">
            <v>4436</v>
          </cell>
          <cell r="M85">
            <v>1677.3910000000005</v>
          </cell>
          <cell r="N85">
            <v>6113.3910000000005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1</v>
          </cell>
          <cell r="V85">
            <v>1</v>
          </cell>
          <cell r="W85">
            <v>0</v>
          </cell>
          <cell r="X85">
            <v>0</v>
          </cell>
          <cell r="Y85">
            <v>0</v>
          </cell>
          <cell r="Z85">
            <v>16</v>
          </cell>
          <cell r="AA85">
            <v>0</v>
          </cell>
          <cell r="AB85">
            <v>-300</v>
          </cell>
          <cell r="AC85">
            <v>0</v>
          </cell>
          <cell r="AD85">
            <v>2000000</v>
          </cell>
          <cell r="AE85">
            <v>1</v>
          </cell>
          <cell r="AF85">
            <v>0</v>
          </cell>
          <cell r="AG85">
            <v>46</v>
          </cell>
          <cell r="AH85">
            <v>150</v>
          </cell>
          <cell r="AI85">
            <v>5</v>
          </cell>
        </row>
        <row r="86">
          <cell r="A86" t="str">
            <v>A495</v>
          </cell>
          <cell r="B86" t="str">
            <v>Phạm Văn Đủ</v>
          </cell>
          <cell r="C86" t="str">
            <v>CD</v>
          </cell>
          <cell r="D86" t="str">
            <v>Công Nhân</v>
          </cell>
          <cell r="E86" t="str">
            <v>T5/14</v>
          </cell>
          <cell r="F86">
            <v>47</v>
          </cell>
          <cell r="G86" t="str">
            <v>C</v>
          </cell>
          <cell r="H86" t="str">
            <v>7.I</v>
          </cell>
          <cell r="I86">
            <v>4000</v>
          </cell>
          <cell r="J86">
            <v>699.75</v>
          </cell>
          <cell r="K86">
            <v>4699.75</v>
          </cell>
          <cell r="L86">
            <v>4290</v>
          </cell>
          <cell r="M86">
            <v>503.74499999999989</v>
          </cell>
          <cell r="N86">
            <v>4793.7449999999999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-140</v>
          </cell>
          <cell r="AC86">
            <v>0</v>
          </cell>
          <cell r="AD86">
            <v>0</v>
          </cell>
          <cell r="AE86">
            <v>9</v>
          </cell>
          <cell r="AF86">
            <v>0</v>
          </cell>
          <cell r="AG86">
            <v>46</v>
          </cell>
          <cell r="AH86">
            <v>70</v>
          </cell>
          <cell r="AI86">
            <v>7</v>
          </cell>
        </row>
        <row r="87">
          <cell r="A87" t="str">
            <v>A501</v>
          </cell>
          <cell r="B87" t="str">
            <v>Phạm Văn Xuyên</v>
          </cell>
          <cell r="C87" t="str">
            <v>EN</v>
          </cell>
          <cell r="D87" t="str">
            <v>Công Nhân</v>
          </cell>
          <cell r="E87" t="str">
            <v>T5/14</v>
          </cell>
          <cell r="F87">
            <v>47</v>
          </cell>
          <cell r="G87" t="str">
            <v>B</v>
          </cell>
          <cell r="H87" t="str">
            <v>7.I</v>
          </cell>
          <cell r="I87">
            <v>3710</v>
          </cell>
          <cell r="J87">
            <v>124.55000000000001</v>
          </cell>
          <cell r="K87">
            <v>3834.55</v>
          </cell>
          <cell r="L87">
            <v>4290</v>
          </cell>
          <cell r="M87">
            <v>0</v>
          </cell>
          <cell r="N87">
            <v>4290</v>
          </cell>
          <cell r="O87">
            <v>5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9</v>
          </cell>
          <cell r="U87">
            <v>1</v>
          </cell>
          <cell r="V87">
            <v>15</v>
          </cell>
          <cell r="W87">
            <v>44</v>
          </cell>
          <cell r="X87">
            <v>12</v>
          </cell>
          <cell r="Y87">
            <v>0</v>
          </cell>
          <cell r="Z87">
            <v>0</v>
          </cell>
          <cell r="AA87">
            <v>368</v>
          </cell>
          <cell r="AB87">
            <v>0</v>
          </cell>
          <cell r="AC87">
            <v>0</v>
          </cell>
          <cell r="AD87">
            <v>2000000</v>
          </cell>
          <cell r="AE87">
            <v>3</v>
          </cell>
          <cell r="AF87">
            <v>0</v>
          </cell>
          <cell r="AG87">
            <v>46</v>
          </cell>
          <cell r="AH87">
            <v>70</v>
          </cell>
          <cell r="AI87">
            <v>7</v>
          </cell>
        </row>
        <row r="88">
          <cell r="A88" t="str">
            <v>A502</v>
          </cell>
          <cell r="B88" t="str">
            <v>Phạm Thị Ngọc Hân</v>
          </cell>
          <cell r="C88" t="str">
            <v>QCX</v>
          </cell>
          <cell r="D88" t="str">
            <v>Công Nhân</v>
          </cell>
          <cell r="E88" t="str">
            <v>T5/14</v>
          </cell>
          <cell r="F88">
            <v>47</v>
          </cell>
          <cell r="G88">
            <v>0</v>
          </cell>
          <cell r="H88" t="str">
            <v>8.I</v>
          </cell>
          <cell r="I88">
            <v>4010</v>
          </cell>
          <cell r="J88">
            <v>622.75</v>
          </cell>
          <cell r="K88">
            <v>4632.75</v>
          </cell>
          <cell r="L88">
            <v>4220</v>
          </cell>
          <cell r="M88">
            <v>412.75</v>
          </cell>
          <cell r="N88">
            <v>4632.75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12</v>
          </cell>
          <cell r="X88">
            <v>0</v>
          </cell>
          <cell r="Y88">
            <v>0</v>
          </cell>
          <cell r="Z88">
            <v>16</v>
          </cell>
          <cell r="AA88">
            <v>0</v>
          </cell>
          <cell r="AB88">
            <v>-140</v>
          </cell>
          <cell r="AC88">
            <v>0</v>
          </cell>
          <cell r="AD88">
            <v>0</v>
          </cell>
          <cell r="AE88">
            <v>6</v>
          </cell>
          <cell r="AF88">
            <v>0</v>
          </cell>
          <cell r="AG88">
            <v>46</v>
          </cell>
          <cell r="AH88">
            <v>70</v>
          </cell>
          <cell r="AI88">
            <v>8</v>
          </cell>
        </row>
        <row r="89">
          <cell r="A89" t="str">
            <v>A504</v>
          </cell>
          <cell r="B89" t="str">
            <v>Hồ Quốc Thành</v>
          </cell>
          <cell r="C89" t="str">
            <v>EN</v>
          </cell>
          <cell r="D89" t="str">
            <v>QUANLY</v>
          </cell>
          <cell r="E89" t="str">
            <v>T5/14</v>
          </cell>
          <cell r="F89">
            <v>47</v>
          </cell>
          <cell r="G89">
            <v>0</v>
          </cell>
          <cell r="H89" t="str">
            <v>4.III</v>
          </cell>
          <cell r="I89">
            <v>5910</v>
          </cell>
          <cell r="J89">
            <v>10095.25</v>
          </cell>
          <cell r="K89">
            <v>16005.25</v>
          </cell>
          <cell r="L89">
            <v>5910</v>
          </cell>
          <cell r="M89">
            <v>10090.25</v>
          </cell>
          <cell r="N89">
            <v>16000.25</v>
          </cell>
          <cell r="O89">
            <v>13</v>
          </cell>
          <cell r="P89">
            <v>1</v>
          </cell>
          <cell r="Q89">
            <v>0</v>
          </cell>
          <cell r="R89">
            <v>0</v>
          </cell>
          <cell r="S89">
            <v>1</v>
          </cell>
          <cell r="T89">
            <v>0</v>
          </cell>
          <cell r="U89">
            <v>0</v>
          </cell>
          <cell r="V89">
            <v>15</v>
          </cell>
          <cell r="W89">
            <v>51</v>
          </cell>
          <cell r="X89">
            <v>7.5</v>
          </cell>
          <cell r="Y89">
            <v>0</v>
          </cell>
          <cell r="Z89">
            <v>0</v>
          </cell>
          <cell r="AA89">
            <v>224</v>
          </cell>
          <cell r="AB89">
            <v>0</v>
          </cell>
          <cell r="AC89">
            <v>0</v>
          </cell>
          <cell r="AD89">
            <v>3000000</v>
          </cell>
          <cell r="AE89">
            <v>5</v>
          </cell>
          <cell r="AF89">
            <v>0</v>
          </cell>
          <cell r="AG89">
            <v>46</v>
          </cell>
          <cell r="AH89">
            <v>150</v>
          </cell>
          <cell r="AI89">
            <v>4</v>
          </cell>
        </row>
        <row r="90">
          <cell r="A90" t="str">
            <v>A507</v>
          </cell>
          <cell r="B90" t="str">
            <v>Đào Tấn Trung</v>
          </cell>
          <cell r="C90" t="str">
            <v>QCX</v>
          </cell>
          <cell r="D90" t="str">
            <v>Công Nhân</v>
          </cell>
          <cell r="E90" t="str">
            <v>T5/14</v>
          </cell>
          <cell r="F90">
            <v>47</v>
          </cell>
          <cell r="G90">
            <v>0</v>
          </cell>
          <cell r="H90" t="str">
            <v>8.I</v>
          </cell>
          <cell r="I90">
            <v>3910</v>
          </cell>
          <cell r="J90">
            <v>841</v>
          </cell>
          <cell r="K90">
            <v>4751</v>
          </cell>
          <cell r="L90">
            <v>4259</v>
          </cell>
          <cell r="M90">
            <v>992</v>
          </cell>
          <cell r="N90">
            <v>5251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1</v>
          </cell>
          <cell r="AF90">
            <v>0</v>
          </cell>
          <cell r="AG90">
            <v>46</v>
          </cell>
          <cell r="AH90">
            <v>70</v>
          </cell>
          <cell r="AI90">
            <v>8</v>
          </cell>
        </row>
        <row r="91">
          <cell r="A91" t="str">
            <v>A508</v>
          </cell>
          <cell r="B91" t="str">
            <v>Đặng Thị Hôn</v>
          </cell>
          <cell r="C91" t="str">
            <v>CII.4</v>
          </cell>
          <cell r="D91" t="str">
            <v>Công Nhân</v>
          </cell>
          <cell r="E91" t="str">
            <v>T5/14</v>
          </cell>
          <cell r="F91">
            <v>47</v>
          </cell>
          <cell r="G91" t="str">
            <v>B</v>
          </cell>
          <cell r="H91" t="str">
            <v>7.I</v>
          </cell>
          <cell r="I91">
            <v>3640</v>
          </cell>
          <cell r="J91">
            <v>91</v>
          </cell>
          <cell r="K91">
            <v>3731</v>
          </cell>
          <cell r="L91">
            <v>4290</v>
          </cell>
          <cell r="M91">
            <v>0</v>
          </cell>
          <cell r="N91">
            <v>4290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32</v>
          </cell>
          <cell r="AA91">
            <v>0</v>
          </cell>
          <cell r="AB91">
            <v>-140</v>
          </cell>
          <cell r="AC91">
            <v>0</v>
          </cell>
          <cell r="AD91">
            <v>2000000</v>
          </cell>
          <cell r="AE91">
            <v>3</v>
          </cell>
          <cell r="AF91">
            <v>0</v>
          </cell>
          <cell r="AG91">
            <v>46</v>
          </cell>
          <cell r="AH91">
            <v>70</v>
          </cell>
          <cell r="AI91">
            <v>7</v>
          </cell>
        </row>
        <row r="92">
          <cell r="A92" t="str">
            <v>A510</v>
          </cell>
          <cell r="B92" t="str">
            <v>Nguyễn Ngọc Cần</v>
          </cell>
          <cell r="C92" t="str">
            <v>EN</v>
          </cell>
          <cell r="D92" t="str">
            <v>QUANLY</v>
          </cell>
          <cell r="E92" t="str">
            <v>T5/14</v>
          </cell>
          <cell r="F92">
            <v>47</v>
          </cell>
          <cell r="G92" t="str">
            <v>B</v>
          </cell>
          <cell r="H92" t="str">
            <v>4.III</v>
          </cell>
          <cell r="I92">
            <v>4674.6000000000004</v>
          </cell>
          <cell r="J92">
            <v>3352.9389999999999</v>
          </cell>
          <cell r="K92">
            <v>8027.5390000000007</v>
          </cell>
          <cell r="L92">
            <v>4674.6000000000004</v>
          </cell>
          <cell r="M92">
            <v>3674.0405600000013</v>
          </cell>
          <cell r="N92">
            <v>8348.6405600000016</v>
          </cell>
          <cell r="O92">
            <v>7</v>
          </cell>
          <cell r="P92">
            <v>0</v>
          </cell>
          <cell r="Q92">
            <v>0</v>
          </cell>
          <cell r="R92">
            <v>0</v>
          </cell>
          <cell r="S92">
            <v>1</v>
          </cell>
          <cell r="T92">
            <v>6</v>
          </cell>
          <cell r="U92">
            <v>0</v>
          </cell>
          <cell r="V92">
            <v>14</v>
          </cell>
          <cell r="W92">
            <v>82</v>
          </cell>
          <cell r="X92">
            <v>8</v>
          </cell>
          <cell r="Y92">
            <v>0</v>
          </cell>
          <cell r="Z92">
            <v>80</v>
          </cell>
          <cell r="AA92">
            <v>320</v>
          </cell>
          <cell r="AB92">
            <v>0</v>
          </cell>
          <cell r="AC92">
            <v>0</v>
          </cell>
          <cell r="AD92">
            <v>4000000</v>
          </cell>
          <cell r="AE92">
            <v>7</v>
          </cell>
          <cell r="AF92">
            <v>0</v>
          </cell>
          <cell r="AG92">
            <v>46</v>
          </cell>
          <cell r="AH92">
            <v>150</v>
          </cell>
          <cell r="AI92">
            <v>4</v>
          </cell>
        </row>
        <row r="93">
          <cell r="A93" t="str">
            <v>A514</v>
          </cell>
          <cell r="B93" t="str">
            <v>Đỗ Thị Kim Pho</v>
          </cell>
          <cell r="C93" t="str">
            <v>PHOI</v>
          </cell>
          <cell r="D93" t="str">
            <v>Công Nhân</v>
          </cell>
          <cell r="E93" t="str">
            <v>T5/14</v>
          </cell>
          <cell r="F93">
            <v>47</v>
          </cell>
          <cell r="G93" t="str">
            <v>B</v>
          </cell>
          <cell r="H93" t="str">
            <v>7.I</v>
          </cell>
          <cell r="I93">
            <v>3710</v>
          </cell>
          <cell r="J93">
            <v>103.35000000000001</v>
          </cell>
          <cell r="K93">
            <v>3813.35</v>
          </cell>
          <cell r="L93">
            <v>4290</v>
          </cell>
          <cell r="M93">
            <v>0</v>
          </cell>
          <cell r="N93">
            <v>4290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32</v>
          </cell>
          <cell r="AA93">
            <v>0</v>
          </cell>
          <cell r="AB93">
            <v>-140</v>
          </cell>
          <cell r="AC93">
            <v>0</v>
          </cell>
          <cell r="AD93">
            <v>0</v>
          </cell>
          <cell r="AE93">
            <v>3.5</v>
          </cell>
          <cell r="AF93">
            <v>0</v>
          </cell>
          <cell r="AG93">
            <v>46</v>
          </cell>
          <cell r="AH93">
            <v>70</v>
          </cell>
          <cell r="AI93">
            <v>7</v>
          </cell>
        </row>
        <row r="94">
          <cell r="A94" t="str">
            <v>A518</v>
          </cell>
          <cell r="B94" t="str">
            <v>Trần Thị Thắm</v>
          </cell>
          <cell r="C94" t="str">
            <v>EN</v>
          </cell>
          <cell r="D94" t="str">
            <v>Công Nhân</v>
          </cell>
          <cell r="E94" t="str">
            <v>T5/14</v>
          </cell>
          <cell r="F94">
            <v>47</v>
          </cell>
          <cell r="G94" t="str">
            <v>B</v>
          </cell>
          <cell r="H94" t="str">
            <v>8.I</v>
          </cell>
          <cell r="I94">
            <v>3710</v>
          </cell>
          <cell r="J94">
            <v>304.75</v>
          </cell>
          <cell r="K94">
            <v>4014.75</v>
          </cell>
          <cell r="L94">
            <v>4220</v>
          </cell>
          <cell r="M94">
            <v>0</v>
          </cell>
          <cell r="N94">
            <v>4220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-140</v>
          </cell>
          <cell r="AC94">
            <v>0</v>
          </cell>
          <cell r="AD94">
            <v>0</v>
          </cell>
          <cell r="AE94">
            <v>4.5</v>
          </cell>
          <cell r="AF94">
            <v>0</v>
          </cell>
          <cell r="AG94">
            <v>46</v>
          </cell>
          <cell r="AH94">
            <v>70</v>
          </cell>
          <cell r="AI94">
            <v>8</v>
          </cell>
        </row>
        <row r="95">
          <cell r="A95" t="str">
            <v>A524</v>
          </cell>
          <cell r="B95" t="str">
            <v>Phạm Huỳnh Tân Long</v>
          </cell>
          <cell r="C95" t="str">
            <v>EN</v>
          </cell>
          <cell r="D95" t="str">
            <v>Công Nhân</v>
          </cell>
          <cell r="E95" t="str">
            <v>T6/14</v>
          </cell>
          <cell r="F95">
            <v>46</v>
          </cell>
          <cell r="G95" t="str">
            <v>B</v>
          </cell>
          <cell r="H95" t="str">
            <v>7.I</v>
          </cell>
          <cell r="I95">
            <v>3710</v>
          </cell>
          <cell r="J95">
            <v>124.55000000000001</v>
          </cell>
          <cell r="K95">
            <v>3834.55</v>
          </cell>
          <cell r="L95">
            <v>4290</v>
          </cell>
          <cell r="M95">
            <v>0</v>
          </cell>
          <cell r="N95">
            <v>4290</v>
          </cell>
          <cell r="O95">
            <v>6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8</v>
          </cell>
          <cell r="U95">
            <v>1</v>
          </cell>
          <cell r="V95">
            <v>15</v>
          </cell>
          <cell r="W95">
            <v>44</v>
          </cell>
          <cell r="X95">
            <v>12</v>
          </cell>
          <cell r="Y95">
            <v>0</v>
          </cell>
          <cell r="Z95">
            <v>0</v>
          </cell>
          <cell r="AA95">
            <v>352</v>
          </cell>
          <cell r="AB95">
            <v>0</v>
          </cell>
          <cell r="AC95">
            <v>0</v>
          </cell>
          <cell r="AD95">
            <v>2000000</v>
          </cell>
          <cell r="AE95">
            <v>5.5</v>
          </cell>
          <cell r="AF95">
            <v>0</v>
          </cell>
          <cell r="AG95">
            <v>45</v>
          </cell>
          <cell r="AH95">
            <v>70</v>
          </cell>
          <cell r="AI95">
            <v>7</v>
          </cell>
        </row>
        <row r="96">
          <cell r="A96" t="str">
            <v>A525</v>
          </cell>
          <cell r="B96" t="str">
            <v>Dương Văn Vũ Hoài Phong</v>
          </cell>
          <cell r="C96" t="str">
            <v>KHUON</v>
          </cell>
          <cell r="D96" t="str">
            <v>Công Nhân</v>
          </cell>
          <cell r="E96" t="str">
            <v>T6/14</v>
          </cell>
          <cell r="F96">
            <v>46</v>
          </cell>
          <cell r="G96">
            <v>0</v>
          </cell>
          <cell r="H96" t="str">
            <v>7.I</v>
          </cell>
          <cell r="I96">
            <v>4240</v>
          </cell>
          <cell r="J96">
            <v>1260</v>
          </cell>
          <cell r="K96">
            <v>5500</v>
          </cell>
          <cell r="L96">
            <v>4436</v>
          </cell>
          <cell r="M96">
            <v>1064</v>
          </cell>
          <cell r="N96">
            <v>5500</v>
          </cell>
          <cell r="O96">
            <v>14</v>
          </cell>
          <cell r="P96">
            <v>0</v>
          </cell>
          <cell r="Q96">
            <v>0</v>
          </cell>
          <cell r="R96">
            <v>0</v>
          </cell>
          <cell r="S96">
            <v>1</v>
          </cell>
          <cell r="T96">
            <v>0</v>
          </cell>
          <cell r="U96">
            <v>0</v>
          </cell>
          <cell r="V96">
            <v>15</v>
          </cell>
          <cell r="W96">
            <v>59</v>
          </cell>
          <cell r="X96">
            <v>12</v>
          </cell>
          <cell r="Y96">
            <v>0</v>
          </cell>
          <cell r="Z96">
            <v>0</v>
          </cell>
          <cell r="AA96">
            <v>240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45</v>
          </cell>
          <cell r="AH96">
            <v>70</v>
          </cell>
          <cell r="AI96">
            <v>7</v>
          </cell>
        </row>
        <row r="97">
          <cell r="A97" t="str">
            <v>A529</v>
          </cell>
          <cell r="B97" t="str">
            <v>Võ Minh Tâm</v>
          </cell>
          <cell r="C97" t="str">
            <v>EN</v>
          </cell>
          <cell r="D97" t="str">
            <v>QUANLY</v>
          </cell>
          <cell r="E97" t="str">
            <v>T6/14</v>
          </cell>
          <cell r="F97">
            <v>46</v>
          </cell>
          <cell r="G97" t="str">
            <v>B</v>
          </cell>
          <cell r="H97" t="str">
            <v>7.I</v>
          </cell>
          <cell r="I97">
            <v>3710</v>
          </cell>
          <cell r="J97">
            <v>548.55000000000007</v>
          </cell>
          <cell r="K97">
            <v>4258.55</v>
          </cell>
          <cell r="L97">
            <v>4740</v>
          </cell>
          <cell r="N97">
            <v>4740</v>
          </cell>
          <cell r="O97">
            <v>8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6</v>
          </cell>
          <cell r="U97">
            <v>1</v>
          </cell>
          <cell r="V97">
            <v>15</v>
          </cell>
          <cell r="W97">
            <v>44</v>
          </cell>
          <cell r="X97">
            <v>12</v>
          </cell>
          <cell r="Y97">
            <v>0</v>
          </cell>
          <cell r="Z97">
            <v>0</v>
          </cell>
          <cell r="AA97">
            <v>320</v>
          </cell>
          <cell r="AB97">
            <v>0</v>
          </cell>
          <cell r="AC97">
            <v>0</v>
          </cell>
          <cell r="AD97">
            <v>3000000</v>
          </cell>
          <cell r="AE97">
            <v>7</v>
          </cell>
          <cell r="AF97">
            <v>0</v>
          </cell>
          <cell r="AG97">
            <v>45</v>
          </cell>
          <cell r="AH97">
            <v>150</v>
          </cell>
          <cell r="AI97">
            <v>7</v>
          </cell>
        </row>
        <row r="98">
          <cell r="A98" t="str">
            <v>A538</v>
          </cell>
          <cell r="B98" t="str">
            <v>Lê Bảo Trung</v>
          </cell>
          <cell r="C98" t="str">
            <v>CII.4</v>
          </cell>
          <cell r="D98" t="str">
            <v>QUANLY</v>
          </cell>
          <cell r="E98" t="str">
            <v>T7/14</v>
          </cell>
          <cell r="F98">
            <v>45</v>
          </cell>
          <cell r="G98" t="str">
            <v>A</v>
          </cell>
          <cell r="H98" t="str">
            <v>4.V</v>
          </cell>
          <cell r="I98">
            <v>5172.8</v>
          </cell>
          <cell r="J98">
            <v>4195.6350000000002</v>
          </cell>
          <cell r="K98">
            <v>9368.4350000000013</v>
          </cell>
          <cell r="L98">
            <v>5172.8</v>
          </cell>
          <cell r="M98">
            <v>7326.741100000002</v>
          </cell>
          <cell r="N98">
            <v>12499.541100000002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-300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44</v>
          </cell>
          <cell r="AH98">
            <v>150</v>
          </cell>
          <cell r="AI98">
            <v>4</v>
          </cell>
        </row>
        <row r="99">
          <cell r="A99" t="str">
            <v>A542</v>
          </cell>
          <cell r="B99" t="str">
            <v>Tăng Mộc Nguyên</v>
          </cell>
          <cell r="C99" t="str">
            <v>EN</v>
          </cell>
          <cell r="D99" t="str">
            <v>QUANLY</v>
          </cell>
          <cell r="E99" t="str">
            <v>T7/14</v>
          </cell>
          <cell r="F99">
            <v>45</v>
          </cell>
          <cell r="G99" t="str">
            <v>B</v>
          </cell>
          <cell r="H99" t="str">
            <v>4.III</v>
          </cell>
          <cell r="I99">
            <v>4674.6000000000004</v>
          </cell>
          <cell r="J99">
            <v>3291.0350000000003</v>
          </cell>
          <cell r="K99">
            <v>7965.6350000000002</v>
          </cell>
          <cell r="L99">
            <v>4674.6000000000004</v>
          </cell>
          <cell r="M99">
            <v>3609.6604000000007</v>
          </cell>
          <cell r="N99">
            <v>8284.260400000001</v>
          </cell>
          <cell r="O99">
            <v>3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12</v>
          </cell>
          <cell r="U99">
            <v>0</v>
          </cell>
          <cell r="V99">
            <v>15</v>
          </cell>
          <cell r="W99">
            <v>75</v>
          </cell>
          <cell r="X99">
            <v>12</v>
          </cell>
          <cell r="Y99">
            <v>0</v>
          </cell>
          <cell r="Z99">
            <v>0</v>
          </cell>
          <cell r="AA99">
            <v>432</v>
          </cell>
          <cell r="AB99">
            <v>0</v>
          </cell>
          <cell r="AC99">
            <v>0</v>
          </cell>
          <cell r="AD99">
            <v>1000000</v>
          </cell>
          <cell r="AE99">
            <v>7</v>
          </cell>
          <cell r="AF99">
            <v>1</v>
          </cell>
          <cell r="AG99">
            <v>44</v>
          </cell>
          <cell r="AH99">
            <v>150</v>
          </cell>
          <cell r="AI99">
            <v>4</v>
          </cell>
        </row>
        <row r="100">
          <cell r="A100" t="str">
            <v>A550</v>
          </cell>
          <cell r="B100" t="str">
            <v>Trần Hữu Phước</v>
          </cell>
          <cell r="C100" t="str">
            <v>SON</v>
          </cell>
          <cell r="D100" t="str">
            <v>Công nhân</v>
          </cell>
          <cell r="E100" t="str">
            <v>T8/14</v>
          </cell>
          <cell r="F100">
            <v>44</v>
          </cell>
          <cell r="G100" t="str">
            <v>B</v>
          </cell>
          <cell r="H100" t="str">
            <v>7.I</v>
          </cell>
          <cell r="I100">
            <v>3710</v>
          </cell>
          <cell r="J100">
            <v>2997.55</v>
          </cell>
          <cell r="K100">
            <v>6707.55</v>
          </cell>
          <cell r="L100">
            <v>4440</v>
          </cell>
          <cell r="M100">
            <v>2535.8520000000008</v>
          </cell>
          <cell r="N100">
            <v>6975.8520000000008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16</v>
          </cell>
          <cell r="AA100">
            <v>0</v>
          </cell>
          <cell r="AB100">
            <v>-140</v>
          </cell>
          <cell r="AC100">
            <v>0</v>
          </cell>
          <cell r="AD100">
            <v>0</v>
          </cell>
          <cell r="AE100">
            <v>1</v>
          </cell>
          <cell r="AF100">
            <v>0</v>
          </cell>
          <cell r="AG100">
            <v>43</v>
          </cell>
          <cell r="AH100">
            <v>70</v>
          </cell>
          <cell r="AI100">
            <v>7</v>
          </cell>
        </row>
        <row r="101">
          <cell r="A101" t="str">
            <v>A551</v>
          </cell>
          <cell r="B101" t="str">
            <v>Nguyễn Trung Thành</v>
          </cell>
          <cell r="C101" t="str">
            <v>Gián tiếp</v>
          </cell>
          <cell r="D101" t="str">
            <v>QUANLY</v>
          </cell>
          <cell r="E101" t="str">
            <v>T7/14</v>
          </cell>
          <cell r="F101">
            <v>45</v>
          </cell>
          <cell r="G101" t="str">
            <v>tăng đặc biệt</v>
          </cell>
          <cell r="H101" t="str">
            <v>4.V</v>
          </cell>
          <cell r="I101">
            <v>5172.8</v>
          </cell>
          <cell r="J101">
            <v>4028</v>
          </cell>
          <cell r="K101">
            <v>9200.7999999999993</v>
          </cell>
          <cell r="L101">
            <v>5172.8</v>
          </cell>
          <cell r="M101">
            <v>5327.2</v>
          </cell>
          <cell r="N101">
            <v>10500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14</v>
          </cell>
          <cell r="T101">
            <v>0</v>
          </cell>
          <cell r="U101">
            <v>0</v>
          </cell>
          <cell r="V101">
            <v>14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224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44</v>
          </cell>
          <cell r="AH101">
            <v>150</v>
          </cell>
          <cell r="AI101">
            <v>4</v>
          </cell>
        </row>
        <row r="102">
          <cell r="A102" t="str">
            <v>A567</v>
          </cell>
          <cell r="B102" t="str">
            <v>Lê Thị Kim Cúc</v>
          </cell>
          <cell r="C102" t="str">
            <v>TXBVTV</v>
          </cell>
          <cell r="D102" t="str">
            <v>Công nhân</v>
          </cell>
          <cell r="E102" t="str">
            <v>T8/14</v>
          </cell>
          <cell r="F102">
            <v>44</v>
          </cell>
          <cell r="G102" t="str">
            <v>A</v>
          </cell>
          <cell r="H102" t="str">
            <v>11.I</v>
          </cell>
          <cell r="I102">
            <v>3640</v>
          </cell>
          <cell r="J102">
            <v>1244.5999999999999</v>
          </cell>
          <cell r="K102">
            <v>4884.6000000000004</v>
          </cell>
          <cell r="L102">
            <v>3750</v>
          </cell>
          <cell r="M102">
            <v>1427.6760000000004</v>
          </cell>
          <cell r="N102">
            <v>5177.6760000000004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-140</v>
          </cell>
          <cell r="AC102">
            <v>0</v>
          </cell>
          <cell r="AD102">
            <v>0</v>
          </cell>
          <cell r="AE102">
            <v>1.5</v>
          </cell>
          <cell r="AF102">
            <v>0</v>
          </cell>
          <cell r="AG102">
            <v>43</v>
          </cell>
          <cell r="AH102">
            <v>70</v>
          </cell>
          <cell r="AI102">
            <v>11</v>
          </cell>
        </row>
        <row r="103">
          <cell r="A103" t="str">
            <v>A573</v>
          </cell>
          <cell r="B103" t="str">
            <v>Trần Kim Phú</v>
          </cell>
          <cell r="C103" t="str">
            <v>Gián tiếp</v>
          </cell>
          <cell r="D103" t="str">
            <v>QUANLY</v>
          </cell>
          <cell r="E103" t="str">
            <v>T10/14</v>
          </cell>
          <cell r="F103">
            <v>42</v>
          </cell>
          <cell r="G103" t="str">
            <v>A</v>
          </cell>
          <cell r="H103" t="str">
            <v>3.VII</v>
          </cell>
          <cell r="I103">
            <v>7423.5</v>
          </cell>
          <cell r="J103">
            <v>30820.23</v>
          </cell>
          <cell r="K103">
            <v>38243.729999999996</v>
          </cell>
          <cell r="L103">
            <v>8116</v>
          </cell>
          <cell r="M103">
            <v>36475.800000000003</v>
          </cell>
          <cell r="N103">
            <v>44591.8</v>
          </cell>
          <cell r="O103">
            <v>0</v>
          </cell>
          <cell r="P103">
            <v>1</v>
          </cell>
          <cell r="Q103">
            <v>0</v>
          </cell>
          <cell r="R103">
            <v>0</v>
          </cell>
          <cell r="S103">
            <v>13</v>
          </cell>
          <cell r="T103">
            <v>0</v>
          </cell>
          <cell r="U103">
            <v>1</v>
          </cell>
          <cell r="V103">
            <v>15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208</v>
          </cell>
          <cell r="AB103">
            <v>0</v>
          </cell>
          <cell r="AC103">
            <v>0</v>
          </cell>
          <cell r="AD103">
            <v>15000000</v>
          </cell>
          <cell r="AE103">
            <v>2</v>
          </cell>
          <cell r="AF103">
            <v>0</v>
          </cell>
          <cell r="AG103">
            <v>41</v>
          </cell>
          <cell r="AH103">
            <v>0</v>
          </cell>
          <cell r="AI103">
            <v>3</v>
          </cell>
        </row>
        <row r="104">
          <cell r="A104" t="str">
            <v>A574</v>
          </cell>
          <cell r="B104" t="str">
            <v>Hoàng Văn Linh</v>
          </cell>
          <cell r="C104" t="str">
            <v>Kho</v>
          </cell>
          <cell r="D104" t="str">
            <v>Công nhân</v>
          </cell>
          <cell r="E104" t="str">
            <v>T10/14</v>
          </cell>
          <cell r="F104">
            <v>42</v>
          </cell>
          <cell r="G104" t="str">
            <v>B</v>
          </cell>
          <cell r="H104" t="str">
            <v>7.I</v>
          </cell>
          <cell r="I104">
            <v>3940</v>
          </cell>
          <cell r="J104">
            <v>2543.2000000000003</v>
          </cell>
          <cell r="K104">
            <v>6483.2000000000007</v>
          </cell>
          <cell r="L104">
            <v>4290</v>
          </cell>
          <cell r="M104">
            <v>2452.5280000000012</v>
          </cell>
          <cell r="N104">
            <v>6742.5280000000012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-140</v>
          </cell>
          <cell r="AC104">
            <v>685.20833333333326</v>
          </cell>
          <cell r="AD104">
            <v>1000000</v>
          </cell>
          <cell r="AE104">
            <v>4</v>
          </cell>
          <cell r="AF104">
            <v>0</v>
          </cell>
          <cell r="AG104">
            <v>41</v>
          </cell>
          <cell r="AH104">
            <v>70</v>
          </cell>
          <cell r="AI104">
            <v>7</v>
          </cell>
        </row>
        <row r="105">
          <cell r="A105" t="str">
            <v>A583</v>
          </cell>
          <cell r="B105" t="str">
            <v>Trần Quốc Bảo</v>
          </cell>
          <cell r="C105" t="str">
            <v>KHUON</v>
          </cell>
          <cell r="D105" t="str">
            <v>QUANLY</v>
          </cell>
          <cell r="E105" t="str">
            <v>T12/14</v>
          </cell>
          <cell r="F105">
            <v>40</v>
          </cell>
          <cell r="G105" t="str">
            <v>A</v>
          </cell>
          <cell r="H105" t="str">
            <v>5.I</v>
          </cell>
          <cell r="I105">
            <v>4028</v>
          </cell>
          <cell r="J105">
            <v>7741.3920000000007</v>
          </cell>
          <cell r="K105">
            <v>11769.392</v>
          </cell>
          <cell r="L105">
            <v>4740</v>
          </cell>
          <cell r="M105">
            <v>8535.5555199999999</v>
          </cell>
          <cell r="N105">
            <v>13275.55552</v>
          </cell>
          <cell r="O105">
            <v>0</v>
          </cell>
          <cell r="P105">
            <v>13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1</v>
          </cell>
          <cell r="V105">
            <v>14</v>
          </cell>
          <cell r="W105">
            <v>0</v>
          </cell>
          <cell r="X105">
            <v>8.5</v>
          </cell>
          <cell r="Y105">
            <v>0</v>
          </cell>
          <cell r="Z105">
            <v>0</v>
          </cell>
          <cell r="AA105">
            <v>0</v>
          </cell>
          <cell r="AB105">
            <v>-150</v>
          </cell>
          <cell r="AC105">
            <v>0</v>
          </cell>
          <cell r="AD105">
            <v>5000000</v>
          </cell>
          <cell r="AE105">
            <v>2</v>
          </cell>
          <cell r="AF105">
            <v>0</v>
          </cell>
          <cell r="AG105">
            <v>39</v>
          </cell>
          <cell r="AH105">
            <v>150</v>
          </cell>
          <cell r="AI105">
            <v>5</v>
          </cell>
        </row>
        <row r="106">
          <cell r="A106" t="str">
            <v>A594</v>
          </cell>
          <cell r="B106" t="str">
            <v>Nguyễn Viết Lợi</v>
          </cell>
          <cell r="C106" t="str">
            <v>CD</v>
          </cell>
          <cell r="D106" t="str">
            <v>QUANLY</v>
          </cell>
          <cell r="E106" t="str">
            <v>T3/15</v>
          </cell>
          <cell r="F106">
            <v>37</v>
          </cell>
          <cell r="G106" t="str">
            <v>tăng đặc biệt</v>
          </cell>
          <cell r="H106" t="str">
            <v>5.II</v>
          </cell>
          <cell r="I106">
            <v>4160</v>
          </cell>
          <cell r="J106">
            <v>6035.4319999999998</v>
          </cell>
          <cell r="K106">
            <v>10195.432000000001</v>
          </cell>
          <cell r="L106">
            <v>6125</v>
          </cell>
          <cell r="M106">
            <v>11475</v>
          </cell>
          <cell r="N106">
            <v>17600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2000000</v>
          </cell>
          <cell r="AE106">
            <v>3</v>
          </cell>
          <cell r="AF106">
            <v>1</v>
          </cell>
          <cell r="AG106">
            <v>36</v>
          </cell>
          <cell r="AI106">
            <v>5</v>
          </cell>
        </row>
        <row r="107">
          <cell r="A107" t="str">
            <v>A596</v>
          </cell>
          <cell r="B107" t="str">
            <v>Nguyễn Văn Phúc xln</v>
          </cell>
          <cell r="C107" t="str">
            <v xml:space="preserve">XLN </v>
          </cell>
          <cell r="D107" t="str">
            <v>Công nhân</v>
          </cell>
          <cell r="E107" t="str">
            <v>T3/15</v>
          </cell>
          <cell r="F107">
            <v>37</v>
          </cell>
          <cell r="G107" t="str">
            <v>B</v>
          </cell>
          <cell r="H107" t="str">
            <v>7.I</v>
          </cell>
          <cell r="I107">
            <v>3640</v>
          </cell>
          <cell r="J107">
            <v>364</v>
          </cell>
          <cell r="K107">
            <v>4004</v>
          </cell>
          <cell r="L107">
            <v>4290</v>
          </cell>
          <cell r="M107">
            <v>0</v>
          </cell>
          <cell r="N107">
            <v>4290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32</v>
          </cell>
          <cell r="AA107">
            <v>0</v>
          </cell>
          <cell r="AB107">
            <v>-140</v>
          </cell>
          <cell r="AC107">
            <v>0</v>
          </cell>
          <cell r="AD107">
            <v>0</v>
          </cell>
          <cell r="AE107">
            <v>1</v>
          </cell>
          <cell r="AF107">
            <v>0</v>
          </cell>
          <cell r="AG107">
            <v>36</v>
          </cell>
          <cell r="AH107">
            <v>70</v>
          </cell>
          <cell r="AI107">
            <v>7</v>
          </cell>
        </row>
        <row r="108">
          <cell r="A108" t="str">
            <v>A598</v>
          </cell>
          <cell r="B108" t="str">
            <v>Nguyễn Hải Âu</v>
          </cell>
          <cell r="C108" t="str">
            <v>CII.4</v>
          </cell>
          <cell r="D108" t="str">
            <v>QUANLY</v>
          </cell>
          <cell r="E108" t="str">
            <v>T4/15</v>
          </cell>
          <cell r="F108">
            <v>36</v>
          </cell>
          <cell r="G108" t="str">
            <v>A</v>
          </cell>
          <cell r="H108" t="str">
            <v>4.III</v>
          </cell>
          <cell r="I108">
            <v>4240</v>
          </cell>
          <cell r="J108">
            <v>4021</v>
          </cell>
          <cell r="K108">
            <v>8261</v>
          </cell>
          <cell r="L108">
            <v>4511</v>
          </cell>
          <cell r="M108">
            <v>4245.66</v>
          </cell>
          <cell r="N108">
            <v>8756.66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-300</v>
          </cell>
          <cell r="AC108">
            <v>0</v>
          </cell>
          <cell r="AD108">
            <v>0</v>
          </cell>
          <cell r="AE108">
            <v>1</v>
          </cell>
          <cell r="AF108">
            <v>0</v>
          </cell>
          <cell r="AG108">
            <v>35</v>
          </cell>
          <cell r="AH108">
            <v>150</v>
          </cell>
          <cell r="AI108">
            <v>4</v>
          </cell>
        </row>
        <row r="109">
          <cell r="A109" t="str">
            <v>A599</v>
          </cell>
          <cell r="B109" t="str">
            <v xml:space="preserve">Đỗ Thành Nhân </v>
          </cell>
          <cell r="C109" t="str">
            <v>KHUON</v>
          </cell>
          <cell r="D109" t="str">
            <v>QUANLY</v>
          </cell>
          <cell r="E109" t="str">
            <v>T4/15</v>
          </cell>
          <cell r="F109">
            <v>36</v>
          </cell>
          <cell r="G109">
            <v>0</v>
          </cell>
          <cell r="H109" t="str">
            <v>4.I</v>
          </cell>
          <cell r="I109">
            <v>4640</v>
          </cell>
          <cell r="J109">
            <v>5640</v>
          </cell>
          <cell r="K109">
            <v>10280</v>
          </cell>
          <cell r="L109">
            <v>4740</v>
          </cell>
          <cell r="M109">
            <v>5540</v>
          </cell>
          <cell r="N109">
            <v>10280</v>
          </cell>
          <cell r="O109">
            <v>0</v>
          </cell>
          <cell r="P109">
            <v>1</v>
          </cell>
          <cell r="Q109">
            <v>0</v>
          </cell>
          <cell r="R109">
            <v>0</v>
          </cell>
          <cell r="S109">
            <v>13</v>
          </cell>
          <cell r="T109">
            <v>0</v>
          </cell>
          <cell r="U109">
            <v>1</v>
          </cell>
          <cell r="V109">
            <v>15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208</v>
          </cell>
          <cell r="AB109">
            <v>-150</v>
          </cell>
          <cell r="AC109">
            <v>0</v>
          </cell>
          <cell r="AD109">
            <v>5000000</v>
          </cell>
          <cell r="AE109">
            <v>0.5</v>
          </cell>
          <cell r="AF109">
            <v>0</v>
          </cell>
          <cell r="AG109">
            <v>35</v>
          </cell>
          <cell r="AH109">
            <v>150</v>
          </cell>
          <cell r="AI109">
            <v>4</v>
          </cell>
        </row>
        <row r="110">
          <cell r="A110" t="str">
            <v>A600</v>
          </cell>
          <cell r="B110" t="str">
            <v xml:space="preserve">Võ Minh Tuân </v>
          </cell>
          <cell r="C110" t="str">
            <v>KHUON</v>
          </cell>
          <cell r="D110" t="str">
            <v>QUANLY</v>
          </cell>
          <cell r="E110" t="str">
            <v>T4/15</v>
          </cell>
          <cell r="F110">
            <v>36</v>
          </cell>
          <cell r="G110" t="str">
            <v>A</v>
          </cell>
          <cell r="H110" t="str">
            <v>4.I</v>
          </cell>
          <cell r="I110">
            <v>4240</v>
          </cell>
          <cell r="J110">
            <v>6104.4520000000011</v>
          </cell>
          <cell r="K110">
            <v>10344.452000000001</v>
          </cell>
          <cell r="L110">
            <v>4660</v>
          </cell>
          <cell r="M110">
            <v>7105.1191200000012</v>
          </cell>
          <cell r="N110">
            <v>11765.119120000001</v>
          </cell>
          <cell r="O110">
            <v>12</v>
          </cell>
          <cell r="P110">
            <v>0</v>
          </cell>
          <cell r="Q110">
            <v>0</v>
          </cell>
          <cell r="R110">
            <v>0</v>
          </cell>
          <cell r="S110">
            <v>3</v>
          </cell>
          <cell r="T110">
            <v>0</v>
          </cell>
          <cell r="U110">
            <v>0</v>
          </cell>
          <cell r="V110">
            <v>15</v>
          </cell>
          <cell r="W110">
            <v>62</v>
          </cell>
          <cell r="X110">
            <v>4.5</v>
          </cell>
          <cell r="Y110">
            <v>0</v>
          </cell>
          <cell r="Z110">
            <v>0</v>
          </cell>
          <cell r="AA110">
            <v>240</v>
          </cell>
          <cell r="AB110">
            <v>0</v>
          </cell>
          <cell r="AC110">
            <v>0</v>
          </cell>
          <cell r="AD110">
            <v>0</v>
          </cell>
          <cell r="AE110">
            <v>5</v>
          </cell>
          <cell r="AF110">
            <v>0</v>
          </cell>
          <cell r="AG110">
            <v>35</v>
          </cell>
          <cell r="AH110">
            <v>150</v>
          </cell>
          <cell r="AI110">
            <v>4</v>
          </cell>
        </row>
        <row r="111">
          <cell r="A111" t="str">
            <v>A604</v>
          </cell>
          <cell r="B111" t="str">
            <v>Lê Thanh Tòng</v>
          </cell>
          <cell r="C111" t="str">
            <v>TXBVTV</v>
          </cell>
          <cell r="D111" t="str">
            <v>BAOVE</v>
          </cell>
          <cell r="E111" t="str">
            <v>T5/15</v>
          </cell>
          <cell r="F111">
            <v>35</v>
          </cell>
          <cell r="G111" t="str">
            <v>A</v>
          </cell>
          <cell r="H111" t="str">
            <v>10.I</v>
          </cell>
          <cell r="I111">
            <v>3640</v>
          </cell>
          <cell r="J111">
            <v>2554.2000000000003</v>
          </cell>
          <cell r="K111">
            <v>6194.2000000000007</v>
          </cell>
          <cell r="L111">
            <v>3937.5</v>
          </cell>
          <cell r="M111">
            <v>2628.3520000000008</v>
          </cell>
          <cell r="N111">
            <v>6565.8520000000008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448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3.5</v>
          </cell>
          <cell r="AF111">
            <v>0</v>
          </cell>
          <cell r="AG111">
            <v>34</v>
          </cell>
          <cell r="AH111">
            <v>0</v>
          </cell>
          <cell r="AI111">
            <v>10</v>
          </cell>
        </row>
        <row r="112">
          <cell r="A112" t="str">
            <v>A605</v>
          </cell>
          <cell r="B112" t="str">
            <v>Cao Trần Thanh Hòa</v>
          </cell>
          <cell r="C112" t="str">
            <v>Gián tiếp</v>
          </cell>
          <cell r="D112" t="str">
            <v>QUANLY</v>
          </cell>
          <cell r="E112" t="str">
            <v>T5/15</v>
          </cell>
          <cell r="F112">
            <v>35</v>
          </cell>
          <cell r="G112" t="str">
            <v>B</v>
          </cell>
          <cell r="H112" t="str">
            <v>4.III</v>
          </cell>
          <cell r="I112">
            <v>4586.4000000000005</v>
          </cell>
          <cell r="J112">
            <v>2913.4</v>
          </cell>
          <cell r="K112">
            <v>7499.8000000000011</v>
          </cell>
          <cell r="L112">
            <v>4586.4000000000005</v>
          </cell>
          <cell r="M112">
            <v>4213.3920000000007</v>
          </cell>
          <cell r="N112">
            <v>8799.7920000000013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</v>
          </cell>
          <cell r="V112">
            <v>1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-300</v>
          </cell>
          <cell r="AC112">
            <v>0</v>
          </cell>
          <cell r="AD112">
            <v>0</v>
          </cell>
          <cell r="AE112">
            <v>2.5</v>
          </cell>
          <cell r="AF112">
            <v>0</v>
          </cell>
          <cell r="AG112">
            <v>34</v>
          </cell>
          <cell r="AH112">
            <v>150</v>
          </cell>
          <cell r="AI112">
            <v>4</v>
          </cell>
        </row>
        <row r="113">
          <cell r="A113" t="str">
            <v>A610</v>
          </cell>
          <cell r="B113" t="str">
            <v>Nguyễn Hồng Thành Tài</v>
          </cell>
          <cell r="C113" t="str">
            <v>CI.1</v>
          </cell>
          <cell r="D113" t="str">
            <v>Công Nhân</v>
          </cell>
          <cell r="E113" t="str">
            <v>T6/15</v>
          </cell>
          <cell r="F113">
            <v>34</v>
          </cell>
          <cell r="G113" t="str">
            <v>B</v>
          </cell>
          <cell r="H113" t="str">
            <v>7.I</v>
          </cell>
          <cell r="I113">
            <v>3552.4999999999995</v>
          </cell>
          <cell r="J113">
            <v>1083.5124999999998</v>
          </cell>
          <cell r="K113">
            <v>4636.0124999999989</v>
          </cell>
          <cell r="L113">
            <v>4290</v>
          </cell>
          <cell r="M113">
            <v>531.45299999999861</v>
          </cell>
          <cell r="N113">
            <v>4821.4529999999986</v>
          </cell>
          <cell r="O113">
            <v>3</v>
          </cell>
          <cell r="P113">
            <v>1</v>
          </cell>
          <cell r="Q113">
            <v>0</v>
          </cell>
          <cell r="R113">
            <v>1</v>
          </cell>
          <cell r="S113">
            <v>3</v>
          </cell>
          <cell r="T113">
            <v>5</v>
          </cell>
          <cell r="U113">
            <v>0</v>
          </cell>
          <cell r="V113">
            <v>13</v>
          </cell>
          <cell r="W113">
            <v>12</v>
          </cell>
          <cell r="X113">
            <v>8</v>
          </cell>
          <cell r="Y113">
            <v>0</v>
          </cell>
          <cell r="Z113">
            <v>48</v>
          </cell>
          <cell r="AA113">
            <v>256</v>
          </cell>
          <cell r="AB113">
            <v>-70</v>
          </cell>
          <cell r="AC113">
            <v>0</v>
          </cell>
          <cell r="AD113">
            <v>2000000</v>
          </cell>
          <cell r="AE113">
            <v>0</v>
          </cell>
          <cell r="AF113">
            <v>0</v>
          </cell>
          <cell r="AG113">
            <v>33</v>
          </cell>
          <cell r="AH113">
            <v>70</v>
          </cell>
          <cell r="AI113">
            <v>7</v>
          </cell>
        </row>
        <row r="114">
          <cell r="A114" t="str">
            <v>A612</v>
          </cell>
          <cell r="B114" t="str">
            <v>Trần Văn Minh</v>
          </cell>
          <cell r="C114" t="str">
            <v>TXBVTV</v>
          </cell>
          <cell r="D114" t="str">
            <v>BAOVE</v>
          </cell>
          <cell r="E114" t="str">
            <v>T7/15</v>
          </cell>
          <cell r="F114">
            <v>33</v>
          </cell>
          <cell r="G114" t="str">
            <v>B</v>
          </cell>
          <cell r="H114" t="str">
            <v>10.I</v>
          </cell>
          <cell r="I114">
            <v>3552.4999999999995</v>
          </cell>
          <cell r="J114">
            <v>2500.0124999999998</v>
          </cell>
          <cell r="K114">
            <v>6052.5124999999989</v>
          </cell>
          <cell r="L114">
            <v>3937.5</v>
          </cell>
          <cell r="M114">
            <v>2357.1129999999994</v>
          </cell>
          <cell r="N114">
            <v>6294.6129999999994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1</v>
          </cell>
          <cell r="V114">
            <v>1</v>
          </cell>
          <cell r="W114">
            <v>0</v>
          </cell>
          <cell r="X114">
            <v>0</v>
          </cell>
          <cell r="Y114">
            <v>0</v>
          </cell>
          <cell r="Z114">
            <v>336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6</v>
          </cell>
          <cell r="AF114">
            <v>0</v>
          </cell>
          <cell r="AG114">
            <v>32</v>
          </cell>
          <cell r="AH114">
            <v>0</v>
          </cell>
          <cell r="AI114">
            <v>10</v>
          </cell>
        </row>
        <row r="115">
          <cell r="A115" t="str">
            <v>A613</v>
          </cell>
          <cell r="B115" t="str">
            <v>Mai Thị Tuyết Nhung</v>
          </cell>
          <cell r="C115" t="str">
            <v>Gián tiếp</v>
          </cell>
          <cell r="D115" t="str">
            <v>QUANLY</v>
          </cell>
          <cell r="E115" t="str">
            <v>T7/15</v>
          </cell>
          <cell r="F115">
            <v>33</v>
          </cell>
          <cell r="G115" t="str">
            <v>tăng đặc biệt</v>
          </cell>
          <cell r="H115" t="str">
            <v>2.VI</v>
          </cell>
          <cell r="I115">
            <v>11281.2</v>
          </cell>
          <cell r="J115">
            <v>13718.971</v>
          </cell>
          <cell r="K115">
            <v>25000.171000000002</v>
          </cell>
          <cell r="L115">
            <v>11281.2</v>
          </cell>
          <cell r="M115">
            <v>17468.996650000001</v>
          </cell>
          <cell r="N115">
            <v>28750.196650000002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1</v>
          </cell>
          <cell r="V115">
            <v>1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1</v>
          </cell>
          <cell r="AF115">
            <v>1</v>
          </cell>
          <cell r="AG115">
            <v>32</v>
          </cell>
          <cell r="AH115">
            <v>0</v>
          </cell>
          <cell r="AI115">
            <v>2</v>
          </cell>
        </row>
        <row r="116">
          <cell r="A116" t="str">
            <v>A617</v>
          </cell>
          <cell r="B116" t="str">
            <v>Dương Văn Kiệm</v>
          </cell>
          <cell r="C116" t="str">
            <v>CII.3</v>
          </cell>
          <cell r="D116" t="str">
            <v>Công Nhân</v>
          </cell>
          <cell r="E116" t="str">
            <v>T7/15</v>
          </cell>
          <cell r="F116">
            <v>33</v>
          </cell>
          <cell r="G116" t="str">
            <v>A</v>
          </cell>
          <cell r="H116" t="str">
            <v>7.I</v>
          </cell>
          <cell r="I116">
            <v>3552.4999999999995</v>
          </cell>
          <cell r="J116">
            <v>202.99999999999997</v>
          </cell>
          <cell r="K116">
            <v>3755.4999999999995</v>
          </cell>
          <cell r="L116">
            <v>4290</v>
          </cell>
          <cell r="M116">
            <v>0</v>
          </cell>
          <cell r="N116">
            <v>4290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64</v>
          </cell>
          <cell r="AA116">
            <v>0</v>
          </cell>
          <cell r="AB116">
            <v>-140</v>
          </cell>
          <cell r="AC116">
            <v>0</v>
          </cell>
          <cell r="AD116">
            <v>2000000</v>
          </cell>
          <cell r="AE116">
            <v>3</v>
          </cell>
          <cell r="AF116">
            <v>0</v>
          </cell>
          <cell r="AG116">
            <v>32</v>
          </cell>
          <cell r="AH116">
            <v>70</v>
          </cell>
          <cell r="AI116">
            <v>7</v>
          </cell>
        </row>
        <row r="117">
          <cell r="A117" t="str">
            <v>A625</v>
          </cell>
          <cell r="B117" t="str">
            <v>Huỳnh Thị Mỹ Vân</v>
          </cell>
          <cell r="C117" t="str">
            <v>CII.4</v>
          </cell>
          <cell r="D117" t="str">
            <v>công nhân</v>
          </cell>
          <cell r="E117" t="str">
            <v>T9/15</v>
          </cell>
          <cell r="F117">
            <v>31</v>
          </cell>
          <cell r="G117" t="str">
            <v>B</v>
          </cell>
          <cell r="H117" t="str">
            <v>7.I</v>
          </cell>
          <cell r="I117">
            <v>3552.4999999999995</v>
          </cell>
          <cell r="J117">
            <v>0</v>
          </cell>
          <cell r="K117">
            <v>3552.4999999999995</v>
          </cell>
          <cell r="L117">
            <v>4290</v>
          </cell>
          <cell r="M117">
            <v>0</v>
          </cell>
          <cell r="N117">
            <v>4290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16</v>
          </cell>
          <cell r="AA117">
            <v>0</v>
          </cell>
          <cell r="AB117">
            <v>-140</v>
          </cell>
          <cell r="AC117">
            <v>0</v>
          </cell>
          <cell r="AD117">
            <v>2000000</v>
          </cell>
          <cell r="AE117">
            <v>5.5</v>
          </cell>
          <cell r="AF117">
            <v>0</v>
          </cell>
          <cell r="AG117">
            <v>30</v>
          </cell>
          <cell r="AH117">
            <v>70</v>
          </cell>
          <cell r="AI117">
            <v>7</v>
          </cell>
        </row>
        <row r="118">
          <cell r="A118" t="str">
            <v>A636</v>
          </cell>
          <cell r="B118" t="str">
            <v>Nguyễn Văn Thu</v>
          </cell>
          <cell r="C118" t="str">
            <v>TXBVTV</v>
          </cell>
          <cell r="D118" t="str">
            <v>BAOVE</v>
          </cell>
          <cell r="E118" t="str">
            <v>T9/15</v>
          </cell>
          <cell r="F118">
            <v>31</v>
          </cell>
          <cell r="G118" t="str">
            <v>C</v>
          </cell>
          <cell r="H118" t="str">
            <v>10.I</v>
          </cell>
          <cell r="I118">
            <v>3552.4999999999995</v>
          </cell>
          <cell r="J118">
            <v>2500.0124999999998</v>
          </cell>
          <cell r="K118">
            <v>6052.5124999999989</v>
          </cell>
          <cell r="L118">
            <v>3937.5</v>
          </cell>
          <cell r="M118">
            <v>2236.0627499999991</v>
          </cell>
          <cell r="N118">
            <v>6173.5627499999991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448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30</v>
          </cell>
          <cell r="AH118">
            <v>0</v>
          </cell>
          <cell r="AI118">
            <v>10</v>
          </cell>
        </row>
        <row r="119">
          <cell r="A119" t="str">
            <v>A645</v>
          </cell>
          <cell r="B119" t="str">
            <v>Đỗ Nhật Quan</v>
          </cell>
          <cell r="C119" t="str">
            <v>CI.1</v>
          </cell>
          <cell r="D119" t="str">
            <v>công nhân</v>
          </cell>
          <cell r="E119" t="str">
            <v>T11/15</v>
          </cell>
          <cell r="F119">
            <v>29</v>
          </cell>
          <cell r="G119" t="str">
            <v>B</v>
          </cell>
          <cell r="H119" t="str">
            <v>7.I</v>
          </cell>
          <cell r="I119">
            <v>3552.4999999999995</v>
          </cell>
          <cell r="J119">
            <v>200</v>
          </cell>
          <cell r="K119">
            <v>3752.4999999999995</v>
          </cell>
          <cell r="L119">
            <v>4290</v>
          </cell>
          <cell r="M119">
            <v>0</v>
          </cell>
          <cell r="N119">
            <v>4290</v>
          </cell>
          <cell r="O119">
            <v>2</v>
          </cell>
          <cell r="P119">
            <v>0</v>
          </cell>
          <cell r="Q119">
            <v>0</v>
          </cell>
          <cell r="R119">
            <v>0</v>
          </cell>
          <cell r="S119">
            <v>7</v>
          </cell>
          <cell r="T119">
            <v>3</v>
          </cell>
          <cell r="U119">
            <v>2</v>
          </cell>
          <cell r="V119">
            <v>14</v>
          </cell>
          <cell r="W119">
            <v>16</v>
          </cell>
          <cell r="X119">
            <v>4</v>
          </cell>
          <cell r="Y119">
            <v>0</v>
          </cell>
          <cell r="Z119">
            <v>16</v>
          </cell>
          <cell r="AA119">
            <v>240</v>
          </cell>
          <cell r="AB119">
            <v>0</v>
          </cell>
          <cell r="AC119">
            <v>0</v>
          </cell>
          <cell r="AD119">
            <v>2000000</v>
          </cell>
          <cell r="AE119">
            <v>2</v>
          </cell>
          <cell r="AF119">
            <v>0</v>
          </cell>
          <cell r="AG119">
            <v>28</v>
          </cell>
          <cell r="AH119">
            <v>70</v>
          </cell>
          <cell r="AI119">
            <v>7</v>
          </cell>
        </row>
        <row r="120">
          <cell r="A120" t="str">
            <v>A648</v>
          </cell>
          <cell r="B120" t="str">
            <v>Bùi Văn Tài</v>
          </cell>
          <cell r="C120" t="str">
            <v>EN</v>
          </cell>
          <cell r="D120" t="str">
            <v>công nhân</v>
          </cell>
          <cell r="E120" t="str">
            <v>T11/15</v>
          </cell>
          <cell r="F120">
            <v>29</v>
          </cell>
          <cell r="G120" t="str">
            <v>C</v>
          </cell>
          <cell r="H120" t="str">
            <v>7.I</v>
          </cell>
          <cell r="I120">
            <v>3552.4999999999995</v>
          </cell>
          <cell r="J120">
            <v>0</v>
          </cell>
          <cell r="K120">
            <v>3552.4999999999995</v>
          </cell>
          <cell r="L120">
            <v>4290</v>
          </cell>
          <cell r="M120">
            <v>0</v>
          </cell>
          <cell r="N120">
            <v>4290</v>
          </cell>
          <cell r="O120">
            <v>6.5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6</v>
          </cell>
          <cell r="U120">
            <v>0.5</v>
          </cell>
          <cell r="V120">
            <v>13</v>
          </cell>
          <cell r="W120">
            <v>36</v>
          </cell>
          <cell r="X120">
            <v>12</v>
          </cell>
          <cell r="Y120">
            <v>0</v>
          </cell>
          <cell r="Z120">
            <v>0</v>
          </cell>
          <cell r="AA120">
            <v>296</v>
          </cell>
          <cell r="AB120">
            <v>0</v>
          </cell>
          <cell r="AC120">
            <v>0</v>
          </cell>
          <cell r="AD120">
            <v>2000000</v>
          </cell>
          <cell r="AE120">
            <v>0.5</v>
          </cell>
          <cell r="AF120">
            <v>0</v>
          </cell>
          <cell r="AG120">
            <v>28</v>
          </cell>
          <cell r="AH120">
            <v>70</v>
          </cell>
          <cell r="AI120">
            <v>7</v>
          </cell>
        </row>
        <row r="121">
          <cell r="A121" t="str">
            <v>A658</v>
          </cell>
          <cell r="B121" t="str">
            <v>Đặng Ngọc Hân</v>
          </cell>
          <cell r="C121" t="str">
            <v>EN</v>
          </cell>
          <cell r="D121" t="str">
            <v>Công nhân</v>
          </cell>
          <cell r="E121" t="str">
            <v>T12/15</v>
          </cell>
          <cell r="F121">
            <v>28</v>
          </cell>
          <cell r="G121" t="str">
            <v>C</v>
          </cell>
          <cell r="H121" t="str">
            <v>7.I</v>
          </cell>
          <cell r="I121">
            <v>3500</v>
          </cell>
          <cell r="J121">
            <v>0</v>
          </cell>
          <cell r="K121">
            <v>3500</v>
          </cell>
          <cell r="L121">
            <v>4290</v>
          </cell>
          <cell r="M121">
            <v>0</v>
          </cell>
          <cell r="N121">
            <v>4290</v>
          </cell>
          <cell r="O121">
            <v>7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6</v>
          </cell>
          <cell r="U121">
            <v>1</v>
          </cell>
          <cell r="V121">
            <v>14</v>
          </cell>
          <cell r="W121">
            <v>40</v>
          </cell>
          <cell r="X121">
            <v>12</v>
          </cell>
          <cell r="Y121">
            <v>0</v>
          </cell>
          <cell r="Z121">
            <v>0</v>
          </cell>
          <cell r="AA121">
            <v>304</v>
          </cell>
          <cell r="AB121">
            <v>0</v>
          </cell>
          <cell r="AC121">
            <v>0</v>
          </cell>
          <cell r="AD121">
            <v>2000000</v>
          </cell>
          <cell r="AE121">
            <v>1</v>
          </cell>
          <cell r="AF121">
            <v>0</v>
          </cell>
          <cell r="AG121">
            <v>27</v>
          </cell>
          <cell r="AH121">
            <v>70</v>
          </cell>
          <cell r="AI121">
            <v>7</v>
          </cell>
        </row>
        <row r="122">
          <cell r="A122" t="str">
            <v>A664</v>
          </cell>
          <cell r="B122" t="str">
            <v>Huỳnh Thanh Tâm</v>
          </cell>
          <cell r="C122" t="str">
            <v>EN</v>
          </cell>
          <cell r="D122" t="str">
            <v>QUANLY</v>
          </cell>
          <cell r="E122" t="str">
            <v>T12/15</v>
          </cell>
          <cell r="F122">
            <v>28</v>
          </cell>
          <cell r="G122" t="str">
            <v>A</v>
          </cell>
          <cell r="H122" t="str">
            <v>7.VIII</v>
          </cell>
          <cell r="I122">
            <v>4970</v>
          </cell>
          <cell r="J122">
            <v>3830</v>
          </cell>
          <cell r="K122">
            <v>8800</v>
          </cell>
          <cell r="L122">
            <v>4970</v>
          </cell>
          <cell r="M122">
            <v>4358</v>
          </cell>
          <cell r="N122">
            <v>9328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15</v>
          </cell>
          <cell r="T122">
            <v>0</v>
          </cell>
          <cell r="U122">
            <v>0</v>
          </cell>
          <cell r="V122">
            <v>15</v>
          </cell>
          <cell r="W122">
            <v>15</v>
          </cell>
          <cell r="X122">
            <v>5.5</v>
          </cell>
          <cell r="Y122">
            <v>0</v>
          </cell>
          <cell r="Z122">
            <v>0</v>
          </cell>
          <cell r="AA122">
            <v>240</v>
          </cell>
          <cell r="AB122">
            <v>0</v>
          </cell>
          <cell r="AC122">
            <v>0</v>
          </cell>
          <cell r="AD122">
            <v>3000000</v>
          </cell>
          <cell r="AE122">
            <v>4</v>
          </cell>
          <cell r="AF122">
            <v>0</v>
          </cell>
          <cell r="AG122">
            <v>27</v>
          </cell>
          <cell r="AH122">
            <v>150</v>
          </cell>
          <cell r="AI122">
            <v>7</v>
          </cell>
        </row>
        <row r="123">
          <cell r="A123" t="str">
            <v>A666</v>
          </cell>
          <cell r="B123" t="str">
            <v>Trần Thị Ngọc Hạnh</v>
          </cell>
          <cell r="C123" t="str">
            <v>QCX</v>
          </cell>
          <cell r="D123" t="str">
            <v>Công nhân</v>
          </cell>
          <cell r="E123" t="str">
            <v>T12/15</v>
          </cell>
          <cell r="F123">
            <v>28</v>
          </cell>
          <cell r="G123">
            <v>0</v>
          </cell>
          <cell r="H123" t="str">
            <v>8.I</v>
          </cell>
          <cell r="I123">
            <v>4200</v>
          </cell>
          <cell r="J123">
            <v>0</v>
          </cell>
          <cell r="K123">
            <v>4200</v>
          </cell>
          <cell r="L123">
            <v>4220</v>
          </cell>
          <cell r="M123">
            <v>0</v>
          </cell>
          <cell r="N123">
            <v>4220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-140</v>
          </cell>
          <cell r="AC123">
            <v>0</v>
          </cell>
          <cell r="AD123">
            <v>0</v>
          </cell>
          <cell r="AE123">
            <v>7.5</v>
          </cell>
          <cell r="AF123">
            <v>0</v>
          </cell>
          <cell r="AG123">
            <v>27</v>
          </cell>
          <cell r="AH123">
            <v>70</v>
          </cell>
          <cell r="AI123">
            <v>8</v>
          </cell>
        </row>
        <row r="124">
          <cell r="A124" t="str">
            <v>A669</v>
          </cell>
          <cell r="B124" t="str">
            <v>Nguyễn Văn Thi</v>
          </cell>
          <cell r="C124" t="str">
            <v>EN</v>
          </cell>
          <cell r="D124" t="str">
            <v>Công nhân</v>
          </cell>
          <cell r="E124" t="str">
            <v>T12/15</v>
          </cell>
          <cell r="F124">
            <v>28</v>
          </cell>
          <cell r="G124" t="str">
            <v>A</v>
          </cell>
          <cell r="H124" t="str">
            <v>7.I</v>
          </cell>
          <cell r="I124">
            <v>3500</v>
          </cell>
          <cell r="J124">
            <v>0</v>
          </cell>
          <cell r="K124">
            <v>3500</v>
          </cell>
          <cell r="L124">
            <v>4290</v>
          </cell>
          <cell r="M124">
            <v>400</v>
          </cell>
          <cell r="N124">
            <v>4690</v>
          </cell>
          <cell r="O124">
            <v>6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9</v>
          </cell>
          <cell r="U124">
            <v>0</v>
          </cell>
          <cell r="V124">
            <v>15</v>
          </cell>
          <cell r="W124">
            <v>56</v>
          </cell>
          <cell r="X124">
            <v>12</v>
          </cell>
          <cell r="Y124">
            <v>0</v>
          </cell>
          <cell r="Z124">
            <v>0</v>
          </cell>
          <cell r="AA124">
            <v>384</v>
          </cell>
          <cell r="AB124">
            <v>0</v>
          </cell>
          <cell r="AC124">
            <v>0</v>
          </cell>
          <cell r="AD124">
            <v>2000000</v>
          </cell>
          <cell r="AE124">
            <v>5</v>
          </cell>
          <cell r="AF124">
            <v>0</v>
          </cell>
          <cell r="AG124">
            <v>27</v>
          </cell>
          <cell r="AH124">
            <v>70</v>
          </cell>
          <cell r="AI124">
            <v>7</v>
          </cell>
        </row>
        <row r="125">
          <cell r="A125" t="str">
            <v>A673</v>
          </cell>
          <cell r="B125" t="str">
            <v>Phan Trí Cường</v>
          </cell>
          <cell r="C125" t="str">
            <v>EN</v>
          </cell>
          <cell r="D125" t="str">
            <v>Công Nhân</v>
          </cell>
          <cell r="E125" t="str">
            <v>T12/15</v>
          </cell>
          <cell r="F125">
            <v>28</v>
          </cell>
          <cell r="G125" t="str">
            <v>B</v>
          </cell>
          <cell r="H125" t="str">
            <v>7.I</v>
          </cell>
          <cell r="I125">
            <v>3500</v>
          </cell>
          <cell r="J125">
            <v>0</v>
          </cell>
          <cell r="K125">
            <v>3500</v>
          </cell>
          <cell r="L125">
            <v>4290</v>
          </cell>
          <cell r="M125">
            <v>0</v>
          </cell>
          <cell r="N125">
            <v>4290</v>
          </cell>
          <cell r="O125">
            <v>8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6</v>
          </cell>
          <cell r="U125">
            <v>1</v>
          </cell>
          <cell r="V125">
            <v>15</v>
          </cell>
          <cell r="W125">
            <v>60</v>
          </cell>
          <cell r="X125">
            <v>12</v>
          </cell>
          <cell r="Y125">
            <v>0</v>
          </cell>
          <cell r="Z125">
            <v>0</v>
          </cell>
          <cell r="AA125">
            <v>320</v>
          </cell>
          <cell r="AB125">
            <v>0</v>
          </cell>
          <cell r="AC125">
            <v>0</v>
          </cell>
          <cell r="AD125">
            <v>1000000</v>
          </cell>
          <cell r="AE125">
            <v>6</v>
          </cell>
          <cell r="AF125">
            <v>0</v>
          </cell>
          <cell r="AG125">
            <v>27</v>
          </cell>
          <cell r="AH125">
            <v>70</v>
          </cell>
          <cell r="AI125">
            <v>7</v>
          </cell>
        </row>
        <row r="126">
          <cell r="A126" t="str">
            <v>A681</v>
          </cell>
          <cell r="B126" t="str">
            <v>Lê Thị Kim Tho</v>
          </cell>
          <cell r="C126" t="str">
            <v>QCX</v>
          </cell>
          <cell r="D126" t="str">
            <v>Công nhân</v>
          </cell>
          <cell r="E126" t="str">
            <v>T12/15</v>
          </cell>
          <cell r="F126">
            <v>28</v>
          </cell>
          <cell r="G126">
            <v>0</v>
          </cell>
          <cell r="H126" t="str">
            <v>8.I</v>
          </cell>
          <cell r="I126">
            <v>4200</v>
          </cell>
          <cell r="J126">
            <v>0</v>
          </cell>
          <cell r="K126">
            <v>4200</v>
          </cell>
          <cell r="L126">
            <v>4220</v>
          </cell>
          <cell r="M126">
            <v>0</v>
          </cell>
          <cell r="N126">
            <v>4220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-140</v>
          </cell>
          <cell r="AC126">
            <v>0</v>
          </cell>
          <cell r="AD126">
            <v>0</v>
          </cell>
          <cell r="AE126">
            <v>3</v>
          </cell>
          <cell r="AF126">
            <v>0</v>
          </cell>
          <cell r="AG126">
            <v>27</v>
          </cell>
          <cell r="AH126">
            <v>70</v>
          </cell>
          <cell r="AI126">
            <v>8</v>
          </cell>
        </row>
        <row r="127">
          <cell r="A127" t="str">
            <v>A687</v>
          </cell>
          <cell r="B127" t="str">
            <v>Lê Hoàng Trung</v>
          </cell>
          <cell r="C127" t="str">
            <v>GA</v>
          </cell>
          <cell r="D127" t="str">
            <v>Công nhân</v>
          </cell>
          <cell r="E127" t="str">
            <v>T12/15</v>
          </cell>
          <cell r="F127">
            <v>28</v>
          </cell>
          <cell r="G127">
            <v>0</v>
          </cell>
          <cell r="H127" t="str">
            <v>7.I</v>
          </cell>
          <cell r="I127">
            <v>3800</v>
          </cell>
          <cell r="J127">
            <v>100</v>
          </cell>
          <cell r="K127">
            <v>3900</v>
          </cell>
          <cell r="L127">
            <v>4290</v>
          </cell>
          <cell r="M127">
            <v>0</v>
          </cell>
          <cell r="N127">
            <v>4290</v>
          </cell>
          <cell r="O127">
            <v>11</v>
          </cell>
          <cell r="P127">
            <v>0</v>
          </cell>
          <cell r="Q127">
            <v>0</v>
          </cell>
          <cell r="R127">
            <v>0</v>
          </cell>
          <cell r="S127">
            <v>4</v>
          </cell>
          <cell r="T127">
            <v>0</v>
          </cell>
          <cell r="U127">
            <v>0</v>
          </cell>
          <cell r="V127">
            <v>15</v>
          </cell>
          <cell r="W127">
            <v>48</v>
          </cell>
          <cell r="X127">
            <v>8</v>
          </cell>
          <cell r="Y127">
            <v>0</v>
          </cell>
          <cell r="Z127">
            <v>0</v>
          </cell>
          <cell r="AA127">
            <v>240</v>
          </cell>
          <cell r="AB127">
            <v>0</v>
          </cell>
          <cell r="AC127">
            <v>0</v>
          </cell>
          <cell r="AD127">
            <v>2000000</v>
          </cell>
          <cell r="AE127">
            <v>1.5</v>
          </cell>
          <cell r="AF127">
            <v>0</v>
          </cell>
          <cell r="AG127">
            <v>27</v>
          </cell>
          <cell r="AH127">
            <v>70</v>
          </cell>
          <cell r="AI127">
            <v>7</v>
          </cell>
        </row>
        <row r="128">
          <cell r="A128" t="str">
            <v>A697</v>
          </cell>
          <cell r="B128" t="str">
            <v>Lê Thanh Thảo</v>
          </cell>
          <cell r="C128" t="str">
            <v>EN</v>
          </cell>
          <cell r="D128" t="str">
            <v>Công nhân</v>
          </cell>
          <cell r="E128" t="str">
            <v>T12/15</v>
          </cell>
          <cell r="F128">
            <v>28</v>
          </cell>
          <cell r="G128" t="str">
            <v>B</v>
          </cell>
          <cell r="H128" t="str">
            <v>7.I</v>
          </cell>
          <cell r="I128">
            <v>3500</v>
          </cell>
          <cell r="J128">
            <v>0</v>
          </cell>
          <cell r="K128">
            <v>3500</v>
          </cell>
          <cell r="L128">
            <v>4290</v>
          </cell>
          <cell r="M128">
            <v>0</v>
          </cell>
          <cell r="N128">
            <v>4290</v>
          </cell>
          <cell r="O128">
            <v>14</v>
          </cell>
          <cell r="P128">
            <v>0</v>
          </cell>
          <cell r="Q128">
            <v>0</v>
          </cell>
          <cell r="R128">
            <v>0</v>
          </cell>
          <cell r="S128">
            <v>1</v>
          </cell>
          <cell r="T128">
            <v>0</v>
          </cell>
          <cell r="U128">
            <v>0</v>
          </cell>
          <cell r="V128">
            <v>15</v>
          </cell>
          <cell r="W128">
            <v>102</v>
          </cell>
          <cell r="X128">
            <v>18</v>
          </cell>
          <cell r="Y128">
            <v>0</v>
          </cell>
          <cell r="Z128">
            <v>64</v>
          </cell>
          <cell r="AA128">
            <v>240</v>
          </cell>
          <cell r="AB128">
            <v>0</v>
          </cell>
          <cell r="AC128">
            <v>0</v>
          </cell>
          <cell r="AD128">
            <v>2000000</v>
          </cell>
          <cell r="AE128">
            <v>2.5</v>
          </cell>
          <cell r="AF128">
            <v>0</v>
          </cell>
          <cell r="AG128">
            <v>27</v>
          </cell>
          <cell r="AH128">
            <v>70</v>
          </cell>
          <cell r="AI128">
            <v>7</v>
          </cell>
        </row>
        <row r="129">
          <cell r="A129" t="str">
            <v>A698</v>
          </cell>
          <cell r="B129" t="str">
            <v>Tô Thị Mỹ Trang</v>
          </cell>
          <cell r="C129" t="str">
            <v>CI.1</v>
          </cell>
          <cell r="D129" t="str">
            <v>Công nhân</v>
          </cell>
          <cell r="E129" t="str">
            <v>T12/15</v>
          </cell>
          <cell r="F129">
            <v>28</v>
          </cell>
          <cell r="G129">
            <v>0</v>
          </cell>
          <cell r="H129" t="str">
            <v>8.I</v>
          </cell>
          <cell r="I129">
            <v>4200</v>
          </cell>
          <cell r="J129">
            <v>0</v>
          </cell>
          <cell r="K129">
            <v>4200</v>
          </cell>
          <cell r="L129">
            <v>4220</v>
          </cell>
          <cell r="M129">
            <v>200</v>
          </cell>
          <cell r="N129">
            <v>4420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1</v>
          </cell>
          <cell r="V129">
            <v>1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-140</v>
          </cell>
          <cell r="AC129">
            <v>0</v>
          </cell>
          <cell r="AD129">
            <v>2000000</v>
          </cell>
          <cell r="AE129">
            <v>3.5</v>
          </cell>
          <cell r="AF129">
            <v>0</v>
          </cell>
          <cell r="AG129">
            <v>27</v>
          </cell>
          <cell r="AH129">
            <v>70</v>
          </cell>
          <cell r="AI129">
            <v>8</v>
          </cell>
        </row>
        <row r="130">
          <cell r="A130" t="str">
            <v>A702</v>
          </cell>
          <cell r="B130" t="str">
            <v>Lê Tùng Quân</v>
          </cell>
          <cell r="C130" t="str">
            <v>EN</v>
          </cell>
          <cell r="D130" t="str">
            <v>Công nhân</v>
          </cell>
          <cell r="E130" t="str">
            <v>T1/16</v>
          </cell>
          <cell r="F130">
            <v>27</v>
          </cell>
          <cell r="G130" t="str">
            <v>C</v>
          </cell>
          <cell r="H130" t="str">
            <v>7.I</v>
          </cell>
          <cell r="I130">
            <v>3500</v>
          </cell>
          <cell r="J130">
            <v>0</v>
          </cell>
          <cell r="K130">
            <v>3500</v>
          </cell>
          <cell r="L130">
            <v>4290</v>
          </cell>
          <cell r="M130">
            <v>0</v>
          </cell>
          <cell r="N130">
            <v>4290</v>
          </cell>
          <cell r="O130">
            <v>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8</v>
          </cell>
          <cell r="U130">
            <v>2</v>
          </cell>
          <cell r="V130">
            <v>15</v>
          </cell>
          <cell r="W130">
            <v>68</v>
          </cell>
          <cell r="X130">
            <v>8</v>
          </cell>
          <cell r="Y130">
            <v>0</v>
          </cell>
          <cell r="Z130">
            <v>0</v>
          </cell>
          <cell r="AA130">
            <v>336</v>
          </cell>
          <cell r="AB130">
            <v>0</v>
          </cell>
          <cell r="AC130">
            <v>0</v>
          </cell>
          <cell r="AD130">
            <v>2000000</v>
          </cell>
          <cell r="AE130">
            <v>11</v>
          </cell>
          <cell r="AF130">
            <v>0</v>
          </cell>
          <cell r="AG130">
            <v>26</v>
          </cell>
          <cell r="AH130">
            <v>70</v>
          </cell>
          <cell r="AI130">
            <v>7</v>
          </cell>
        </row>
        <row r="131">
          <cell r="A131" t="str">
            <v>A703</v>
          </cell>
          <cell r="B131" t="str">
            <v>Nguyễn Văn Danh</v>
          </cell>
          <cell r="C131" t="str">
            <v>EN</v>
          </cell>
          <cell r="D131" t="str">
            <v>Công nhân</v>
          </cell>
          <cell r="E131" t="str">
            <v>T1/16</v>
          </cell>
          <cell r="F131">
            <v>27</v>
          </cell>
          <cell r="G131" t="str">
            <v>A</v>
          </cell>
          <cell r="H131" t="str">
            <v>7.I</v>
          </cell>
          <cell r="I131">
            <v>3500</v>
          </cell>
          <cell r="J131">
            <v>0</v>
          </cell>
          <cell r="K131">
            <v>3500</v>
          </cell>
          <cell r="L131">
            <v>4290</v>
          </cell>
          <cell r="M131">
            <v>0</v>
          </cell>
          <cell r="N131">
            <v>4290</v>
          </cell>
          <cell r="O131">
            <v>9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5</v>
          </cell>
          <cell r="U131">
            <v>0</v>
          </cell>
          <cell r="V131">
            <v>14</v>
          </cell>
          <cell r="W131">
            <v>56</v>
          </cell>
          <cell r="X131">
            <v>8</v>
          </cell>
          <cell r="Y131">
            <v>0</v>
          </cell>
          <cell r="Z131">
            <v>16</v>
          </cell>
          <cell r="AA131">
            <v>304</v>
          </cell>
          <cell r="AB131">
            <v>0</v>
          </cell>
          <cell r="AC131">
            <v>0</v>
          </cell>
          <cell r="AD131">
            <v>2000000</v>
          </cell>
          <cell r="AE131">
            <v>3</v>
          </cell>
          <cell r="AF131">
            <v>0</v>
          </cell>
          <cell r="AG131">
            <v>26</v>
          </cell>
          <cell r="AH131">
            <v>70</v>
          </cell>
          <cell r="AI131">
            <v>7</v>
          </cell>
        </row>
        <row r="132">
          <cell r="A132" t="str">
            <v>A709</v>
          </cell>
          <cell r="B132" t="str">
            <v>Trần Văn Hoàng</v>
          </cell>
          <cell r="C132" t="str">
            <v>TXBVTV</v>
          </cell>
          <cell r="D132" t="str">
            <v>BAOVE</v>
          </cell>
          <cell r="E132" t="str">
            <v>T1/16</v>
          </cell>
          <cell r="F132">
            <v>27</v>
          </cell>
          <cell r="G132" t="str">
            <v>B</v>
          </cell>
          <cell r="H132" t="str">
            <v>10.I</v>
          </cell>
          <cell r="I132">
            <v>3500</v>
          </cell>
          <cell r="J132">
            <v>2300</v>
          </cell>
          <cell r="K132">
            <v>5800</v>
          </cell>
          <cell r="L132">
            <v>4220</v>
          </cell>
          <cell r="M132">
            <v>1812</v>
          </cell>
          <cell r="N132">
            <v>6032</v>
          </cell>
          <cell r="O132">
            <v>0</v>
          </cell>
          <cell r="P132">
            <v>18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18</v>
          </cell>
          <cell r="W132">
            <v>0</v>
          </cell>
          <cell r="X132">
            <v>0</v>
          </cell>
          <cell r="Y132">
            <v>0</v>
          </cell>
          <cell r="Z132">
            <v>384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4</v>
          </cell>
          <cell r="AF132">
            <v>0</v>
          </cell>
          <cell r="AG132">
            <v>26</v>
          </cell>
          <cell r="AH132">
            <v>70</v>
          </cell>
          <cell r="AI132">
            <v>10</v>
          </cell>
        </row>
        <row r="133">
          <cell r="A133" t="str">
            <v>A711</v>
          </cell>
          <cell r="B133" t="str">
            <v>Nguyễn Phước Trực</v>
          </cell>
          <cell r="C133" t="str">
            <v>KHUON</v>
          </cell>
          <cell r="D133" t="str">
            <v>QUANLY</v>
          </cell>
          <cell r="E133" t="str">
            <v>T1/16</v>
          </cell>
          <cell r="F133">
            <v>27</v>
          </cell>
          <cell r="G133" t="str">
            <v>B</v>
          </cell>
          <cell r="H133" t="str">
            <v>7.I</v>
          </cell>
          <cell r="I133">
            <v>3800</v>
          </cell>
          <cell r="J133">
            <v>1700</v>
          </cell>
          <cell r="K133">
            <v>5500</v>
          </cell>
          <cell r="L133">
            <v>4436</v>
          </cell>
          <cell r="M133">
            <v>2064</v>
          </cell>
          <cell r="N133">
            <v>6500</v>
          </cell>
          <cell r="O133">
            <v>1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12</v>
          </cell>
          <cell r="U133">
            <v>2</v>
          </cell>
          <cell r="V133">
            <v>15</v>
          </cell>
          <cell r="W133">
            <v>68</v>
          </cell>
          <cell r="X133">
            <v>8</v>
          </cell>
          <cell r="Y133">
            <v>0</v>
          </cell>
          <cell r="Z133">
            <v>0</v>
          </cell>
          <cell r="AA133">
            <v>400</v>
          </cell>
          <cell r="AB133">
            <v>0</v>
          </cell>
          <cell r="AC133">
            <v>0</v>
          </cell>
          <cell r="AD133">
            <v>0</v>
          </cell>
          <cell r="AE133">
            <v>2</v>
          </cell>
          <cell r="AF133">
            <v>0</v>
          </cell>
          <cell r="AG133">
            <v>26</v>
          </cell>
          <cell r="AH133">
            <v>150</v>
          </cell>
          <cell r="AI133">
            <v>7</v>
          </cell>
        </row>
        <row r="134">
          <cell r="A134" t="str">
            <v>A713</v>
          </cell>
          <cell r="B134" t="str">
            <v>Lê Văn Quang</v>
          </cell>
          <cell r="C134" t="str">
            <v>TXBVTV</v>
          </cell>
          <cell r="D134" t="str">
            <v>BAOVE</v>
          </cell>
          <cell r="E134" t="str">
            <v>T1/16</v>
          </cell>
          <cell r="F134">
            <v>27</v>
          </cell>
          <cell r="G134" t="str">
            <v>D</v>
          </cell>
          <cell r="H134" t="str">
            <v>10.I</v>
          </cell>
          <cell r="I134">
            <v>3500</v>
          </cell>
          <cell r="J134">
            <v>2300</v>
          </cell>
          <cell r="K134">
            <v>5800</v>
          </cell>
          <cell r="L134">
            <v>3937.5</v>
          </cell>
          <cell r="M134">
            <v>1862.5</v>
          </cell>
          <cell r="N134">
            <v>5800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1</v>
          </cell>
          <cell r="V134">
            <v>1</v>
          </cell>
          <cell r="W134">
            <v>0</v>
          </cell>
          <cell r="X134">
            <v>0</v>
          </cell>
          <cell r="Y134">
            <v>0</v>
          </cell>
          <cell r="Z134">
            <v>336</v>
          </cell>
          <cell r="AA134">
            <v>0</v>
          </cell>
          <cell r="AB134">
            <v>-140</v>
          </cell>
          <cell r="AC134">
            <v>0</v>
          </cell>
          <cell r="AD134">
            <v>0</v>
          </cell>
          <cell r="AE134">
            <v>9</v>
          </cell>
          <cell r="AF134">
            <v>0</v>
          </cell>
          <cell r="AG134">
            <v>26</v>
          </cell>
          <cell r="AH134">
            <v>70</v>
          </cell>
          <cell r="AI134">
            <v>10</v>
          </cell>
        </row>
        <row r="135">
          <cell r="A135" t="str">
            <v>A717</v>
          </cell>
          <cell r="B135" t="str">
            <v>Ngô Nhất Linh</v>
          </cell>
          <cell r="C135" t="str">
            <v>Kho</v>
          </cell>
          <cell r="D135" t="str">
            <v>Công nhân</v>
          </cell>
          <cell r="E135" t="str">
            <v>T1/16</v>
          </cell>
          <cell r="F135">
            <v>27</v>
          </cell>
          <cell r="G135" t="str">
            <v>B</v>
          </cell>
          <cell r="H135" t="str">
            <v>7.I</v>
          </cell>
          <cell r="I135">
            <v>3940</v>
          </cell>
          <cell r="J135">
            <v>1009.6296296296296</v>
          </cell>
          <cell r="K135">
            <v>4949.6296296296296</v>
          </cell>
          <cell r="L135">
            <v>4290</v>
          </cell>
          <cell r="M135">
            <v>857.61481481481496</v>
          </cell>
          <cell r="N135">
            <v>5147.614814814815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-140</v>
          </cell>
          <cell r="AC135">
            <v>0</v>
          </cell>
          <cell r="AD135">
            <v>1000000</v>
          </cell>
          <cell r="AE135">
            <v>7.5</v>
          </cell>
          <cell r="AF135">
            <v>0</v>
          </cell>
          <cell r="AG135">
            <v>26</v>
          </cell>
          <cell r="AH135">
            <v>70</v>
          </cell>
          <cell r="AI135">
            <v>7</v>
          </cell>
        </row>
        <row r="136">
          <cell r="A136" t="str">
            <v>A719</v>
          </cell>
          <cell r="B136" t="str">
            <v>Trần Văn Tuấn</v>
          </cell>
          <cell r="C136" t="str">
            <v>EN</v>
          </cell>
          <cell r="D136" t="str">
            <v>Công nhân</v>
          </cell>
          <cell r="E136" t="str">
            <v>T2/16</v>
          </cell>
          <cell r="F136">
            <v>26</v>
          </cell>
          <cell r="G136" t="str">
            <v>C</v>
          </cell>
          <cell r="H136" t="str">
            <v>8.I</v>
          </cell>
          <cell r="I136">
            <v>3500</v>
          </cell>
          <cell r="J136">
            <v>0</v>
          </cell>
          <cell r="K136">
            <v>3500</v>
          </cell>
          <cell r="L136">
            <v>4220</v>
          </cell>
          <cell r="M136">
            <v>0</v>
          </cell>
          <cell r="N136">
            <v>4220</v>
          </cell>
          <cell r="O136">
            <v>9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6</v>
          </cell>
          <cell r="U136">
            <v>0</v>
          </cell>
          <cell r="V136">
            <v>15</v>
          </cell>
          <cell r="W136">
            <v>48</v>
          </cell>
          <cell r="X136">
            <v>12</v>
          </cell>
          <cell r="Y136">
            <v>0</v>
          </cell>
          <cell r="Z136">
            <v>0</v>
          </cell>
          <cell r="AA136">
            <v>336</v>
          </cell>
          <cell r="AB136">
            <v>0</v>
          </cell>
          <cell r="AC136">
            <v>0</v>
          </cell>
          <cell r="AD136">
            <v>2000000</v>
          </cell>
          <cell r="AE136">
            <v>0</v>
          </cell>
          <cell r="AF136">
            <v>0</v>
          </cell>
          <cell r="AG136">
            <v>25</v>
          </cell>
          <cell r="AH136">
            <v>70</v>
          </cell>
          <cell r="AI136">
            <v>8</v>
          </cell>
        </row>
        <row r="137">
          <cell r="A137" t="str">
            <v>A721</v>
          </cell>
          <cell r="B137" t="str">
            <v>Trương Tuấn Vũ</v>
          </cell>
          <cell r="C137" t="str">
            <v xml:space="preserve">XLN </v>
          </cell>
          <cell r="D137" t="str">
            <v>Công nhân</v>
          </cell>
          <cell r="E137" t="str">
            <v>T2/16</v>
          </cell>
          <cell r="F137">
            <v>26</v>
          </cell>
          <cell r="G137" t="str">
            <v>B</v>
          </cell>
          <cell r="H137" t="str">
            <v>8.I</v>
          </cell>
          <cell r="I137">
            <v>3500</v>
          </cell>
          <cell r="J137">
            <v>300</v>
          </cell>
          <cell r="K137">
            <v>3800</v>
          </cell>
          <cell r="L137">
            <v>4220</v>
          </cell>
          <cell r="M137">
            <v>0</v>
          </cell>
          <cell r="N137">
            <v>4220</v>
          </cell>
          <cell r="O137">
            <v>4</v>
          </cell>
          <cell r="P137">
            <v>1</v>
          </cell>
          <cell r="Q137">
            <v>0</v>
          </cell>
          <cell r="R137">
            <v>0</v>
          </cell>
          <cell r="S137">
            <v>1</v>
          </cell>
          <cell r="T137">
            <v>6</v>
          </cell>
          <cell r="U137">
            <v>0</v>
          </cell>
          <cell r="V137">
            <v>12</v>
          </cell>
          <cell r="W137">
            <v>62.5</v>
          </cell>
          <cell r="X137">
            <v>8</v>
          </cell>
          <cell r="Y137">
            <v>0</v>
          </cell>
          <cell r="Z137">
            <v>80</v>
          </cell>
          <cell r="AA137">
            <v>272</v>
          </cell>
          <cell r="AB137">
            <v>-70</v>
          </cell>
          <cell r="AC137">
            <v>0</v>
          </cell>
          <cell r="AD137">
            <v>0</v>
          </cell>
          <cell r="AE137">
            <v>9</v>
          </cell>
          <cell r="AF137">
            <v>0</v>
          </cell>
          <cell r="AG137">
            <v>25</v>
          </cell>
          <cell r="AH137">
            <v>70</v>
          </cell>
          <cell r="AI137">
            <v>8</v>
          </cell>
        </row>
        <row r="138">
          <cell r="A138" t="str">
            <v>A722</v>
          </cell>
          <cell r="B138" t="str">
            <v>Vũ Văn Thụ</v>
          </cell>
          <cell r="C138" t="str">
            <v>TXBVTV</v>
          </cell>
          <cell r="D138" t="str">
            <v>BAOVE</v>
          </cell>
          <cell r="E138" t="str">
            <v>T2/16</v>
          </cell>
          <cell r="F138">
            <v>26</v>
          </cell>
          <cell r="G138" t="str">
            <v>C</v>
          </cell>
          <cell r="H138" t="str">
            <v>10.I</v>
          </cell>
          <cell r="I138">
            <v>3500</v>
          </cell>
          <cell r="J138">
            <v>2100</v>
          </cell>
          <cell r="K138">
            <v>5600</v>
          </cell>
          <cell r="L138">
            <v>4220</v>
          </cell>
          <cell r="M138">
            <v>1492</v>
          </cell>
          <cell r="N138">
            <v>5712</v>
          </cell>
          <cell r="O138">
            <v>0</v>
          </cell>
          <cell r="P138">
            <v>18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18</v>
          </cell>
          <cell r="W138">
            <v>0</v>
          </cell>
          <cell r="X138">
            <v>0</v>
          </cell>
          <cell r="Y138">
            <v>0</v>
          </cell>
          <cell r="Z138">
            <v>400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25</v>
          </cell>
          <cell r="AH138">
            <v>70</v>
          </cell>
          <cell r="AI138">
            <v>10</v>
          </cell>
        </row>
        <row r="139">
          <cell r="A139" t="str">
            <v>A726</v>
          </cell>
          <cell r="B139" t="str">
            <v>Phan Thị Mỹ Trinh</v>
          </cell>
          <cell r="C139" t="str">
            <v>PHOI</v>
          </cell>
          <cell r="D139" t="str">
            <v>Công nhân</v>
          </cell>
          <cell r="E139" t="str">
            <v>T2/16</v>
          </cell>
          <cell r="F139">
            <v>26</v>
          </cell>
          <cell r="G139" t="str">
            <v>B</v>
          </cell>
          <cell r="H139" t="str">
            <v>8.I</v>
          </cell>
          <cell r="I139">
            <v>3500</v>
          </cell>
          <cell r="J139">
            <v>0</v>
          </cell>
          <cell r="K139">
            <v>3500</v>
          </cell>
          <cell r="L139">
            <v>4220</v>
          </cell>
          <cell r="M139">
            <v>0</v>
          </cell>
          <cell r="N139">
            <v>4220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-140</v>
          </cell>
          <cell r="AC139">
            <v>0</v>
          </cell>
          <cell r="AD139">
            <v>0</v>
          </cell>
          <cell r="AE139">
            <v>3</v>
          </cell>
          <cell r="AF139">
            <v>0</v>
          </cell>
          <cell r="AG139">
            <v>25</v>
          </cell>
          <cell r="AH139">
            <v>70</v>
          </cell>
          <cell r="AI139">
            <v>8</v>
          </cell>
        </row>
        <row r="140">
          <cell r="A140" t="str">
            <v>A727</v>
          </cell>
          <cell r="B140" t="str">
            <v>Phan Văn Thành</v>
          </cell>
          <cell r="C140" t="str">
            <v>Kho</v>
          </cell>
          <cell r="D140" t="str">
            <v>Công nhân</v>
          </cell>
          <cell r="E140" t="str">
            <v>T2/16</v>
          </cell>
          <cell r="F140">
            <v>26</v>
          </cell>
          <cell r="G140" t="str">
            <v>B</v>
          </cell>
          <cell r="H140" t="str">
            <v>8.I</v>
          </cell>
          <cell r="I140">
            <v>3940</v>
          </cell>
          <cell r="J140">
            <v>1010</v>
          </cell>
          <cell r="K140">
            <v>4950</v>
          </cell>
          <cell r="L140">
            <v>4259</v>
          </cell>
          <cell r="M140">
            <v>1389</v>
          </cell>
          <cell r="N140">
            <v>5648</v>
          </cell>
          <cell r="O140">
            <v>14.5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0.5</v>
          </cell>
          <cell r="V140">
            <v>15</v>
          </cell>
          <cell r="W140">
            <v>49</v>
          </cell>
          <cell r="X140">
            <v>8</v>
          </cell>
          <cell r="Y140">
            <v>0</v>
          </cell>
          <cell r="Z140">
            <v>0</v>
          </cell>
          <cell r="AA140">
            <v>232</v>
          </cell>
          <cell r="AB140">
            <v>0</v>
          </cell>
          <cell r="AC140">
            <v>0</v>
          </cell>
          <cell r="AD140">
            <v>2000000</v>
          </cell>
          <cell r="AE140">
            <v>1</v>
          </cell>
          <cell r="AF140">
            <v>0</v>
          </cell>
          <cell r="AG140">
            <v>25</v>
          </cell>
          <cell r="AH140">
            <v>70</v>
          </cell>
          <cell r="AI140">
            <v>8</v>
          </cell>
        </row>
        <row r="141">
          <cell r="A141" t="str">
            <v>A728</v>
          </cell>
          <cell r="B141" t="str">
            <v>Nguyễn Văn Tuấn Linh</v>
          </cell>
          <cell r="C141" t="str">
            <v>EN</v>
          </cell>
          <cell r="D141" t="str">
            <v>Công nhân</v>
          </cell>
          <cell r="E141" t="str">
            <v>T2/16</v>
          </cell>
          <cell r="F141">
            <v>26</v>
          </cell>
          <cell r="G141" t="str">
            <v>B</v>
          </cell>
          <cell r="H141" t="str">
            <v>8.I</v>
          </cell>
          <cell r="I141">
            <v>3500</v>
          </cell>
          <cell r="J141">
            <v>0</v>
          </cell>
          <cell r="K141">
            <v>3500</v>
          </cell>
          <cell r="L141">
            <v>4220</v>
          </cell>
          <cell r="M141">
            <v>0</v>
          </cell>
          <cell r="N141">
            <v>4220</v>
          </cell>
          <cell r="O141">
            <v>9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6</v>
          </cell>
          <cell r="U141">
            <v>0</v>
          </cell>
          <cell r="V141">
            <v>15</v>
          </cell>
          <cell r="W141">
            <v>48</v>
          </cell>
          <cell r="X141">
            <v>12</v>
          </cell>
          <cell r="Y141">
            <v>0</v>
          </cell>
          <cell r="Z141">
            <v>16</v>
          </cell>
          <cell r="AA141">
            <v>336</v>
          </cell>
          <cell r="AB141">
            <v>0</v>
          </cell>
          <cell r="AC141">
            <v>0</v>
          </cell>
          <cell r="AD141">
            <v>2000000</v>
          </cell>
          <cell r="AE141">
            <v>2</v>
          </cell>
          <cell r="AF141">
            <v>0</v>
          </cell>
          <cell r="AG141">
            <v>25</v>
          </cell>
          <cell r="AH141">
            <v>70</v>
          </cell>
          <cell r="AI141">
            <v>8</v>
          </cell>
        </row>
        <row r="142">
          <cell r="A142" t="str">
            <v>A729</v>
          </cell>
          <cell r="B142" t="str">
            <v>Trương Văn Bé</v>
          </cell>
          <cell r="C142" t="str">
            <v>CII.1</v>
          </cell>
          <cell r="D142" t="str">
            <v>Công nhân</v>
          </cell>
          <cell r="E142" t="str">
            <v>T2/16</v>
          </cell>
          <cell r="F142">
            <v>26</v>
          </cell>
          <cell r="G142" t="str">
            <v>A</v>
          </cell>
          <cell r="H142" t="str">
            <v>8.I</v>
          </cell>
          <cell r="I142">
            <v>3500</v>
          </cell>
          <cell r="J142">
            <v>200</v>
          </cell>
          <cell r="K142">
            <v>3700</v>
          </cell>
          <cell r="L142">
            <v>4220</v>
          </cell>
          <cell r="M142">
            <v>0</v>
          </cell>
          <cell r="N142">
            <v>4220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16</v>
          </cell>
          <cell r="AA142">
            <v>0</v>
          </cell>
          <cell r="AB142">
            <v>-140</v>
          </cell>
          <cell r="AC142">
            <v>0</v>
          </cell>
          <cell r="AD142">
            <v>2000000</v>
          </cell>
          <cell r="AE142">
            <v>0</v>
          </cell>
          <cell r="AF142">
            <v>0</v>
          </cell>
          <cell r="AG142">
            <v>25</v>
          </cell>
          <cell r="AH142">
            <v>70</v>
          </cell>
          <cell r="AI142">
            <v>8</v>
          </cell>
        </row>
        <row r="143">
          <cell r="A143" t="str">
            <v>A733</v>
          </cell>
          <cell r="B143" t="str">
            <v>Trương Văn Hải</v>
          </cell>
          <cell r="C143" t="str">
            <v>EN</v>
          </cell>
          <cell r="D143" t="str">
            <v>Công nhân</v>
          </cell>
          <cell r="E143" t="str">
            <v>T2/16</v>
          </cell>
          <cell r="F143">
            <v>26</v>
          </cell>
          <cell r="G143" t="str">
            <v>B</v>
          </cell>
          <cell r="H143" t="str">
            <v>8.I</v>
          </cell>
          <cell r="I143">
            <v>3500</v>
          </cell>
          <cell r="J143">
            <v>0</v>
          </cell>
          <cell r="K143">
            <v>3500</v>
          </cell>
          <cell r="L143">
            <v>4220</v>
          </cell>
          <cell r="M143">
            <v>0</v>
          </cell>
          <cell r="N143">
            <v>4220</v>
          </cell>
          <cell r="O143">
            <v>6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8</v>
          </cell>
          <cell r="U143">
            <v>1</v>
          </cell>
          <cell r="V143">
            <v>15</v>
          </cell>
          <cell r="W143">
            <v>79.5</v>
          </cell>
          <cell r="X143">
            <v>8</v>
          </cell>
          <cell r="Y143">
            <v>0</v>
          </cell>
          <cell r="Z143">
            <v>32</v>
          </cell>
          <cell r="AA143">
            <v>352</v>
          </cell>
          <cell r="AB143">
            <v>0</v>
          </cell>
          <cell r="AC143">
            <v>0</v>
          </cell>
          <cell r="AD143">
            <v>2000000</v>
          </cell>
          <cell r="AE143">
            <v>2.5</v>
          </cell>
          <cell r="AF143">
            <v>0</v>
          </cell>
          <cell r="AG143">
            <v>25</v>
          </cell>
          <cell r="AH143">
            <v>70</v>
          </cell>
          <cell r="AI143">
            <v>8</v>
          </cell>
        </row>
        <row r="144">
          <cell r="A144" t="str">
            <v>A734</v>
          </cell>
          <cell r="B144" t="str">
            <v>Trương Chí Tâm</v>
          </cell>
          <cell r="C144" t="str">
            <v>EN</v>
          </cell>
          <cell r="D144" t="str">
            <v>Công nhân</v>
          </cell>
          <cell r="E144" t="str">
            <v>T2/16</v>
          </cell>
          <cell r="F144">
            <v>26</v>
          </cell>
          <cell r="G144" t="str">
            <v>C</v>
          </cell>
          <cell r="H144" t="str">
            <v>8.I</v>
          </cell>
          <cell r="I144">
            <v>3500</v>
          </cell>
          <cell r="J144">
            <v>0</v>
          </cell>
          <cell r="K144">
            <v>3500</v>
          </cell>
          <cell r="L144">
            <v>4220</v>
          </cell>
          <cell r="M144">
            <v>0</v>
          </cell>
          <cell r="N144">
            <v>4220</v>
          </cell>
          <cell r="O144">
            <v>6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9</v>
          </cell>
          <cell r="U144">
            <v>0</v>
          </cell>
          <cell r="V144">
            <v>15</v>
          </cell>
          <cell r="W144">
            <v>46</v>
          </cell>
          <cell r="X144">
            <v>12</v>
          </cell>
          <cell r="Y144">
            <v>0</v>
          </cell>
          <cell r="Z144">
            <v>0</v>
          </cell>
          <cell r="AA144">
            <v>384</v>
          </cell>
          <cell r="AB144">
            <v>0</v>
          </cell>
          <cell r="AC144">
            <v>0</v>
          </cell>
          <cell r="AD144">
            <v>2000000</v>
          </cell>
          <cell r="AE144">
            <v>2</v>
          </cell>
          <cell r="AF144">
            <v>0</v>
          </cell>
          <cell r="AG144">
            <v>25</v>
          </cell>
          <cell r="AH144">
            <v>70</v>
          </cell>
          <cell r="AI144">
            <v>8</v>
          </cell>
        </row>
        <row r="145">
          <cell r="A145" t="str">
            <v>A747</v>
          </cell>
          <cell r="B145" t="str">
            <v>Bùi Minh Tâm</v>
          </cell>
          <cell r="C145" t="str">
            <v>CI.1</v>
          </cell>
          <cell r="D145" t="str">
            <v>Công Nhân</v>
          </cell>
          <cell r="E145" t="str">
            <v>T3/16</v>
          </cell>
          <cell r="F145">
            <v>25</v>
          </cell>
          <cell r="G145" t="str">
            <v>B</v>
          </cell>
          <cell r="H145" t="str">
            <v>8.I</v>
          </cell>
          <cell r="I145">
            <v>3500</v>
          </cell>
          <cell r="J145">
            <v>400</v>
          </cell>
          <cell r="K145">
            <v>3900</v>
          </cell>
          <cell r="L145">
            <v>4220</v>
          </cell>
          <cell r="M145">
            <v>0</v>
          </cell>
          <cell r="N145">
            <v>4220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4</v>
          </cell>
          <cell r="T145">
            <v>2</v>
          </cell>
          <cell r="U145">
            <v>0</v>
          </cell>
          <cell r="V145">
            <v>6</v>
          </cell>
          <cell r="W145">
            <v>4</v>
          </cell>
          <cell r="X145">
            <v>0.5</v>
          </cell>
          <cell r="Y145">
            <v>0</v>
          </cell>
          <cell r="Z145">
            <v>0</v>
          </cell>
          <cell r="AA145">
            <v>128</v>
          </cell>
          <cell r="AB145">
            <v>-70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24</v>
          </cell>
          <cell r="AH145">
            <v>70</v>
          </cell>
          <cell r="AI145">
            <v>8</v>
          </cell>
        </row>
        <row r="146">
          <cell r="A146" t="str">
            <v>A752</v>
          </cell>
          <cell r="B146" t="str">
            <v>Đặng Hải Hưng</v>
          </cell>
          <cell r="C146" t="str">
            <v>Kho</v>
          </cell>
          <cell r="D146" t="str">
            <v>QUANLY</v>
          </cell>
          <cell r="E146" t="str">
            <v>T4/16</v>
          </cell>
          <cell r="F146">
            <v>24</v>
          </cell>
          <cell r="G146" t="str">
            <v>B</v>
          </cell>
          <cell r="H146" t="str">
            <v>6.I</v>
          </cell>
          <cell r="I146">
            <v>4100</v>
          </cell>
          <cell r="J146">
            <v>2500</v>
          </cell>
          <cell r="K146">
            <v>6600</v>
          </cell>
          <cell r="L146">
            <v>4361</v>
          </cell>
          <cell r="M146">
            <v>2503</v>
          </cell>
          <cell r="N146">
            <v>6864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13</v>
          </cell>
          <cell r="V146">
            <v>13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1000000</v>
          </cell>
          <cell r="AE146">
            <v>10</v>
          </cell>
          <cell r="AF146">
            <v>1</v>
          </cell>
          <cell r="AG146">
            <v>23</v>
          </cell>
          <cell r="AH146">
            <v>150</v>
          </cell>
          <cell r="AI146">
            <v>6</v>
          </cell>
        </row>
        <row r="147">
          <cell r="A147" t="str">
            <v>A754</v>
          </cell>
          <cell r="B147" t="str">
            <v>Trần Đăng Huy</v>
          </cell>
          <cell r="C147" t="str">
            <v>CD</v>
          </cell>
          <cell r="D147" t="str">
            <v>Nhân viên bảo trì</v>
          </cell>
          <cell r="E147" t="str">
            <v>T4/16</v>
          </cell>
          <cell r="F147">
            <v>24</v>
          </cell>
          <cell r="G147" t="str">
            <v>B</v>
          </cell>
          <cell r="H147" t="str">
            <v>5.I</v>
          </cell>
          <cell r="I147">
            <v>5130</v>
          </cell>
          <cell r="J147">
            <v>1370</v>
          </cell>
          <cell r="K147">
            <v>6500</v>
          </cell>
          <cell r="L147">
            <v>5130</v>
          </cell>
          <cell r="M147">
            <v>1630</v>
          </cell>
          <cell r="N147">
            <v>6760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48</v>
          </cell>
          <cell r="AA147">
            <v>0</v>
          </cell>
          <cell r="AB147">
            <v>-300</v>
          </cell>
          <cell r="AC147">
            <v>0</v>
          </cell>
          <cell r="AD147">
            <v>2000000</v>
          </cell>
          <cell r="AE147">
            <v>0</v>
          </cell>
          <cell r="AF147">
            <v>0</v>
          </cell>
          <cell r="AG147">
            <v>23</v>
          </cell>
          <cell r="AH147">
            <v>150</v>
          </cell>
          <cell r="AI147">
            <v>5</v>
          </cell>
        </row>
        <row r="148">
          <cell r="A148" t="str">
            <v>A758</v>
          </cell>
          <cell r="B148" t="str">
            <v>Trần Văn Cảm</v>
          </cell>
          <cell r="C148" t="str">
            <v>CII.1</v>
          </cell>
          <cell r="D148" t="str">
            <v>Trưởng ca xi mạ</v>
          </cell>
          <cell r="E148" t="str">
            <v>T5/16</v>
          </cell>
          <cell r="F148">
            <v>23</v>
          </cell>
          <cell r="G148" t="str">
            <v>A</v>
          </cell>
          <cell r="H148" t="str">
            <v>5.VII</v>
          </cell>
          <cell r="I148">
            <v>5130</v>
          </cell>
          <cell r="J148">
            <v>3370</v>
          </cell>
          <cell r="K148">
            <v>8500</v>
          </cell>
          <cell r="L148">
            <v>5130</v>
          </cell>
          <cell r="M148">
            <v>3880</v>
          </cell>
          <cell r="N148">
            <v>9010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-300</v>
          </cell>
          <cell r="AC148">
            <v>0</v>
          </cell>
          <cell r="AD148">
            <v>0</v>
          </cell>
          <cell r="AE148">
            <v>0</v>
          </cell>
          <cell r="AF148">
            <v>2</v>
          </cell>
          <cell r="AG148">
            <v>22</v>
          </cell>
          <cell r="AH148">
            <v>150</v>
          </cell>
          <cell r="AI148">
            <v>5</v>
          </cell>
        </row>
        <row r="149">
          <cell r="A149" t="str">
            <v>A760</v>
          </cell>
          <cell r="B149" t="str">
            <v>Lại Văn Thắng</v>
          </cell>
          <cell r="C149" t="str">
            <v>CII.4</v>
          </cell>
          <cell r="D149" t="str">
            <v>Phó ca xi mạ</v>
          </cell>
          <cell r="E149" t="str">
            <v>T5/16</v>
          </cell>
          <cell r="F149">
            <v>23</v>
          </cell>
          <cell r="G149" t="str">
            <v>B</v>
          </cell>
          <cell r="H149" t="str">
            <v>5.I</v>
          </cell>
          <cell r="I149">
            <v>3800</v>
          </cell>
          <cell r="J149">
            <v>3050</v>
          </cell>
          <cell r="K149">
            <v>6850</v>
          </cell>
          <cell r="L149">
            <v>4436</v>
          </cell>
          <cell r="M149">
            <v>2688</v>
          </cell>
          <cell r="N149">
            <v>7124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96</v>
          </cell>
          <cell r="AA149">
            <v>0</v>
          </cell>
          <cell r="AB149">
            <v>-300</v>
          </cell>
          <cell r="AC149">
            <v>0</v>
          </cell>
          <cell r="AD149">
            <v>2000000</v>
          </cell>
          <cell r="AE149">
            <v>3</v>
          </cell>
          <cell r="AF149">
            <v>0</v>
          </cell>
          <cell r="AG149">
            <v>22</v>
          </cell>
          <cell r="AH149">
            <v>150</v>
          </cell>
          <cell r="AI149">
            <v>5</v>
          </cell>
        </row>
        <row r="150">
          <cell r="A150" t="str">
            <v>A761</v>
          </cell>
          <cell r="B150" t="str">
            <v>Nguyễn Nhật Trường</v>
          </cell>
          <cell r="C150" t="str">
            <v>EN</v>
          </cell>
          <cell r="D150" t="str">
            <v>Kỹ thuật</v>
          </cell>
          <cell r="E150" t="str">
            <v>T5/16</v>
          </cell>
          <cell r="F150">
            <v>23</v>
          </cell>
          <cell r="G150" t="str">
            <v>B</v>
          </cell>
          <cell r="H150" t="str">
            <v>4.VII</v>
          </cell>
          <cell r="I150">
            <v>5390</v>
          </cell>
          <cell r="J150">
            <v>1610</v>
          </cell>
          <cell r="K150">
            <v>7000</v>
          </cell>
          <cell r="L150">
            <v>5390</v>
          </cell>
          <cell r="M150">
            <v>1890</v>
          </cell>
          <cell r="N150">
            <v>7280</v>
          </cell>
          <cell r="O150">
            <v>4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9</v>
          </cell>
          <cell r="U150">
            <v>2</v>
          </cell>
          <cell r="V150">
            <v>15</v>
          </cell>
          <cell r="W150">
            <v>36</v>
          </cell>
          <cell r="X150">
            <v>12</v>
          </cell>
          <cell r="Y150">
            <v>0</v>
          </cell>
          <cell r="Z150">
            <v>32</v>
          </cell>
          <cell r="AA150">
            <v>352</v>
          </cell>
          <cell r="AB150">
            <v>0</v>
          </cell>
          <cell r="AC150">
            <v>0</v>
          </cell>
          <cell r="AD150">
            <v>2000000</v>
          </cell>
          <cell r="AE150">
            <v>5</v>
          </cell>
          <cell r="AF150">
            <v>0</v>
          </cell>
          <cell r="AG150">
            <v>22</v>
          </cell>
          <cell r="AH150">
            <v>150</v>
          </cell>
          <cell r="AI150">
            <v>4</v>
          </cell>
        </row>
        <row r="151">
          <cell r="A151" t="str">
            <v>A764</v>
          </cell>
          <cell r="B151" t="str">
            <v>Văn Đình Thành</v>
          </cell>
          <cell r="C151" t="str">
            <v>CD</v>
          </cell>
          <cell r="D151" t="str">
            <v>Kỹ thuật</v>
          </cell>
          <cell r="E151" t="str">
            <v>T6/16</v>
          </cell>
          <cell r="F151">
            <v>22</v>
          </cell>
          <cell r="G151" t="str">
            <v>B</v>
          </cell>
          <cell r="H151" t="str">
            <v>5.VI</v>
          </cell>
          <cell r="I151">
            <v>4880</v>
          </cell>
          <cell r="J151">
            <v>3120</v>
          </cell>
          <cell r="K151">
            <v>8000</v>
          </cell>
          <cell r="L151">
            <v>4880</v>
          </cell>
          <cell r="M151">
            <v>3280</v>
          </cell>
          <cell r="N151">
            <v>8160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32</v>
          </cell>
          <cell r="AA151">
            <v>0</v>
          </cell>
          <cell r="AB151">
            <v>-300</v>
          </cell>
          <cell r="AC151">
            <v>0</v>
          </cell>
          <cell r="AD151">
            <v>2000000</v>
          </cell>
          <cell r="AE151">
            <v>1.5</v>
          </cell>
          <cell r="AF151">
            <v>0</v>
          </cell>
          <cell r="AG151">
            <v>21</v>
          </cell>
          <cell r="AH151">
            <v>150</v>
          </cell>
          <cell r="AI151">
            <v>5</v>
          </cell>
        </row>
        <row r="152">
          <cell r="A152" t="str">
            <v>A771</v>
          </cell>
          <cell r="B152" t="str">
            <v>Châu Thành An</v>
          </cell>
          <cell r="C152" t="str">
            <v>CI.1</v>
          </cell>
          <cell r="D152" t="str">
            <v>Trưởng ca xi mạ</v>
          </cell>
          <cell r="E152" t="str">
            <v>T7/16</v>
          </cell>
          <cell r="F152">
            <v>21</v>
          </cell>
          <cell r="G152" t="str">
            <v>B</v>
          </cell>
          <cell r="H152" t="str">
            <v>5.I</v>
          </cell>
          <cell r="I152">
            <v>3800</v>
          </cell>
          <cell r="J152">
            <v>3200</v>
          </cell>
          <cell r="K152">
            <v>7000</v>
          </cell>
          <cell r="L152">
            <v>4436</v>
          </cell>
          <cell r="M152">
            <v>2704</v>
          </cell>
          <cell r="N152">
            <v>7140</v>
          </cell>
          <cell r="O152">
            <v>6</v>
          </cell>
          <cell r="P152">
            <v>1</v>
          </cell>
          <cell r="Q152">
            <v>0</v>
          </cell>
          <cell r="R152">
            <v>1</v>
          </cell>
          <cell r="S152">
            <v>3</v>
          </cell>
          <cell r="T152">
            <v>3</v>
          </cell>
          <cell r="U152">
            <v>0</v>
          </cell>
          <cell r="V152">
            <v>14</v>
          </cell>
          <cell r="W152">
            <v>20.5</v>
          </cell>
          <cell r="X152">
            <v>8</v>
          </cell>
          <cell r="Y152">
            <v>0</v>
          </cell>
          <cell r="Z152">
            <v>16</v>
          </cell>
          <cell r="AA152">
            <v>240</v>
          </cell>
          <cell r="AB152">
            <v>-150</v>
          </cell>
          <cell r="AC152">
            <v>0</v>
          </cell>
          <cell r="AD152">
            <v>2000000</v>
          </cell>
          <cell r="AE152">
            <v>0</v>
          </cell>
          <cell r="AF152">
            <v>0</v>
          </cell>
          <cell r="AG152">
            <v>20</v>
          </cell>
          <cell r="AH152">
            <v>150</v>
          </cell>
          <cell r="AI152">
            <v>5</v>
          </cell>
        </row>
        <row r="153">
          <cell r="A153" t="str">
            <v>A775</v>
          </cell>
          <cell r="B153" t="str">
            <v>Nguyễn Minh Trường</v>
          </cell>
          <cell r="C153" t="str">
            <v>CII.3</v>
          </cell>
          <cell r="D153" t="str">
            <v>công nhân</v>
          </cell>
          <cell r="E153" t="str">
            <v>T7/16</v>
          </cell>
          <cell r="F153">
            <v>21</v>
          </cell>
          <cell r="G153" t="str">
            <v>B</v>
          </cell>
          <cell r="H153" t="str">
            <v>8.I</v>
          </cell>
          <cell r="I153">
            <v>3500</v>
          </cell>
          <cell r="J153">
            <v>0</v>
          </cell>
          <cell r="K153">
            <v>3500</v>
          </cell>
          <cell r="L153">
            <v>4220</v>
          </cell>
          <cell r="M153">
            <v>0</v>
          </cell>
          <cell r="N153">
            <v>4220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32</v>
          </cell>
          <cell r="AA153">
            <v>0</v>
          </cell>
          <cell r="AB153">
            <v>-140</v>
          </cell>
          <cell r="AC153">
            <v>0</v>
          </cell>
          <cell r="AD153">
            <v>0</v>
          </cell>
          <cell r="AE153">
            <v>0.5</v>
          </cell>
          <cell r="AF153">
            <v>0</v>
          </cell>
          <cell r="AG153">
            <v>20</v>
          </cell>
          <cell r="AH153">
            <v>70</v>
          </cell>
          <cell r="AI153">
            <v>8</v>
          </cell>
        </row>
        <row r="154">
          <cell r="A154" t="str">
            <v>A776</v>
          </cell>
          <cell r="B154" t="str">
            <v>Nguyễn Tuấn Nhàn</v>
          </cell>
          <cell r="C154" t="str">
            <v>KHUON</v>
          </cell>
          <cell r="D154" t="str">
            <v>Kỹ thuật</v>
          </cell>
          <cell r="E154" t="str">
            <v>T7/16</v>
          </cell>
          <cell r="F154">
            <v>21</v>
          </cell>
          <cell r="G154" t="str">
            <v>C</v>
          </cell>
          <cell r="H154" t="str">
            <v>5.III</v>
          </cell>
          <cell r="I154">
            <v>4200</v>
          </cell>
          <cell r="J154">
            <v>3300</v>
          </cell>
          <cell r="K154">
            <v>7500</v>
          </cell>
          <cell r="L154">
            <v>4436</v>
          </cell>
          <cell r="M154">
            <v>3139</v>
          </cell>
          <cell r="N154">
            <v>7575</v>
          </cell>
          <cell r="O154">
            <v>6.5</v>
          </cell>
          <cell r="P154">
            <v>0</v>
          </cell>
          <cell r="Q154">
            <v>0</v>
          </cell>
          <cell r="R154">
            <v>0</v>
          </cell>
          <cell r="S154">
            <v>7</v>
          </cell>
          <cell r="T154">
            <v>0</v>
          </cell>
          <cell r="U154">
            <v>1.5</v>
          </cell>
          <cell r="V154">
            <v>15</v>
          </cell>
          <cell r="W154">
            <v>28.5</v>
          </cell>
          <cell r="X154">
            <v>4.5</v>
          </cell>
          <cell r="Y154">
            <v>0</v>
          </cell>
          <cell r="Z154">
            <v>0</v>
          </cell>
          <cell r="AA154">
            <v>216</v>
          </cell>
          <cell r="AB154">
            <v>0</v>
          </cell>
          <cell r="AC154">
            <v>0</v>
          </cell>
          <cell r="AD154">
            <v>3000000</v>
          </cell>
          <cell r="AE154">
            <v>1</v>
          </cell>
          <cell r="AF154">
            <v>0</v>
          </cell>
          <cell r="AG154">
            <v>20</v>
          </cell>
          <cell r="AH154">
            <v>150</v>
          </cell>
          <cell r="AI154">
            <v>5</v>
          </cell>
        </row>
        <row r="155">
          <cell r="A155" t="str">
            <v>A779</v>
          </cell>
          <cell r="B155" t="str">
            <v>Khưu Lọnl</v>
          </cell>
          <cell r="C155" t="str">
            <v xml:space="preserve">XLN </v>
          </cell>
          <cell r="D155" t="str">
            <v>Công Nhân</v>
          </cell>
          <cell r="E155" t="str">
            <v>T7/16</v>
          </cell>
          <cell r="F155">
            <v>21</v>
          </cell>
          <cell r="G155" t="str">
            <v>A</v>
          </cell>
          <cell r="H155" t="str">
            <v>7.I</v>
          </cell>
          <cell r="I155">
            <v>3500</v>
          </cell>
          <cell r="J155">
            <v>300</v>
          </cell>
          <cell r="K155">
            <v>3800</v>
          </cell>
          <cell r="L155">
            <v>4290</v>
          </cell>
          <cell r="M155">
            <v>0</v>
          </cell>
          <cell r="N155">
            <v>4290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96</v>
          </cell>
          <cell r="AA155">
            <v>0</v>
          </cell>
          <cell r="AB155">
            <v>-140</v>
          </cell>
          <cell r="AC155">
            <v>0</v>
          </cell>
          <cell r="AD155">
            <v>0</v>
          </cell>
          <cell r="AE155">
            <v>5</v>
          </cell>
          <cell r="AF155">
            <v>0</v>
          </cell>
          <cell r="AG155">
            <v>20</v>
          </cell>
          <cell r="AH155">
            <v>70</v>
          </cell>
          <cell r="AI155">
            <v>7</v>
          </cell>
        </row>
        <row r="156">
          <cell r="A156" t="str">
            <v>A784</v>
          </cell>
          <cell r="B156" t="str">
            <v>Nguyễn Ngọc Tươi</v>
          </cell>
          <cell r="C156" t="str">
            <v>KHUON</v>
          </cell>
          <cell r="D156" t="str">
            <v>Kỹ thuật</v>
          </cell>
          <cell r="E156" t="str">
            <v>T8/16</v>
          </cell>
          <cell r="F156">
            <v>20</v>
          </cell>
          <cell r="G156" t="str">
            <v>A</v>
          </cell>
          <cell r="H156" t="str">
            <v>4.I</v>
          </cell>
          <cell r="I156">
            <v>4000</v>
          </cell>
          <cell r="J156">
            <v>4500</v>
          </cell>
          <cell r="K156">
            <v>8500</v>
          </cell>
          <cell r="L156">
            <v>4980</v>
          </cell>
          <cell r="M156">
            <v>4275</v>
          </cell>
          <cell r="N156">
            <v>9255</v>
          </cell>
          <cell r="O156">
            <v>13</v>
          </cell>
          <cell r="P156">
            <v>1</v>
          </cell>
          <cell r="Q156">
            <v>0</v>
          </cell>
          <cell r="R156">
            <v>0</v>
          </cell>
          <cell r="S156">
            <v>1</v>
          </cell>
          <cell r="T156">
            <v>0</v>
          </cell>
          <cell r="U156">
            <v>0</v>
          </cell>
          <cell r="V156">
            <v>15</v>
          </cell>
          <cell r="W156">
            <v>63.5</v>
          </cell>
          <cell r="X156">
            <v>15</v>
          </cell>
          <cell r="Y156">
            <v>0</v>
          </cell>
          <cell r="Z156">
            <v>0</v>
          </cell>
          <cell r="AA156">
            <v>224</v>
          </cell>
          <cell r="AB156">
            <v>0</v>
          </cell>
          <cell r="AC156">
            <v>0</v>
          </cell>
          <cell r="AD156">
            <v>0</v>
          </cell>
          <cell r="AE156">
            <v>5.5</v>
          </cell>
          <cell r="AF156">
            <v>0</v>
          </cell>
          <cell r="AG156">
            <v>19</v>
          </cell>
          <cell r="AH156">
            <v>150</v>
          </cell>
          <cell r="AI156">
            <v>4</v>
          </cell>
        </row>
        <row r="157">
          <cell r="A157" t="str">
            <v>A785</v>
          </cell>
          <cell r="B157" t="str">
            <v>Hoàng Minh Ngọc</v>
          </cell>
          <cell r="C157" t="str">
            <v>KHUON</v>
          </cell>
          <cell r="D157" t="str">
            <v>Kỹ thuật</v>
          </cell>
          <cell r="E157" t="str">
            <v>T8/16</v>
          </cell>
          <cell r="F157">
            <v>20</v>
          </cell>
          <cell r="G157" t="str">
            <v>B</v>
          </cell>
          <cell r="H157" t="str">
            <v>5.II</v>
          </cell>
          <cell r="I157">
            <v>4000</v>
          </cell>
          <cell r="J157">
            <v>3500</v>
          </cell>
          <cell r="K157">
            <v>7500</v>
          </cell>
          <cell r="L157">
            <v>4436</v>
          </cell>
          <cell r="M157">
            <v>3214</v>
          </cell>
          <cell r="N157">
            <v>7650</v>
          </cell>
          <cell r="O157">
            <v>6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9</v>
          </cell>
          <cell r="U157">
            <v>0</v>
          </cell>
          <cell r="V157">
            <v>15</v>
          </cell>
          <cell r="W157">
            <v>61</v>
          </cell>
          <cell r="X157">
            <v>12</v>
          </cell>
          <cell r="Y157">
            <v>0</v>
          </cell>
          <cell r="Z157">
            <v>16</v>
          </cell>
          <cell r="AA157">
            <v>384</v>
          </cell>
          <cell r="AB157">
            <v>0</v>
          </cell>
          <cell r="AC157">
            <v>0</v>
          </cell>
          <cell r="AD157">
            <v>2000000</v>
          </cell>
          <cell r="AE157">
            <v>4.5</v>
          </cell>
          <cell r="AF157">
            <v>0</v>
          </cell>
          <cell r="AG157">
            <v>19</v>
          </cell>
          <cell r="AH157">
            <v>150</v>
          </cell>
          <cell r="AI157">
            <v>5</v>
          </cell>
        </row>
        <row r="158">
          <cell r="A158" t="str">
            <v>A788</v>
          </cell>
          <cell r="B158" t="str">
            <v>Mai Vủ Khanh</v>
          </cell>
          <cell r="C158" t="str">
            <v>CI.1</v>
          </cell>
          <cell r="D158" t="str">
            <v>Công nhân</v>
          </cell>
          <cell r="E158" t="str">
            <v>T8/16</v>
          </cell>
          <cell r="F158">
            <v>20</v>
          </cell>
          <cell r="G158" t="str">
            <v>B</v>
          </cell>
          <cell r="H158" t="str">
            <v>8.I</v>
          </cell>
          <cell r="I158">
            <v>3500</v>
          </cell>
          <cell r="J158">
            <v>0</v>
          </cell>
          <cell r="K158">
            <v>3500</v>
          </cell>
          <cell r="L158">
            <v>4220</v>
          </cell>
          <cell r="M158">
            <v>0</v>
          </cell>
          <cell r="N158">
            <v>4220</v>
          </cell>
          <cell r="O158">
            <v>2</v>
          </cell>
          <cell r="P158">
            <v>0</v>
          </cell>
          <cell r="Q158">
            <v>0</v>
          </cell>
          <cell r="R158">
            <v>0</v>
          </cell>
          <cell r="S158">
            <v>7</v>
          </cell>
          <cell r="T158">
            <v>3</v>
          </cell>
          <cell r="U158">
            <v>1</v>
          </cell>
          <cell r="V158">
            <v>13</v>
          </cell>
          <cell r="W158">
            <v>16</v>
          </cell>
          <cell r="X158">
            <v>4</v>
          </cell>
          <cell r="Y158">
            <v>0</v>
          </cell>
          <cell r="Z158">
            <v>16</v>
          </cell>
          <cell r="AA158">
            <v>240</v>
          </cell>
          <cell r="AB158">
            <v>0</v>
          </cell>
          <cell r="AC158">
            <v>0</v>
          </cell>
          <cell r="AD158">
            <v>0</v>
          </cell>
          <cell r="AE158">
            <v>1</v>
          </cell>
          <cell r="AF158">
            <v>0</v>
          </cell>
          <cell r="AG158">
            <v>19</v>
          </cell>
          <cell r="AH158">
            <v>70</v>
          </cell>
          <cell r="AI158">
            <v>8</v>
          </cell>
        </row>
        <row r="159">
          <cell r="A159" t="str">
            <v>A791</v>
          </cell>
          <cell r="B159" t="str">
            <v>Nguyễn Văn Nhân</v>
          </cell>
          <cell r="C159" t="str">
            <v>Kho</v>
          </cell>
          <cell r="D159" t="str">
            <v xml:space="preserve">Tài xế </v>
          </cell>
          <cell r="E159" t="str">
            <v>T8/16</v>
          </cell>
          <cell r="F159">
            <v>20</v>
          </cell>
          <cell r="G159" t="str">
            <v>B</v>
          </cell>
          <cell r="H159" t="str">
            <v>9.IV</v>
          </cell>
          <cell r="I159">
            <v>5220</v>
          </cell>
          <cell r="J159">
            <v>2280</v>
          </cell>
          <cell r="K159">
            <v>7500</v>
          </cell>
          <cell r="L159">
            <v>5920</v>
          </cell>
          <cell r="M159">
            <v>1730</v>
          </cell>
          <cell r="N159">
            <v>7650</v>
          </cell>
          <cell r="O159">
            <v>15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15</v>
          </cell>
          <cell r="W159">
            <v>41.5</v>
          </cell>
          <cell r="X159">
            <v>14</v>
          </cell>
          <cell r="Y159">
            <v>0</v>
          </cell>
          <cell r="Z159">
            <v>0</v>
          </cell>
          <cell r="AA159">
            <v>240</v>
          </cell>
          <cell r="AB159">
            <v>0</v>
          </cell>
          <cell r="AC159">
            <v>0</v>
          </cell>
          <cell r="AD159">
            <v>0</v>
          </cell>
          <cell r="AE159">
            <v>5.5</v>
          </cell>
          <cell r="AF159">
            <v>0</v>
          </cell>
          <cell r="AG159">
            <v>19</v>
          </cell>
          <cell r="AH159">
            <v>70</v>
          </cell>
          <cell r="AI159">
            <v>9</v>
          </cell>
        </row>
        <row r="160">
          <cell r="A160" t="str">
            <v>A793</v>
          </cell>
          <cell r="B160" t="str">
            <v>Nguyễn Thành Ngộ</v>
          </cell>
          <cell r="C160" t="str">
            <v>CD</v>
          </cell>
          <cell r="D160" t="str">
            <v>Nhân viên bảo trì</v>
          </cell>
          <cell r="E160" t="str">
            <v>T8/16</v>
          </cell>
          <cell r="F160">
            <v>20</v>
          </cell>
          <cell r="G160" t="str">
            <v>A</v>
          </cell>
          <cell r="H160" t="str">
            <v>5.IV</v>
          </cell>
          <cell r="I160">
            <v>4410</v>
          </cell>
          <cell r="J160">
            <v>2590</v>
          </cell>
          <cell r="K160">
            <v>7000</v>
          </cell>
          <cell r="L160">
            <v>4436</v>
          </cell>
          <cell r="M160">
            <v>2774</v>
          </cell>
          <cell r="N160">
            <v>7210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-140</v>
          </cell>
          <cell r="AC160">
            <v>0</v>
          </cell>
          <cell r="AD160">
            <v>1000000</v>
          </cell>
          <cell r="AE160">
            <v>0</v>
          </cell>
          <cell r="AF160">
            <v>0</v>
          </cell>
          <cell r="AG160">
            <v>19</v>
          </cell>
          <cell r="AH160">
            <v>70</v>
          </cell>
          <cell r="AI160">
            <v>5</v>
          </cell>
        </row>
        <row r="161">
          <cell r="A161" t="str">
            <v>A797</v>
          </cell>
          <cell r="B161" t="str">
            <v>Trần Quan Phúc</v>
          </cell>
          <cell r="C161" t="str">
            <v>QCX</v>
          </cell>
          <cell r="D161" t="str">
            <v>Công nhân</v>
          </cell>
          <cell r="E161" t="str">
            <v>T8/16</v>
          </cell>
          <cell r="F161">
            <v>20</v>
          </cell>
          <cell r="G161">
            <v>0</v>
          </cell>
          <cell r="H161" t="str">
            <v>8.I</v>
          </cell>
          <cell r="I161">
            <v>3900</v>
          </cell>
          <cell r="J161">
            <v>0</v>
          </cell>
          <cell r="K161">
            <v>3900</v>
          </cell>
          <cell r="L161">
            <v>4220</v>
          </cell>
          <cell r="M161">
            <v>0</v>
          </cell>
          <cell r="N161">
            <v>4220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8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-140</v>
          </cell>
          <cell r="AC161">
            <v>0</v>
          </cell>
          <cell r="AD161">
            <v>0</v>
          </cell>
          <cell r="AE161">
            <v>8</v>
          </cell>
          <cell r="AF161">
            <v>0</v>
          </cell>
          <cell r="AG161">
            <v>19</v>
          </cell>
          <cell r="AH161">
            <v>70</v>
          </cell>
          <cell r="AI161">
            <v>8</v>
          </cell>
        </row>
        <row r="162">
          <cell r="A162" t="str">
            <v>A799</v>
          </cell>
          <cell r="B162" t="str">
            <v>Trần Minh Trung</v>
          </cell>
          <cell r="C162" t="str">
            <v>CII.4</v>
          </cell>
          <cell r="D162" t="str">
            <v>quản lý ca - xi mạ</v>
          </cell>
          <cell r="E162" t="str">
            <v>T9/16</v>
          </cell>
          <cell r="F162">
            <v>19</v>
          </cell>
          <cell r="G162" t="str">
            <v>B</v>
          </cell>
          <cell r="H162" t="str">
            <v>5.I</v>
          </cell>
          <cell r="I162">
            <v>3800</v>
          </cell>
          <cell r="J162">
            <v>2700</v>
          </cell>
          <cell r="K162">
            <v>6500</v>
          </cell>
          <cell r="L162">
            <v>4436</v>
          </cell>
          <cell r="M162">
            <v>2194</v>
          </cell>
          <cell r="N162">
            <v>6630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32</v>
          </cell>
          <cell r="AA162">
            <v>0</v>
          </cell>
          <cell r="AB162">
            <v>-300</v>
          </cell>
          <cell r="AC162">
            <v>0</v>
          </cell>
          <cell r="AD162">
            <v>2000000</v>
          </cell>
          <cell r="AE162">
            <v>4.5</v>
          </cell>
          <cell r="AF162">
            <v>0</v>
          </cell>
          <cell r="AG162">
            <v>18</v>
          </cell>
          <cell r="AH162">
            <v>150</v>
          </cell>
          <cell r="AI162">
            <v>5</v>
          </cell>
        </row>
        <row r="163">
          <cell r="A163" t="str">
            <v>A800</v>
          </cell>
          <cell r="B163" t="str">
            <v>Trần Hoàng Thắng</v>
          </cell>
          <cell r="C163" t="str">
            <v>Gián tiếp</v>
          </cell>
          <cell r="D163" t="str">
            <v>IT</v>
          </cell>
          <cell r="E163" t="str">
            <v>T9/16</v>
          </cell>
          <cell r="F163">
            <v>19</v>
          </cell>
          <cell r="G163" t="str">
            <v>A</v>
          </cell>
          <cell r="H163" t="str">
            <v>3.I</v>
          </cell>
          <cell r="I163">
            <v>4800</v>
          </cell>
          <cell r="J163">
            <v>9200</v>
          </cell>
          <cell r="K163">
            <v>14000</v>
          </cell>
          <cell r="L163">
            <v>6125</v>
          </cell>
          <cell r="M163">
            <v>8295</v>
          </cell>
          <cell r="N163">
            <v>14420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-300</v>
          </cell>
          <cell r="AC163">
            <v>0</v>
          </cell>
          <cell r="AD163">
            <v>0</v>
          </cell>
          <cell r="AE163">
            <v>2.5</v>
          </cell>
          <cell r="AF163">
            <v>0</v>
          </cell>
          <cell r="AG163">
            <v>18</v>
          </cell>
          <cell r="AH163">
            <v>150</v>
          </cell>
          <cell r="AI163">
            <v>3</v>
          </cell>
        </row>
        <row r="164">
          <cell r="A164" t="str">
            <v>A801</v>
          </cell>
          <cell r="B164" t="str">
            <v>Trần Sớt</v>
          </cell>
          <cell r="C164" t="str">
            <v>CI.1</v>
          </cell>
          <cell r="D164" t="str">
            <v>Quản lý ca xi mạ</v>
          </cell>
          <cell r="E164" t="str">
            <v>T9/16</v>
          </cell>
          <cell r="F164">
            <v>19</v>
          </cell>
          <cell r="G164" t="str">
            <v>B</v>
          </cell>
          <cell r="H164" t="str">
            <v>5.I</v>
          </cell>
          <cell r="I164">
            <v>3800</v>
          </cell>
          <cell r="J164">
            <v>2700</v>
          </cell>
          <cell r="K164">
            <v>6500</v>
          </cell>
          <cell r="L164">
            <v>4436</v>
          </cell>
          <cell r="M164">
            <v>2194</v>
          </cell>
          <cell r="N164">
            <v>6630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16</v>
          </cell>
          <cell r="AA164">
            <v>0</v>
          </cell>
          <cell r="AB164">
            <v>-300</v>
          </cell>
          <cell r="AC164">
            <v>0</v>
          </cell>
          <cell r="AD164">
            <v>2000000</v>
          </cell>
          <cell r="AE164">
            <v>0</v>
          </cell>
          <cell r="AF164">
            <v>0</v>
          </cell>
          <cell r="AG164">
            <v>18</v>
          </cell>
          <cell r="AH164">
            <v>150</v>
          </cell>
          <cell r="AI164">
            <v>5</v>
          </cell>
        </row>
        <row r="165">
          <cell r="A165" t="str">
            <v>A802</v>
          </cell>
          <cell r="B165" t="str">
            <v>Nguyễn Thái Phát</v>
          </cell>
          <cell r="C165" t="str">
            <v>CII.3</v>
          </cell>
          <cell r="D165" t="str">
            <v>công nhân</v>
          </cell>
          <cell r="E165" t="str">
            <v>T9/16</v>
          </cell>
          <cell r="F165">
            <v>19</v>
          </cell>
          <cell r="G165" t="str">
            <v>B</v>
          </cell>
          <cell r="H165" t="str">
            <v>7.I</v>
          </cell>
          <cell r="I165">
            <v>3500</v>
          </cell>
          <cell r="J165">
            <v>200</v>
          </cell>
          <cell r="K165">
            <v>3700</v>
          </cell>
          <cell r="L165">
            <v>4290</v>
          </cell>
          <cell r="M165">
            <v>0</v>
          </cell>
          <cell r="N165">
            <v>4290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32</v>
          </cell>
          <cell r="AA165">
            <v>0</v>
          </cell>
          <cell r="AB165">
            <v>-140</v>
          </cell>
          <cell r="AC165">
            <v>0</v>
          </cell>
          <cell r="AD165">
            <v>1000000</v>
          </cell>
          <cell r="AE165">
            <v>0</v>
          </cell>
          <cell r="AF165">
            <v>0</v>
          </cell>
          <cell r="AG165">
            <v>18</v>
          </cell>
          <cell r="AH165">
            <v>70</v>
          </cell>
          <cell r="AI165">
            <v>7</v>
          </cell>
        </row>
        <row r="166">
          <cell r="A166" t="str">
            <v>A804</v>
          </cell>
          <cell r="B166" t="str">
            <v>Nguyễn Văn Chúc  Đang</v>
          </cell>
          <cell r="C166" t="str">
            <v>CII.4</v>
          </cell>
          <cell r="D166" t="str">
            <v>công nhân</v>
          </cell>
          <cell r="E166" t="str">
            <v>T9/16</v>
          </cell>
          <cell r="F166">
            <v>19</v>
          </cell>
          <cell r="G166" t="str">
            <v>A</v>
          </cell>
          <cell r="H166" t="str">
            <v>7.I</v>
          </cell>
          <cell r="I166">
            <v>3500</v>
          </cell>
          <cell r="J166">
            <v>200</v>
          </cell>
          <cell r="K166">
            <v>3700</v>
          </cell>
          <cell r="L166">
            <v>4290</v>
          </cell>
          <cell r="M166">
            <v>0</v>
          </cell>
          <cell r="N166">
            <v>4290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32</v>
          </cell>
          <cell r="AA166">
            <v>0</v>
          </cell>
          <cell r="AB166">
            <v>-140</v>
          </cell>
          <cell r="AC166">
            <v>0</v>
          </cell>
          <cell r="AD166">
            <v>2000000</v>
          </cell>
          <cell r="AE166">
            <v>0</v>
          </cell>
          <cell r="AF166">
            <v>0</v>
          </cell>
          <cell r="AG166">
            <v>18</v>
          </cell>
          <cell r="AH166">
            <v>70</v>
          </cell>
          <cell r="AI166">
            <v>7</v>
          </cell>
        </row>
        <row r="167">
          <cell r="A167" t="str">
            <v>A806</v>
          </cell>
          <cell r="B167" t="str">
            <v>Trần Nguyễn Thanh Duy</v>
          </cell>
          <cell r="C167" t="str">
            <v>CII.4</v>
          </cell>
          <cell r="D167" t="str">
            <v>Công nhân</v>
          </cell>
          <cell r="E167" t="str">
            <v>T10/16</v>
          </cell>
          <cell r="F167">
            <v>18</v>
          </cell>
          <cell r="G167" t="str">
            <v>A</v>
          </cell>
          <cell r="H167" t="str">
            <v>7.I</v>
          </cell>
          <cell r="I167">
            <v>3500</v>
          </cell>
          <cell r="J167">
            <v>200</v>
          </cell>
          <cell r="K167">
            <v>3700</v>
          </cell>
          <cell r="L167">
            <v>4290</v>
          </cell>
          <cell r="M167">
            <v>0</v>
          </cell>
          <cell r="N167">
            <v>4290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32</v>
          </cell>
          <cell r="AA167">
            <v>0</v>
          </cell>
          <cell r="AB167">
            <v>-140</v>
          </cell>
          <cell r="AC167">
            <v>90.090000000000032</v>
          </cell>
          <cell r="AD167">
            <v>2000000</v>
          </cell>
          <cell r="AE167">
            <v>3</v>
          </cell>
          <cell r="AF167">
            <v>0</v>
          </cell>
          <cell r="AG167">
            <v>17</v>
          </cell>
          <cell r="AH167">
            <v>70</v>
          </cell>
          <cell r="AI167">
            <v>7</v>
          </cell>
        </row>
        <row r="168">
          <cell r="A168" t="str">
            <v>A807</v>
          </cell>
          <cell r="B168" t="str">
            <v>Nguyễn Văn Lơn</v>
          </cell>
          <cell r="C168" t="str">
            <v>CD</v>
          </cell>
          <cell r="D168" t="str">
            <v>Kỹ thuật</v>
          </cell>
          <cell r="E168" t="str">
            <v>T10/16</v>
          </cell>
          <cell r="F168">
            <v>18</v>
          </cell>
          <cell r="G168" t="str">
            <v>A</v>
          </cell>
          <cell r="H168" t="str">
            <v>4.VII</v>
          </cell>
          <cell r="I168">
            <v>5390</v>
          </cell>
          <cell r="J168">
            <v>1610</v>
          </cell>
          <cell r="K168">
            <v>7000</v>
          </cell>
          <cell r="L168">
            <v>5900</v>
          </cell>
          <cell r="M168">
            <v>1310</v>
          </cell>
          <cell r="N168">
            <v>7210</v>
          </cell>
          <cell r="O168">
            <v>15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15</v>
          </cell>
          <cell r="W168">
            <v>79</v>
          </cell>
          <cell r="X168">
            <v>12</v>
          </cell>
          <cell r="Y168">
            <v>0</v>
          </cell>
          <cell r="Z168">
            <v>32</v>
          </cell>
          <cell r="AA168">
            <v>240</v>
          </cell>
          <cell r="AB168">
            <v>0</v>
          </cell>
          <cell r="AC168">
            <v>0</v>
          </cell>
          <cell r="AD168">
            <v>0</v>
          </cell>
          <cell r="AE168">
            <v>7</v>
          </cell>
          <cell r="AF168">
            <v>0</v>
          </cell>
          <cell r="AG168">
            <v>17</v>
          </cell>
          <cell r="AH168">
            <v>150</v>
          </cell>
          <cell r="AI168">
            <v>4</v>
          </cell>
        </row>
        <row r="169">
          <cell r="A169" t="str">
            <v>A808</v>
          </cell>
          <cell r="B169" t="str">
            <v>Nguyễn Thanh Nam</v>
          </cell>
          <cell r="C169" t="str">
            <v>CII.4</v>
          </cell>
          <cell r="D169" t="str">
            <v>Công Nhân</v>
          </cell>
          <cell r="E169" t="str">
            <v>T10/16</v>
          </cell>
          <cell r="F169">
            <v>18</v>
          </cell>
          <cell r="G169" t="str">
            <v>A</v>
          </cell>
          <cell r="H169" t="str">
            <v>7.I</v>
          </cell>
          <cell r="I169">
            <v>3500</v>
          </cell>
          <cell r="J169">
            <v>200</v>
          </cell>
          <cell r="K169">
            <v>3700</v>
          </cell>
          <cell r="L169">
            <v>4290</v>
          </cell>
          <cell r="M169">
            <v>0</v>
          </cell>
          <cell r="N169">
            <v>4290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64</v>
          </cell>
          <cell r="AA169">
            <v>0</v>
          </cell>
          <cell r="AB169">
            <v>-140</v>
          </cell>
          <cell r="AC169">
            <v>0</v>
          </cell>
          <cell r="AD169">
            <v>2000000</v>
          </cell>
          <cell r="AE169">
            <v>10.5</v>
          </cell>
          <cell r="AF169">
            <v>2</v>
          </cell>
          <cell r="AG169">
            <v>17</v>
          </cell>
          <cell r="AH169">
            <v>70</v>
          </cell>
          <cell r="AI169">
            <v>7</v>
          </cell>
        </row>
        <row r="170">
          <cell r="A170" t="str">
            <v>A809</v>
          </cell>
          <cell r="B170" t="str">
            <v>Phạm Đình Tấn Phát</v>
          </cell>
          <cell r="C170" t="str">
            <v>CII.1</v>
          </cell>
          <cell r="D170" t="str">
            <v>Kỹ thuật</v>
          </cell>
          <cell r="E170" t="str">
            <v>T10/16</v>
          </cell>
          <cell r="F170">
            <v>18</v>
          </cell>
          <cell r="G170" t="str">
            <v>A</v>
          </cell>
          <cell r="H170" t="str">
            <v>5.I</v>
          </cell>
          <cell r="I170">
            <v>3800</v>
          </cell>
          <cell r="J170">
            <v>2700</v>
          </cell>
          <cell r="K170">
            <v>6500</v>
          </cell>
          <cell r="L170">
            <v>4436</v>
          </cell>
          <cell r="M170">
            <v>2259</v>
          </cell>
          <cell r="N170">
            <v>6695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32</v>
          </cell>
          <cell r="AA170">
            <v>0</v>
          </cell>
          <cell r="AB170">
            <v>-300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17</v>
          </cell>
          <cell r="AH170">
            <v>150</v>
          </cell>
          <cell r="AI170">
            <v>5</v>
          </cell>
        </row>
        <row r="171">
          <cell r="A171" t="str">
            <v>A815</v>
          </cell>
          <cell r="B171" t="str">
            <v>Nguyễn Tấn Vinh</v>
          </cell>
          <cell r="C171" t="str">
            <v>XLN</v>
          </cell>
          <cell r="D171" t="str">
            <v>nhân viên</v>
          </cell>
          <cell r="E171" t="str">
            <v>T10/16</v>
          </cell>
          <cell r="F171">
            <v>18</v>
          </cell>
          <cell r="G171" t="str">
            <v>tăng đặc biệt</v>
          </cell>
          <cell r="H171" t="str">
            <v>4.II</v>
          </cell>
          <cell r="I171">
            <v>4200</v>
          </cell>
          <cell r="J171">
            <v>2800</v>
          </cell>
          <cell r="K171">
            <v>7000</v>
          </cell>
          <cell r="L171">
            <v>4740</v>
          </cell>
          <cell r="M171">
            <v>3760</v>
          </cell>
          <cell r="N171">
            <v>8500</v>
          </cell>
          <cell r="O171">
            <v>0</v>
          </cell>
          <cell r="P171">
            <v>1</v>
          </cell>
          <cell r="Q171">
            <v>0</v>
          </cell>
          <cell r="R171">
            <v>0</v>
          </cell>
          <cell r="S171">
            <v>12</v>
          </cell>
          <cell r="T171">
            <v>0</v>
          </cell>
          <cell r="U171">
            <v>0</v>
          </cell>
          <cell r="V171">
            <v>13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192</v>
          </cell>
          <cell r="AB171">
            <v>-70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17</v>
          </cell>
          <cell r="AH171">
            <v>70</v>
          </cell>
          <cell r="AI171">
            <v>4</v>
          </cell>
        </row>
        <row r="172">
          <cell r="A172" t="str">
            <v>A817</v>
          </cell>
          <cell r="B172" t="str">
            <v>Nguyễn Hùng Ngọc</v>
          </cell>
          <cell r="C172" t="str">
            <v>CII.4</v>
          </cell>
          <cell r="D172" t="str">
            <v>Công nhân</v>
          </cell>
          <cell r="E172" t="str">
            <v>T10/16</v>
          </cell>
          <cell r="F172">
            <v>18</v>
          </cell>
          <cell r="G172" t="str">
            <v>B</v>
          </cell>
          <cell r="H172" t="str">
            <v>7.I</v>
          </cell>
          <cell r="I172">
            <v>3500</v>
          </cell>
          <cell r="J172">
            <v>200</v>
          </cell>
          <cell r="K172">
            <v>3700</v>
          </cell>
          <cell r="L172">
            <v>4290</v>
          </cell>
          <cell r="M172">
            <v>0</v>
          </cell>
          <cell r="N172">
            <v>4290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32</v>
          </cell>
          <cell r="AA172">
            <v>0</v>
          </cell>
          <cell r="AB172">
            <v>-140</v>
          </cell>
          <cell r="AC172">
            <v>0</v>
          </cell>
          <cell r="AD172">
            <v>2000000</v>
          </cell>
          <cell r="AE172">
            <v>1</v>
          </cell>
          <cell r="AF172">
            <v>0</v>
          </cell>
          <cell r="AG172">
            <v>17</v>
          </cell>
          <cell r="AH172">
            <v>70</v>
          </cell>
          <cell r="AI172">
            <v>7</v>
          </cell>
        </row>
        <row r="173">
          <cell r="A173" t="str">
            <v>A821</v>
          </cell>
          <cell r="B173" t="str">
            <v>Nguyễn Tuấn Vũ</v>
          </cell>
          <cell r="C173" t="str">
            <v>KHUON</v>
          </cell>
          <cell r="D173" t="str">
            <v>Kỹ thuật</v>
          </cell>
          <cell r="E173" t="str">
            <v>T11/16</v>
          </cell>
          <cell r="F173">
            <v>17</v>
          </cell>
          <cell r="G173">
            <v>0</v>
          </cell>
          <cell r="H173" t="str">
            <v>5.I</v>
          </cell>
          <cell r="I173">
            <v>4000</v>
          </cell>
          <cell r="J173">
            <v>1000</v>
          </cell>
          <cell r="K173">
            <v>5000</v>
          </cell>
          <cell r="L173">
            <v>4436</v>
          </cell>
          <cell r="M173">
            <v>1764</v>
          </cell>
          <cell r="N173">
            <v>6200</v>
          </cell>
          <cell r="O173">
            <v>13</v>
          </cell>
          <cell r="P173">
            <v>0</v>
          </cell>
          <cell r="Q173">
            <v>0</v>
          </cell>
          <cell r="R173">
            <v>0</v>
          </cell>
          <cell r="S173">
            <v>1</v>
          </cell>
          <cell r="T173">
            <v>0</v>
          </cell>
          <cell r="U173">
            <v>1</v>
          </cell>
          <cell r="V173">
            <v>15</v>
          </cell>
          <cell r="W173">
            <v>64</v>
          </cell>
          <cell r="X173">
            <v>12</v>
          </cell>
          <cell r="Y173">
            <v>0</v>
          </cell>
          <cell r="Z173">
            <v>0</v>
          </cell>
          <cell r="AA173">
            <v>224</v>
          </cell>
          <cell r="AB173">
            <v>0</v>
          </cell>
          <cell r="AC173">
            <v>0</v>
          </cell>
          <cell r="AD173">
            <v>0</v>
          </cell>
          <cell r="AE173">
            <v>2.5</v>
          </cell>
          <cell r="AF173">
            <v>0</v>
          </cell>
          <cell r="AG173">
            <v>16</v>
          </cell>
          <cell r="AH173">
            <v>150</v>
          </cell>
          <cell r="AI173">
            <v>5</v>
          </cell>
        </row>
        <row r="174">
          <cell r="A174" t="str">
            <v>A826</v>
          </cell>
          <cell r="B174" t="str">
            <v>Trần Đình Ngọ</v>
          </cell>
          <cell r="C174" t="str">
            <v>Gián tiếp</v>
          </cell>
          <cell r="D174" t="str">
            <v>Kỹ thuật</v>
          </cell>
          <cell r="E174" t="str">
            <v>T2/17</v>
          </cell>
          <cell r="F174">
            <v>14</v>
          </cell>
          <cell r="G174">
            <v>0</v>
          </cell>
          <cell r="H174" t="str">
            <v>4.II</v>
          </cell>
          <cell r="I174">
            <v>5173</v>
          </cell>
          <cell r="J174">
            <v>5010</v>
          </cell>
          <cell r="K174">
            <v>10183</v>
          </cell>
          <cell r="L174">
            <v>5173</v>
          </cell>
          <cell r="M174">
            <v>5010</v>
          </cell>
          <cell r="N174">
            <v>10183</v>
          </cell>
          <cell r="O174">
            <v>0</v>
          </cell>
          <cell r="P174">
            <v>1</v>
          </cell>
          <cell r="Q174">
            <v>0</v>
          </cell>
          <cell r="R174">
            <v>0</v>
          </cell>
          <cell r="S174">
            <v>13</v>
          </cell>
          <cell r="T174">
            <v>0</v>
          </cell>
          <cell r="U174">
            <v>1</v>
          </cell>
          <cell r="V174">
            <v>15</v>
          </cell>
          <cell r="W174">
            <v>2</v>
          </cell>
          <cell r="X174">
            <v>0</v>
          </cell>
          <cell r="Y174">
            <v>0</v>
          </cell>
          <cell r="Z174">
            <v>0</v>
          </cell>
          <cell r="AA174">
            <v>208</v>
          </cell>
          <cell r="AB174">
            <v>-150</v>
          </cell>
          <cell r="AC174">
            <v>0</v>
          </cell>
          <cell r="AD174">
            <v>0</v>
          </cell>
          <cell r="AE174">
            <v>1</v>
          </cell>
          <cell r="AF174">
            <v>0</v>
          </cell>
          <cell r="AG174">
            <v>13</v>
          </cell>
          <cell r="AH174">
            <v>150</v>
          </cell>
          <cell r="AI174">
            <v>4</v>
          </cell>
        </row>
        <row r="175">
          <cell r="A175" t="str">
            <v>A828</v>
          </cell>
          <cell r="B175" t="str">
            <v>Hồ Thái Hưng</v>
          </cell>
          <cell r="C175" t="str">
            <v>GA</v>
          </cell>
          <cell r="D175" t="str">
            <v xml:space="preserve">công nhân </v>
          </cell>
          <cell r="E175" t="str">
            <v>T2/17</v>
          </cell>
          <cell r="F175">
            <v>14</v>
          </cell>
          <cell r="G175">
            <v>0</v>
          </cell>
          <cell r="H175" t="str">
            <v>7.I</v>
          </cell>
          <cell r="I175">
            <v>3300</v>
          </cell>
          <cell r="J175">
            <v>0</v>
          </cell>
          <cell r="K175">
            <v>3300</v>
          </cell>
          <cell r="L175">
            <v>3750</v>
          </cell>
          <cell r="M175">
            <v>50</v>
          </cell>
          <cell r="N175">
            <v>3800</v>
          </cell>
          <cell r="O175">
            <v>9.5</v>
          </cell>
          <cell r="P175">
            <v>0</v>
          </cell>
          <cell r="Q175">
            <v>0</v>
          </cell>
          <cell r="R175">
            <v>0</v>
          </cell>
          <cell r="S175">
            <v>4</v>
          </cell>
          <cell r="T175">
            <v>0</v>
          </cell>
          <cell r="U175">
            <v>0.5</v>
          </cell>
          <cell r="V175">
            <v>14</v>
          </cell>
          <cell r="W175">
            <v>30.5</v>
          </cell>
          <cell r="X175">
            <v>4</v>
          </cell>
          <cell r="Y175">
            <v>0</v>
          </cell>
          <cell r="Z175">
            <v>0</v>
          </cell>
          <cell r="AA175">
            <v>216</v>
          </cell>
          <cell r="AB175">
            <v>0</v>
          </cell>
          <cell r="AC175">
            <v>0</v>
          </cell>
          <cell r="AD175">
            <v>2000000</v>
          </cell>
          <cell r="AE175">
            <v>0.5</v>
          </cell>
          <cell r="AF175">
            <v>0</v>
          </cell>
          <cell r="AG175">
            <v>13</v>
          </cell>
          <cell r="AH175">
            <v>70</v>
          </cell>
          <cell r="AI175">
            <v>7</v>
          </cell>
        </row>
        <row r="176">
          <cell r="A176" t="str">
            <v>A829</v>
          </cell>
          <cell r="B176" t="str">
            <v>Võ Thị Ngọc Giàu</v>
          </cell>
          <cell r="C176" t="str">
            <v>EN</v>
          </cell>
          <cell r="D176" t="str">
            <v xml:space="preserve">công nhân </v>
          </cell>
          <cell r="E176" t="str">
            <v>T2/17</v>
          </cell>
          <cell r="F176">
            <v>14</v>
          </cell>
          <cell r="G176">
            <v>0</v>
          </cell>
          <cell r="H176" t="str">
            <v>8.I</v>
          </cell>
          <cell r="I176">
            <v>3300</v>
          </cell>
          <cell r="J176">
            <v>0</v>
          </cell>
          <cell r="K176">
            <v>3300</v>
          </cell>
          <cell r="L176">
            <v>3750</v>
          </cell>
          <cell r="M176">
            <v>0</v>
          </cell>
          <cell r="N176">
            <v>3750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16</v>
          </cell>
          <cell r="AA176">
            <v>0</v>
          </cell>
          <cell r="AB176">
            <v>-140</v>
          </cell>
          <cell r="AC176">
            <v>0</v>
          </cell>
          <cell r="AD176">
            <v>0</v>
          </cell>
          <cell r="AE176">
            <v>4.5</v>
          </cell>
          <cell r="AF176">
            <v>0</v>
          </cell>
          <cell r="AG176">
            <v>13</v>
          </cell>
          <cell r="AH176">
            <v>70</v>
          </cell>
          <cell r="AI176">
            <v>8</v>
          </cell>
        </row>
        <row r="177">
          <cell r="A177" t="str">
            <v>A831</v>
          </cell>
          <cell r="B177" t="str">
            <v>Trần Phước Dư</v>
          </cell>
          <cell r="C177" t="str">
            <v>CII.4</v>
          </cell>
          <cell r="D177" t="str">
            <v>công nhân</v>
          </cell>
          <cell r="E177" t="str">
            <v>T2/17</v>
          </cell>
          <cell r="F177">
            <v>14</v>
          </cell>
          <cell r="G177" t="str">
            <v>A</v>
          </cell>
          <cell r="H177" t="str">
            <v>8.I</v>
          </cell>
          <cell r="I177">
            <v>3300</v>
          </cell>
          <cell r="J177">
            <v>200</v>
          </cell>
          <cell r="K177">
            <v>3500</v>
          </cell>
          <cell r="L177">
            <v>3750</v>
          </cell>
          <cell r="M177">
            <v>400</v>
          </cell>
          <cell r="N177">
            <v>4150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32</v>
          </cell>
          <cell r="AA177">
            <v>0</v>
          </cell>
          <cell r="AB177">
            <v>-140</v>
          </cell>
          <cell r="AC177">
            <v>0</v>
          </cell>
          <cell r="AD177">
            <v>2000000</v>
          </cell>
          <cell r="AE177">
            <v>1.5</v>
          </cell>
          <cell r="AF177">
            <v>0</v>
          </cell>
          <cell r="AG177">
            <v>13</v>
          </cell>
          <cell r="AH177">
            <v>70</v>
          </cell>
          <cell r="AI177">
            <v>8</v>
          </cell>
        </row>
        <row r="178">
          <cell r="A178" t="str">
            <v>A832</v>
          </cell>
          <cell r="B178" t="str">
            <v>Hoàng Văn Định</v>
          </cell>
          <cell r="C178" t="str">
            <v>CII.4</v>
          </cell>
          <cell r="D178" t="str">
            <v>công nhân</v>
          </cell>
          <cell r="E178" t="str">
            <v>T2/17</v>
          </cell>
          <cell r="F178">
            <v>14</v>
          </cell>
          <cell r="G178">
            <v>0</v>
          </cell>
          <cell r="H178" t="str">
            <v>8.I</v>
          </cell>
          <cell r="I178">
            <v>3300</v>
          </cell>
          <cell r="J178">
            <v>0</v>
          </cell>
          <cell r="K178">
            <v>3300</v>
          </cell>
          <cell r="L178">
            <v>3750</v>
          </cell>
          <cell r="M178">
            <v>0</v>
          </cell>
          <cell r="N178">
            <v>3750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16</v>
          </cell>
          <cell r="AA178">
            <v>0</v>
          </cell>
          <cell r="AB178">
            <v>-140</v>
          </cell>
          <cell r="AC178">
            <v>345.66</v>
          </cell>
          <cell r="AD178">
            <v>2000000</v>
          </cell>
          <cell r="AE178">
            <v>0</v>
          </cell>
          <cell r="AF178">
            <v>0</v>
          </cell>
          <cell r="AG178">
            <v>13</v>
          </cell>
          <cell r="AH178">
            <v>70</v>
          </cell>
          <cell r="AI178">
            <v>8</v>
          </cell>
        </row>
        <row r="179">
          <cell r="A179" t="str">
            <v>A836</v>
          </cell>
          <cell r="B179" t="str">
            <v>Nguyễn Văn Tuấn XI 1</v>
          </cell>
          <cell r="C179" t="str">
            <v>CII.1</v>
          </cell>
          <cell r="D179" t="str">
            <v>công nhân</v>
          </cell>
          <cell r="E179" t="str">
            <v>T2/17</v>
          </cell>
          <cell r="F179">
            <v>14</v>
          </cell>
          <cell r="G179">
            <v>0</v>
          </cell>
          <cell r="H179" t="str">
            <v>8.I</v>
          </cell>
          <cell r="I179">
            <v>3300</v>
          </cell>
          <cell r="J179">
            <v>0</v>
          </cell>
          <cell r="K179">
            <v>3300</v>
          </cell>
          <cell r="L179">
            <v>3750</v>
          </cell>
          <cell r="M179">
            <v>0</v>
          </cell>
          <cell r="N179">
            <v>3750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-140</v>
          </cell>
          <cell r="AC179">
            <v>345.66</v>
          </cell>
          <cell r="AD179">
            <v>2000000</v>
          </cell>
          <cell r="AE179">
            <v>2</v>
          </cell>
          <cell r="AF179">
            <v>0</v>
          </cell>
          <cell r="AG179">
            <v>13</v>
          </cell>
          <cell r="AH179">
            <v>70</v>
          </cell>
          <cell r="AI179">
            <v>8</v>
          </cell>
        </row>
        <row r="180">
          <cell r="A180" t="str">
            <v>A837</v>
          </cell>
          <cell r="B180" t="str">
            <v>Đào Đức Thịnh</v>
          </cell>
          <cell r="C180" t="str">
            <v>Gián tiếp</v>
          </cell>
          <cell r="D180" t="str">
            <v>Quản đốc Xưởng xi mạ</v>
          </cell>
          <cell r="E180" t="str">
            <v>T3/17</v>
          </cell>
          <cell r="F180">
            <v>13</v>
          </cell>
          <cell r="G180">
            <v>0</v>
          </cell>
          <cell r="H180" t="str">
            <v>3.I</v>
          </cell>
          <cell r="I180">
            <v>6125</v>
          </cell>
          <cell r="J180">
            <v>7375</v>
          </cell>
          <cell r="K180">
            <v>13500</v>
          </cell>
          <cell r="L180">
            <v>6125</v>
          </cell>
          <cell r="M180">
            <v>11875</v>
          </cell>
          <cell r="N180">
            <v>18000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2</v>
          </cell>
          <cell r="AG180">
            <v>12</v>
          </cell>
          <cell r="AH180">
            <v>0</v>
          </cell>
          <cell r="AI180">
            <v>3</v>
          </cell>
        </row>
        <row r="181">
          <cell r="A181" t="str">
            <v>A838</v>
          </cell>
          <cell r="B181" t="str">
            <v>Lê Văn Quý</v>
          </cell>
          <cell r="C181" t="str">
            <v>Gián tiếp</v>
          </cell>
          <cell r="D181" t="str">
            <v>Phó Giám đốc</v>
          </cell>
          <cell r="E181" t="str">
            <v>T3/17</v>
          </cell>
          <cell r="F181">
            <v>13</v>
          </cell>
          <cell r="G181">
            <v>0</v>
          </cell>
          <cell r="H181" t="str">
            <v>1.I</v>
          </cell>
          <cell r="I181">
            <v>15050</v>
          </cell>
          <cell r="J181">
            <v>10950</v>
          </cell>
          <cell r="K181">
            <v>26000</v>
          </cell>
          <cell r="L181">
            <v>15049.9995</v>
          </cell>
          <cell r="M181">
            <v>10950</v>
          </cell>
          <cell r="N181">
            <v>25999.999499999998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4</v>
          </cell>
          <cell r="AF181">
            <v>1</v>
          </cell>
          <cell r="AG181">
            <v>12</v>
          </cell>
          <cell r="AH181">
            <v>0</v>
          </cell>
          <cell r="AI181">
            <v>1</v>
          </cell>
        </row>
        <row r="182">
          <cell r="A182" t="str">
            <v>A839</v>
          </cell>
          <cell r="B182" t="str">
            <v>Cao Thị Hoài Nhi</v>
          </cell>
          <cell r="C182" t="str">
            <v>TN</v>
          </cell>
          <cell r="D182" t="str">
            <v>Nhân viên phòng thí nghiệm</v>
          </cell>
          <cell r="E182" t="str">
            <v>T3/17</v>
          </cell>
          <cell r="F182">
            <v>13</v>
          </cell>
          <cell r="G182">
            <v>0</v>
          </cell>
          <cell r="H182" t="str">
            <v>5.I</v>
          </cell>
          <cell r="I182">
            <v>4436</v>
          </cell>
          <cell r="J182">
            <v>564</v>
          </cell>
          <cell r="K182">
            <v>5000</v>
          </cell>
          <cell r="L182">
            <v>4436</v>
          </cell>
          <cell r="M182">
            <v>2064</v>
          </cell>
          <cell r="N182">
            <v>6500</v>
          </cell>
          <cell r="O182">
            <v>0</v>
          </cell>
          <cell r="P182">
            <v>1</v>
          </cell>
          <cell r="Q182">
            <v>0</v>
          </cell>
          <cell r="R182">
            <v>0</v>
          </cell>
          <cell r="S182">
            <v>14</v>
          </cell>
          <cell r="T182">
            <v>0</v>
          </cell>
          <cell r="U182">
            <v>0</v>
          </cell>
          <cell r="V182">
            <v>15</v>
          </cell>
          <cell r="W182">
            <v>13.5</v>
          </cell>
          <cell r="X182">
            <v>3.5</v>
          </cell>
          <cell r="Y182">
            <v>0</v>
          </cell>
          <cell r="Z182">
            <v>0</v>
          </cell>
          <cell r="AA182">
            <v>224</v>
          </cell>
          <cell r="AB182">
            <v>-150</v>
          </cell>
          <cell r="AC182">
            <v>0</v>
          </cell>
          <cell r="AD182">
            <v>0</v>
          </cell>
          <cell r="AE182">
            <v>3.5</v>
          </cell>
          <cell r="AF182">
            <v>0</v>
          </cell>
          <cell r="AG182">
            <v>12</v>
          </cell>
          <cell r="AH182">
            <v>150</v>
          </cell>
          <cell r="AI182">
            <v>5</v>
          </cell>
        </row>
        <row r="183">
          <cell r="A183" t="str">
            <v>A840</v>
          </cell>
          <cell r="B183" t="str">
            <v>Ngô Trọng Thảo</v>
          </cell>
          <cell r="C183" t="str">
            <v>CD</v>
          </cell>
          <cell r="D183" t="str">
            <v>Nhân viên Cơ điện</v>
          </cell>
          <cell r="E183" t="str">
            <v>T3/17</v>
          </cell>
          <cell r="F183">
            <v>13</v>
          </cell>
          <cell r="G183">
            <v>0</v>
          </cell>
          <cell r="H183" t="str">
            <v>5.I</v>
          </cell>
          <cell r="I183">
            <v>4436</v>
          </cell>
          <cell r="J183">
            <v>1234</v>
          </cell>
          <cell r="K183">
            <v>5670</v>
          </cell>
          <cell r="L183">
            <v>4436</v>
          </cell>
          <cell r="M183">
            <v>1864</v>
          </cell>
          <cell r="N183">
            <v>6300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16</v>
          </cell>
          <cell r="AA183">
            <v>0</v>
          </cell>
          <cell r="AB183">
            <v>-140</v>
          </cell>
          <cell r="AC183">
            <v>0</v>
          </cell>
          <cell r="AD183">
            <v>2000000</v>
          </cell>
          <cell r="AE183">
            <v>5</v>
          </cell>
          <cell r="AF183">
            <v>0</v>
          </cell>
          <cell r="AG183">
            <v>12</v>
          </cell>
          <cell r="AH183">
            <v>70</v>
          </cell>
          <cell r="AI183">
            <v>5</v>
          </cell>
        </row>
        <row r="184">
          <cell r="A184" t="str">
            <v>A842</v>
          </cell>
          <cell r="B184" t="str">
            <v>Bùi Thị Lượm</v>
          </cell>
          <cell r="C184" t="str">
            <v>QCE</v>
          </cell>
          <cell r="D184" t="str">
            <v>Công nhân QC</v>
          </cell>
          <cell r="E184" t="str">
            <v>T3/17</v>
          </cell>
          <cell r="F184">
            <v>13</v>
          </cell>
          <cell r="G184">
            <v>0</v>
          </cell>
          <cell r="H184" t="str">
            <v>8.I</v>
          </cell>
          <cell r="I184">
            <v>3500</v>
          </cell>
          <cell r="J184">
            <v>0</v>
          </cell>
          <cell r="K184">
            <v>3500</v>
          </cell>
          <cell r="L184">
            <v>3750</v>
          </cell>
          <cell r="M184">
            <v>0</v>
          </cell>
          <cell r="N184">
            <v>3750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-140</v>
          </cell>
          <cell r="AC184">
            <v>660.66000000000008</v>
          </cell>
          <cell r="AD184">
            <v>0</v>
          </cell>
          <cell r="AE184">
            <v>0.5</v>
          </cell>
          <cell r="AF184">
            <v>0</v>
          </cell>
          <cell r="AG184">
            <v>12</v>
          </cell>
          <cell r="AH184">
            <v>70</v>
          </cell>
          <cell r="AI184">
            <v>8</v>
          </cell>
        </row>
        <row r="185">
          <cell r="A185" t="str">
            <v>A843</v>
          </cell>
          <cell r="B185" t="str">
            <v>Dương Vũ Linh</v>
          </cell>
          <cell r="C185" t="str">
            <v>Gián tiếp</v>
          </cell>
          <cell r="D185" t="str">
            <v>Công nhân Phụ xi mẫu</v>
          </cell>
          <cell r="E185" t="str">
            <v>T3/17</v>
          </cell>
          <cell r="F185">
            <v>13</v>
          </cell>
          <cell r="G185">
            <v>0</v>
          </cell>
          <cell r="H185" t="str">
            <v>8.I</v>
          </cell>
          <cell r="I185">
            <v>3830</v>
          </cell>
          <cell r="J185">
            <v>0</v>
          </cell>
          <cell r="K185">
            <v>3830</v>
          </cell>
          <cell r="L185">
            <v>4220</v>
          </cell>
          <cell r="M185">
            <v>290</v>
          </cell>
          <cell r="N185">
            <v>4510</v>
          </cell>
          <cell r="O185">
            <v>0.5</v>
          </cell>
          <cell r="P185">
            <v>1</v>
          </cell>
          <cell r="Q185">
            <v>0</v>
          </cell>
          <cell r="R185">
            <v>0</v>
          </cell>
          <cell r="S185">
            <v>8</v>
          </cell>
          <cell r="T185">
            <v>0</v>
          </cell>
          <cell r="U185">
            <v>0.5</v>
          </cell>
          <cell r="V185">
            <v>10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136</v>
          </cell>
          <cell r="AB185">
            <v>-140</v>
          </cell>
          <cell r="AC185">
            <v>620.34</v>
          </cell>
          <cell r="AD185">
            <v>2000000</v>
          </cell>
          <cell r="AE185">
            <v>0.5</v>
          </cell>
          <cell r="AF185">
            <v>0</v>
          </cell>
          <cell r="AG185">
            <v>12</v>
          </cell>
          <cell r="AH185">
            <v>70</v>
          </cell>
          <cell r="AI185">
            <v>8</v>
          </cell>
        </row>
        <row r="186">
          <cell r="A186" t="str">
            <v>A844</v>
          </cell>
          <cell r="B186" t="str">
            <v>Đặng Thái Vinh</v>
          </cell>
          <cell r="C186" t="str">
            <v>KHUON</v>
          </cell>
          <cell r="D186" t="str">
            <v>Kỹ sư Thiết kế khuôn mẫu</v>
          </cell>
          <cell r="E186" t="str">
            <v>T3/17</v>
          </cell>
          <cell r="F186">
            <v>13</v>
          </cell>
          <cell r="G186">
            <v>0</v>
          </cell>
          <cell r="H186" t="str">
            <v>4.I</v>
          </cell>
          <cell r="I186">
            <v>4511</v>
          </cell>
          <cell r="J186">
            <v>1989</v>
          </cell>
          <cell r="K186">
            <v>6500</v>
          </cell>
          <cell r="L186">
            <v>4511</v>
          </cell>
          <cell r="M186">
            <v>2589</v>
          </cell>
          <cell r="N186">
            <v>7100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-300</v>
          </cell>
          <cell r="AC186">
            <v>0</v>
          </cell>
          <cell r="AD186">
            <v>3000000</v>
          </cell>
          <cell r="AE186">
            <v>1.5</v>
          </cell>
          <cell r="AF186">
            <v>0</v>
          </cell>
          <cell r="AG186">
            <v>12</v>
          </cell>
          <cell r="AH186">
            <v>150</v>
          </cell>
          <cell r="AI186">
            <v>4</v>
          </cell>
        </row>
        <row r="187">
          <cell r="A187" t="str">
            <v>A848</v>
          </cell>
          <cell r="B187" t="str">
            <v>Thị Mỹ Tho</v>
          </cell>
          <cell r="C187" t="str">
            <v>PHOI</v>
          </cell>
          <cell r="D187" t="str">
            <v>Công nhân phôi</v>
          </cell>
          <cell r="E187" t="str">
            <v>T3/17</v>
          </cell>
          <cell r="F187">
            <v>13</v>
          </cell>
          <cell r="G187">
            <v>0</v>
          </cell>
          <cell r="H187" t="str">
            <v>8.I</v>
          </cell>
          <cell r="I187">
            <v>3500</v>
          </cell>
          <cell r="J187">
            <v>0</v>
          </cell>
          <cell r="K187">
            <v>3500</v>
          </cell>
          <cell r="L187">
            <v>3750</v>
          </cell>
          <cell r="M187">
            <v>0</v>
          </cell>
          <cell r="N187">
            <v>3750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32</v>
          </cell>
          <cell r="AA187">
            <v>0</v>
          </cell>
          <cell r="AB187">
            <v>-140</v>
          </cell>
          <cell r="AC187">
            <v>660.66000000000008</v>
          </cell>
          <cell r="AD187">
            <v>0</v>
          </cell>
          <cell r="AE187">
            <v>4.5</v>
          </cell>
          <cell r="AF187">
            <v>0</v>
          </cell>
          <cell r="AG187">
            <v>12</v>
          </cell>
          <cell r="AH187">
            <v>70</v>
          </cell>
          <cell r="AI187">
            <v>8</v>
          </cell>
        </row>
        <row r="188">
          <cell r="A188" t="str">
            <v>A849</v>
          </cell>
          <cell r="B188" t="str">
            <v>Lê Thị Kim Yến</v>
          </cell>
          <cell r="C188" t="str">
            <v>EN</v>
          </cell>
          <cell r="D188" t="str">
            <v>Công nhân QC</v>
          </cell>
          <cell r="E188" t="str">
            <v>T3/17</v>
          </cell>
          <cell r="F188">
            <v>13</v>
          </cell>
          <cell r="G188">
            <v>0</v>
          </cell>
          <cell r="H188" t="str">
            <v>8.I</v>
          </cell>
          <cell r="I188">
            <v>3500</v>
          </cell>
          <cell r="K188">
            <v>3500</v>
          </cell>
          <cell r="L188">
            <v>3750</v>
          </cell>
          <cell r="M188">
            <v>0</v>
          </cell>
          <cell r="N188">
            <v>3750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32</v>
          </cell>
          <cell r="AA188">
            <v>0</v>
          </cell>
          <cell r="AB188">
            <v>-140</v>
          </cell>
          <cell r="AC188">
            <v>493.50000000000011</v>
          </cell>
          <cell r="AD188">
            <v>0</v>
          </cell>
          <cell r="AE188">
            <v>5.5</v>
          </cell>
          <cell r="AF188">
            <v>0</v>
          </cell>
          <cell r="AG188">
            <v>12</v>
          </cell>
          <cell r="AH188">
            <v>70</v>
          </cell>
          <cell r="AI188">
            <v>8</v>
          </cell>
        </row>
        <row r="189">
          <cell r="A189" t="str">
            <v>A852</v>
          </cell>
          <cell r="B189" t="str">
            <v>Nguyễn Văn Thật</v>
          </cell>
          <cell r="C189" t="str">
            <v>GA</v>
          </cell>
          <cell r="D189" t="str">
            <v>Công nhân gá</v>
          </cell>
          <cell r="E189" t="str">
            <v>T3/17</v>
          </cell>
          <cell r="F189">
            <v>13</v>
          </cell>
          <cell r="G189">
            <v>0</v>
          </cell>
          <cell r="H189" t="str">
            <v>8.I</v>
          </cell>
          <cell r="I189">
            <v>3500</v>
          </cell>
          <cell r="J189">
            <v>0</v>
          </cell>
          <cell r="K189">
            <v>3500</v>
          </cell>
          <cell r="L189">
            <v>3900</v>
          </cell>
          <cell r="M189">
            <v>0</v>
          </cell>
          <cell r="N189">
            <v>3900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-140</v>
          </cell>
          <cell r="AC189">
            <v>660.66000000000008</v>
          </cell>
          <cell r="AD189">
            <v>2000000</v>
          </cell>
          <cell r="AE189">
            <v>3</v>
          </cell>
          <cell r="AF189">
            <v>0</v>
          </cell>
          <cell r="AG189">
            <v>12</v>
          </cell>
          <cell r="AH189">
            <v>70</v>
          </cell>
          <cell r="AI189">
            <v>8</v>
          </cell>
        </row>
        <row r="190">
          <cell r="A190" t="str">
            <v>A853</v>
          </cell>
          <cell r="B190" t="str">
            <v>Nguyễn Văn Minh</v>
          </cell>
          <cell r="C190" t="str">
            <v>CII.1</v>
          </cell>
          <cell r="D190" t="str">
            <v>Công nhân gá</v>
          </cell>
          <cell r="E190" t="str">
            <v>T3/17</v>
          </cell>
          <cell r="F190">
            <v>13</v>
          </cell>
          <cell r="G190" t="str">
            <v>B</v>
          </cell>
          <cell r="H190" t="str">
            <v>8.I</v>
          </cell>
          <cell r="I190">
            <v>3500</v>
          </cell>
          <cell r="J190">
            <v>0</v>
          </cell>
          <cell r="K190">
            <v>3500</v>
          </cell>
          <cell r="L190">
            <v>3750</v>
          </cell>
          <cell r="M190">
            <v>0</v>
          </cell>
          <cell r="N190">
            <v>3750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-140</v>
          </cell>
          <cell r="AC190">
            <v>660.66000000000008</v>
          </cell>
          <cell r="AD190">
            <v>2000000</v>
          </cell>
          <cell r="AE190">
            <v>1.5</v>
          </cell>
          <cell r="AF190">
            <v>0</v>
          </cell>
          <cell r="AG190">
            <v>12</v>
          </cell>
          <cell r="AH190">
            <v>70</v>
          </cell>
          <cell r="AI190">
            <v>8</v>
          </cell>
        </row>
        <row r="191">
          <cell r="A191" t="str">
            <v>A854</v>
          </cell>
          <cell r="B191" t="str">
            <v>Nguyễn Ái Hậu</v>
          </cell>
          <cell r="C191" t="str">
            <v>KHUON</v>
          </cell>
          <cell r="D191" t="str">
            <v xml:space="preserve"> kỹ thuật Khuôn</v>
          </cell>
          <cell r="E191" t="str">
            <v>T3/17</v>
          </cell>
          <cell r="F191">
            <v>13</v>
          </cell>
          <cell r="G191">
            <v>0</v>
          </cell>
          <cell r="H191" t="str">
            <v>5.II</v>
          </cell>
          <cell r="I191">
            <v>4660</v>
          </cell>
          <cell r="J191">
            <v>2540</v>
          </cell>
          <cell r="K191">
            <v>7200</v>
          </cell>
          <cell r="L191">
            <v>4660</v>
          </cell>
          <cell r="M191">
            <v>2540</v>
          </cell>
          <cell r="N191">
            <v>7200</v>
          </cell>
          <cell r="O191">
            <v>10</v>
          </cell>
          <cell r="P191">
            <v>0</v>
          </cell>
          <cell r="Q191">
            <v>0</v>
          </cell>
          <cell r="R191">
            <v>0</v>
          </cell>
          <cell r="S191">
            <v>5</v>
          </cell>
          <cell r="T191">
            <v>0</v>
          </cell>
          <cell r="U191">
            <v>0</v>
          </cell>
          <cell r="V191">
            <v>15</v>
          </cell>
          <cell r="W191">
            <v>48</v>
          </cell>
          <cell r="X191">
            <v>4.5</v>
          </cell>
          <cell r="Y191">
            <v>0</v>
          </cell>
          <cell r="Z191">
            <v>0</v>
          </cell>
          <cell r="AA191">
            <v>240</v>
          </cell>
          <cell r="AB191">
            <v>0</v>
          </cell>
          <cell r="AC191">
            <v>0</v>
          </cell>
          <cell r="AD191">
            <v>0</v>
          </cell>
          <cell r="AE191">
            <v>2</v>
          </cell>
          <cell r="AF191">
            <v>0</v>
          </cell>
          <cell r="AG191">
            <v>12</v>
          </cell>
          <cell r="AH191">
            <v>150</v>
          </cell>
          <cell r="AI191">
            <v>5</v>
          </cell>
        </row>
        <row r="192">
          <cell r="A192" t="str">
            <v>A855</v>
          </cell>
          <cell r="B192" t="str">
            <v>Nguyễn Phương Đạt</v>
          </cell>
          <cell r="C192" t="str">
            <v>CI.1</v>
          </cell>
          <cell r="D192" t="str">
            <v>Công nhân</v>
          </cell>
          <cell r="E192" t="str">
            <v>T3/17</v>
          </cell>
          <cell r="F192">
            <v>13</v>
          </cell>
          <cell r="G192">
            <v>0</v>
          </cell>
          <cell r="H192" t="str">
            <v>8.I</v>
          </cell>
          <cell r="I192">
            <v>3500</v>
          </cell>
          <cell r="J192">
            <v>0</v>
          </cell>
          <cell r="K192">
            <v>3500</v>
          </cell>
          <cell r="L192">
            <v>3750</v>
          </cell>
          <cell r="M192">
            <v>0</v>
          </cell>
          <cell r="N192">
            <v>3750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-140</v>
          </cell>
          <cell r="AC192">
            <v>493.5</v>
          </cell>
          <cell r="AD192">
            <v>0</v>
          </cell>
          <cell r="AE192">
            <v>0</v>
          </cell>
          <cell r="AF192">
            <v>0</v>
          </cell>
          <cell r="AG192">
            <v>12</v>
          </cell>
          <cell r="AH192">
            <v>70</v>
          </cell>
          <cell r="AI192">
            <v>8</v>
          </cell>
        </row>
        <row r="193">
          <cell r="A193" t="str">
            <v>A858</v>
          </cell>
          <cell r="B193" t="str">
            <v>Huỳnh Ngọc Độ</v>
          </cell>
          <cell r="C193" t="str">
            <v>GA</v>
          </cell>
          <cell r="D193" t="str">
            <v>Công nhân sơn in</v>
          </cell>
          <cell r="E193" t="str">
            <v>T4/17</v>
          </cell>
          <cell r="F193">
            <v>12</v>
          </cell>
          <cell r="G193">
            <v>0</v>
          </cell>
          <cell r="H193" t="str">
            <v>8.I</v>
          </cell>
          <cell r="I193">
            <v>3500</v>
          </cell>
          <cell r="J193">
            <v>0</v>
          </cell>
          <cell r="K193">
            <v>3500</v>
          </cell>
          <cell r="L193">
            <v>4220</v>
          </cell>
          <cell r="M193">
            <v>0</v>
          </cell>
          <cell r="N193">
            <v>4220</v>
          </cell>
          <cell r="O193">
            <v>9</v>
          </cell>
          <cell r="P193">
            <v>0</v>
          </cell>
          <cell r="Q193">
            <v>0</v>
          </cell>
          <cell r="R193">
            <v>0</v>
          </cell>
          <cell r="S193">
            <v>4</v>
          </cell>
          <cell r="T193">
            <v>0</v>
          </cell>
          <cell r="U193">
            <v>2</v>
          </cell>
          <cell r="V193">
            <v>15</v>
          </cell>
          <cell r="W193">
            <v>38.5</v>
          </cell>
          <cell r="X193">
            <v>8</v>
          </cell>
          <cell r="Y193">
            <v>0</v>
          </cell>
          <cell r="Z193">
            <v>16</v>
          </cell>
          <cell r="AA193">
            <v>208</v>
          </cell>
          <cell r="AB193">
            <v>0</v>
          </cell>
          <cell r="AC193">
            <v>620.34</v>
          </cell>
          <cell r="AD193">
            <v>2000000</v>
          </cell>
          <cell r="AE193">
            <v>1</v>
          </cell>
          <cell r="AF193">
            <v>0</v>
          </cell>
          <cell r="AG193">
            <v>11</v>
          </cell>
          <cell r="AH193">
            <v>70</v>
          </cell>
          <cell r="AI193">
            <v>8</v>
          </cell>
        </row>
        <row r="194">
          <cell r="A194" t="str">
            <v>A860</v>
          </cell>
          <cell r="B194" t="str">
            <v>Nguyễn Ngọc Tâm</v>
          </cell>
          <cell r="C194" t="str">
            <v>CII.3</v>
          </cell>
          <cell r="D194" t="str">
            <v xml:space="preserve">Công nhân xi mạ </v>
          </cell>
          <cell r="E194" t="str">
            <v>T4/17</v>
          </cell>
          <cell r="F194">
            <v>12</v>
          </cell>
          <cell r="G194">
            <v>0</v>
          </cell>
          <cell r="H194" t="str">
            <v>8.I</v>
          </cell>
          <cell r="I194">
            <v>3500</v>
          </cell>
          <cell r="J194">
            <v>0</v>
          </cell>
          <cell r="K194">
            <v>3500</v>
          </cell>
          <cell r="L194">
            <v>3750</v>
          </cell>
          <cell r="M194">
            <v>0</v>
          </cell>
          <cell r="N194">
            <v>3750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16</v>
          </cell>
          <cell r="AA194">
            <v>0</v>
          </cell>
          <cell r="AB194">
            <v>-140</v>
          </cell>
          <cell r="AC194">
            <v>660.66000000000008</v>
          </cell>
          <cell r="AD194">
            <v>1000000</v>
          </cell>
          <cell r="AE194">
            <v>1</v>
          </cell>
          <cell r="AF194">
            <v>0</v>
          </cell>
          <cell r="AG194">
            <v>11</v>
          </cell>
          <cell r="AH194">
            <v>70</v>
          </cell>
          <cell r="AI194">
            <v>8</v>
          </cell>
        </row>
        <row r="195">
          <cell r="A195" t="str">
            <v>A861</v>
          </cell>
          <cell r="B195" t="str">
            <v>Nguyễn Thanh Quốc Dương</v>
          </cell>
          <cell r="C195" t="str">
            <v>CI.1</v>
          </cell>
          <cell r="D195" t="str">
            <v xml:space="preserve">Công nhân xi mạ </v>
          </cell>
          <cell r="E195" t="str">
            <v>T4/17</v>
          </cell>
          <cell r="F195">
            <v>12</v>
          </cell>
          <cell r="G195">
            <v>0</v>
          </cell>
          <cell r="H195" t="str">
            <v>8.I</v>
          </cell>
          <cell r="I195">
            <v>3500</v>
          </cell>
          <cell r="J195">
            <v>0</v>
          </cell>
          <cell r="K195">
            <v>3500</v>
          </cell>
          <cell r="L195">
            <v>4259</v>
          </cell>
          <cell r="M195">
            <v>241</v>
          </cell>
          <cell r="N195">
            <v>4500</v>
          </cell>
          <cell r="O195">
            <v>14</v>
          </cell>
          <cell r="P195">
            <v>1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15</v>
          </cell>
          <cell r="W195">
            <v>68.5</v>
          </cell>
          <cell r="X195">
            <v>10</v>
          </cell>
          <cell r="Y195">
            <v>0</v>
          </cell>
          <cell r="Z195">
            <v>0</v>
          </cell>
          <cell r="AA195">
            <v>224</v>
          </cell>
          <cell r="AB195">
            <v>0</v>
          </cell>
          <cell r="AC195">
            <v>613.78800000000001</v>
          </cell>
          <cell r="AD195">
            <v>0</v>
          </cell>
          <cell r="AE195">
            <v>4.5</v>
          </cell>
          <cell r="AF195">
            <v>0</v>
          </cell>
          <cell r="AG195">
            <v>11</v>
          </cell>
          <cell r="AH195">
            <v>70</v>
          </cell>
          <cell r="AI195">
            <v>8</v>
          </cell>
        </row>
        <row r="196">
          <cell r="A196" t="str">
            <v>A862</v>
          </cell>
          <cell r="B196" t="str">
            <v>Trần Thị Mỹ Loan</v>
          </cell>
          <cell r="C196" t="str">
            <v>CII.4</v>
          </cell>
          <cell r="D196" t="str">
            <v xml:space="preserve">Công nhân xi mạ </v>
          </cell>
          <cell r="E196" t="str">
            <v>T4/17</v>
          </cell>
          <cell r="F196">
            <v>12</v>
          </cell>
          <cell r="G196">
            <v>0</v>
          </cell>
          <cell r="H196" t="str">
            <v>8.I</v>
          </cell>
          <cell r="I196">
            <v>3500</v>
          </cell>
          <cell r="J196">
            <v>0</v>
          </cell>
          <cell r="K196">
            <v>3500</v>
          </cell>
          <cell r="L196">
            <v>3750</v>
          </cell>
          <cell r="M196">
            <v>0</v>
          </cell>
          <cell r="N196">
            <v>3750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48</v>
          </cell>
          <cell r="AA196">
            <v>0</v>
          </cell>
          <cell r="AB196">
            <v>-140</v>
          </cell>
          <cell r="AC196">
            <v>660.66000000000008</v>
          </cell>
          <cell r="AD196">
            <v>2000000</v>
          </cell>
          <cell r="AE196">
            <v>2</v>
          </cell>
          <cell r="AF196">
            <v>0</v>
          </cell>
          <cell r="AG196">
            <v>11</v>
          </cell>
          <cell r="AH196">
            <v>70</v>
          </cell>
          <cell r="AI196">
            <v>8</v>
          </cell>
        </row>
        <row r="197">
          <cell r="A197" t="str">
            <v>A864</v>
          </cell>
          <cell r="B197" t="str">
            <v>Trần Hoàng Vũ</v>
          </cell>
          <cell r="C197" t="str">
            <v>CI.1</v>
          </cell>
          <cell r="D197" t="str">
            <v xml:space="preserve">Công nhân xi mạ </v>
          </cell>
          <cell r="E197" t="str">
            <v>T4/17</v>
          </cell>
          <cell r="F197">
            <v>12</v>
          </cell>
          <cell r="G197">
            <v>0</v>
          </cell>
          <cell r="H197" t="str">
            <v>8.I</v>
          </cell>
          <cell r="I197">
            <v>3500</v>
          </cell>
          <cell r="J197">
            <v>0</v>
          </cell>
          <cell r="K197">
            <v>3500</v>
          </cell>
          <cell r="L197">
            <v>3750</v>
          </cell>
          <cell r="M197">
            <v>0</v>
          </cell>
          <cell r="N197">
            <v>3750</v>
          </cell>
          <cell r="O197">
            <v>2</v>
          </cell>
          <cell r="P197">
            <v>0</v>
          </cell>
          <cell r="Q197">
            <v>0</v>
          </cell>
          <cell r="R197">
            <v>0</v>
          </cell>
          <cell r="S197">
            <v>6</v>
          </cell>
          <cell r="T197">
            <v>3</v>
          </cell>
          <cell r="U197">
            <v>3</v>
          </cell>
          <cell r="V197">
            <v>14</v>
          </cell>
          <cell r="W197">
            <v>16</v>
          </cell>
          <cell r="X197">
            <v>4</v>
          </cell>
          <cell r="Y197">
            <v>0</v>
          </cell>
          <cell r="Z197">
            <v>16</v>
          </cell>
          <cell r="AA197">
            <v>224</v>
          </cell>
          <cell r="AB197">
            <v>0</v>
          </cell>
          <cell r="AC197">
            <v>660.66000000000008</v>
          </cell>
          <cell r="AD197">
            <v>2000000</v>
          </cell>
          <cell r="AE197">
            <v>3.5</v>
          </cell>
          <cell r="AF197">
            <v>0</v>
          </cell>
          <cell r="AG197">
            <v>11</v>
          </cell>
          <cell r="AH197">
            <v>70</v>
          </cell>
          <cell r="AI197">
            <v>8</v>
          </cell>
        </row>
        <row r="198">
          <cell r="A198" t="str">
            <v>A865</v>
          </cell>
          <cell r="B198" t="str">
            <v>Võ Trọng Thịnh</v>
          </cell>
          <cell r="C198" t="str">
            <v>CII.4</v>
          </cell>
          <cell r="D198" t="str">
            <v xml:space="preserve">Công nhân xi mạ </v>
          </cell>
          <cell r="E198" t="str">
            <v>T4/17</v>
          </cell>
          <cell r="F198">
            <v>12</v>
          </cell>
          <cell r="G198">
            <v>0</v>
          </cell>
          <cell r="H198" t="str">
            <v>8.I</v>
          </cell>
          <cell r="I198">
            <v>3500</v>
          </cell>
          <cell r="J198">
            <v>0</v>
          </cell>
          <cell r="K198">
            <v>3500</v>
          </cell>
          <cell r="L198">
            <v>3750</v>
          </cell>
          <cell r="M198">
            <v>0</v>
          </cell>
          <cell r="N198">
            <v>3750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-140</v>
          </cell>
          <cell r="AC198">
            <v>660.66000000000008</v>
          </cell>
          <cell r="AD198">
            <v>2000000</v>
          </cell>
          <cell r="AE198">
            <v>0.5</v>
          </cell>
          <cell r="AF198">
            <v>0</v>
          </cell>
          <cell r="AG198">
            <v>11</v>
          </cell>
          <cell r="AH198">
            <v>70</v>
          </cell>
          <cell r="AI198">
            <v>8</v>
          </cell>
        </row>
        <row r="199">
          <cell r="A199" t="str">
            <v>A867</v>
          </cell>
          <cell r="B199" t="str">
            <v>Đoàn Văn Lý</v>
          </cell>
          <cell r="C199" t="str">
            <v>PHOI</v>
          </cell>
          <cell r="D199" t="str">
            <v>Công nhân ép nhựa</v>
          </cell>
          <cell r="E199" t="str">
            <v>T4/17</v>
          </cell>
          <cell r="F199">
            <v>12</v>
          </cell>
          <cell r="G199">
            <v>0</v>
          </cell>
          <cell r="H199" t="str">
            <v>8.I</v>
          </cell>
          <cell r="I199">
            <v>3500</v>
          </cell>
          <cell r="J199">
            <v>0</v>
          </cell>
          <cell r="K199">
            <v>3500</v>
          </cell>
          <cell r="L199">
            <v>3750</v>
          </cell>
          <cell r="M199">
            <v>0</v>
          </cell>
          <cell r="N199">
            <v>3750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-140</v>
          </cell>
          <cell r="AC199">
            <v>994.98000000000013</v>
          </cell>
          <cell r="AD199">
            <v>0</v>
          </cell>
          <cell r="AE199">
            <v>4</v>
          </cell>
          <cell r="AF199">
            <v>0</v>
          </cell>
          <cell r="AG199">
            <v>11</v>
          </cell>
          <cell r="AH199">
            <v>70</v>
          </cell>
          <cell r="AI199">
            <v>8</v>
          </cell>
        </row>
        <row r="200">
          <cell r="A200" t="str">
            <v>A869</v>
          </cell>
          <cell r="B200" t="str">
            <v>Nguyễn Văn Xuân</v>
          </cell>
          <cell r="C200" t="str">
            <v>EN</v>
          </cell>
          <cell r="D200" t="str">
            <v>Công nhân ép nhựa</v>
          </cell>
          <cell r="E200" t="str">
            <v>T4/17</v>
          </cell>
          <cell r="F200">
            <v>12</v>
          </cell>
          <cell r="G200">
            <v>0</v>
          </cell>
          <cell r="H200" t="str">
            <v>8.I</v>
          </cell>
          <cell r="I200">
            <v>3500</v>
          </cell>
          <cell r="J200">
            <v>0</v>
          </cell>
          <cell r="K200">
            <v>3500</v>
          </cell>
          <cell r="L200">
            <v>3750</v>
          </cell>
          <cell r="M200">
            <v>0</v>
          </cell>
          <cell r="N200">
            <v>3750</v>
          </cell>
          <cell r="O200">
            <v>5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8</v>
          </cell>
          <cell r="U200">
            <v>2</v>
          </cell>
          <cell r="V200">
            <v>15</v>
          </cell>
          <cell r="W200">
            <v>44</v>
          </cell>
          <cell r="X200">
            <v>8</v>
          </cell>
          <cell r="Y200">
            <v>0</v>
          </cell>
          <cell r="Z200">
            <v>0</v>
          </cell>
          <cell r="AA200">
            <v>336</v>
          </cell>
          <cell r="AB200">
            <v>0</v>
          </cell>
          <cell r="AC200">
            <v>660.66000000000008</v>
          </cell>
          <cell r="AD200">
            <v>2000000</v>
          </cell>
          <cell r="AE200">
            <v>4.5</v>
          </cell>
          <cell r="AF200">
            <v>0</v>
          </cell>
          <cell r="AG200">
            <v>11</v>
          </cell>
          <cell r="AH200">
            <v>70</v>
          </cell>
          <cell r="AI200">
            <v>8</v>
          </cell>
        </row>
        <row r="201">
          <cell r="A201" t="str">
            <v>A870</v>
          </cell>
          <cell r="B201" t="str">
            <v>Đoàn Thị Thương</v>
          </cell>
          <cell r="C201" t="str">
            <v>QCX</v>
          </cell>
          <cell r="D201" t="str">
            <v xml:space="preserve">Công nhân QC </v>
          </cell>
          <cell r="E201" t="str">
            <v>T4/17</v>
          </cell>
          <cell r="F201">
            <v>12</v>
          </cell>
          <cell r="G201">
            <v>0</v>
          </cell>
          <cell r="H201" t="str">
            <v>8.I</v>
          </cell>
          <cell r="I201">
            <v>3500</v>
          </cell>
          <cell r="J201">
            <v>0</v>
          </cell>
          <cell r="K201">
            <v>3500</v>
          </cell>
          <cell r="L201">
            <v>3750</v>
          </cell>
          <cell r="M201">
            <v>0</v>
          </cell>
          <cell r="N201">
            <v>3750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16</v>
          </cell>
          <cell r="AA201">
            <v>0</v>
          </cell>
          <cell r="AB201">
            <v>-140</v>
          </cell>
          <cell r="AC201">
            <v>660.66000000000008</v>
          </cell>
          <cell r="AD201">
            <v>0</v>
          </cell>
          <cell r="AE201">
            <v>0</v>
          </cell>
          <cell r="AF201">
            <v>0</v>
          </cell>
          <cell r="AG201">
            <v>11</v>
          </cell>
          <cell r="AH201">
            <v>70</v>
          </cell>
          <cell r="AI201">
            <v>8</v>
          </cell>
        </row>
        <row r="202">
          <cell r="A202" t="str">
            <v>A871</v>
          </cell>
          <cell r="B202" t="str">
            <v>Trần Thanh An</v>
          </cell>
          <cell r="C202" t="str">
            <v>EN</v>
          </cell>
          <cell r="D202" t="str">
            <v>Công nhân nguội</v>
          </cell>
          <cell r="E202" t="str">
            <v>T4/17</v>
          </cell>
          <cell r="F202">
            <v>12</v>
          </cell>
          <cell r="G202">
            <v>0</v>
          </cell>
          <cell r="H202" t="str">
            <v>8.I</v>
          </cell>
          <cell r="I202">
            <v>3500</v>
          </cell>
          <cell r="J202">
            <v>0</v>
          </cell>
          <cell r="K202">
            <v>3500</v>
          </cell>
          <cell r="L202">
            <v>3750</v>
          </cell>
          <cell r="M202">
            <v>0</v>
          </cell>
          <cell r="N202">
            <v>3750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-140</v>
          </cell>
          <cell r="AC202">
            <v>660.66000000000008</v>
          </cell>
          <cell r="AD202">
            <v>0</v>
          </cell>
          <cell r="AE202">
            <v>0.5</v>
          </cell>
          <cell r="AF202">
            <v>0</v>
          </cell>
          <cell r="AG202">
            <v>11</v>
          </cell>
          <cell r="AH202">
            <v>70</v>
          </cell>
          <cell r="AI202">
            <v>8</v>
          </cell>
        </row>
        <row r="203">
          <cell r="A203" t="str">
            <v>A872</v>
          </cell>
          <cell r="B203" t="str">
            <v>Bùi Văn Cảnh</v>
          </cell>
          <cell r="C203" t="str">
            <v>EN</v>
          </cell>
          <cell r="D203" t="str">
            <v>Công nhân ép nhựa</v>
          </cell>
          <cell r="E203" t="str">
            <v>T4/17</v>
          </cell>
          <cell r="F203">
            <v>12</v>
          </cell>
          <cell r="G203">
            <v>0</v>
          </cell>
          <cell r="H203" t="str">
            <v>8.I</v>
          </cell>
          <cell r="I203">
            <v>3500</v>
          </cell>
          <cell r="J203">
            <v>0</v>
          </cell>
          <cell r="K203">
            <v>3500</v>
          </cell>
          <cell r="L203">
            <v>3750</v>
          </cell>
          <cell r="M203">
            <v>0</v>
          </cell>
          <cell r="N203">
            <v>3750</v>
          </cell>
          <cell r="O203">
            <v>6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9</v>
          </cell>
          <cell r="U203">
            <v>0</v>
          </cell>
          <cell r="V203">
            <v>15</v>
          </cell>
          <cell r="W203">
            <v>48</v>
          </cell>
          <cell r="X203">
            <v>12</v>
          </cell>
          <cell r="Y203">
            <v>0</v>
          </cell>
          <cell r="Z203">
            <v>16</v>
          </cell>
          <cell r="AA203">
            <v>384</v>
          </cell>
          <cell r="AB203">
            <v>0</v>
          </cell>
          <cell r="AC203">
            <v>660.66000000000008</v>
          </cell>
          <cell r="AD203">
            <v>2000000</v>
          </cell>
          <cell r="AE203">
            <v>2.5</v>
          </cell>
          <cell r="AF203">
            <v>0</v>
          </cell>
          <cell r="AG203">
            <v>11</v>
          </cell>
          <cell r="AH203">
            <v>70</v>
          </cell>
          <cell r="AI203">
            <v>8</v>
          </cell>
        </row>
        <row r="204">
          <cell r="A204" t="str">
            <v>A875</v>
          </cell>
          <cell r="B204" t="str">
            <v>Lê Văn Đồng</v>
          </cell>
          <cell r="C204" t="str">
            <v>CI.1</v>
          </cell>
          <cell r="D204" t="str">
            <v xml:space="preserve">Công nhân xi mạ </v>
          </cell>
          <cell r="E204" t="str">
            <v>T4/17</v>
          </cell>
          <cell r="F204">
            <v>12</v>
          </cell>
          <cell r="G204">
            <v>0</v>
          </cell>
          <cell r="H204" t="str">
            <v>8.I</v>
          </cell>
          <cell r="I204">
            <v>3500</v>
          </cell>
          <cell r="J204">
            <v>0</v>
          </cell>
          <cell r="K204">
            <v>3500</v>
          </cell>
          <cell r="L204">
            <v>3750</v>
          </cell>
          <cell r="M204">
            <v>0</v>
          </cell>
          <cell r="N204">
            <v>3750</v>
          </cell>
          <cell r="O204">
            <v>2</v>
          </cell>
          <cell r="P204">
            <v>0</v>
          </cell>
          <cell r="Q204">
            <v>0</v>
          </cell>
          <cell r="R204">
            <v>1</v>
          </cell>
          <cell r="S204">
            <v>8</v>
          </cell>
          <cell r="T204">
            <v>3</v>
          </cell>
          <cell r="U204">
            <v>0</v>
          </cell>
          <cell r="V204">
            <v>14</v>
          </cell>
          <cell r="W204">
            <v>16</v>
          </cell>
          <cell r="X204">
            <v>4</v>
          </cell>
          <cell r="Y204">
            <v>0</v>
          </cell>
          <cell r="Z204">
            <v>16</v>
          </cell>
          <cell r="AA204">
            <v>256</v>
          </cell>
          <cell r="AB204">
            <v>0</v>
          </cell>
          <cell r="AC204">
            <v>660.66000000000008</v>
          </cell>
          <cell r="AD204">
            <v>2000000</v>
          </cell>
          <cell r="AE204">
            <v>0</v>
          </cell>
          <cell r="AF204">
            <v>0</v>
          </cell>
          <cell r="AG204">
            <v>11</v>
          </cell>
          <cell r="AH204">
            <v>70</v>
          </cell>
          <cell r="AI204">
            <v>8</v>
          </cell>
        </row>
        <row r="205">
          <cell r="A205" t="str">
            <v>A877</v>
          </cell>
          <cell r="B205" t="str">
            <v>Bùi Văn Kiệt</v>
          </cell>
          <cell r="C205" t="str">
            <v>CI.1</v>
          </cell>
          <cell r="D205" t="str">
            <v xml:space="preserve">Công nhân xi mạ </v>
          </cell>
          <cell r="E205" t="str">
            <v>T4/17</v>
          </cell>
          <cell r="F205">
            <v>12</v>
          </cell>
          <cell r="G205">
            <v>0</v>
          </cell>
          <cell r="H205" t="str">
            <v>8.I</v>
          </cell>
          <cell r="I205">
            <v>3500</v>
          </cell>
          <cell r="J205">
            <v>0</v>
          </cell>
          <cell r="K205">
            <v>3500</v>
          </cell>
          <cell r="L205">
            <v>3750</v>
          </cell>
          <cell r="M205">
            <v>0</v>
          </cell>
          <cell r="N205">
            <v>3750</v>
          </cell>
          <cell r="O205">
            <v>2</v>
          </cell>
          <cell r="P205">
            <v>0</v>
          </cell>
          <cell r="Q205">
            <v>0</v>
          </cell>
          <cell r="R205">
            <v>0</v>
          </cell>
          <cell r="S205">
            <v>6</v>
          </cell>
          <cell r="T205">
            <v>3</v>
          </cell>
          <cell r="U205">
            <v>1</v>
          </cell>
          <cell r="V205">
            <v>12</v>
          </cell>
          <cell r="W205">
            <v>16</v>
          </cell>
          <cell r="X205">
            <v>4</v>
          </cell>
          <cell r="Y205">
            <v>0</v>
          </cell>
          <cell r="Z205">
            <v>16</v>
          </cell>
          <cell r="AA205">
            <v>224</v>
          </cell>
          <cell r="AB205">
            <v>-70</v>
          </cell>
          <cell r="AC205">
            <v>660.66000000000008</v>
          </cell>
          <cell r="AD205">
            <v>0</v>
          </cell>
          <cell r="AE205">
            <v>1</v>
          </cell>
          <cell r="AF205">
            <v>0</v>
          </cell>
          <cell r="AG205">
            <v>11</v>
          </cell>
          <cell r="AH205">
            <v>70</v>
          </cell>
          <cell r="AI205">
            <v>8</v>
          </cell>
        </row>
        <row r="206">
          <cell r="A206" t="str">
            <v>A882</v>
          </cell>
          <cell r="B206" t="str">
            <v>Ngô Minh Hiếu</v>
          </cell>
          <cell r="C206" t="str">
            <v>EN</v>
          </cell>
          <cell r="D206" t="str">
            <v>Công nhân nguội</v>
          </cell>
          <cell r="E206" t="str">
            <v>T4/17</v>
          </cell>
          <cell r="F206">
            <v>12</v>
          </cell>
          <cell r="G206">
            <v>0</v>
          </cell>
          <cell r="H206" t="str">
            <v>8.I</v>
          </cell>
          <cell r="I206">
            <v>3500</v>
          </cell>
          <cell r="J206">
            <v>0</v>
          </cell>
          <cell r="K206">
            <v>3500</v>
          </cell>
          <cell r="L206">
            <v>3750</v>
          </cell>
          <cell r="M206">
            <v>0</v>
          </cell>
          <cell r="N206">
            <v>3750</v>
          </cell>
          <cell r="O206">
            <v>6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7</v>
          </cell>
          <cell r="U206">
            <v>2</v>
          </cell>
          <cell r="V206">
            <v>15</v>
          </cell>
          <cell r="W206">
            <v>40</v>
          </cell>
          <cell r="X206">
            <v>12</v>
          </cell>
          <cell r="Y206">
            <v>0</v>
          </cell>
          <cell r="Z206">
            <v>0</v>
          </cell>
          <cell r="AA206">
            <v>320</v>
          </cell>
          <cell r="AB206">
            <v>0</v>
          </cell>
          <cell r="AC206">
            <v>911.39999999999986</v>
          </cell>
          <cell r="AD206">
            <v>2000000</v>
          </cell>
          <cell r="AE206">
            <v>7</v>
          </cell>
          <cell r="AF206">
            <v>0</v>
          </cell>
          <cell r="AG206">
            <v>11</v>
          </cell>
          <cell r="AH206">
            <v>70</v>
          </cell>
          <cell r="AI206">
            <v>8</v>
          </cell>
        </row>
        <row r="207">
          <cell r="A207" t="str">
            <v>A883</v>
          </cell>
          <cell r="B207" t="str">
            <v>Lê Thanh Truyền</v>
          </cell>
          <cell r="C207" t="str">
            <v>EN</v>
          </cell>
          <cell r="D207" t="str">
            <v>Công nhân ép nhựa</v>
          </cell>
          <cell r="E207" t="str">
            <v>T4/17</v>
          </cell>
          <cell r="F207">
            <v>12</v>
          </cell>
          <cell r="G207">
            <v>0</v>
          </cell>
          <cell r="H207" t="str">
            <v>8.I</v>
          </cell>
          <cell r="I207">
            <v>3500</v>
          </cell>
          <cell r="J207">
            <v>0</v>
          </cell>
          <cell r="K207">
            <v>3500</v>
          </cell>
          <cell r="L207">
            <v>3750</v>
          </cell>
          <cell r="M207">
            <v>0</v>
          </cell>
          <cell r="N207">
            <v>3750</v>
          </cell>
          <cell r="O207">
            <v>7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6</v>
          </cell>
          <cell r="U207">
            <v>2</v>
          </cell>
          <cell r="V207">
            <v>15</v>
          </cell>
          <cell r="W207">
            <v>44</v>
          </cell>
          <cell r="X207">
            <v>8</v>
          </cell>
          <cell r="Y207">
            <v>0</v>
          </cell>
          <cell r="Z207">
            <v>0</v>
          </cell>
          <cell r="AA207">
            <v>304</v>
          </cell>
          <cell r="AB207">
            <v>0</v>
          </cell>
          <cell r="AC207">
            <v>911.39999999999986</v>
          </cell>
          <cell r="AD207">
            <v>2000000</v>
          </cell>
          <cell r="AE207">
            <v>8</v>
          </cell>
          <cell r="AF207">
            <v>0</v>
          </cell>
          <cell r="AG207">
            <v>11</v>
          </cell>
          <cell r="AH207">
            <v>70</v>
          </cell>
          <cell r="AI207">
            <v>8</v>
          </cell>
        </row>
        <row r="208">
          <cell r="A208" t="str">
            <v>A884</v>
          </cell>
          <cell r="B208" t="str">
            <v>Lâm Văn Thật</v>
          </cell>
          <cell r="C208" t="str">
            <v>CI.1</v>
          </cell>
          <cell r="D208" t="str">
            <v>Công nhân Gá</v>
          </cell>
          <cell r="E208" t="str">
            <v>T4/17</v>
          </cell>
          <cell r="F208">
            <v>12</v>
          </cell>
          <cell r="G208">
            <v>0</v>
          </cell>
          <cell r="H208" t="str">
            <v>8.I</v>
          </cell>
          <cell r="I208">
            <v>3500</v>
          </cell>
          <cell r="J208">
            <v>0</v>
          </cell>
          <cell r="K208">
            <v>3500</v>
          </cell>
          <cell r="L208">
            <v>3750</v>
          </cell>
          <cell r="M208">
            <v>0</v>
          </cell>
          <cell r="N208">
            <v>3750</v>
          </cell>
          <cell r="O208">
            <v>5</v>
          </cell>
          <cell r="P208">
            <v>0</v>
          </cell>
          <cell r="Q208">
            <v>0</v>
          </cell>
          <cell r="R208">
            <v>0</v>
          </cell>
          <cell r="S208">
            <v>2</v>
          </cell>
          <cell r="T208">
            <v>0</v>
          </cell>
          <cell r="U208">
            <v>2</v>
          </cell>
          <cell r="V208">
            <v>9</v>
          </cell>
          <cell r="W208">
            <v>16</v>
          </cell>
          <cell r="X208">
            <v>4</v>
          </cell>
          <cell r="Y208">
            <v>0</v>
          </cell>
          <cell r="Z208">
            <v>0</v>
          </cell>
          <cell r="AA208">
            <v>112</v>
          </cell>
          <cell r="AB208">
            <v>-70</v>
          </cell>
          <cell r="AC208">
            <v>911.39999999999986</v>
          </cell>
          <cell r="AD208">
            <v>0</v>
          </cell>
          <cell r="AE208">
            <v>2</v>
          </cell>
          <cell r="AF208">
            <v>0</v>
          </cell>
          <cell r="AG208">
            <v>11</v>
          </cell>
          <cell r="AH208">
            <v>70</v>
          </cell>
          <cell r="AI208">
            <v>8</v>
          </cell>
        </row>
        <row r="209">
          <cell r="A209" t="str">
            <v>A886</v>
          </cell>
          <cell r="B209" t="str">
            <v>Nguyễn Thị Nhi</v>
          </cell>
          <cell r="C209" t="str">
            <v>CI.1</v>
          </cell>
          <cell r="D209" t="str">
            <v xml:space="preserve">Công nhân xi mạ </v>
          </cell>
          <cell r="E209" t="str">
            <v>T4/17</v>
          </cell>
          <cell r="F209">
            <v>12</v>
          </cell>
          <cell r="G209">
            <v>0</v>
          </cell>
          <cell r="H209" t="str">
            <v>8.I</v>
          </cell>
          <cell r="I209">
            <v>3500</v>
          </cell>
          <cell r="J209">
            <v>0</v>
          </cell>
          <cell r="K209">
            <v>3500</v>
          </cell>
          <cell r="L209">
            <v>3750</v>
          </cell>
          <cell r="M209">
            <v>0</v>
          </cell>
          <cell r="N209">
            <v>3750</v>
          </cell>
          <cell r="O209">
            <v>2</v>
          </cell>
          <cell r="P209">
            <v>0</v>
          </cell>
          <cell r="Q209">
            <v>0</v>
          </cell>
          <cell r="R209">
            <v>0</v>
          </cell>
          <cell r="S209">
            <v>6</v>
          </cell>
          <cell r="T209">
            <v>3</v>
          </cell>
          <cell r="U209">
            <v>4</v>
          </cell>
          <cell r="V209">
            <v>15</v>
          </cell>
          <cell r="W209">
            <v>16</v>
          </cell>
          <cell r="X209">
            <v>4</v>
          </cell>
          <cell r="Y209">
            <v>0</v>
          </cell>
          <cell r="Z209">
            <v>16</v>
          </cell>
          <cell r="AA209">
            <v>224</v>
          </cell>
          <cell r="AB209">
            <v>0</v>
          </cell>
          <cell r="AC209">
            <v>911.39999999999986</v>
          </cell>
          <cell r="AD209">
            <v>2000000</v>
          </cell>
          <cell r="AE209">
            <v>4</v>
          </cell>
          <cell r="AF209">
            <v>0</v>
          </cell>
          <cell r="AG209">
            <v>11</v>
          </cell>
          <cell r="AH209">
            <v>70</v>
          </cell>
          <cell r="AI209">
            <v>8</v>
          </cell>
        </row>
        <row r="210">
          <cell r="A210" t="str">
            <v>A887</v>
          </cell>
          <cell r="B210" t="str">
            <v>Nguyễn Hồng Hạnh</v>
          </cell>
          <cell r="C210" t="str">
            <v>CII.1</v>
          </cell>
          <cell r="D210" t="str">
            <v xml:space="preserve">Công nhân xi mạ </v>
          </cell>
          <cell r="E210" t="str">
            <v>T4/17</v>
          </cell>
          <cell r="F210">
            <v>12</v>
          </cell>
          <cell r="G210">
            <v>0</v>
          </cell>
          <cell r="H210" t="str">
            <v>8.I</v>
          </cell>
          <cell r="I210">
            <v>3500</v>
          </cell>
          <cell r="J210">
            <v>0</v>
          </cell>
          <cell r="K210">
            <v>3500</v>
          </cell>
          <cell r="L210">
            <v>3750</v>
          </cell>
          <cell r="M210">
            <v>0</v>
          </cell>
          <cell r="N210">
            <v>3750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-140</v>
          </cell>
          <cell r="AC210">
            <v>911.39999999999986</v>
          </cell>
          <cell r="AD210">
            <v>2000000</v>
          </cell>
          <cell r="AE210">
            <v>1</v>
          </cell>
          <cell r="AF210">
            <v>0</v>
          </cell>
          <cell r="AG210">
            <v>11</v>
          </cell>
          <cell r="AH210">
            <v>70</v>
          </cell>
          <cell r="AI210">
            <v>8</v>
          </cell>
        </row>
        <row r="211">
          <cell r="A211" t="str">
            <v>A891</v>
          </cell>
          <cell r="B211" t="str">
            <v>Trần Duy Khánh</v>
          </cell>
          <cell r="C211" t="str">
            <v>QCX</v>
          </cell>
          <cell r="D211" t="str">
            <v xml:space="preserve">Công nhân xi mạ </v>
          </cell>
          <cell r="E211" t="str">
            <v>T4/17</v>
          </cell>
          <cell r="F211">
            <v>12</v>
          </cell>
          <cell r="G211">
            <v>0</v>
          </cell>
          <cell r="H211" t="str">
            <v>8.I</v>
          </cell>
          <cell r="I211">
            <v>3500</v>
          </cell>
          <cell r="J211">
            <v>0</v>
          </cell>
          <cell r="K211">
            <v>3500</v>
          </cell>
          <cell r="L211">
            <v>3750</v>
          </cell>
          <cell r="M211">
            <v>0</v>
          </cell>
          <cell r="N211">
            <v>3750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12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-140</v>
          </cell>
          <cell r="AC211">
            <v>911.39999999999986</v>
          </cell>
          <cell r="AD211">
            <v>0</v>
          </cell>
          <cell r="AE211">
            <v>0</v>
          </cell>
          <cell r="AF211">
            <v>0</v>
          </cell>
          <cell r="AG211">
            <v>11</v>
          </cell>
          <cell r="AH211">
            <v>70</v>
          </cell>
          <cell r="AI211">
            <v>8</v>
          </cell>
        </row>
        <row r="212">
          <cell r="A212" t="str">
            <v>A651</v>
          </cell>
          <cell r="B212" t="str">
            <v>Trần Thị Kiều Tiên</v>
          </cell>
          <cell r="C212" t="str">
            <v>CI.1</v>
          </cell>
          <cell r="D212" t="str">
            <v xml:space="preserve">Công nhân QC </v>
          </cell>
          <cell r="E212" t="str">
            <v>T11/15</v>
          </cell>
          <cell r="F212">
            <v>29</v>
          </cell>
          <cell r="G212">
            <v>0</v>
          </cell>
          <cell r="H212" t="str">
            <v>8.I</v>
          </cell>
          <cell r="I212">
            <v>3553</v>
          </cell>
          <cell r="J212">
            <v>0</v>
          </cell>
          <cell r="K212">
            <v>3553</v>
          </cell>
          <cell r="L212">
            <v>4220</v>
          </cell>
          <cell r="M212">
            <v>0</v>
          </cell>
          <cell r="N212">
            <v>4220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1</v>
          </cell>
          <cell r="T212">
            <v>0</v>
          </cell>
          <cell r="U212">
            <v>0</v>
          </cell>
          <cell r="V212">
            <v>1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16</v>
          </cell>
          <cell r="AB212">
            <v>-140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28</v>
          </cell>
          <cell r="AH212">
            <v>70</v>
          </cell>
        </row>
        <row r="213">
          <cell r="A213" t="str">
            <v>A894</v>
          </cell>
          <cell r="B213" t="str">
            <v>Nguyễn Văn Đời</v>
          </cell>
          <cell r="C213" t="str">
            <v>CII.4</v>
          </cell>
          <cell r="D213" t="str">
            <v>Công nhân</v>
          </cell>
          <cell r="E213" t="str">
            <v>T5/17</v>
          </cell>
          <cell r="F213">
            <v>11</v>
          </cell>
          <cell r="G213">
            <v>0</v>
          </cell>
          <cell r="H213" t="str">
            <v>8.I</v>
          </cell>
          <cell r="L213">
            <v>3750</v>
          </cell>
          <cell r="N213">
            <v>3750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16</v>
          </cell>
          <cell r="AA213">
            <v>0</v>
          </cell>
          <cell r="AB213">
            <v>-140</v>
          </cell>
          <cell r="AC213">
            <v>911.39999999999986</v>
          </cell>
          <cell r="AD213">
            <v>2000000</v>
          </cell>
          <cell r="AE213">
            <v>0</v>
          </cell>
          <cell r="AF213">
            <v>0</v>
          </cell>
          <cell r="AG213">
            <v>10</v>
          </cell>
          <cell r="AH213">
            <v>70</v>
          </cell>
        </row>
        <row r="214">
          <cell r="A214" t="str">
            <v>A895</v>
          </cell>
          <cell r="B214" t="str">
            <v>Phạm Thị Kim Chi</v>
          </cell>
          <cell r="C214" t="str">
            <v>CII.4</v>
          </cell>
          <cell r="D214" t="str">
            <v>Công nhân</v>
          </cell>
          <cell r="E214" t="str">
            <v>T5/17</v>
          </cell>
          <cell r="F214">
            <v>11</v>
          </cell>
          <cell r="G214">
            <v>0</v>
          </cell>
          <cell r="H214" t="str">
            <v>8.I</v>
          </cell>
          <cell r="L214">
            <v>3750</v>
          </cell>
          <cell r="N214">
            <v>3750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16</v>
          </cell>
          <cell r="AA214">
            <v>0</v>
          </cell>
          <cell r="AB214">
            <v>-140</v>
          </cell>
          <cell r="AC214">
            <v>0</v>
          </cell>
          <cell r="AD214">
            <v>1000000</v>
          </cell>
          <cell r="AE214">
            <v>5</v>
          </cell>
          <cell r="AF214">
            <v>0</v>
          </cell>
          <cell r="AG214">
            <v>10</v>
          </cell>
          <cell r="AH214">
            <v>70</v>
          </cell>
        </row>
        <row r="215">
          <cell r="A215" t="str">
            <v>A896</v>
          </cell>
          <cell r="B215" t="str">
            <v>Trần Nhật Nam</v>
          </cell>
          <cell r="C215" t="str">
            <v>CII.4</v>
          </cell>
          <cell r="D215" t="str">
            <v>Công nhân</v>
          </cell>
          <cell r="E215" t="str">
            <v>T5/17</v>
          </cell>
          <cell r="F215">
            <v>11</v>
          </cell>
          <cell r="G215">
            <v>0</v>
          </cell>
          <cell r="H215" t="str">
            <v>8.I</v>
          </cell>
          <cell r="L215">
            <v>3750</v>
          </cell>
          <cell r="N215">
            <v>3750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32</v>
          </cell>
          <cell r="AA215">
            <v>0</v>
          </cell>
          <cell r="AB215">
            <v>-140</v>
          </cell>
          <cell r="AC215">
            <v>911.39999999999986</v>
          </cell>
          <cell r="AD215">
            <v>2000000</v>
          </cell>
          <cell r="AE215">
            <v>1</v>
          </cell>
          <cell r="AF215">
            <v>0</v>
          </cell>
          <cell r="AG215">
            <v>10</v>
          </cell>
          <cell r="AH215">
            <v>70</v>
          </cell>
        </row>
        <row r="216">
          <cell r="A216" t="str">
            <v>A898</v>
          </cell>
          <cell r="B216" t="str">
            <v>Trần Trung Hiếu</v>
          </cell>
          <cell r="C216" t="str">
            <v>CII.4</v>
          </cell>
          <cell r="D216" t="str">
            <v>Công nhân</v>
          </cell>
          <cell r="E216" t="str">
            <v>T5/17</v>
          </cell>
          <cell r="F216">
            <v>11</v>
          </cell>
          <cell r="G216">
            <v>0</v>
          </cell>
          <cell r="H216" t="str">
            <v>8.I</v>
          </cell>
          <cell r="L216">
            <v>3750</v>
          </cell>
          <cell r="N216">
            <v>3750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16</v>
          </cell>
          <cell r="AA216">
            <v>0</v>
          </cell>
          <cell r="AB216">
            <v>-140</v>
          </cell>
          <cell r="AC216">
            <v>911.39999999999986</v>
          </cell>
          <cell r="AD216">
            <v>2000000</v>
          </cell>
          <cell r="AE216">
            <v>1.5</v>
          </cell>
          <cell r="AF216">
            <v>0</v>
          </cell>
          <cell r="AG216">
            <v>10</v>
          </cell>
          <cell r="AH216">
            <v>70</v>
          </cell>
        </row>
        <row r="217">
          <cell r="A217" t="str">
            <v>A899</v>
          </cell>
          <cell r="B217" t="str">
            <v>Nguyễn Văn Đương</v>
          </cell>
          <cell r="C217" t="str">
            <v>CII.1</v>
          </cell>
          <cell r="D217" t="str">
            <v>Công nhân</v>
          </cell>
          <cell r="E217" t="str">
            <v>T5/17</v>
          </cell>
          <cell r="F217">
            <v>11</v>
          </cell>
          <cell r="G217">
            <v>0</v>
          </cell>
          <cell r="H217" t="str">
            <v>8.I</v>
          </cell>
          <cell r="L217">
            <v>3750</v>
          </cell>
          <cell r="N217">
            <v>3750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80</v>
          </cell>
          <cell r="AA217">
            <v>0</v>
          </cell>
          <cell r="AB217">
            <v>-140</v>
          </cell>
          <cell r="AC217">
            <v>911.39999999999986</v>
          </cell>
          <cell r="AD217">
            <v>2000000</v>
          </cell>
          <cell r="AE217">
            <v>0</v>
          </cell>
          <cell r="AF217">
            <v>0</v>
          </cell>
          <cell r="AG217">
            <v>10</v>
          </cell>
          <cell r="AH217">
            <v>70</v>
          </cell>
        </row>
        <row r="218">
          <cell r="A218" t="str">
            <v>A902</v>
          </cell>
          <cell r="B218" t="str">
            <v>Trần Văn Tấn Dũng</v>
          </cell>
          <cell r="C218" t="str">
            <v>CII.1</v>
          </cell>
          <cell r="D218" t="str">
            <v>Công nhân</v>
          </cell>
          <cell r="E218" t="str">
            <v>T5/17</v>
          </cell>
          <cell r="F218">
            <v>11</v>
          </cell>
          <cell r="G218">
            <v>0</v>
          </cell>
          <cell r="H218" t="str">
            <v>8.I</v>
          </cell>
          <cell r="L218">
            <v>3750</v>
          </cell>
          <cell r="N218">
            <v>3750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-140</v>
          </cell>
          <cell r="AC218">
            <v>911.39999999999986</v>
          </cell>
          <cell r="AD218">
            <v>2000000</v>
          </cell>
          <cell r="AE218">
            <v>0</v>
          </cell>
          <cell r="AF218">
            <v>0</v>
          </cell>
          <cell r="AG218">
            <v>10</v>
          </cell>
          <cell r="AH218">
            <v>70</v>
          </cell>
        </row>
        <row r="219">
          <cell r="A219" t="str">
            <v>A903</v>
          </cell>
          <cell r="B219" t="str">
            <v>Nguyễn Minh Nhựt</v>
          </cell>
          <cell r="C219" t="str">
            <v>XLN</v>
          </cell>
          <cell r="D219" t="str">
            <v>Công nhân</v>
          </cell>
          <cell r="E219" t="str">
            <v>T5/17</v>
          </cell>
          <cell r="F219">
            <v>11</v>
          </cell>
          <cell r="G219">
            <v>0</v>
          </cell>
          <cell r="H219" t="str">
            <v>8.I</v>
          </cell>
          <cell r="L219">
            <v>3800</v>
          </cell>
          <cell r="N219">
            <v>3800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112</v>
          </cell>
          <cell r="AA219">
            <v>0</v>
          </cell>
          <cell r="AB219">
            <v>-140</v>
          </cell>
          <cell r="AC219">
            <v>911.39999999999986</v>
          </cell>
          <cell r="AD219">
            <v>0</v>
          </cell>
          <cell r="AE219">
            <v>7.5</v>
          </cell>
          <cell r="AF219">
            <v>0</v>
          </cell>
          <cell r="AG219">
            <v>10</v>
          </cell>
          <cell r="AH219">
            <v>70</v>
          </cell>
        </row>
        <row r="220">
          <cell r="A220" t="str">
            <v>A904</v>
          </cell>
          <cell r="B220" t="str">
            <v>Hoàng Lâm Bảo Quỳnh</v>
          </cell>
          <cell r="C220" t="str">
            <v>QCX</v>
          </cell>
          <cell r="D220" t="str">
            <v>Công nhân</v>
          </cell>
          <cell r="E220" t="str">
            <v>T5/17</v>
          </cell>
          <cell r="F220">
            <v>11</v>
          </cell>
          <cell r="G220">
            <v>0</v>
          </cell>
          <cell r="H220" t="str">
            <v>8.I</v>
          </cell>
          <cell r="L220">
            <v>3750</v>
          </cell>
          <cell r="N220">
            <v>3750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16</v>
          </cell>
          <cell r="AA220">
            <v>0</v>
          </cell>
          <cell r="AB220">
            <v>-140</v>
          </cell>
          <cell r="AC220">
            <v>911.39999999999986</v>
          </cell>
          <cell r="AD220">
            <v>2000000</v>
          </cell>
          <cell r="AE220">
            <v>0</v>
          </cell>
          <cell r="AF220">
            <v>0</v>
          </cell>
          <cell r="AG220">
            <v>10</v>
          </cell>
          <cell r="AH220">
            <v>70</v>
          </cell>
        </row>
        <row r="221">
          <cell r="A221" t="str">
            <v>A906</v>
          </cell>
          <cell r="B221" t="str">
            <v>Trần Thị Bích Luyến</v>
          </cell>
          <cell r="C221" t="str">
            <v>QCX</v>
          </cell>
          <cell r="D221" t="str">
            <v>Công nhân</v>
          </cell>
          <cell r="E221" t="str">
            <v>T5/17</v>
          </cell>
          <cell r="F221">
            <v>11</v>
          </cell>
          <cell r="G221">
            <v>0</v>
          </cell>
          <cell r="H221" t="str">
            <v>8.I</v>
          </cell>
          <cell r="L221">
            <v>3750</v>
          </cell>
          <cell r="N221">
            <v>3750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-140</v>
          </cell>
          <cell r="AC221">
            <v>692.5</v>
          </cell>
          <cell r="AD221">
            <v>0</v>
          </cell>
          <cell r="AE221">
            <v>2</v>
          </cell>
          <cell r="AF221">
            <v>0</v>
          </cell>
          <cell r="AG221">
            <v>10</v>
          </cell>
          <cell r="AH221">
            <v>70</v>
          </cell>
        </row>
        <row r="222">
          <cell r="A222" t="str">
            <v>A910</v>
          </cell>
          <cell r="B222" t="str">
            <v>Trương Ngọc Thịnh</v>
          </cell>
          <cell r="C222" t="str">
            <v>Kho</v>
          </cell>
          <cell r="D222" t="str">
            <v>Công nhân</v>
          </cell>
          <cell r="E222" t="str">
            <v>T5/17</v>
          </cell>
          <cell r="F222">
            <v>11</v>
          </cell>
          <cell r="G222">
            <v>0</v>
          </cell>
          <cell r="H222" t="str">
            <v>8.I</v>
          </cell>
          <cell r="L222">
            <v>3750</v>
          </cell>
          <cell r="M222">
            <v>1250</v>
          </cell>
          <cell r="N222">
            <v>5000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-140</v>
          </cell>
          <cell r="AC222">
            <v>692.5</v>
          </cell>
          <cell r="AD222">
            <v>2000000</v>
          </cell>
          <cell r="AE222">
            <v>1.5</v>
          </cell>
          <cell r="AF222">
            <v>0</v>
          </cell>
          <cell r="AG222">
            <v>10</v>
          </cell>
          <cell r="AH222">
            <v>70</v>
          </cell>
        </row>
        <row r="223">
          <cell r="A223" t="str">
            <v>A911</v>
          </cell>
          <cell r="B223" t="str">
            <v>Bùi Thị Lụa</v>
          </cell>
          <cell r="C223" t="str">
            <v>QCX</v>
          </cell>
          <cell r="D223" t="str">
            <v>Công nhân</v>
          </cell>
          <cell r="E223" t="str">
            <v>T5/17</v>
          </cell>
          <cell r="F223">
            <v>11</v>
          </cell>
          <cell r="G223">
            <v>0</v>
          </cell>
          <cell r="H223" t="str">
            <v>8.I</v>
          </cell>
          <cell r="L223">
            <v>3750</v>
          </cell>
          <cell r="N223">
            <v>3750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12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-140</v>
          </cell>
          <cell r="AC223">
            <v>911.39999999999986</v>
          </cell>
          <cell r="AD223">
            <v>0</v>
          </cell>
          <cell r="AE223">
            <v>5</v>
          </cell>
          <cell r="AF223">
            <v>0</v>
          </cell>
          <cell r="AG223">
            <v>10</v>
          </cell>
          <cell r="AH223">
            <v>70</v>
          </cell>
        </row>
        <row r="224">
          <cell r="A224" t="str">
            <v>A918</v>
          </cell>
          <cell r="B224" t="str">
            <v>Nguyễn Phùng Vinh</v>
          </cell>
          <cell r="C224" t="str">
            <v>TN</v>
          </cell>
          <cell r="D224" t="str">
            <v>NV thí nghiệm</v>
          </cell>
          <cell r="E224" t="str">
            <v>T5/17</v>
          </cell>
          <cell r="F224">
            <v>11</v>
          </cell>
          <cell r="G224">
            <v>0</v>
          </cell>
          <cell r="H224" t="str">
            <v>5.I</v>
          </cell>
          <cell r="L224">
            <v>4436</v>
          </cell>
          <cell r="M224">
            <v>2364</v>
          </cell>
          <cell r="N224">
            <v>6800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-300</v>
          </cell>
          <cell r="AC224">
            <v>1397.34</v>
          </cell>
          <cell r="AD224">
            <v>0</v>
          </cell>
          <cell r="AE224">
            <v>1</v>
          </cell>
          <cell r="AF224">
            <v>0</v>
          </cell>
          <cell r="AG224">
            <v>10</v>
          </cell>
          <cell r="AH224">
            <v>150</v>
          </cell>
        </row>
        <row r="225">
          <cell r="A225" t="str">
            <v>A921</v>
          </cell>
          <cell r="B225" t="str">
            <v>Nguyễn Nhựt Linh</v>
          </cell>
          <cell r="C225" t="str">
            <v>CII.1</v>
          </cell>
          <cell r="D225" t="str">
            <v>Công nhân</v>
          </cell>
          <cell r="E225" t="str">
            <v>T5/17</v>
          </cell>
          <cell r="F225">
            <v>11</v>
          </cell>
          <cell r="G225">
            <v>0</v>
          </cell>
          <cell r="H225" t="str">
            <v>8.I</v>
          </cell>
          <cell r="L225">
            <v>3750</v>
          </cell>
          <cell r="N225">
            <v>3750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16</v>
          </cell>
          <cell r="AA225">
            <v>0</v>
          </cell>
          <cell r="AB225">
            <v>-140</v>
          </cell>
          <cell r="AC225">
            <v>692.5</v>
          </cell>
          <cell r="AD225">
            <v>2000000</v>
          </cell>
          <cell r="AE225">
            <v>0</v>
          </cell>
          <cell r="AF225">
            <v>0</v>
          </cell>
          <cell r="AG225">
            <v>10</v>
          </cell>
          <cell r="AH225">
            <v>70</v>
          </cell>
        </row>
        <row r="226">
          <cell r="A226" t="str">
            <v>A922</v>
          </cell>
          <cell r="B226" t="str">
            <v>Hồ Thị Hiếu</v>
          </cell>
          <cell r="C226" t="str">
            <v>CI.1</v>
          </cell>
          <cell r="D226" t="str">
            <v>Công nhân</v>
          </cell>
          <cell r="E226" t="str">
            <v>T5/17</v>
          </cell>
          <cell r="F226">
            <v>11</v>
          </cell>
          <cell r="G226">
            <v>0</v>
          </cell>
          <cell r="H226" t="str">
            <v>8.I</v>
          </cell>
          <cell r="L226">
            <v>3750</v>
          </cell>
          <cell r="N226">
            <v>3750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1</v>
          </cell>
          <cell r="V226">
            <v>1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-140</v>
          </cell>
          <cell r="AC226">
            <v>593</v>
          </cell>
          <cell r="AD226">
            <v>2000000</v>
          </cell>
          <cell r="AE226">
            <v>1.5</v>
          </cell>
          <cell r="AF226">
            <v>0</v>
          </cell>
          <cell r="AG226">
            <v>10</v>
          </cell>
          <cell r="AH226">
            <v>70</v>
          </cell>
        </row>
        <row r="227">
          <cell r="A227" t="str">
            <v>A925</v>
          </cell>
          <cell r="B227" t="str">
            <v>Đinh Thị Thùy Dương</v>
          </cell>
          <cell r="C227" t="str">
            <v>CI.1</v>
          </cell>
          <cell r="D227" t="str">
            <v>Công nhân</v>
          </cell>
          <cell r="E227" t="str">
            <v>T5/17</v>
          </cell>
          <cell r="F227">
            <v>11</v>
          </cell>
          <cell r="G227">
            <v>0</v>
          </cell>
          <cell r="H227" t="str">
            <v>8.I</v>
          </cell>
          <cell r="L227">
            <v>3750</v>
          </cell>
          <cell r="N227">
            <v>3750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1</v>
          </cell>
          <cell r="V227">
            <v>1</v>
          </cell>
          <cell r="W227">
            <v>0</v>
          </cell>
          <cell r="X227">
            <v>0</v>
          </cell>
          <cell r="Y227">
            <v>0</v>
          </cell>
          <cell r="Z227">
            <v>16</v>
          </cell>
          <cell r="AA227">
            <v>0</v>
          </cell>
          <cell r="AB227">
            <v>-140</v>
          </cell>
          <cell r="AC227">
            <v>593</v>
          </cell>
          <cell r="AD227">
            <v>2000000</v>
          </cell>
          <cell r="AE227">
            <v>1</v>
          </cell>
          <cell r="AF227">
            <v>0</v>
          </cell>
          <cell r="AG227">
            <v>10</v>
          </cell>
          <cell r="AH227">
            <v>70</v>
          </cell>
        </row>
        <row r="228">
          <cell r="A228" t="str">
            <v>A926</v>
          </cell>
          <cell r="B228" t="str">
            <v>Bùi Anh Tâm</v>
          </cell>
          <cell r="C228" t="str">
            <v>CI.1</v>
          </cell>
          <cell r="D228" t="str">
            <v>Công nhân</v>
          </cell>
          <cell r="E228" t="str">
            <v>T5/17</v>
          </cell>
          <cell r="F228">
            <v>11</v>
          </cell>
          <cell r="G228">
            <v>0</v>
          </cell>
          <cell r="H228" t="str">
            <v>8.I</v>
          </cell>
          <cell r="L228">
            <v>3750</v>
          </cell>
          <cell r="N228">
            <v>3750</v>
          </cell>
          <cell r="O228">
            <v>7</v>
          </cell>
          <cell r="P228">
            <v>0</v>
          </cell>
          <cell r="Q228">
            <v>0</v>
          </cell>
          <cell r="R228">
            <v>0</v>
          </cell>
          <cell r="S228">
            <v>6</v>
          </cell>
          <cell r="T228">
            <v>0</v>
          </cell>
          <cell r="U228">
            <v>1</v>
          </cell>
          <cell r="V228">
            <v>14</v>
          </cell>
          <cell r="W228">
            <v>26</v>
          </cell>
          <cell r="X228">
            <v>4.5</v>
          </cell>
          <cell r="Y228">
            <v>0</v>
          </cell>
          <cell r="Z228">
            <v>0</v>
          </cell>
          <cell r="AA228">
            <v>208</v>
          </cell>
          <cell r="AB228">
            <v>0</v>
          </cell>
          <cell r="AC228">
            <v>593</v>
          </cell>
          <cell r="AD228">
            <v>2000000</v>
          </cell>
          <cell r="AE228">
            <v>1.5</v>
          </cell>
          <cell r="AF228">
            <v>0</v>
          </cell>
          <cell r="AG228">
            <v>10</v>
          </cell>
          <cell r="AH228">
            <v>70</v>
          </cell>
        </row>
        <row r="229">
          <cell r="A229" t="str">
            <v>A928</v>
          </cell>
          <cell r="B229" t="str">
            <v>Huỳnh Thị Diễm</v>
          </cell>
          <cell r="C229" t="str">
            <v>CI.1</v>
          </cell>
          <cell r="D229" t="str">
            <v>Công nhân</v>
          </cell>
          <cell r="E229" t="str">
            <v>T5/17</v>
          </cell>
          <cell r="F229">
            <v>11</v>
          </cell>
          <cell r="G229">
            <v>0</v>
          </cell>
          <cell r="H229" t="str">
            <v>8.I</v>
          </cell>
          <cell r="L229">
            <v>3750</v>
          </cell>
          <cell r="N229">
            <v>3750</v>
          </cell>
          <cell r="O229">
            <v>0</v>
          </cell>
          <cell r="P229">
            <v>0</v>
          </cell>
          <cell r="Q229">
            <v>0</v>
          </cell>
          <cell r="R229">
            <v>1</v>
          </cell>
          <cell r="S229">
            <v>0</v>
          </cell>
          <cell r="T229">
            <v>0</v>
          </cell>
          <cell r="U229">
            <v>0</v>
          </cell>
          <cell r="V229">
            <v>1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-140</v>
          </cell>
          <cell r="AC229">
            <v>593</v>
          </cell>
          <cell r="AD229">
            <v>2000000</v>
          </cell>
          <cell r="AE229">
            <v>0</v>
          </cell>
          <cell r="AF229">
            <v>0</v>
          </cell>
          <cell r="AG229">
            <v>10</v>
          </cell>
          <cell r="AH229">
            <v>70</v>
          </cell>
        </row>
        <row r="230">
          <cell r="A230" t="str">
            <v>A929</v>
          </cell>
          <cell r="B230" t="str">
            <v>Trần Thị Muội</v>
          </cell>
          <cell r="C230" t="str">
            <v>CI.1</v>
          </cell>
          <cell r="D230" t="str">
            <v>Công nhân</v>
          </cell>
          <cell r="E230" t="str">
            <v>T5/17</v>
          </cell>
          <cell r="F230">
            <v>11</v>
          </cell>
          <cell r="G230">
            <v>0</v>
          </cell>
          <cell r="H230" t="str">
            <v>8.I</v>
          </cell>
          <cell r="L230">
            <v>3750</v>
          </cell>
          <cell r="N230">
            <v>3750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1</v>
          </cell>
          <cell r="V230">
            <v>1</v>
          </cell>
          <cell r="W230">
            <v>0</v>
          </cell>
          <cell r="X230">
            <v>0</v>
          </cell>
          <cell r="Y230">
            <v>0</v>
          </cell>
          <cell r="Z230">
            <v>16</v>
          </cell>
          <cell r="AA230">
            <v>0</v>
          </cell>
          <cell r="AB230">
            <v>-140</v>
          </cell>
          <cell r="AC230">
            <v>593</v>
          </cell>
          <cell r="AD230">
            <v>2000000</v>
          </cell>
          <cell r="AE230">
            <v>1</v>
          </cell>
          <cell r="AF230">
            <v>0</v>
          </cell>
          <cell r="AG230">
            <v>10</v>
          </cell>
          <cell r="AH230">
            <v>70</v>
          </cell>
        </row>
        <row r="231">
          <cell r="A231" t="str">
            <v>A930</v>
          </cell>
          <cell r="B231" t="str">
            <v>Trương Thị Giàu</v>
          </cell>
          <cell r="C231" t="str">
            <v>CI.1</v>
          </cell>
          <cell r="D231" t="str">
            <v>Công nhân</v>
          </cell>
          <cell r="E231" t="str">
            <v>T5/17</v>
          </cell>
          <cell r="F231">
            <v>11</v>
          </cell>
          <cell r="G231">
            <v>0</v>
          </cell>
          <cell r="H231" t="str">
            <v>8.I</v>
          </cell>
          <cell r="L231">
            <v>3750</v>
          </cell>
          <cell r="N231">
            <v>3750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1</v>
          </cell>
          <cell r="V231">
            <v>1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-140</v>
          </cell>
          <cell r="AC231">
            <v>593</v>
          </cell>
          <cell r="AD231">
            <v>2000000</v>
          </cell>
          <cell r="AE231">
            <v>2.5</v>
          </cell>
          <cell r="AF231">
            <v>0</v>
          </cell>
          <cell r="AG231">
            <v>10</v>
          </cell>
          <cell r="AH231">
            <v>70</v>
          </cell>
        </row>
        <row r="232">
          <cell r="A232" t="str">
            <v>A931</v>
          </cell>
          <cell r="B232" t="str">
            <v>Cao Văn Phú</v>
          </cell>
          <cell r="C232" t="str">
            <v>CI.1</v>
          </cell>
          <cell r="D232" t="str">
            <v>Trưởng chuyền xi I.1</v>
          </cell>
          <cell r="E232" t="str">
            <v>T5/17</v>
          </cell>
          <cell r="F232">
            <v>11</v>
          </cell>
          <cell r="G232">
            <v>0</v>
          </cell>
          <cell r="H232" t="str">
            <v>4.IV</v>
          </cell>
          <cell r="L232">
            <v>5230</v>
          </cell>
          <cell r="M232">
            <v>10470</v>
          </cell>
          <cell r="N232">
            <v>15700</v>
          </cell>
          <cell r="O232">
            <v>0</v>
          </cell>
          <cell r="P232">
            <v>2</v>
          </cell>
          <cell r="Q232">
            <v>0</v>
          </cell>
          <cell r="R232">
            <v>0</v>
          </cell>
          <cell r="S232">
            <v>13</v>
          </cell>
          <cell r="T232">
            <v>0</v>
          </cell>
          <cell r="U232">
            <v>0</v>
          </cell>
          <cell r="V232">
            <v>15</v>
          </cell>
          <cell r="W232">
            <v>4.5</v>
          </cell>
          <cell r="X232">
            <v>0.5</v>
          </cell>
          <cell r="Y232">
            <v>0</v>
          </cell>
          <cell r="Z232">
            <v>0</v>
          </cell>
          <cell r="AA232">
            <v>208</v>
          </cell>
          <cell r="AB232">
            <v>-300</v>
          </cell>
          <cell r="AC232">
            <v>0</v>
          </cell>
          <cell r="AD232">
            <v>3000000</v>
          </cell>
          <cell r="AE232">
            <v>0.5</v>
          </cell>
          <cell r="AF232">
            <v>0</v>
          </cell>
          <cell r="AG232">
            <v>10</v>
          </cell>
          <cell r="AH232">
            <v>150</v>
          </cell>
        </row>
        <row r="233">
          <cell r="A233" t="str">
            <v>A932</v>
          </cell>
          <cell r="B233" t="str">
            <v>Nguyễn Giang Hải</v>
          </cell>
          <cell r="C233" t="str">
            <v>CI.1</v>
          </cell>
          <cell r="D233" t="str">
            <v>Công nhân</v>
          </cell>
          <cell r="E233" t="str">
            <v>T5/17</v>
          </cell>
          <cell r="F233">
            <v>11</v>
          </cell>
          <cell r="G233">
            <v>0</v>
          </cell>
          <cell r="H233" t="str">
            <v>8.I</v>
          </cell>
          <cell r="L233">
            <v>3750</v>
          </cell>
          <cell r="N233">
            <v>3750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6</v>
          </cell>
          <cell r="T233">
            <v>1</v>
          </cell>
          <cell r="U233">
            <v>2</v>
          </cell>
          <cell r="V233">
            <v>9</v>
          </cell>
          <cell r="W233">
            <v>0</v>
          </cell>
          <cell r="X233">
            <v>4</v>
          </cell>
          <cell r="Y233">
            <v>0</v>
          </cell>
          <cell r="Z233">
            <v>16</v>
          </cell>
          <cell r="AA233">
            <v>128</v>
          </cell>
          <cell r="AB233">
            <v>-70</v>
          </cell>
          <cell r="AC233">
            <v>692.5</v>
          </cell>
          <cell r="AD233">
            <v>1000000</v>
          </cell>
          <cell r="AE233">
            <v>2</v>
          </cell>
          <cell r="AF233">
            <v>0</v>
          </cell>
          <cell r="AG233">
            <v>10</v>
          </cell>
          <cell r="AH233">
            <v>70</v>
          </cell>
        </row>
        <row r="234">
          <cell r="A234" t="str">
            <v>A933</v>
          </cell>
          <cell r="B234" t="str">
            <v>Nguyễn Minh Mẫn</v>
          </cell>
          <cell r="C234" t="str">
            <v>EN</v>
          </cell>
          <cell r="D234" t="str">
            <v>Công nhân</v>
          </cell>
          <cell r="E234" t="str">
            <v>T5/17</v>
          </cell>
          <cell r="F234">
            <v>11</v>
          </cell>
          <cell r="G234">
            <v>0</v>
          </cell>
          <cell r="H234" t="str">
            <v>8.I</v>
          </cell>
          <cell r="L234">
            <v>3750</v>
          </cell>
          <cell r="N234">
            <v>3750</v>
          </cell>
          <cell r="O234">
            <v>5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8</v>
          </cell>
          <cell r="U234">
            <v>1</v>
          </cell>
          <cell r="V234">
            <v>14</v>
          </cell>
          <cell r="W234">
            <v>37</v>
          </cell>
          <cell r="X234">
            <v>12</v>
          </cell>
          <cell r="Y234">
            <v>0</v>
          </cell>
          <cell r="Z234">
            <v>0</v>
          </cell>
          <cell r="AA234">
            <v>336</v>
          </cell>
          <cell r="AB234">
            <v>0</v>
          </cell>
          <cell r="AC234">
            <v>692.5</v>
          </cell>
          <cell r="AD234">
            <v>2000000</v>
          </cell>
          <cell r="AE234">
            <v>0</v>
          </cell>
          <cell r="AF234">
            <v>0</v>
          </cell>
          <cell r="AG234">
            <v>10</v>
          </cell>
          <cell r="AH234">
            <v>70</v>
          </cell>
        </row>
        <row r="235">
          <cell r="A235" t="str">
            <v>A934</v>
          </cell>
          <cell r="B235" t="str">
            <v>Lê Hoàng Tuấn An</v>
          </cell>
          <cell r="C235" t="str">
            <v>EN</v>
          </cell>
          <cell r="D235" t="str">
            <v>Công nhân</v>
          </cell>
          <cell r="E235" t="str">
            <v>T5/17</v>
          </cell>
          <cell r="F235">
            <v>11</v>
          </cell>
          <cell r="G235">
            <v>0</v>
          </cell>
          <cell r="H235" t="str">
            <v>8.I</v>
          </cell>
          <cell r="L235">
            <v>3750</v>
          </cell>
          <cell r="N235">
            <v>3750</v>
          </cell>
          <cell r="O235">
            <v>1</v>
          </cell>
          <cell r="P235">
            <v>1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2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16</v>
          </cell>
          <cell r="AB235">
            <v>-140</v>
          </cell>
          <cell r="AC235">
            <v>692.5</v>
          </cell>
          <cell r="AD235">
            <v>0</v>
          </cell>
          <cell r="AE235">
            <v>0.5</v>
          </cell>
          <cell r="AF235">
            <v>0</v>
          </cell>
          <cell r="AG235">
            <v>10</v>
          </cell>
          <cell r="AH235">
            <v>70</v>
          </cell>
        </row>
        <row r="236">
          <cell r="A236" t="str">
            <v>A935</v>
          </cell>
          <cell r="B236" t="str">
            <v>Nguyễn Thị Thanh Thúy</v>
          </cell>
          <cell r="C236" t="str">
            <v>EN</v>
          </cell>
          <cell r="D236" t="str">
            <v>Công nhân</v>
          </cell>
          <cell r="E236" t="str">
            <v>T5/17</v>
          </cell>
          <cell r="F236">
            <v>11</v>
          </cell>
          <cell r="G236">
            <v>0</v>
          </cell>
          <cell r="H236" t="str">
            <v>8.I</v>
          </cell>
          <cell r="L236">
            <v>3625</v>
          </cell>
          <cell r="M236">
            <v>250</v>
          </cell>
          <cell r="N236">
            <v>3875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-140</v>
          </cell>
          <cell r="AC236">
            <v>1329.3</v>
          </cell>
          <cell r="AD236">
            <v>0</v>
          </cell>
          <cell r="AE236">
            <v>4</v>
          </cell>
          <cell r="AF236">
            <v>0</v>
          </cell>
          <cell r="AG236">
            <v>10</v>
          </cell>
          <cell r="AH236">
            <v>70</v>
          </cell>
        </row>
        <row r="237">
          <cell r="A237" t="str">
            <v>A940</v>
          </cell>
          <cell r="B237" t="str">
            <v>Hoàng Thị Quý</v>
          </cell>
          <cell r="C237" t="str">
            <v>Gián tiếp</v>
          </cell>
          <cell r="D237" t="str">
            <v>Nhân viên kế hoạch</v>
          </cell>
          <cell r="E237" t="str">
            <v>T6/17</v>
          </cell>
          <cell r="F237">
            <v>10</v>
          </cell>
          <cell r="G237">
            <v>0</v>
          </cell>
          <cell r="H237" t="str">
            <v>4.II</v>
          </cell>
          <cell r="L237">
            <v>4740</v>
          </cell>
          <cell r="M237">
            <v>4760</v>
          </cell>
          <cell r="N237">
            <v>9500</v>
          </cell>
          <cell r="O237">
            <v>0</v>
          </cell>
          <cell r="P237">
            <v>1</v>
          </cell>
          <cell r="Q237">
            <v>0</v>
          </cell>
          <cell r="R237">
            <v>0</v>
          </cell>
          <cell r="S237">
            <v>10</v>
          </cell>
          <cell r="T237">
            <v>0</v>
          </cell>
          <cell r="U237">
            <v>2</v>
          </cell>
          <cell r="V237">
            <v>13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160</v>
          </cell>
          <cell r="AB237">
            <v>-150</v>
          </cell>
          <cell r="AC237">
            <v>0</v>
          </cell>
          <cell r="AD237">
            <v>0</v>
          </cell>
          <cell r="AE237">
            <v>2.5</v>
          </cell>
          <cell r="AF237">
            <v>0</v>
          </cell>
          <cell r="AG237">
            <v>9</v>
          </cell>
          <cell r="AH237">
            <v>150</v>
          </cell>
        </row>
        <row r="238">
          <cell r="A238" t="str">
            <v>A941</v>
          </cell>
          <cell r="B238" t="str">
            <v>Dương Văn Phú</v>
          </cell>
          <cell r="C238" t="str">
            <v>CII.4</v>
          </cell>
          <cell r="D238" t="str">
            <v>công nhân</v>
          </cell>
          <cell r="E238" t="str">
            <v>T6/17</v>
          </cell>
          <cell r="F238">
            <v>10</v>
          </cell>
          <cell r="G238">
            <v>0</v>
          </cell>
          <cell r="H238" t="str">
            <v>8.I</v>
          </cell>
          <cell r="L238">
            <v>3750</v>
          </cell>
          <cell r="N238">
            <v>3750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64</v>
          </cell>
          <cell r="AA238">
            <v>0</v>
          </cell>
          <cell r="AB238">
            <v>-140</v>
          </cell>
          <cell r="AC238">
            <v>692.5</v>
          </cell>
          <cell r="AD238">
            <v>2000000</v>
          </cell>
          <cell r="AE238">
            <v>6.5</v>
          </cell>
          <cell r="AF238">
            <v>0</v>
          </cell>
          <cell r="AG238">
            <v>9</v>
          </cell>
          <cell r="AH238">
            <v>70</v>
          </cell>
        </row>
        <row r="239">
          <cell r="A239" t="str">
            <v>A944</v>
          </cell>
          <cell r="B239" t="str">
            <v>Nguyễn Văn Tuấn EP</v>
          </cell>
          <cell r="C239" t="str">
            <v>EN</v>
          </cell>
          <cell r="D239" t="str">
            <v>Công nhân</v>
          </cell>
          <cell r="E239" t="str">
            <v>T6/17</v>
          </cell>
          <cell r="F239">
            <v>10</v>
          </cell>
          <cell r="G239">
            <v>0</v>
          </cell>
          <cell r="H239" t="str">
            <v>8.I</v>
          </cell>
          <cell r="L239">
            <v>3750</v>
          </cell>
          <cell r="N239">
            <v>3750</v>
          </cell>
          <cell r="O239">
            <v>5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9</v>
          </cell>
          <cell r="U239">
            <v>1</v>
          </cell>
          <cell r="V239">
            <v>15</v>
          </cell>
          <cell r="W239">
            <v>56</v>
          </cell>
          <cell r="X239">
            <v>8</v>
          </cell>
          <cell r="Y239">
            <v>0</v>
          </cell>
          <cell r="Z239">
            <v>0</v>
          </cell>
          <cell r="AA239">
            <v>368</v>
          </cell>
          <cell r="AB239">
            <v>0</v>
          </cell>
          <cell r="AC239">
            <v>692.5</v>
          </cell>
          <cell r="AD239">
            <v>2000000</v>
          </cell>
          <cell r="AE239">
            <v>4</v>
          </cell>
          <cell r="AF239">
            <v>0</v>
          </cell>
          <cell r="AG239">
            <v>9</v>
          </cell>
          <cell r="AH239">
            <v>70</v>
          </cell>
        </row>
        <row r="240">
          <cell r="A240" t="str">
            <v>A945</v>
          </cell>
          <cell r="B240" t="str">
            <v>Hồ Thị Liên</v>
          </cell>
          <cell r="C240" t="str">
            <v>QCE</v>
          </cell>
          <cell r="D240" t="str">
            <v>Công nhân</v>
          </cell>
          <cell r="E240" t="str">
            <v>T6/17</v>
          </cell>
          <cell r="F240">
            <v>10</v>
          </cell>
          <cell r="G240">
            <v>0</v>
          </cell>
          <cell r="H240" t="str">
            <v>8.I</v>
          </cell>
          <cell r="L240">
            <v>3750</v>
          </cell>
          <cell r="N240">
            <v>3750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16</v>
          </cell>
          <cell r="AA240">
            <v>0</v>
          </cell>
          <cell r="AB240">
            <v>-140</v>
          </cell>
          <cell r="AC240">
            <v>692.5</v>
          </cell>
          <cell r="AD240">
            <v>0</v>
          </cell>
          <cell r="AE240">
            <v>0</v>
          </cell>
          <cell r="AF240">
            <v>0</v>
          </cell>
          <cell r="AG240">
            <v>9</v>
          </cell>
          <cell r="AH240">
            <v>70</v>
          </cell>
        </row>
        <row r="241">
          <cell r="A241" t="str">
            <v>A946</v>
          </cell>
          <cell r="B241" t="str">
            <v>Đoàn Huỳnh Như</v>
          </cell>
          <cell r="C241" t="str">
            <v>QCX</v>
          </cell>
          <cell r="D241" t="str">
            <v>Công nhân</v>
          </cell>
          <cell r="E241" t="str">
            <v>T6/17</v>
          </cell>
          <cell r="F241">
            <v>10</v>
          </cell>
          <cell r="G241">
            <v>0</v>
          </cell>
          <cell r="H241" t="str">
            <v>8.I</v>
          </cell>
          <cell r="L241">
            <v>3750</v>
          </cell>
          <cell r="N241">
            <v>3750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-140</v>
          </cell>
          <cell r="AC241">
            <v>692.5</v>
          </cell>
          <cell r="AD241">
            <v>0</v>
          </cell>
          <cell r="AE241">
            <v>2</v>
          </cell>
          <cell r="AF241">
            <v>0</v>
          </cell>
          <cell r="AG241">
            <v>9</v>
          </cell>
          <cell r="AH241">
            <v>70</v>
          </cell>
        </row>
        <row r="242">
          <cell r="A242" t="str">
            <v>A947</v>
          </cell>
          <cell r="B242" t="str">
            <v>Phạm Văn Hào</v>
          </cell>
          <cell r="C242" t="str">
            <v>CII.4</v>
          </cell>
          <cell r="D242" t="str">
            <v>Công nhân</v>
          </cell>
          <cell r="E242" t="str">
            <v>T6/17</v>
          </cell>
          <cell r="F242">
            <v>10</v>
          </cell>
          <cell r="G242">
            <v>0</v>
          </cell>
          <cell r="H242" t="str">
            <v>8.I</v>
          </cell>
          <cell r="L242">
            <v>3750</v>
          </cell>
          <cell r="N242">
            <v>3750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48</v>
          </cell>
          <cell r="AA242">
            <v>0</v>
          </cell>
          <cell r="AB242">
            <v>-140</v>
          </cell>
          <cell r="AC242">
            <v>692.5</v>
          </cell>
          <cell r="AD242">
            <v>2000000</v>
          </cell>
          <cell r="AE242">
            <v>0</v>
          </cell>
          <cell r="AF242">
            <v>0</v>
          </cell>
          <cell r="AG242">
            <v>9</v>
          </cell>
          <cell r="AH242">
            <v>70</v>
          </cell>
        </row>
        <row r="243">
          <cell r="A243" t="str">
            <v>A948</v>
          </cell>
          <cell r="B243" t="str">
            <v>Trần Văn Thấm</v>
          </cell>
          <cell r="C243" t="str">
            <v>CII.4</v>
          </cell>
          <cell r="D243" t="str">
            <v>Công nhân</v>
          </cell>
          <cell r="E243" t="str">
            <v>T6/17</v>
          </cell>
          <cell r="F243">
            <v>10</v>
          </cell>
          <cell r="G243">
            <v>0</v>
          </cell>
          <cell r="H243" t="str">
            <v>8.I</v>
          </cell>
          <cell r="L243">
            <v>3750</v>
          </cell>
          <cell r="N243">
            <v>3750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16</v>
          </cell>
          <cell r="AA243">
            <v>0</v>
          </cell>
          <cell r="AB243">
            <v>-140</v>
          </cell>
          <cell r="AC243">
            <v>692.5</v>
          </cell>
          <cell r="AD243">
            <v>2000000</v>
          </cell>
          <cell r="AE243">
            <v>0</v>
          </cell>
          <cell r="AF243">
            <v>0</v>
          </cell>
          <cell r="AG243">
            <v>9</v>
          </cell>
          <cell r="AH243">
            <v>70</v>
          </cell>
        </row>
        <row r="244">
          <cell r="A244" t="str">
            <v>A950</v>
          </cell>
          <cell r="B244" t="str">
            <v>Nguyễn Minh Hiền</v>
          </cell>
          <cell r="C244" t="str">
            <v>CI.1</v>
          </cell>
          <cell r="D244" t="str">
            <v>Công nhân</v>
          </cell>
          <cell r="E244" t="str">
            <v>T6/17</v>
          </cell>
          <cell r="F244">
            <v>10</v>
          </cell>
          <cell r="G244">
            <v>0</v>
          </cell>
          <cell r="H244" t="str">
            <v>8.I</v>
          </cell>
          <cell r="L244">
            <v>3750</v>
          </cell>
          <cell r="N244">
            <v>3750</v>
          </cell>
          <cell r="O244">
            <v>2</v>
          </cell>
          <cell r="P244">
            <v>0</v>
          </cell>
          <cell r="Q244">
            <v>0</v>
          </cell>
          <cell r="R244">
            <v>0</v>
          </cell>
          <cell r="S244">
            <v>6</v>
          </cell>
          <cell r="T244">
            <v>3</v>
          </cell>
          <cell r="U244">
            <v>3</v>
          </cell>
          <cell r="V244">
            <v>14</v>
          </cell>
          <cell r="W244">
            <v>16</v>
          </cell>
          <cell r="X244">
            <v>4</v>
          </cell>
          <cell r="Y244">
            <v>0</v>
          </cell>
          <cell r="Z244">
            <v>16</v>
          </cell>
          <cell r="AA244">
            <v>224</v>
          </cell>
          <cell r="AB244">
            <v>0</v>
          </cell>
          <cell r="AC244">
            <v>-318.39999999999998</v>
          </cell>
          <cell r="AD244">
            <v>2000000</v>
          </cell>
          <cell r="AE244">
            <v>3</v>
          </cell>
          <cell r="AF244">
            <v>0</v>
          </cell>
          <cell r="AG244">
            <v>9</v>
          </cell>
          <cell r="AH244">
            <v>70</v>
          </cell>
        </row>
        <row r="245">
          <cell r="A245" t="str">
            <v>A951</v>
          </cell>
          <cell r="B245" t="str">
            <v>Nguyễn Văn Tuấn XI 2</v>
          </cell>
          <cell r="C245" t="str">
            <v>CI.1</v>
          </cell>
          <cell r="D245" t="str">
            <v>Công nhân</v>
          </cell>
          <cell r="E245" t="str">
            <v>T6/17</v>
          </cell>
          <cell r="F245">
            <v>10</v>
          </cell>
          <cell r="G245">
            <v>0</v>
          </cell>
          <cell r="H245" t="str">
            <v>8.I</v>
          </cell>
          <cell r="L245">
            <v>3750</v>
          </cell>
          <cell r="N245">
            <v>3750</v>
          </cell>
          <cell r="O245">
            <v>3</v>
          </cell>
          <cell r="P245">
            <v>0</v>
          </cell>
          <cell r="Q245">
            <v>0</v>
          </cell>
          <cell r="R245">
            <v>0</v>
          </cell>
          <cell r="S245">
            <v>6</v>
          </cell>
          <cell r="T245">
            <v>2</v>
          </cell>
          <cell r="U245">
            <v>4</v>
          </cell>
          <cell r="V245">
            <v>15</v>
          </cell>
          <cell r="W245">
            <v>26</v>
          </cell>
          <cell r="X245">
            <v>4</v>
          </cell>
          <cell r="Y245">
            <v>0</v>
          </cell>
          <cell r="Z245">
            <v>16</v>
          </cell>
          <cell r="AA245">
            <v>208</v>
          </cell>
          <cell r="AB245">
            <v>0</v>
          </cell>
          <cell r="AC245">
            <v>-318.39999999999998</v>
          </cell>
          <cell r="AD245">
            <v>2000000</v>
          </cell>
          <cell r="AE245">
            <v>4</v>
          </cell>
          <cell r="AF245">
            <v>0</v>
          </cell>
          <cell r="AG245">
            <v>9</v>
          </cell>
          <cell r="AH245">
            <v>70</v>
          </cell>
        </row>
        <row r="246">
          <cell r="A246" t="str">
            <v>A955</v>
          </cell>
          <cell r="B246" t="str">
            <v>Đỗ Vũ Anh Thuỳ</v>
          </cell>
          <cell r="C246" t="str">
            <v>Gián tiếp</v>
          </cell>
          <cell r="D246" t="str">
            <v>Phó Giám đốc</v>
          </cell>
          <cell r="E246" t="str">
            <v>T7/17</v>
          </cell>
          <cell r="F246">
            <v>9</v>
          </cell>
          <cell r="G246">
            <v>0</v>
          </cell>
          <cell r="H246" t="str">
            <v>1.I</v>
          </cell>
          <cell r="L246">
            <v>15050</v>
          </cell>
          <cell r="M246">
            <v>13950</v>
          </cell>
          <cell r="N246">
            <v>29000</v>
          </cell>
          <cell r="O246">
            <v>0</v>
          </cell>
          <cell r="P246">
            <v>1</v>
          </cell>
          <cell r="Q246">
            <v>0</v>
          </cell>
          <cell r="R246">
            <v>0</v>
          </cell>
          <cell r="S246">
            <v>16</v>
          </cell>
          <cell r="T246">
            <v>0</v>
          </cell>
          <cell r="U246">
            <v>0</v>
          </cell>
          <cell r="V246">
            <v>17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256</v>
          </cell>
          <cell r="AB246">
            <v>0</v>
          </cell>
          <cell r="AC246">
            <v>-316.04999999999995</v>
          </cell>
          <cell r="AD246">
            <v>0</v>
          </cell>
          <cell r="AE246">
            <v>2</v>
          </cell>
          <cell r="AF246">
            <v>3</v>
          </cell>
          <cell r="AG246">
            <v>8</v>
          </cell>
          <cell r="AH246">
            <v>0</v>
          </cell>
        </row>
        <row r="247">
          <cell r="A247" t="str">
            <v>A956</v>
          </cell>
          <cell r="B247" t="str">
            <v>Phan Ngọc Thanh Trí</v>
          </cell>
          <cell r="C247" t="str">
            <v>Gián tiếp</v>
          </cell>
          <cell r="D247" t="str">
            <v>NV Kinh doanh</v>
          </cell>
          <cell r="E247" t="str">
            <v>T7/17</v>
          </cell>
          <cell r="F247">
            <v>9</v>
          </cell>
          <cell r="G247">
            <v>0</v>
          </cell>
          <cell r="H247" t="str">
            <v>4.I</v>
          </cell>
          <cell r="L247">
            <v>4511</v>
          </cell>
          <cell r="M247">
            <v>5489</v>
          </cell>
          <cell r="N247">
            <v>10000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16</v>
          </cell>
          <cell r="AA247">
            <v>0</v>
          </cell>
          <cell r="AB247">
            <v>-300</v>
          </cell>
          <cell r="AC247">
            <v>-568.38599999999997</v>
          </cell>
          <cell r="AD247">
            <v>0</v>
          </cell>
          <cell r="AE247">
            <v>0</v>
          </cell>
          <cell r="AF247">
            <v>0</v>
          </cell>
          <cell r="AG247">
            <v>8</v>
          </cell>
          <cell r="AH247">
            <v>150</v>
          </cell>
        </row>
        <row r="248">
          <cell r="A248" t="str">
            <v>A957</v>
          </cell>
          <cell r="B248" t="str">
            <v>Trần Út Nhỏ</v>
          </cell>
          <cell r="C248" t="str">
            <v>SON</v>
          </cell>
          <cell r="D248" t="str">
            <v>Công nhân</v>
          </cell>
          <cell r="E248" t="str">
            <v>T7/17</v>
          </cell>
          <cell r="F248">
            <v>9</v>
          </cell>
          <cell r="G248">
            <v>0</v>
          </cell>
          <cell r="H248" t="str">
            <v>8.I</v>
          </cell>
          <cell r="L248">
            <v>4200</v>
          </cell>
          <cell r="M248">
            <v>280</v>
          </cell>
          <cell r="N248">
            <v>4480</v>
          </cell>
          <cell r="O248">
            <v>15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15</v>
          </cell>
          <cell r="W248">
            <v>77</v>
          </cell>
          <cell r="X248">
            <v>12</v>
          </cell>
          <cell r="Y248">
            <v>0</v>
          </cell>
          <cell r="Z248">
            <v>16</v>
          </cell>
          <cell r="AA248">
            <v>240</v>
          </cell>
          <cell r="AB248">
            <v>0</v>
          </cell>
          <cell r="AC248">
            <v>-336</v>
          </cell>
          <cell r="AD248">
            <v>0</v>
          </cell>
          <cell r="AE248">
            <v>2</v>
          </cell>
          <cell r="AF248">
            <v>0</v>
          </cell>
          <cell r="AG248">
            <v>8</v>
          </cell>
          <cell r="AH248">
            <v>70</v>
          </cell>
        </row>
        <row r="249">
          <cell r="A249" t="str">
            <v>A960</v>
          </cell>
          <cell r="B249" t="str">
            <v>Dương Thị Diệu Hiền</v>
          </cell>
          <cell r="C249" t="str">
            <v>EN</v>
          </cell>
          <cell r="D249" t="str">
            <v>Công nhân</v>
          </cell>
          <cell r="E249" t="str">
            <v>T7/17</v>
          </cell>
          <cell r="F249">
            <v>9</v>
          </cell>
          <cell r="G249">
            <v>0</v>
          </cell>
          <cell r="H249" t="str">
            <v>8.I</v>
          </cell>
          <cell r="L249">
            <v>3750</v>
          </cell>
          <cell r="N249">
            <v>3750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16</v>
          </cell>
          <cell r="AA249">
            <v>0</v>
          </cell>
          <cell r="AB249">
            <v>-140</v>
          </cell>
          <cell r="AC249">
            <v>692.5</v>
          </cell>
          <cell r="AD249">
            <v>0</v>
          </cell>
          <cell r="AE249">
            <v>2</v>
          </cell>
          <cell r="AF249">
            <v>0</v>
          </cell>
          <cell r="AG249">
            <v>8</v>
          </cell>
          <cell r="AH249">
            <v>70</v>
          </cell>
        </row>
        <row r="250">
          <cell r="A250" t="str">
            <v>A963</v>
          </cell>
          <cell r="B250" t="str">
            <v>Hoàng Thị Bé</v>
          </cell>
          <cell r="C250" t="str">
            <v>QCX</v>
          </cell>
          <cell r="D250" t="str">
            <v>Công nhân</v>
          </cell>
          <cell r="E250" t="str">
            <v>T7/17</v>
          </cell>
          <cell r="F250">
            <v>9</v>
          </cell>
          <cell r="G250">
            <v>0</v>
          </cell>
          <cell r="H250" t="str">
            <v>8.I</v>
          </cell>
          <cell r="L250">
            <v>3750</v>
          </cell>
          <cell r="M250">
            <v>250</v>
          </cell>
          <cell r="N250">
            <v>4000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8</v>
          </cell>
          <cell r="X250">
            <v>0</v>
          </cell>
          <cell r="Y250">
            <v>0</v>
          </cell>
          <cell r="Z250">
            <v>16</v>
          </cell>
          <cell r="AA250">
            <v>0</v>
          </cell>
          <cell r="AB250">
            <v>-140</v>
          </cell>
          <cell r="AC250">
            <v>-318.39999999999998</v>
          </cell>
          <cell r="AD250">
            <v>0</v>
          </cell>
          <cell r="AE250">
            <v>1.5</v>
          </cell>
          <cell r="AF250">
            <v>0</v>
          </cell>
          <cell r="AG250">
            <v>8</v>
          </cell>
          <cell r="AH250">
            <v>70</v>
          </cell>
        </row>
        <row r="251">
          <cell r="A251" t="str">
            <v>A964</v>
          </cell>
          <cell r="B251" t="str">
            <v>Lê Văn Thành</v>
          </cell>
          <cell r="C251" t="str">
            <v>CII.4</v>
          </cell>
          <cell r="D251" t="str">
            <v>Công nhân</v>
          </cell>
          <cell r="E251" t="str">
            <v>T7/17</v>
          </cell>
          <cell r="F251">
            <v>9</v>
          </cell>
          <cell r="G251">
            <v>0</v>
          </cell>
          <cell r="H251" t="str">
            <v>8.I</v>
          </cell>
          <cell r="L251">
            <v>3750</v>
          </cell>
          <cell r="N251">
            <v>3750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16</v>
          </cell>
          <cell r="AA251">
            <v>0</v>
          </cell>
          <cell r="AB251">
            <v>-140</v>
          </cell>
          <cell r="AC251">
            <v>-318.39999999999998</v>
          </cell>
          <cell r="AD251">
            <v>2000000</v>
          </cell>
          <cell r="AE251">
            <v>2.5</v>
          </cell>
          <cell r="AF251">
            <v>0</v>
          </cell>
          <cell r="AG251">
            <v>8</v>
          </cell>
          <cell r="AH251">
            <v>70</v>
          </cell>
        </row>
        <row r="252">
          <cell r="A252" t="str">
            <v>A965</v>
          </cell>
          <cell r="B252" t="str">
            <v>Nguyễn Thị Hiền</v>
          </cell>
          <cell r="C252" t="str">
            <v>Gián tiếp</v>
          </cell>
          <cell r="D252" t="str">
            <v>Nv Iso</v>
          </cell>
          <cell r="E252" t="str">
            <v>T7/17</v>
          </cell>
          <cell r="F252">
            <v>9</v>
          </cell>
          <cell r="G252">
            <v>0</v>
          </cell>
          <cell r="H252" t="str">
            <v>4.I</v>
          </cell>
          <cell r="L252">
            <v>4511</v>
          </cell>
          <cell r="M252">
            <v>2489</v>
          </cell>
          <cell r="N252">
            <v>7000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18</v>
          </cell>
          <cell r="T252">
            <v>0</v>
          </cell>
          <cell r="U252">
            <v>0</v>
          </cell>
          <cell r="V252">
            <v>18</v>
          </cell>
          <cell r="W252">
            <v>16</v>
          </cell>
          <cell r="X252">
            <v>0</v>
          </cell>
          <cell r="Y252">
            <v>0</v>
          </cell>
          <cell r="Z252">
            <v>0</v>
          </cell>
          <cell r="AA252">
            <v>288</v>
          </cell>
          <cell r="AB252">
            <v>0</v>
          </cell>
          <cell r="AC252">
            <v>-473.65499999999997</v>
          </cell>
          <cell r="AD252">
            <v>0</v>
          </cell>
          <cell r="AE252">
            <v>1</v>
          </cell>
          <cell r="AF252">
            <v>0</v>
          </cell>
          <cell r="AG252">
            <v>8</v>
          </cell>
          <cell r="AH252">
            <v>150</v>
          </cell>
        </row>
        <row r="253">
          <cell r="A253" t="str">
            <v>A967</v>
          </cell>
          <cell r="B253" t="str">
            <v>Nguyễn Thị Kiều Trang</v>
          </cell>
          <cell r="C253" t="str">
            <v>CI.1</v>
          </cell>
          <cell r="D253" t="str">
            <v>Công nhân</v>
          </cell>
          <cell r="E253" t="str">
            <v>T7/17</v>
          </cell>
          <cell r="F253">
            <v>9</v>
          </cell>
          <cell r="G253">
            <v>0</v>
          </cell>
          <cell r="H253" t="str">
            <v>8.I</v>
          </cell>
          <cell r="L253">
            <v>3750</v>
          </cell>
          <cell r="N253">
            <v>3750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1</v>
          </cell>
          <cell r="V253">
            <v>1</v>
          </cell>
          <cell r="W253">
            <v>0</v>
          </cell>
          <cell r="X253">
            <v>0</v>
          </cell>
          <cell r="Y253">
            <v>0</v>
          </cell>
          <cell r="Z253">
            <v>32</v>
          </cell>
          <cell r="AA253">
            <v>0</v>
          </cell>
          <cell r="AB253">
            <v>-140</v>
          </cell>
          <cell r="AC253">
            <v>-318.39999999999998</v>
          </cell>
          <cell r="AD253">
            <v>2000000</v>
          </cell>
          <cell r="AE253">
            <v>2</v>
          </cell>
          <cell r="AF253">
            <v>0</v>
          </cell>
          <cell r="AG253">
            <v>8</v>
          </cell>
          <cell r="AH253">
            <v>70</v>
          </cell>
        </row>
        <row r="254">
          <cell r="A254" t="str">
            <v>A968</v>
          </cell>
          <cell r="B254" t="str">
            <v>Lê Thị Trúc Cẩm</v>
          </cell>
          <cell r="C254" t="str">
            <v>CI.1</v>
          </cell>
          <cell r="D254" t="str">
            <v>Công nhân</v>
          </cell>
          <cell r="E254" t="str">
            <v>T7/17</v>
          </cell>
          <cell r="F254">
            <v>9</v>
          </cell>
          <cell r="G254">
            <v>0</v>
          </cell>
          <cell r="H254" t="str">
            <v>8.I</v>
          </cell>
          <cell r="L254">
            <v>3750</v>
          </cell>
          <cell r="N254">
            <v>3750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1</v>
          </cell>
          <cell r="V254">
            <v>1</v>
          </cell>
          <cell r="W254">
            <v>0</v>
          </cell>
          <cell r="X254">
            <v>0</v>
          </cell>
          <cell r="Y254">
            <v>0</v>
          </cell>
          <cell r="Z254">
            <v>32</v>
          </cell>
          <cell r="AA254">
            <v>0</v>
          </cell>
          <cell r="AB254">
            <v>-140</v>
          </cell>
          <cell r="AC254">
            <v>-318.39999999999998</v>
          </cell>
          <cell r="AD254">
            <v>2000000</v>
          </cell>
          <cell r="AE254">
            <v>2</v>
          </cell>
          <cell r="AF254">
            <v>0</v>
          </cell>
          <cell r="AG254">
            <v>8</v>
          </cell>
          <cell r="AH254">
            <v>70</v>
          </cell>
        </row>
        <row r="255">
          <cell r="A255" t="str">
            <v>A969</v>
          </cell>
          <cell r="B255" t="str">
            <v>Dương Trúc Phương</v>
          </cell>
          <cell r="C255" t="str">
            <v>EN</v>
          </cell>
          <cell r="D255" t="str">
            <v>Công nhân</v>
          </cell>
          <cell r="E255" t="str">
            <v>T7/17</v>
          </cell>
          <cell r="F255">
            <v>9</v>
          </cell>
          <cell r="G255">
            <v>0</v>
          </cell>
          <cell r="H255" t="str">
            <v>8.I</v>
          </cell>
          <cell r="L255">
            <v>3750</v>
          </cell>
          <cell r="N255">
            <v>3750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-140</v>
          </cell>
          <cell r="AC255">
            <v>-318.39999999999998</v>
          </cell>
          <cell r="AD255">
            <v>0</v>
          </cell>
          <cell r="AE255">
            <v>3</v>
          </cell>
          <cell r="AF255">
            <v>0</v>
          </cell>
          <cell r="AG255">
            <v>8</v>
          </cell>
          <cell r="AH255">
            <v>70</v>
          </cell>
        </row>
        <row r="256">
          <cell r="A256" t="str">
            <v>A970</v>
          </cell>
          <cell r="B256" t="str">
            <v>Thạch Út Mười</v>
          </cell>
          <cell r="C256" t="str">
            <v>Kho</v>
          </cell>
          <cell r="D256" t="str">
            <v>Công nhân</v>
          </cell>
          <cell r="E256" t="str">
            <v>T7/17</v>
          </cell>
          <cell r="F256">
            <v>9</v>
          </cell>
          <cell r="G256">
            <v>0</v>
          </cell>
          <cell r="H256" t="str">
            <v>8.I</v>
          </cell>
          <cell r="L256">
            <v>3750</v>
          </cell>
          <cell r="M256">
            <v>750</v>
          </cell>
          <cell r="N256">
            <v>4500</v>
          </cell>
          <cell r="O256">
            <v>15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15</v>
          </cell>
          <cell r="W256">
            <v>29.5</v>
          </cell>
          <cell r="X256">
            <v>14.5</v>
          </cell>
          <cell r="Y256">
            <v>0</v>
          </cell>
          <cell r="Z256">
            <v>0</v>
          </cell>
          <cell r="AA256">
            <v>240</v>
          </cell>
          <cell r="AB256">
            <v>0</v>
          </cell>
          <cell r="AC256">
            <v>-318.39999999999998</v>
          </cell>
          <cell r="AD256">
            <v>1000000</v>
          </cell>
          <cell r="AE256">
            <v>2</v>
          </cell>
          <cell r="AF256">
            <v>0</v>
          </cell>
          <cell r="AG256">
            <v>8</v>
          </cell>
          <cell r="AH256">
            <v>70</v>
          </cell>
        </row>
        <row r="257">
          <cell r="A257" t="str">
            <v>A971</v>
          </cell>
          <cell r="B257" t="str">
            <v>Phan Khánh Phi</v>
          </cell>
          <cell r="C257" t="str">
            <v>CII.4</v>
          </cell>
          <cell r="D257" t="str">
            <v>Công nhân</v>
          </cell>
          <cell r="E257" t="str">
            <v>T7/17</v>
          </cell>
          <cell r="F257">
            <v>9</v>
          </cell>
          <cell r="G257">
            <v>0</v>
          </cell>
          <cell r="H257" t="str">
            <v>8.I</v>
          </cell>
          <cell r="L257">
            <v>3750</v>
          </cell>
          <cell r="N257">
            <v>3750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64</v>
          </cell>
          <cell r="AA257">
            <v>0</v>
          </cell>
          <cell r="AB257">
            <v>-140</v>
          </cell>
          <cell r="AC257">
            <v>-318.39999999999998</v>
          </cell>
          <cell r="AD257">
            <v>2000000</v>
          </cell>
          <cell r="AE257">
            <v>1</v>
          </cell>
          <cell r="AF257">
            <v>0</v>
          </cell>
          <cell r="AG257">
            <v>8</v>
          </cell>
          <cell r="AH257">
            <v>70</v>
          </cell>
        </row>
        <row r="258">
          <cell r="A258" t="str">
            <v>A972</v>
          </cell>
          <cell r="B258" t="str">
            <v>Nguyễn Thị Bích Tuyền</v>
          </cell>
          <cell r="C258" t="str">
            <v>CII.4</v>
          </cell>
          <cell r="D258" t="str">
            <v>Công nhân</v>
          </cell>
          <cell r="E258" t="str">
            <v>T7/17</v>
          </cell>
          <cell r="F258">
            <v>9</v>
          </cell>
          <cell r="G258">
            <v>0</v>
          </cell>
          <cell r="H258" t="str">
            <v>8.I</v>
          </cell>
          <cell r="L258">
            <v>3750</v>
          </cell>
          <cell r="N258">
            <v>3750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32</v>
          </cell>
          <cell r="AA258">
            <v>0</v>
          </cell>
          <cell r="AB258">
            <v>-140</v>
          </cell>
          <cell r="AC258">
            <v>-318.39999999999998</v>
          </cell>
          <cell r="AD258">
            <v>2000000</v>
          </cell>
          <cell r="AE258">
            <v>0</v>
          </cell>
          <cell r="AF258">
            <v>0</v>
          </cell>
          <cell r="AG258">
            <v>8</v>
          </cell>
          <cell r="AH258">
            <v>70</v>
          </cell>
        </row>
        <row r="259">
          <cell r="A259" t="str">
            <v>A975</v>
          </cell>
          <cell r="B259" t="str">
            <v>Trương Hoàng Thuận</v>
          </cell>
          <cell r="C259" t="str">
            <v>CI.1</v>
          </cell>
          <cell r="D259" t="str">
            <v>Công nhân</v>
          </cell>
          <cell r="E259" t="str">
            <v>T7/17</v>
          </cell>
          <cell r="F259">
            <v>9</v>
          </cell>
          <cell r="G259">
            <v>0</v>
          </cell>
          <cell r="H259" t="str">
            <v>8.I</v>
          </cell>
          <cell r="L259">
            <v>4220</v>
          </cell>
          <cell r="M259">
            <v>130</v>
          </cell>
          <cell r="N259">
            <v>4350</v>
          </cell>
          <cell r="O259">
            <v>1</v>
          </cell>
          <cell r="P259">
            <v>0</v>
          </cell>
          <cell r="Q259">
            <v>0</v>
          </cell>
          <cell r="R259">
            <v>0</v>
          </cell>
          <cell r="S259">
            <v>8</v>
          </cell>
          <cell r="T259">
            <v>4</v>
          </cell>
          <cell r="U259">
            <v>0</v>
          </cell>
          <cell r="V259">
            <v>13</v>
          </cell>
          <cell r="W259">
            <v>20</v>
          </cell>
          <cell r="X259">
            <v>0</v>
          </cell>
          <cell r="Y259">
            <v>0</v>
          </cell>
          <cell r="Z259">
            <v>32</v>
          </cell>
          <cell r="AA259">
            <v>272</v>
          </cell>
          <cell r="AB259">
            <v>0</v>
          </cell>
          <cell r="AC259">
            <v>-337.6</v>
          </cell>
          <cell r="AD259">
            <v>2000000</v>
          </cell>
          <cell r="AE259">
            <v>0</v>
          </cell>
          <cell r="AF259">
            <v>0</v>
          </cell>
          <cell r="AG259">
            <v>8</v>
          </cell>
          <cell r="AH259">
            <v>70</v>
          </cell>
        </row>
        <row r="260">
          <cell r="A260" t="str">
            <v>A976</v>
          </cell>
          <cell r="B260" t="str">
            <v>Tăng Văn Tưởng</v>
          </cell>
          <cell r="C260" t="str">
            <v>CI.1</v>
          </cell>
          <cell r="D260" t="str">
            <v>Công nhân</v>
          </cell>
          <cell r="E260" t="str">
            <v>T8/17</v>
          </cell>
          <cell r="F260">
            <v>8</v>
          </cell>
          <cell r="G260">
            <v>0</v>
          </cell>
          <cell r="H260" t="str">
            <v>8.I</v>
          </cell>
          <cell r="L260">
            <v>4220</v>
          </cell>
          <cell r="M260">
            <v>180</v>
          </cell>
          <cell r="N260">
            <v>4400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48</v>
          </cell>
          <cell r="AA260">
            <v>0</v>
          </cell>
          <cell r="AB260">
            <v>-140</v>
          </cell>
          <cell r="AC260">
            <v>-337.6</v>
          </cell>
          <cell r="AD260">
            <v>2000000</v>
          </cell>
          <cell r="AE260">
            <v>0</v>
          </cell>
          <cell r="AF260">
            <v>0</v>
          </cell>
          <cell r="AG260">
            <v>7</v>
          </cell>
          <cell r="AH260">
            <v>70</v>
          </cell>
        </row>
        <row r="261">
          <cell r="A261" t="str">
            <v>A977</v>
          </cell>
          <cell r="B261" t="str">
            <v>Nguyễn Kim Anh</v>
          </cell>
          <cell r="C261" t="str">
            <v>QCX</v>
          </cell>
          <cell r="D261" t="str">
            <v>Công nhân</v>
          </cell>
          <cell r="E261" t="str">
            <v>T8/17</v>
          </cell>
          <cell r="F261">
            <v>8</v>
          </cell>
          <cell r="G261">
            <v>0</v>
          </cell>
          <cell r="H261" t="str">
            <v>8.I</v>
          </cell>
          <cell r="L261">
            <v>3750</v>
          </cell>
          <cell r="N261">
            <v>3750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12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-140</v>
          </cell>
          <cell r="AC261">
            <v>-318.39999999999998</v>
          </cell>
          <cell r="AD261">
            <v>0</v>
          </cell>
          <cell r="AE261">
            <v>3.5</v>
          </cell>
          <cell r="AF261">
            <v>0</v>
          </cell>
          <cell r="AG261">
            <v>7</v>
          </cell>
          <cell r="AH261">
            <v>70</v>
          </cell>
        </row>
        <row r="262">
          <cell r="A262" t="str">
            <v>A978</v>
          </cell>
          <cell r="B262" t="str">
            <v>Thạch Thị Trang</v>
          </cell>
          <cell r="C262" t="str">
            <v>QCX</v>
          </cell>
          <cell r="D262" t="str">
            <v>Công nhân</v>
          </cell>
          <cell r="E262" t="str">
            <v>T8/17</v>
          </cell>
          <cell r="F262">
            <v>8</v>
          </cell>
          <cell r="G262">
            <v>0</v>
          </cell>
          <cell r="H262" t="str">
            <v>8.I</v>
          </cell>
          <cell r="L262">
            <v>3750</v>
          </cell>
          <cell r="N262">
            <v>3750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16</v>
          </cell>
          <cell r="AA262">
            <v>0</v>
          </cell>
          <cell r="AB262">
            <v>-140</v>
          </cell>
          <cell r="AC262">
            <v>-318.39999999999998</v>
          </cell>
          <cell r="AD262">
            <v>0</v>
          </cell>
          <cell r="AE262">
            <v>0.5</v>
          </cell>
          <cell r="AF262">
            <v>0</v>
          </cell>
          <cell r="AG262">
            <v>7</v>
          </cell>
          <cell r="AH262">
            <v>70</v>
          </cell>
        </row>
        <row r="263">
          <cell r="A263" t="str">
            <v>A981</v>
          </cell>
          <cell r="B263" t="str">
            <v>Hồ Tấn Tuy</v>
          </cell>
          <cell r="C263" t="str">
            <v>Gián tiếp</v>
          </cell>
          <cell r="D263" t="str">
            <v>Kế toán</v>
          </cell>
          <cell r="E263" t="str">
            <v>T8/17</v>
          </cell>
          <cell r="F263">
            <v>8</v>
          </cell>
          <cell r="G263">
            <v>0</v>
          </cell>
          <cell r="H263" t="str">
            <v>4.I</v>
          </cell>
          <cell r="L263">
            <v>4511</v>
          </cell>
          <cell r="M263">
            <v>2489</v>
          </cell>
          <cell r="N263">
            <v>7000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473.65499999999997</v>
          </cell>
          <cell r="AD263">
            <v>0</v>
          </cell>
          <cell r="AE263">
            <v>0</v>
          </cell>
          <cell r="AF263">
            <v>0</v>
          </cell>
          <cell r="AG263">
            <v>7</v>
          </cell>
          <cell r="AH263">
            <v>150</v>
          </cell>
        </row>
        <row r="264">
          <cell r="A264" t="str">
            <v>A982</v>
          </cell>
          <cell r="B264" t="str">
            <v>Nguyễn Hoàng Tuấn</v>
          </cell>
          <cell r="C264" t="str">
            <v>KHUON</v>
          </cell>
          <cell r="D264" t="str">
            <v>Khuôn</v>
          </cell>
          <cell r="E264" t="str">
            <v>T8/17</v>
          </cell>
          <cell r="F264">
            <v>8</v>
          </cell>
          <cell r="G264">
            <v>0</v>
          </cell>
          <cell r="H264" t="str">
            <v>5.I</v>
          </cell>
          <cell r="L264">
            <v>4436</v>
          </cell>
          <cell r="M264">
            <v>1064</v>
          </cell>
          <cell r="N264">
            <v>5500</v>
          </cell>
          <cell r="O264">
            <v>6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9</v>
          </cell>
          <cell r="U264">
            <v>0</v>
          </cell>
          <cell r="V264">
            <v>15</v>
          </cell>
          <cell r="W264">
            <v>71</v>
          </cell>
          <cell r="X264">
            <v>12</v>
          </cell>
          <cell r="Y264">
            <v>0</v>
          </cell>
          <cell r="Z264">
            <v>48</v>
          </cell>
          <cell r="AA264">
            <v>384</v>
          </cell>
          <cell r="AB264">
            <v>0</v>
          </cell>
          <cell r="AC264">
            <v>-465.78</v>
          </cell>
          <cell r="AD264">
            <v>0</v>
          </cell>
          <cell r="AE264">
            <v>1</v>
          </cell>
          <cell r="AF264">
            <v>0</v>
          </cell>
          <cell r="AG264">
            <v>7</v>
          </cell>
          <cell r="AH264">
            <v>150</v>
          </cell>
        </row>
        <row r="265">
          <cell r="A265" t="str">
            <v>A983</v>
          </cell>
          <cell r="B265" t="str">
            <v>Nguyễn Đức Thành</v>
          </cell>
          <cell r="C265" t="str">
            <v>CI.1</v>
          </cell>
          <cell r="D265" t="str">
            <v>Công nhân</v>
          </cell>
          <cell r="E265" t="str">
            <v>T8/17</v>
          </cell>
          <cell r="F265">
            <v>8</v>
          </cell>
          <cell r="G265">
            <v>0</v>
          </cell>
          <cell r="H265" t="str">
            <v>8.I</v>
          </cell>
          <cell r="L265">
            <v>3750</v>
          </cell>
          <cell r="N265">
            <v>3750</v>
          </cell>
          <cell r="O265">
            <v>2</v>
          </cell>
          <cell r="P265">
            <v>0</v>
          </cell>
          <cell r="Q265">
            <v>0</v>
          </cell>
          <cell r="R265">
            <v>1</v>
          </cell>
          <cell r="S265">
            <v>4</v>
          </cell>
          <cell r="T265">
            <v>3</v>
          </cell>
          <cell r="U265">
            <v>0</v>
          </cell>
          <cell r="V265">
            <v>10</v>
          </cell>
          <cell r="W265">
            <v>16</v>
          </cell>
          <cell r="X265">
            <v>4</v>
          </cell>
          <cell r="Y265">
            <v>0</v>
          </cell>
          <cell r="Z265">
            <v>16</v>
          </cell>
          <cell r="AA265">
            <v>192</v>
          </cell>
          <cell r="AB265">
            <v>-70</v>
          </cell>
          <cell r="AC265">
            <v>-318.39999999999998</v>
          </cell>
          <cell r="AD265">
            <v>2000000</v>
          </cell>
          <cell r="AE265">
            <v>0</v>
          </cell>
          <cell r="AF265">
            <v>0</v>
          </cell>
          <cell r="AG265">
            <v>7</v>
          </cell>
          <cell r="AH265">
            <v>70</v>
          </cell>
        </row>
        <row r="266">
          <cell r="A266" t="str">
            <v>A985</v>
          </cell>
          <cell r="B266" t="str">
            <v>Nguyễn Văn Tiện</v>
          </cell>
          <cell r="C266" t="str">
            <v>CI.1</v>
          </cell>
          <cell r="D266" t="str">
            <v>Công nhân</v>
          </cell>
          <cell r="E266" t="str">
            <v>T8/17</v>
          </cell>
          <cell r="F266">
            <v>8</v>
          </cell>
          <cell r="G266">
            <v>0</v>
          </cell>
          <cell r="H266" t="str">
            <v>8.I</v>
          </cell>
          <cell r="L266">
            <v>3750</v>
          </cell>
          <cell r="N266">
            <v>3750</v>
          </cell>
          <cell r="O266">
            <v>0</v>
          </cell>
          <cell r="P266">
            <v>0</v>
          </cell>
          <cell r="Q266">
            <v>0</v>
          </cell>
          <cell r="R266">
            <v>1</v>
          </cell>
          <cell r="S266">
            <v>0</v>
          </cell>
          <cell r="T266">
            <v>0</v>
          </cell>
          <cell r="U266">
            <v>0</v>
          </cell>
          <cell r="V266">
            <v>1</v>
          </cell>
          <cell r="W266">
            <v>0</v>
          </cell>
          <cell r="X266">
            <v>0</v>
          </cell>
          <cell r="Y266">
            <v>0</v>
          </cell>
          <cell r="Z266">
            <v>16</v>
          </cell>
          <cell r="AA266">
            <v>0</v>
          </cell>
          <cell r="AB266">
            <v>-140</v>
          </cell>
          <cell r="AC266">
            <v>-318.39999999999998</v>
          </cell>
          <cell r="AD266">
            <v>1000000</v>
          </cell>
          <cell r="AE266">
            <v>0</v>
          </cell>
          <cell r="AF266">
            <v>0</v>
          </cell>
          <cell r="AG266">
            <v>7</v>
          </cell>
          <cell r="AH266">
            <v>70</v>
          </cell>
        </row>
        <row r="267">
          <cell r="A267" t="str">
            <v>A986</v>
          </cell>
          <cell r="B267" t="str">
            <v>Nguyễn Thị Yến Nhi</v>
          </cell>
          <cell r="C267" t="str">
            <v>CII.4</v>
          </cell>
          <cell r="D267" t="str">
            <v>Công nhân</v>
          </cell>
          <cell r="E267" t="str">
            <v>T8/17</v>
          </cell>
          <cell r="F267">
            <v>8</v>
          </cell>
          <cell r="G267">
            <v>0</v>
          </cell>
          <cell r="H267" t="str">
            <v>8.I</v>
          </cell>
          <cell r="L267">
            <v>3500</v>
          </cell>
          <cell r="N267">
            <v>3500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16</v>
          </cell>
          <cell r="AA267">
            <v>0</v>
          </cell>
          <cell r="AB267">
            <v>-140</v>
          </cell>
          <cell r="AC267">
            <v>-443.1</v>
          </cell>
          <cell r="AD267">
            <v>2000000</v>
          </cell>
          <cell r="AE267">
            <v>1</v>
          </cell>
          <cell r="AF267">
            <v>0</v>
          </cell>
          <cell r="AG267">
            <v>7</v>
          </cell>
          <cell r="AH267">
            <v>70</v>
          </cell>
        </row>
        <row r="268">
          <cell r="A268" t="str">
            <v>A987</v>
          </cell>
          <cell r="B268" t="str">
            <v>Nguyễn Thị Thu Trang</v>
          </cell>
          <cell r="C268" t="str">
            <v>EN</v>
          </cell>
          <cell r="D268" t="str">
            <v>Công nhân</v>
          </cell>
          <cell r="E268" t="str">
            <v>T8/17</v>
          </cell>
          <cell r="F268">
            <v>8</v>
          </cell>
          <cell r="G268">
            <v>0</v>
          </cell>
          <cell r="H268" t="str">
            <v>8.I</v>
          </cell>
          <cell r="L268">
            <v>3500</v>
          </cell>
          <cell r="N268">
            <v>3500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16</v>
          </cell>
          <cell r="AA268">
            <v>0</v>
          </cell>
          <cell r="AB268">
            <v>-140</v>
          </cell>
          <cell r="AC268">
            <v>-318.39999999999998</v>
          </cell>
          <cell r="AD268">
            <v>0</v>
          </cell>
          <cell r="AE268">
            <v>4</v>
          </cell>
          <cell r="AF268">
            <v>0</v>
          </cell>
          <cell r="AG268">
            <v>7</v>
          </cell>
          <cell r="AH268">
            <v>70</v>
          </cell>
        </row>
        <row r="269">
          <cell r="A269" t="str">
            <v>A988</v>
          </cell>
          <cell r="B269" t="str">
            <v>Huỳnh Vũ Ý Nhi</v>
          </cell>
          <cell r="C269" t="str">
            <v>QCE</v>
          </cell>
          <cell r="D269" t="str">
            <v>tổ trưởng QC</v>
          </cell>
          <cell r="E269" t="str">
            <v>T8/17</v>
          </cell>
          <cell r="F269">
            <v>8</v>
          </cell>
          <cell r="G269">
            <v>0</v>
          </cell>
          <cell r="H269" t="str">
            <v>4.I</v>
          </cell>
          <cell r="L269">
            <v>4511</v>
          </cell>
          <cell r="M269">
            <v>3489</v>
          </cell>
          <cell r="N269">
            <v>8000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-300</v>
          </cell>
          <cell r="AC269">
            <v>473.65499999999997</v>
          </cell>
          <cell r="AD269">
            <v>0</v>
          </cell>
          <cell r="AE269">
            <v>1.5</v>
          </cell>
          <cell r="AF269">
            <v>0</v>
          </cell>
          <cell r="AG269">
            <v>7</v>
          </cell>
          <cell r="AH269">
            <v>150</v>
          </cell>
        </row>
        <row r="270">
          <cell r="A270" t="str">
            <v>A989</v>
          </cell>
          <cell r="B270" t="str">
            <v>Hoàng Văn Quốc Trưởng</v>
          </cell>
          <cell r="C270" t="str">
            <v>CI.1</v>
          </cell>
          <cell r="D270" t="str">
            <v>Trưởng ca chuyền I.1</v>
          </cell>
          <cell r="E270" t="str">
            <v>T8/17</v>
          </cell>
          <cell r="F270">
            <v>8</v>
          </cell>
          <cell r="G270">
            <v>0</v>
          </cell>
          <cell r="H270" t="str">
            <v>4.I</v>
          </cell>
          <cell r="L270">
            <v>4511</v>
          </cell>
          <cell r="M270">
            <v>3489</v>
          </cell>
          <cell r="N270">
            <v>8000</v>
          </cell>
          <cell r="O270">
            <v>10</v>
          </cell>
          <cell r="P270">
            <v>0</v>
          </cell>
          <cell r="Q270">
            <v>0</v>
          </cell>
          <cell r="R270">
            <v>0</v>
          </cell>
          <cell r="S270">
            <v>3</v>
          </cell>
          <cell r="T270">
            <v>0</v>
          </cell>
          <cell r="U270">
            <v>3</v>
          </cell>
          <cell r="V270">
            <v>16</v>
          </cell>
          <cell r="W270">
            <v>46</v>
          </cell>
          <cell r="X270">
            <v>8</v>
          </cell>
          <cell r="Y270">
            <v>0</v>
          </cell>
          <cell r="Z270">
            <v>16</v>
          </cell>
          <cell r="AA270">
            <v>208</v>
          </cell>
          <cell r="AB270">
            <v>0</v>
          </cell>
          <cell r="AC270">
            <v>-947.31</v>
          </cell>
          <cell r="AD270">
            <v>2000000</v>
          </cell>
          <cell r="AE270">
            <v>3</v>
          </cell>
          <cell r="AF270">
            <v>0</v>
          </cell>
          <cell r="AG270">
            <v>7</v>
          </cell>
          <cell r="AH270">
            <v>150</v>
          </cell>
        </row>
        <row r="271">
          <cell r="A271" t="str">
            <v>A991</v>
          </cell>
          <cell r="B271" t="str">
            <v>Nguyễn Hoàn Kiếm</v>
          </cell>
          <cell r="C271" t="str">
            <v>CII.1</v>
          </cell>
          <cell r="D271" t="str">
            <v>Kỹ thuật xi mạ</v>
          </cell>
          <cell r="E271" t="str">
            <v>T9/17</v>
          </cell>
          <cell r="F271">
            <v>7</v>
          </cell>
          <cell r="G271">
            <v>0</v>
          </cell>
          <cell r="H271" t="str">
            <v>4.I</v>
          </cell>
          <cell r="L271">
            <v>4511</v>
          </cell>
          <cell r="M271">
            <v>3489</v>
          </cell>
          <cell r="N271">
            <v>8000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-300</v>
          </cell>
          <cell r="AC271">
            <v>-947.31</v>
          </cell>
          <cell r="AD271">
            <v>2000000</v>
          </cell>
          <cell r="AE271">
            <v>1.5</v>
          </cell>
          <cell r="AF271">
            <v>0</v>
          </cell>
          <cell r="AG271">
            <v>6</v>
          </cell>
          <cell r="AH271">
            <v>150</v>
          </cell>
        </row>
        <row r="272">
          <cell r="A272" t="str">
            <v>A993</v>
          </cell>
          <cell r="B272" t="str">
            <v>Đinh Thị Mỹ Linh</v>
          </cell>
          <cell r="C272" t="str">
            <v>QCX</v>
          </cell>
          <cell r="D272" t="str">
            <v>Công nhân</v>
          </cell>
          <cell r="E272" t="str">
            <v>T9/17</v>
          </cell>
          <cell r="F272">
            <v>7</v>
          </cell>
          <cell r="G272">
            <v>0</v>
          </cell>
          <cell r="H272" t="str">
            <v>8.I</v>
          </cell>
          <cell r="L272">
            <v>3750</v>
          </cell>
          <cell r="N272">
            <v>3750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-140</v>
          </cell>
          <cell r="AC272">
            <v>-318.39999999999998</v>
          </cell>
          <cell r="AD272">
            <v>0</v>
          </cell>
          <cell r="AE272">
            <v>1.5</v>
          </cell>
          <cell r="AF272">
            <v>0</v>
          </cell>
          <cell r="AG272">
            <v>6</v>
          </cell>
          <cell r="AH272">
            <v>70</v>
          </cell>
        </row>
        <row r="273">
          <cell r="A273" t="str">
            <v>A995</v>
          </cell>
          <cell r="B273" t="str">
            <v>Lê Vũ Thuật</v>
          </cell>
          <cell r="C273" t="str">
            <v>Gián tiếp</v>
          </cell>
          <cell r="D273" t="str">
            <v>kế toán quản trị</v>
          </cell>
          <cell r="E273" t="str">
            <v>T9/17</v>
          </cell>
          <cell r="F273">
            <v>7</v>
          </cell>
          <cell r="G273">
            <v>0</v>
          </cell>
          <cell r="H273" t="str">
            <v>4.III</v>
          </cell>
          <cell r="L273">
            <v>4980</v>
          </cell>
          <cell r="M273">
            <v>8020</v>
          </cell>
          <cell r="N273">
            <v>13000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-300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6</v>
          </cell>
          <cell r="AH273">
            <v>150</v>
          </cell>
        </row>
        <row r="274">
          <cell r="A274" t="str">
            <v>A997</v>
          </cell>
          <cell r="B274" t="str">
            <v>Võ Tấn Tài</v>
          </cell>
          <cell r="C274" t="str">
            <v>EN</v>
          </cell>
          <cell r="D274" t="str">
            <v>Công nhân</v>
          </cell>
          <cell r="E274" t="str">
            <v>T9/17</v>
          </cell>
          <cell r="F274">
            <v>7</v>
          </cell>
          <cell r="G274">
            <v>0</v>
          </cell>
          <cell r="H274" t="str">
            <v>8.I</v>
          </cell>
          <cell r="L274">
            <v>3500</v>
          </cell>
          <cell r="M274">
            <v>0</v>
          </cell>
          <cell r="N274">
            <v>3500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15</v>
          </cell>
          <cell r="U274">
            <v>0</v>
          </cell>
          <cell r="V274">
            <v>15</v>
          </cell>
          <cell r="W274">
            <v>48</v>
          </cell>
          <cell r="X274">
            <v>12</v>
          </cell>
          <cell r="Y274">
            <v>0</v>
          </cell>
          <cell r="Z274">
            <v>0</v>
          </cell>
          <cell r="AA274">
            <v>480</v>
          </cell>
          <cell r="AB274">
            <v>0</v>
          </cell>
          <cell r="AC274">
            <v>-318.39999999999998</v>
          </cell>
          <cell r="AD274">
            <v>2000000</v>
          </cell>
          <cell r="AE274">
            <v>1</v>
          </cell>
          <cell r="AF274">
            <v>0</v>
          </cell>
          <cell r="AG274">
            <v>6</v>
          </cell>
          <cell r="AH274">
            <v>70</v>
          </cell>
        </row>
        <row r="275">
          <cell r="A275" t="str">
            <v>A998</v>
          </cell>
          <cell r="B275" t="str">
            <v>Trương Thanh Phong</v>
          </cell>
          <cell r="C275" t="str">
            <v>EN</v>
          </cell>
          <cell r="D275" t="str">
            <v>Công nhân</v>
          </cell>
          <cell r="E275" t="str">
            <v>T9/17</v>
          </cell>
          <cell r="F275">
            <v>7</v>
          </cell>
          <cell r="G275">
            <v>0</v>
          </cell>
          <cell r="H275" t="str">
            <v>8.I</v>
          </cell>
          <cell r="L275">
            <v>3500</v>
          </cell>
          <cell r="N275">
            <v>3500</v>
          </cell>
          <cell r="O275">
            <v>6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8</v>
          </cell>
          <cell r="U275">
            <v>1</v>
          </cell>
          <cell r="V275">
            <v>15</v>
          </cell>
          <cell r="W275">
            <v>42</v>
          </cell>
          <cell r="X275">
            <v>12</v>
          </cell>
          <cell r="Y275">
            <v>0</v>
          </cell>
          <cell r="Z275">
            <v>0</v>
          </cell>
          <cell r="AA275">
            <v>352</v>
          </cell>
          <cell r="AB275">
            <v>0</v>
          </cell>
          <cell r="AC275">
            <v>-318.39999999999998</v>
          </cell>
          <cell r="AD275">
            <v>2000000</v>
          </cell>
          <cell r="AE275">
            <v>2</v>
          </cell>
          <cell r="AF275">
            <v>0</v>
          </cell>
          <cell r="AG275">
            <v>6</v>
          </cell>
          <cell r="AH275">
            <v>70</v>
          </cell>
        </row>
        <row r="276">
          <cell r="A276" t="str">
            <v>A1007</v>
          </cell>
          <cell r="B276" t="str">
            <v>Ngô Văn Ba</v>
          </cell>
          <cell r="C276" t="str">
            <v>CII.1</v>
          </cell>
          <cell r="D276" t="str">
            <v>Kỹ thuật xi mạ</v>
          </cell>
          <cell r="E276" t="str">
            <v>T10/17</v>
          </cell>
          <cell r="F276">
            <v>6</v>
          </cell>
          <cell r="G276">
            <v>0</v>
          </cell>
          <cell r="H276" t="str">
            <v>4.I</v>
          </cell>
          <cell r="L276">
            <v>4511</v>
          </cell>
          <cell r="M276">
            <v>3489</v>
          </cell>
          <cell r="N276">
            <v>8000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-300</v>
          </cell>
          <cell r="AC276">
            <v>-710.48249999999996</v>
          </cell>
          <cell r="AD276">
            <v>2000000</v>
          </cell>
          <cell r="AE276">
            <v>4</v>
          </cell>
          <cell r="AF276">
            <v>1</v>
          </cell>
          <cell r="AG276">
            <v>5</v>
          </cell>
          <cell r="AH276">
            <v>150</v>
          </cell>
        </row>
        <row r="277">
          <cell r="A277" t="str">
            <v>A1008</v>
          </cell>
          <cell r="B277" t="str">
            <v>Nguyễn Thiện Tâm</v>
          </cell>
          <cell r="C277" t="str">
            <v>CD</v>
          </cell>
          <cell r="D277" t="str">
            <v>Nhân viên bảo trì</v>
          </cell>
          <cell r="E277" t="str">
            <v>T10/17</v>
          </cell>
          <cell r="F277">
            <v>6</v>
          </cell>
          <cell r="G277">
            <v>0</v>
          </cell>
          <cell r="H277" t="str">
            <v>4.I</v>
          </cell>
          <cell r="L277">
            <v>4511</v>
          </cell>
          <cell r="M277">
            <v>1489</v>
          </cell>
          <cell r="N277">
            <v>6000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16</v>
          </cell>
          <cell r="AA277">
            <v>0</v>
          </cell>
          <cell r="AB277">
            <v>-140</v>
          </cell>
          <cell r="AC277">
            <v>-710.48249999999996</v>
          </cell>
          <cell r="AD277">
            <v>2000000</v>
          </cell>
          <cell r="AE277">
            <v>2</v>
          </cell>
          <cell r="AF277">
            <v>0</v>
          </cell>
          <cell r="AG277">
            <v>5</v>
          </cell>
          <cell r="AH277">
            <v>70</v>
          </cell>
        </row>
        <row r="278">
          <cell r="A278" t="str">
            <v>A1013</v>
          </cell>
          <cell r="B278" t="str">
            <v>Hữu Thị Sà Phép</v>
          </cell>
          <cell r="C278" t="str">
            <v>QCX</v>
          </cell>
          <cell r="D278" t="str">
            <v>Công nhân</v>
          </cell>
          <cell r="E278" t="str">
            <v>T10/17</v>
          </cell>
          <cell r="F278">
            <v>6</v>
          </cell>
          <cell r="G278">
            <v>0</v>
          </cell>
          <cell r="H278" t="str">
            <v>11.I</v>
          </cell>
          <cell r="L278">
            <v>3750</v>
          </cell>
          <cell r="N278">
            <v>3750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12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-140</v>
          </cell>
          <cell r="AC278">
            <v>-318.39999999999998</v>
          </cell>
          <cell r="AD278">
            <v>0</v>
          </cell>
          <cell r="AE278">
            <v>0</v>
          </cell>
          <cell r="AF278">
            <v>0</v>
          </cell>
          <cell r="AG278">
            <v>5</v>
          </cell>
          <cell r="AH278">
            <v>70</v>
          </cell>
        </row>
        <row r="279">
          <cell r="A279" t="str">
            <v>A1016</v>
          </cell>
          <cell r="B279" t="str">
            <v>Trần Thiên Tân</v>
          </cell>
          <cell r="C279" t="str">
            <v>EN</v>
          </cell>
          <cell r="D279" t="str">
            <v>Công nhân</v>
          </cell>
          <cell r="E279" t="str">
            <v>T11/17</v>
          </cell>
          <cell r="F279">
            <v>5</v>
          </cell>
          <cell r="G279">
            <v>0</v>
          </cell>
          <cell r="H279" t="str">
            <v>11.I</v>
          </cell>
          <cell r="L279">
            <v>3750</v>
          </cell>
          <cell r="N279">
            <v>3750</v>
          </cell>
          <cell r="O279">
            <v>9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6</v>
          </cell>
          <cell r="U279">
            <v>0</v>
          </cell>
          <cell r="V279">
            <v>15</v>
          </cell>
          <cell r="W279">
            <v>48</v>
          </cell>
          <cell r="X279">
            <v>12</v>
          </cell>
          <cell r="Y279">
            <v>0</v>
          </cell>
          <cell r="Z279">
            <v>16</v>
          </cell>
          <cell r="AA279">
            <v>336</v>
          </cell>
          <cell r="AB279">
            <v>0</v>
          </cell>
          <cell r="AC279">
            <v>-318.39999999999998</v>
          </cell>
          <cell r="AD279">
            <v>2000000</v>
          </cell>
          <cell r="AE279">
            <v>1</v>
          </cell>
          <cell r="AF279">
            <v>0</v>
          </cell>
          <cell r="AG279">
            <v>4</v>
          </cell>
          <cell r="AH279">
            <v>70</v>
          </cell>
        </row>
        <row r="280">
          <cell r="A280" t="str">
            <v>A1018</v>
          </cell>
          <cell r="B280" t="str">
            <v>Nguyễn Văn Đạm</v>
          </cell>
          <cell r="C280" t="str">
            <v>EN</v>
          </cell>
          <cell r="D280" t="str">
            <v>Công nhân</v>
          </cell>
          <cell r="E280" t="str">
            <v>T11/17</v>
          </cell>
          <cell r="F280">
            <v>5</v>
          </cell>
          <cell r="G280">
            <v>0</v>
          </cell>
          <cell r="H280" t="str">
            <v>11.I</v>
          </cell>
          <cell r="L280">
            <v>3750</v>
          </cell>
          <cell r="N280">
            <v>3750</v>
          </cell>
          <cell r="O280">
            <v>8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6</v>
          </cell>
          <cell r="U280">
            <v>1</v>
          </cell>
          <cell r="V280">
            <v>15</v>
          </cell>
          <cell r="W280">
            <v>46</v>
          </cell>
          <cell r="X280">
            <v>8</v>
          </cell>
          <cell r="Y280">
            <v>0</v>
          </cell>
          <cell r="Z280">
            <v>0</v>
          </cell>
          <cell r="AA280">
            <v>320</v>
          </cell>
          <cell r="AB280">
            <v>0</v>
          </cell>
          <cell r="AC280">
            <v>-318.39999999999998</v>
          </cell>
          <cell r="AD280">
            <v>2000000</v>
          </cell>
          <cell r="AE280">
            <v>1</v>
          </cell>
          <cell r="AF280">
            <v>0</v>
          </cell>
          <cell r="AG280">
            <v>4</v>
          </cell>
          <cell r="AH280">
            <v>70</v>
          </cell>
        </row>
        <row r="281">
          <cell r="A281" t="str">
            <v>A1019</v>
          </cell>
          <cell r="B281" t="str">
            <v>Nguyễn Tấn Phát</v>
          </cell>
          <cell r="C281" t="str">
            <v>EN</v>
          </cell>
          <cell r="D281" t="str">
            <v>Công nhân</v>
          </cell>
          <cell r="E281" t="str">
            <v>T11/17</v>
          </cell>
          <cell r="F281">
            <v>5</v>
          </cell>
          <cell r="G281">
            <v>0</v>
          </cell>
          <cell r="H281" t="str">
            <v>11.I</v>
          </cell>
          <cell r="L281">
            <v>3750</v>
          </cell>
          <cell r="N281">
            <v>3750</v>
          </cell>
          <cell r="O281">
            <v>9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6</v>
          </cell>
          <cell r="U281">
            <v>0</v>
          </cell>
          <cell r="V281">
            <v>15</v>
          </cell>
          <cell r="W281">
            <v>48</v>
          </cell>
          <cell r="X281">
            <v>12</v>
          </cell>
          <cell r="Y281">
            <v>0</v>
          </cell>
          <cell r="Z281">
            <v>0</v>
          </cell>
          <cell r="AA281">
            <v>336</v>
          </cell>
          <cell r="AB281">
            <v>0</v>
          </cell>
          <cell r="AC281">
            <v>-318.39999999999998</v>
          </cell>
          <cell r="AD281">
            <v>1000000</v>
          </cell>
          <cell r="AE281">
            <v>1</v>
          </cell>
          <cell r="AF281">
            <v>0</v>
          </cell>
          <cell r="AG281">
            <v>4</v>
          </cell>
          <cell r="AH281">
            <v>70</v>
          </cell>
        </row>
        <row r="282">
          <cell r="A282" t="str">
            <v>A1020</v>
          </cell>
          <cell r="B282" t="str">
            <v>Trần Thị Cẩm Hường</v>
          </cell>
          <cell r="C282" t="str">
            <v>CI.1</v>
          </cell>
          <cell r="D282" t="str">
            <v>Công nhân</v>
          </cell>
          <cell r="E282" t="str">
            <v>T11/17</v>
          </cell>
          <cell r="F282">
            <v>5</v>
          </cell>
          <cell r="G282">
            <v>0</v>
          </cell>
          <cell r="H282" t="str">
            <v>11.I</v>
          </cell>
          <cell r="L282">
            <v>3750</v>
          </cell>
          <cell r="N282">
            <v>3750</v>
          </cell>
          <cell r="O282">
            <v>0</v>
          </cell>
          <cell r="P282">
            <v>0</v>
          </cell>
          <cell r="Q282">
            <v>0</v>
          </cell>
          <cell r="R282">
            <v>1</v>
          </cell>
          <cell r="S282">
            <v>0</v>
          </cell>
          <cell r="T282">
            <v>0</v>
          </cell>
          <cell r="U282">
            <v>0</v>
          </cell>
          <cell r="V282">
            <v>1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-140</v>
          </cell>
          <cell r="AC282">
            <v>-318.39999999999998</v>
          </cell>
          <cell r="AD282">
            <v>2000000</v>
          </cell>
          <cell r="AE282">
            <v>0</v>
          </cell>
          <cell r="AF282">
            <v>0</v>
          </cell>
          <cell r="AG282">
            <v>4</v>
          </cell>
          <cell r="AH282">
            <v>70</v>
          </cell>
        </row>
        <row r="283">
          <cell r="A283" t="str">
            <v>A1024</v>
          </cell>
          <cell r="B283" t="str">
            <v>Ngô Trọng Kính</v>
          </cell>
          <cell r="C283" t="str">
            <v>CD</v>
          </cell>
          <cell r="D283" t="str">
            <v>Nhân viên Cơ điện</v>
          </cell>
          <cell r="E283" t="str">
            <v>T11/17</v>
          </cell>
          <cell r="F283">
            <v>5</v>
          </cell>
          <cell r="G283">
            <v>0</v>
          </cell>
          <cell r="H283" t="str">
            <v>7.I</v>
          </cell>
          <cell r="L283">
            <v>4290</v>
          </cell>
          <cell r="M283">
            <v>1710</v>
          </cell>
          <cell r="N283">
            <v>6000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-140</v>
          </cell>
          <cell r="AC283">
            <v>-225.22499999999999</v>
          </cell>
          <cell r="AD283">
            <v>2000000</v>
          </cell>
          <cell r="AE283">
            <v>1</v>
          </cell>
          <cell r="AF283">
            <v>0</v>
          </cell>
          <cell r="AG283">
            <v>4</v>
          </cell>
          <cell r="AH283">
            <v>70</v>
          </cell>
        </row>
        <row r="284">
          <cell r="A284" t="str">
            <v>A1025</v>
          </cell>
          <cell r="B284" t="str">
            <v>Phạm Thị Ngọc Ánh</v>
          </cell>
          <cell r="C284" t="str">
            <v>TN</v>
          </cell>
          <cell r="D284" t="str">
            <v>Nhân viên phòng thí nghiệm</v>
          </cell>
          <cell r="E284" t="str">
            <v>T11/17</v>
          </cell>
          <cell r="F284">
            <v>5</v>
          </cell>
          <cell r="G284">
            <v>0</v>
          </cell>
          <cell r="H284" t="str">
            <v>4.I</v>
          </cell>
          <cell r="L284">
            <v>4511</v>
          </cell>
          <cell r="M284">
            <v>2463</v>
          </cell>
          <cell r="N284">
            <v>6974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15</v>
          </cell>
          <cell r="T284">
            <v>0</v>
          </cell>
          <cell r="U284">
            <v>0</v>
          </cell>
          <cell r="V284">
            <v>15</v>
          </cell>
          <cell r="W284">
            <v>0.5</v>
          </cell>
          <cell r="X284">
            <v>0</v>
          </cell>
          <cell r="Y284">
            <v>0</v>
          </cell>
          <cell r="Z284">
            <v>0</v>
          </cell>
          <cell r="AA284">
            <v>240</v>
          </cell>
          <cell r="AB284">
            <v>0</v>
          </cell>
          <cell r="AC284">
            <v>-236.82749999999999</v>
          </cell>
          <cell r="AD284">
            <v>0</v>
          </cell>
          <cell r="AE284">
            <v>0</v>
          </cell>
          <cell r="AF284">
            <v>0</v>
          </cell>
          <cell r="AG284">
            <v>4</v>
          </cell>
          <cell r="AH284">
            <v>150</v>
          </cell>
        </row>
        <row r="285">
          <cell r="A285" t="str">
            <v>A309</v>
          </cell>
          <cell r="B285" t="str">
            <v>Nguyễn Thị Trang</v>
          </cell>
          <cell r="C285" t="str">
            <v>QCE</v>
          </cell>
          <cell r="D285" t="str">
            <v xml:space="preserve">Công nhân </v>
          </cell>
          <cell r="E285" t="str">
            <v>T11/17</v>
          </cell>
          <cell r="F285">
            <v>5</v>
          </cell>
          <cell r="G285">
            <v>0</v>
          </cell>
          <cell r="H285" t="str">
            <v>8.I</v>
          </cell>
          <cell r="L285">
            <v>4440</v>
          </cell>
          <cell r="M285">
            <v>229</v>
          </cell>
          <cell r="N285">
            <v>4669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8</v>
          </cell>
          <cell r="X285">
            <v>0</v>
          </cell>
          <cell r="Y285">
            <v>0</v>
          </cell>
          <cell r="Z285">
            <v>16</v>
          </cell>
          <cell r="AA285">
            <v>0</v>
          </cell>
          <cell r="AB285">
            <v>-140</v>
          </cell>
          <cell r="AC285">
            <v>0</v>
          </cell>
          <cell r="AD285">
            <v>0</v>
          </cell>
          <cell r="AE285">
            <v>2</v>
          </cell>
          <cell r="AF285">
            <v>0</v>
          </cell>
          <cell r="AG285">
            <v>4</v>
          </cell>
          <cell r="AH285">
            <v>70</v>
          </cell>
        </row>
        <row r="286">
          <cell r="A286" t="str">
            <v>A905</v>
          </cell>
          <cell r="B286" t="str">
            <v>Nguyễn Thanh Quân</v>
          </cell>
          <cell r="C286" t="str">
            <v>QCE</v>
          </cell>
          <cell r="D286" t="str">
            <v>Công nhân</v>
          </cell>
          <cell r="E286" t="str">
            <v>T11/17</v>
          </cell>
          <cell r="F286">
            <v>5</v>
          </cell>
          <cell r="G286">
            <v>0</v>
          </cell>
          <cell r="H286" t="str">
            <v>11.I</v>
          </cell>
          <cell r="L286">
            <v>3750</v>
          </cell>
          <cell r="N286">
            <v>3750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-140</v>
          </cell>
          <cell r="AC286">
            <v>-1022</v>
          </cell>
          <cell r="AD286">
            <v>0</v>
          </cell>
          <cell r="AE286">
            <v>1</v>
          </cell>
          <cell r="AF286">
            <v>0</v>
          </cell>
          <cell r="AG286">
            <v>4</v>
          </cell>
          <cell r="AH286">
            <v>70</v>
          </cell>
        </row>
        <row r="287">
          <cell r="A287" t="str">
            <v>A1027</v>
          </cell>
          <cell r="B287" t="str">
            <v>Trần Thị Ngọc Lan</v>
          </cell>
          <cell r="C287" t="str">
            <v>Gián tiếp</v>
          </cell>
          <cell r="D287" t="str">
            <v>Quanly</v>
          </cell>
          <cell r="E287" t="str">
            <v>T12/17</v>
          </cell>
          <cell r="F287">
            <v>4</v>
          </cell>
          <cell r="G287">
            <v>0</v>
          </cell>
          <cell r="H287" t="str">
            <v>3.III</v>
          </cell>
          <cell r="L287">
            <v>6770</v>
          </cell>
          <cell r="M287">
            <v>17230</v>
          </cell>
          <cell r="N287">
            <v>24000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5000000</v>
          </cell>
          <cell r="AE287">
            <v>0</v>
          </cell>
          <cell r="AF287">
            <v>0</v>
          </cell>
          <cell r="AG287">
            <v>3</v>
          </cell>
          <cell r="AH287">
            <v>0</v>
          </cell>
        </row>
        <row r="288">
          <cell r="A288" t="str">
            <v>A663</v>
          </cell>
          <cell r="B288" t="str">
            <v>Trần Thị Cúc</v>
          </cell>
          <cell r="C288" t="str">
            <v>EN</v>
          </cell>
          <cell r="D288" t="str">
            <v>Công nhân</v>
          </cell>
          <cell r="E288" t="str">
            <v>T8/15</v>
          </cell>
          <cell r="F288">
            <v>32</v>
          </cell>
          <cell r="G288" t="str">
            <v>B</v>
          </cell>
          <cell r="H288" t="str">
            <v>8.I</v>
          </cell>
          <cell r="L288">
            <v>4290</v>
          </cell>
          <cell r="N288">
            <v>4290</v>
          </cell>
          <cell r="O288">
            <v>14</v>
          </cell>
          <cell r="P288">
            <v>0</v>
          </cell>
          <cell r="Q288">
            <v>0</v>
          </cell>
          <cell r="R288">
            <v>0</v>
          </cell>
          <cell r="S288">
            <v>1</v>
          </cell>
          <cell r="T288">
            <v>0</v>
          </cell>
          <cell r="U288">
            <v>0</v>
          </cell>
          <cell r="V288">
            <v>15</v>
          </cell>
          <cell r="W288">
            <v>87.5</v>
          </cell>
          <cell r="X288">
            <v>15</v>
          </cell>
          <cell r="Y288">
            <v>0</v>
          </cell>
          <cell r="Z288">
            <v>32</v>
          </cell>
          <cell r="AA288">
            <v>240</v>
          </cell>
          <cell r="AB288">
            <v>0</v>
          </cell>
          <cell r="AC288">
            <v>0</v>
          </cell>
          <cell r="AD288">
            <v>2000000</v>
          </cell>
          <cell r="AE288">
            <v>1</v>
          </cell>
          <cell r="AF288">
            <v>0</v>
          </cell>
          <cell r="AG288">
            <v>31</v>
          </cell>
          <cell r="AH288">
            <v>70</v>
          </cell>
        </row>
        <row r="289">
          <cell r="A289" t="str">
            <v>A435</v>
          </cell>
          <cell r="B289" t="str">
            <v>Châu Thanh Kiệt</v>
          </cell>
          <cell r="C289" t="str">
            <v>EN</v>
          </cell>
          <cell r="D289" t="str">
            <v>Trưởng ca</v>
          </cell>
          <cell r="E289" t="str">
            <v>T12/13</v>
          </cell>
          <cell r="F289">
            <v>52</v>
          </cell>
          <cell r="G289" t="str">
            <v>B</v>
          </cell>
          <cell r="H289" t="str">
            <v>5.I</v>
          </cell>
          <cell r="L289">
            <v>4740</v>
          </cell>
          <cell r="N289">
            <v>4740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32</v>
          </cell>
          <cell r="AA289">
            <v>0</v>
          </cell>
          <cell r="AB289">
            <v>-300</v>
          </cell>
          <cell r="AC289">
            <v>0</v>
          </cell>
          <cell r="AD289">
            <v>2000000</v>
          </cell>
          <cell r="AE289">
            <v>0</v>
          </cell>
          <cell r="AF289">
            <v>0</v>
          </cell>
          <cell r="AG289">
            <v>51</v>
          </cell>
          <cell r="AH289">
            <v>150</v>
          </cell>
        </row>
        <row r="290">
          <cell r="A290" t="str">
            <v>A601</v>
          </cell>
          <cell r="B290" t="str">
            <v>Đào Nhã Tâm</v>
          </cell>
          <cell r="C290" t="str">
            <v>Gián tiếp</v>
          </cell>
          <cell r="D290" t="str">
            <v>Quanly</v>
          </cell>
          <cell r="E290" t="str">
            <v>T4/15</v>
          </cell>
          <cell r="F290">
            <v>36</v>
          </cell>
          <cell r="G290" t="str">
            <v>A</v>
          </cell>
          <cell r="H290" t="str">
            <v>3.III</v>
          </cell>
          <cell r="L290">
            <v>10260</v>
          </cell>
          <cell r="M290">
            <v>14048</v>
          </cell>
          <cell r="N290">
            <v>24308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1</v>
          </cell>
          <cell r="AG290">
            <v>35</v>
          </cell>
          <cell r="AH290">
            <v>0</v>
          </cell>
        </row>
        <row r="291">
          <cell r="A291" t="str">
            <v>A1029</v>
          </cell>
          <cell r="B291" t="str">
            <v>Võ Kế Hậu</v>
          </cell>
          <cell r="C291" t="str">
            <v>CII.4</v>
          </cell>
          <cell r="D291" t="str">
            <v>Trưởng ca</v>
          </cell>
          <cell r="E291" t="str">
            <v>T1/18</v>
          </cell>
          <cell r="F291">
            <v>3</v>
          </cell>
          <cell r="G291">
            <v>0</v>
          </cell>
          <cell r="H291" t="str">
            <v>5.I</v>
          </cell>
          <cell r="L291">
            <v>4436</v>
          </cell>
          <cell r="M291">
            <v>3728</v>
          </cell>
          <cell r="N291">
            <v>8164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32</v>
          </cell>
          <cell r="AA291">
            <v>0</v>
          </cell>
          <cell r="AB291">
            <v>-300</v>
          </cell>
          <cell r="AC291">
            <v>-1038.0239999999999</v>
          </cell>
          <cell r="AD291">
            <v>2000000</v>
          </cell>
          <cell r="AE291">
            <v>0</v>
          </cell>
          <cell r="AF291">
            <v>0</v>
          </cell>
          <cell r="AG291">
            <v>2</v>
          </cell>
          <cell r="AH291">
            <v>150</v>
          </cell>
        </row>
        <row r="292">
          <cell r="A292" t="str">
            <v>A1030</v>
          </cell>
          <cell r="B292" t="str">
            <v>Ngô Hoàng Nam</v>
          </cell>
          <cell r="C292" t="str">
            <v>Gián tiếp</v>
          </cell>
          <cell r="D292" t="str">
            <v>Kỹ thuật</v>
          </cell>
          <cell r="E292" t="str">
            <v>T1/18</v>
          </cell>
          <cell r="F292">
            <v>3</v>
          </cell>
          <cell r="G292">
            <v>0</v>
          </cell>
          <cell r="H292" t="str">
            <v>5.I</v>
          </cell>
          <cell r="L292">
            <v>4436</v>
          </cell>
          <cell r="M292">
            <v>1564</v>
          </cell>
          <cell r="N292">
            <v>6000</v>
          </cell>
          <cell r="O292">
            <v>0</v>
          </cell>
          <cell r="P292">
            <v>1</v>
          </cell>
          <cell r="Q292">
            <v>0</v>
          </cell>
          <cell r="R292">
            <v>0</v>
          </cell>
          <cell r="S292">
            <v>14</v>
          </cell>
          <cell r="T292">
            <v>0</v>
          </cell>
          <cell r="U292">
            <v>0</v>
          </cell>
          <cell r="V292">
            <v>15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224</v>
          </cell>
          <cell r="AB292">
            <v>-150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2</v>
          </cell>
          <cell r="AH292">
            <v>150</v>
          </cell>
        </row>
        <row r="293">
          <cell r="A293" t="str">
            <v>A1032</v>
          </cell>
          <cell r="B293" t="str">
            <v>Đặng Duy Vũ</v>
          </cell>
          <cell r="C293" t="str">
            <v>CII.4</v>
          </cell>
          <cell r="D293" t="str">
            <v>Trưởng ca</v>
          </cell>
          <cell r="E293" t="str">
            <v>T1/18</v>
          </cell>
          <cell r="F293">
            <v>3</v>
          </cell>
          <cell r="G293">
            <v>0</v>
          </cell>
          <cell r="H293" t="str">
            <v>5.I</v>
          </cell>
          <cell r="L293">
            <v>4436</v>
          </cell>
          <cell r="M293">
            <v>2064</v>
          </cell>
          <cell r="N293">
            <v>6500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-300</v>
          </cell>
          <cell r="AC293">
            <v>0</v>
          </cell>
          <cell r="AD293">
            <v>2000000</v>
          </cell>
          <cell r="AE293">
            <v>0</v>
          </cell>
          <cell r="AF293">
            <v>0</v>
          </cell>
          <cell r="AG293">
            <v>2</v>
          </cell>
          <cell r="AH293">
            <v>150</v>
          </cell>
        </row>
        <row r="294">
          <cell r="A294" t="str">
            <v>A1033</v>
          </cell>
          <cell r="B294" t="str">
            <v>Lê Thị Kim Ngân</v>
          </cell>
          <cell r="C294" t="str">
            <v>Gián tiếp</v>
          </cell>
          <cell r="D294" t="str">
            <v>Nhân viên thống kê</v>
          </cell>
          <cell r="E294" t="str">
            <v>T2/18</v>
          </cell>
          <cell r="F294">
            <v>2</v>
          </cell>
          <cell r="G294">
            <v>0</v>
          </cell>
          <cell r="H294" t="str">
            <v>6.I</v>
          </cell>
          <cell r="L294">
            <v>4361</v>
          </cell>
          <cell r="M294">
            <v>2139</v>
          </cell>
          <cell r="N294">
            <v>6500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-300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1</v>
          </cell>
          <cell r="AH294">
            <v>150</v>
          </cell>
        </row>
        <row r="295">
          <cell r="A295" t="str">
            <v>A1038</v>
          </cell>
          <cell r="B295" t="str">
            <v>Hồ Nhựt  Minh</v>
          </cell>
          <cell r="C295" t="str">
            <v>CD</v>
          </cell>
          <cell r="D295" t="str">
            <v>Nhân viên bảo trì</v>
          </cell>
          <cell r="E295" t="str">
            <v>T2/18</v>
          </cell>
          <cell r="F295">
            <v>2</v>
          </cell>
          <cell r="G295">
            <v>0</v>
          </cell>
          <cell r="H295" t="str">
            <v>5.I</v>
          </cell>
          <cell r="L295">
            <v>4436</v>
          </cell>
          <cell r="M295">
            <v>2064</v>
          </cell>
          <cell r="N295">
            <v>6500</v>
          </cell>
          <cell r="O295">
            <v>15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15</v>
          </cell>
          <cell r="W295">
            <v>79</v>
          </cell>
          <cell r="X295">
            <v>12</v>
          </cell>
          <cell r="Y295">
            <v>0</v>
          </cell>
          <cell r="Z295">
            <v>16</v>
          </cell>
          <cell r="AA295">
            <v>240</v>
          </cell>
          <cell r="AB295">
            <v>0</v>
          </cell>
          <cell r="AC295">
            <v>0</v>
          </cell>
          <cell r="AD295">
            <v>2000000</v>
          </cell>
          <cell r="AE295">
            <v>0</v>
          </cell>
          <cell r="AF295">
            <v>0</v>
          </cell>
          <cell r="AG295">
            <v>1</v>
          </cell>
          <cell r="AH295">
            <v>150</v>
          </cell>
        </row>
        <row r="296">
          <cell r="A296" t="str">
            <v>A1036</v>
          </cell>
          <cell r="B296" t="str">
            <v>Huỳnh Quang Trung</v>
          </cell>
          <cell r="C296" t="str">
            <v>Gián tiếp</v>
          </cell>
          <cell r="D296" t="str">
            <v>Nhân viên HC-NS</v>
          </cell>
          <cell r="E296" t="str">
            <v>T2/18</v>
          </cell>
          <cell r="F296">
            <v>2</v>
          </cell>
          <cell r="G296">
            <v>0</v>
          </cell>
          <cell r="H296" t="str">
            <v>4.I</v>
          </cell>
          <cell r="L296">
            <v>4511</v>
          </cell>
          <cell r="M296">
            <v>2489</v>
          </cell>
          <cell r="N296">
            <v>7000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-300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1</v>
          </cell>
          <cell r="AH296">
            <v>150</v>
          </cell>
        </row>
        <row r="297">
          <cell r="A297" t="str">
            <v>A1035</v>
          </cell>
          <cell r="B297" t="str">
            <v>Huỳnh Mỹ Xuân</v>
          </cell>
          <cell r="C297" t="str">
            <v>Gián tiếp</v>
          </cell>
          <cell r="D297" t="str">
            <v>Nhân viên HC-NS</v>
          </cell>
          <cell r="E297" t="str">
            <v>T2/18</v>
          </cell>
          <cell r="F297">
            <v>2</v>
          </cell>
          <cell r="G297">
            <v>0</v>
          </cell>
          <cell r="H297" t="str">
            <v>4.I</v>
          </cell>
          <cell r="L297">
            <v>4511</v>
          </cell>
          <cell r="M297">
            <v>6489</v>
          </cell>
          <cell r="N297">
            <v>11000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-300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1</v>
          </cell>
          <cell r="AH297">
            <v>150</v>
          </cell>
        </row>
        <row r="298">
          <cell r="A298" t="str">
            <v>A1042</v>
          </cell>
          <cell r="B298" t="str">
            <v>Diệp Hoài Ân</v>
          </cell>
          <cell r="C298" t="str">
            <v>CI.1</v>
          </cell>
          <cell r="D298" t="str">
            <v>Công nhân</v>
          </cell>
          <cell r="E298" t="str">
            <v>T2/18</v>
          </cell>
          <cell r="F298">
            <v>2</v>
          </cell>
          <cell r="G298">
            <v>0</v>
          </cell>
          <cell r="H298" t="str">
            <v>11.I</v>
          </cell>
          <cell r="L298">
            <v>3500</v>
          </cell>
          <cell r="N298">
            <v>3500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16</v>
          </cell>
          <cell r="AA298">
            <v>0</v>
          </cell>
          <cell r="AB298">
            <v>-140</v>
          </cell>
          <cell r="AC298">
            <v>0</v>
          </cell>
          <cell r="AD298">
            <v>2000000</v>
          </cell>
          <cell r="AE298">
            <v>0</v>
          </cell>
          <cell r="AF298">
            <v>0</v>
          </cell>
          <cell r="AG298">
            <v>1</v>
          </cell>
          <cell r="AH298">
            <v>70</v>
          </cell>
        </row>
        <row r="299">
          <cell r="A299" t="str">
            <v>A1037</v>
          </cell>
          <cell r="B299" t="str">
            <v>Nguyễn Công Khanh</v>
          </cell>
          <cell r="C299" t="str">
            <v>CI.1</v>
          </cell>
          <cell r="D299" t="str">
            <v>Công nhân</v>
          </cell>
          <cell r="E299" t="str">
            <v>T2/18</v>
          </cell>
          <cell r="F299">
            <v>2</v>
          </cell>
          <cell r="G299">
            <v>0</v>
          </cell>
          <cell r="H299" t="str">
            <v>11.I</v>
          </cell>
          <cell r="L299">
            <v>3500</v>
          </cell>
          <cell r="N299">
            <v>3500</v>
          </cell>
          <cell r="O299">
            <v>5</v>
          </cell>
          <cell r="P299">
            <v>0</v>
          </cell>
          <cell r="Q299">
            <v>0</v>
          </cell>
          <cell r="R299">
            <v>1</v>
          </cell>
          <cell r="S299">
            <v>9</v>
          </cell>
          <cell r="T299">
            <v>0</v>
          </cell>
          <cell r="U299">
            <v>0</v>
          </cell>
          <cell r="V299">
            <v>15</v>
          </cell>
          <cell r="W299">
            <v>24</v>
          </cell>
          <cell r="X299">
            <v>4</v>
          </cell>
          <cell r="Y299">
            <v>0</v>
          </cell>
          <cell r="Z299">
            <v>16</v>
          </cell>
          <cell r="AA299">
            <v>224</v>
          </cell>
          <cell r="AB299">
            <v>0</v>
          </cell>
          <cell r="AC299">
            <v>0</v>
          </cell>
          <cell r="AD299">
            <v>2000000</v>
          </cell>
          <cell r="AE299">
            <v>0</v>
          </cell>
          <cell r="AF299">
            <v>0</v>
          </cell>
          <cell r="AG299">
            <v>1</v>
          </cell>
          <cell r="AH299">
            <v>70</v>
          </cell>
        </row>
        <row r="300">
          <cell r="A300" t="str">
            <v>A1039</v>
          </cell>
          <cell r="B300" t="str">
            <v>Đặng Văn Pháp</v>
          </cell>
          <cell r="C300" t="str">
            <v>CI.1</v>
          </cell>
          <cell r="D300" t="str">
            <v>Công nhân</v>
          </cell>
          <cell r="E300" t="str">
            <v>T2/18</v>
          </cell>
          <cell r="F300">
            <v>2</v>
          </cell>
          <cell r="G300">
            <v>0</v>
          </cell>
          <cell r="H300" t="str">
            <v>11.I</v>
          </cell>
          <cell r="L300">
            <v>3500</v>
          </cell>
          <cell r="N300">
            <v>3500</v>
          </cell>
          <cell r="O300">
            <v>0</v>
          </cell>
          <cell r="P300">
            <v>0</v>
          </cell>
          <cell r="Q300">
            <v>0</v>
          </cell>
          <cell r="R300">
            <v>1</v>
          </cell>
          <cell r="S300">
            <v>0</v>
          </cell>
          <cell r="T300">
            <v>0</v>
          </cell>
          <cell r="U300">
            <v>0</v>
          </cell>
          <cell r="V300">
            <v>1</v>
          </cell>
          <cell r="W300">
            <v>0</v>
          </cell>
          <cell r="X300">
            <v>0</v>
          </cell>
          <cell r="Y300">
            <v>0</v>
          </cell>
          <cell r="Z300">
            <v>32</v>
          </cell>
          <cell r="AA300">
            <v>0</v>
          </cell>
          <cell r="AB300">
            <v>-140</v>
          </cell>
          <cell r="AC300">
            <v>0</v>
          </cell>
          <cell r="AD300">
            <v>500000</v>
          </cell>
          <cell r="AE300">
            <v>0</v>
          </cell>
          <cell r="AF300">
            <v>0</v>
          </cell>
          <cell r="AG300">
            <v>1</v>
          </cell>
          <cell r="AH300">
            <v>70</v>
          </cell>
        </row>
        <row r="301">
          <cell r="A301" t="str">
            <v>A1040</v>
          </cell>
          <cell r="B301" t="str">
            <v>Hồ Văn Tân</v>
          </cell>
          <cell r="C301" t="str">
            <v>CI.1</v>
          </cell>
          <cell r="D301" t="str">
            <v>Công nhân</v>
          </cell>
          <cell r="E301" t="str">
            <v>T2/18</v>
          </cell>
          <cell r="F301">
            <v>2</v>
          </cell>
          <cell r="G301">
            <v>0</v>
          </cell>
          <cell r="H301" t="str">
            <v>11.I</v>
          </cell>
          <cell r="L301">
            <v>3500</v>
          </cell>
          <cell r="N301">
            <v>3500</v>
          </cell>
          <cell r="O301">
            <v>3</v>
          </cell>
          <cell r="P301">
            <v>0</v>
          </cell>
          <cell r="Q301">
            <v>0</v>
          </cell>
          <cell r="R301">
            <v>1</v>
          </cell>
          <cell r="S301">
            <v>9</v>
          </cell>
          <cell r="T301">
            <v>2</v>
          </cell>
          <cell r="U301">
            <v>0</v>
          </cell>
          <cell r="V301">
            <v>15</v>
          </cell>
          <cell r="W301">
            <v>28</v>
          </cell>
          <cell r="X301">
            <v>4</v>
          </cell>
          <cell r="Y301">
            <v>0</v>
          </cell>
          <cell r="Z301">
            <v>16</v>
          </cell>
          <cell r="AA301">
            <v>256</v>
          </cell>
          <cell r="AB301">
            <v>0</v>
          </cell>
          <cell r="AC301">
            <v>0</v>
          </cell>
          <cell r="AD301">
            <v>2000000</v>
          </cell>
          <cell r="AE301">
            <v>0</v>
          </cell>
          <cell r="AF301">
            <v>0</v>
          </cell>
          <cell r="AG301">
            <v>1</v>
          </cell>
          <cell r="AH301">
            <v>70</v>
          </cell>
        </row>
        <row r="302">
          <cell r="A302" t="str">
            <v>A1046</v>
          </cell>
          <cell r="B302" t="str">
            <v>Huỳnh Thị Quyền Trân</v>
          </cell>
          <cell r="C302" t="str">
            <v>CI.1</v>
          </cell>
          <cell r="D302" t="str">
            <v>Công nhân</v>
          </cell>
          <cell r="E302" t="str">
            <v>T2/18</v>
          </cell>
          <cell r="F302">
            <v>2</v>
          </cell>
          <cell r="G302">
            <v>0</v>
          </cell>
          <cell r="H302" t="str">
            <v>11.I</v>
          </cell>
          <cell r="L302">
            <v>3500</v>
          </cell>
          <cell r="N302">
            <v>3500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-140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1</v>
          </cell>
          <cell r="AH302">
            <v>70</v>
          </cell>
        </row>
        <row r="303">
          <cell r="A303" t="str">
            <v>A1041</v>
          </cell>
          <cell r="B303" t="str">
            <v>Nguyễn Chí Linh</v>
          </cell>
          <cell r="C303" t="str">
            <v>CI.1</v>
          </cell>
          <cell r="D303" t="str">
            <v>Công nhân</v>
          </cell>
          <cell r="E303" t="str">
            <v>T2/18</v>
          </cell>
          <cell r="F303">
            <v>2</v>
          </cell>
          <cell r="G303">
            <v>0</v>
          </cell>
          <cell r="H303" t="str">
            <v>11.I</v>
          </cell>
          <cell r="L303">
            <v>3500</v>
          </cell>
          <cell r="N303">
            <v>3500</v>
          </cell>
          <cell r="O303">
            <v>5</v>
          </cell>
          <cell r="P303">
            <v>0</v>
          </cell>
          <cell r="Q303">
            <v>0</v>
          </cell>
          <cell r="R303">
            <v>1</v>
          </cell>
          <cell r="S303">
            <v>7</v>
          </cell>
          <cell r="T303">
            <v>2</v>
          </cell>
          <cell r="U303">
            <v>0</v>
          </cell>
          <cell r="V303">
            <v>15</v>
          </cell>
          <cell r="W303">
            <v>33</v>
          </cell>
          <cell r="X303">
            <v>4</v>
          </cell>
          <cell r="Y303">
            <v>0</v>
          </cell>
          <cell r="Z303">
            <v>16</v>
          </cell>
          <cell r="AA303">
            <v>256</v>
          </cell>
          <cell r="AB303">
            <v>0</v>
          </cell>
          <cell r="AC303">
            <v>0</v>
          </cell>
          <cell r="AD303">
            <v>1000000</v>
          </cell>
          <cell r="AE303">
            <v>0</v>
          </cell>
          <cell r="AF303">
            <v>0</v>
          </cell>
          <cell r="AG303">
            <v>1</v>
          </cell>
          <cell r="AH303">
            <v>70</v>
          </cell>
        </row>
        <row r="304">
          <cell r="A304" t="str">
            <v>A1044</v>
          </cell>
          <cell r="B304" t="str">
            <v>Dương Tấn Mạnh</v>
          </cell>
          <cell r="C304" t="str">
            <v>CI.1</v>
          </cell>
          <cell r="D304" t="str">
            <v>Công nhân</v>
          </cell>
          <cell r="E304" t="str">
            <v>T2/18</v>
          </cell>
          <cell r="F304">
            <v>2</v>
          </cell>
          <cell r="G304">
            <v>0</v>
          </cell>
          <cell r="H304" t="str">
            <v>11.I</v>
          </cell>
          <cell r="L304">
            <v>3500</v>
          </cell>
          <cell r="N304">
            <v>3500</v>
          </cell>
          <cell r="O304">
            <v>2</v>
          </cell>
          <cell r="P304">
            <v>0</v>
          </cell>
          <cell r="Q304">
            <v>0</v>
          </cell>
          <cell r="R304">
            <v>1</v>
          </cell>
          <cell r="S304">
            <v>7</v>
          </cell>
          <cell r="T304">
            <v>3</v>
          </cell>
          <cell r="U304">
            <v>0</v>
          </cell>
          <cell r="V304">
            <v>13</v>
          </cell>
          <cell r="W304">
            <v>16</v>
          </cell>
          <cell r="X304">
            <v>4</v>
          </cell>
          <cell r="Y304">
            <v>0</v>
          </cell>
          <cell r="Z304">
            <v>16</v>
          </cell>
          <cell r="AA304">
            <v>240</v>
          </cell>
          <cell r="AB304">
            <v>0</v>
          </cell>
          <cell r="AC304">
            <v>0</v>
          </cell>
          <cell r="AD304">
            <v>1000000</v>
          </cell>
          <cell r="AE304">
            <v>0</v>
          </cell>
          <cell r="AF304">
            <v>0</v>
          </cell>
          <cell r="AG304">
            <v>1</v>
          </cell>
          <cell r="AH304">
            <v>70</v>
          </cell>
        </row>
        <row r="305">
          <cell r="A305" t="str">
            <v>A1047</v>
          </cell>
          <cell r="B305" t="str">
            <v>Trần Lý Quản</v>
          </cell>
          <cell r="C305" t="str">
            <v>QCE</v>
          </cell>
          <cell r="D305" t="str">
            <v>Công nhân</v>
          </cell>
          <cell r="E305" t="str">
            <v>T2/18</v>
          </cell>
          <cell r="F305">
            <v>2</v>
          </cell>
          <cell r="G305">
            <v>0</v>
          </cell>
          <cell r="H305" t="str">
            <v>11.I</v>
          </cell>
          <cell r="L305">
            <v>3500</v>
          </cell>
          <cell r="N305">
            <v>3500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-140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1</v>
          </cell>
          <cell r="AH305">
            <v>70</v>
          </cell>
        </row>
        <row r="306">
          <cell r="A306" t="str">
            <v>A1043</v>
          </cell>
          <cell r="B306" t="str">
            <v>Lê Thị Kim Nhí</v>
          </cell>
          <cell r="C306" t="str">
            <v>QCX</v>
          </cell>
          <cell r="D306" t="str">
            <v>Công nhân Xưởng 1</v>
          </cell>
          <cell r="E306" t="str">
            <v>T2/18</v>
          </cell>
          <cell r="F306">
            <v>2</v>
          </cell>
          <cell r="G306">
            <v>0</v>
          </cell>
          <cell r="H306" t="str">
            <v>11.I</v>
          </cell>
          <cell r="L306">
            <v>3500</v>
          </cell>
          <cell r="N306">
            <v>3500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32</v>
          </cell>
          <cell r="AA306">
            <v>0</v>
          </cell>
          <cell r="AB306">
            <v>-140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</v>
          </cell>
          <cell r="AH306">
            <v>70</v>
          </cell>
        </row>
        <row r="307">
          <cell r="A307" t="str">
            <v>A1048</v>
          </cell>
          <cell r="B307" t="str">
            <v>Trần Đức Trọng</v>
          </cell>
          <cell r="C307" t="str">
            <v>CI.1</v>
          </cell>
          <cell r="D307" t="str">
            <v>Công nhân Xưởng 1</v>
          </cell>
          <cell r="E307" t="str">
            <v>T2/18</v>
          </cell>
          <cell r="F307">
            <v>2</v>
          </cell>
          <cell r="G307">
            <v>0</v>
          </cell>
          <cell r="H307" t="str">
            <v>11.I</v>
          </cell>
          <cell r="L307">
            <v>3500</v>
          </cell>
          <cell r="N307">
            <v>3500</v>
          </cell>
          <cell r="O307">
            <v>5</v>
          </cell>
          <cell r="P307">
            <v>0</v>
          </cell>
          <cell r="Q307">
            <v>0</v>
          </cell>
          <cell r="R307">
            <v>1</v>
          </cell>
          <cell r="S307">
            <v>7</v>
          </cell>
          <cell r="T307">
            <v>2</v>
          </cell>
          <cell r="U307">
            <v>0</v>
          </cell>
          <cell r="V307">
            <v>15</v>
          </cell>
          <cell r="W307">
            <v>34</v>
          </cell>
          <cell r="X307">
            <v>4</v>
          </cell>
          <cell r="Y307">
            <v>0</v>
          </cell>
          <cell r="Z307">
            <v>16</v>
          </cell>
          <cell r="AA307">
            <v>256</v>
          </cell>
          <cell r="AB307">
            <v>0</v>
          </cell>
          <cell r="AD307">
            <v>2000000</v>
          </cell>
          <cell r="AE307">
            <v>0</v>
          </cell>
          <cell r="AF307">
            <v>0</v>
          </cell>
          <cell r="AG307">
            <v>1</v>
          </cell>
          <cell r="AH307">
            <v>70</v>
          </cell>
        </row>
        <row r="308">
          <cell r="A308" t="str">
            <v>A1049</v>
          </cell>
          <cell r="B308" t="str">
            <v>Phạm Thị Nhi</v>
          </cell>
          <cell r="C308" t="str">
            <v>CI.1</v>
          </cell>
          <cell r="D308" t="str">
            <v>Công nhân Xưởng 1</v>
          </cell>
          <cell r="E308" t="str">
            <v>T3/18</v>
          </cell>
          <cell r="F308">
            <v>2</v>
          </cell>
          <cell r="G308">
            <v>0</v>
          </cell>
          <cell r="H308" t="str">
            <v>11.I</v>
          </cell>
          <cell r="L308">
            <v>3500</v>
          </cell>
          <cell r="N308">
            <v>3500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-140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1</v>
          </cell>
          <cell r="AH308">
            <v>70</v>
          </cell>
        </row>
        <row r="309">
          <cell r="A309" t="str">
            <v>A1050</v>
          </cell>
          <cell r="B309" t="str">
            <v>Nguyễn Thị Thanh Hằng</v>
          </cell>
          <cell r="C309" t="str">
            <v>CII.4</v>
          </cell>
          <cell r="D309" t="str">
            <v>Công nhân Xưởng 2</v>
          </cell>
          <cell r="E309" t="str">
            <v>T3/18</v>
          </cell>
          <cell r="F309">
            <v>2</v>
          </cell>
          <cell r="G309">
            <v>0</v>
          </cell>
          <cell r="H309" t="str">
            <v>11.I</v>
          </cell>
          <cell r="L309">
            <v>3500</v>
          </cell>
          <cell r="N309">
            <v>3500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16</v>
          </cell>
          <cell r="AA309">
            <v>0</v>
          </cell>
          <cell r="AB309">
            <v>-140</v>
          </cell>
          <cell r="AC309">
            <v>0</v>
          </cell>
          <cell r="AD309">
            <v>1000000</v>
          </cell>
          <cell r="AE309">
            <v>0</v>
          </cell>
          <cell r="AF309">
            <v>0</v>
          </cell>
          <cell r="AG309">
            <v>1</v>
          </cell>
          <cell r="AH309">
            <v>70</v>
          </cell>
        </row>
        <row r="310">
          <cell r="A310" t="str">
            <v>A1051</v>
          </cell>
          <cell r="B310" t="str">
            <v>Trần Chí Hào</v>
          </cell>
          <cell r="C310" t="str">
            <v>CI.1</v>
          </cell>
          <cell r="D310" t="str">
            <v>Công nhân Xưởng 1</v>
          </cell>
          <cell r="E310" t="str">
            <v>T3/18</v>
          </cell>
          <cell r="F310">
            <v>2</v>
          </cell>
          <cell r="G310">
            <v>0</v>
          </cell>
          <cell r="H310" t="str">
            <v>11.I</v>
          </cell>
          <cell r="L310">
            <v>3500</v>
          </cell>
          <cell r="N310">
            <v>3500</v>
          </cell>
          <cell r="O310">
            <v>2</v>
          </cell>
          <cell r="P310">
            <v>0</v>
          </cell>
          <cell r="Q310">
            <v>0</v>
          </cell>
          <cell r="R310">
            <v>1</v>
          </cell>
          <cell r="S310">
            <v>5</v>
          </cell>
          <cell r="T310">
            <v>3</v>
          </cell>
          <cell r="U310">
            <v>0</v>
          </cell>
          <cell r="V310">
            <v>11</v>
          </cell>
          <cell r="W310">
            <v>16</v>
          </cell>
          <cell r="X310">
            <v>4</v>
          </cell>
          <cell r="Y310">
            <v>0</v>
          </cell>
          <cell r="Z310">
            <v>16</v>
          </cell>
          <cell r="AA310">
            <v>208</v>
          </cell>
          <cell r="AB310">
            <v>-70</v>
          </cell>
          <cell r="AC310">
            <v>0</v>
          </cell>
          <cell r="AD310">
            <v>2000000</v>
          </cell>
          <cell r="AE310">
            <v>0</v>
          </cell>
          <cell r="AF310">
            <v>0</v>
          </cell>
          <cell r="AG310">
            <v>1</v>
          </cell>
          <cell r="AH310">
            <v>70</v>
          </cell>
        </row>
        <row r="311">
          <cell r="A311" t="str">
            <v>A1052</v>
          </cell>
          <cell r="B311" t="str">
            <v>Đinh Tấn Vũ</v>
          </cell>
          <cell r="C311" t="str">
            <v>CII.4</v>
          </cell>
          <cell r="D311" t="str">
            <v>Công nhân Xưởng 2</v>
          </cell>
          <cell r="E311" t="str">
            <v>T3/18</v>
          </cell>
          <cell r="F311">
            <v>2</v>
          </cell>
          <cell r="G311">
            <v>0</v>
          </cell>
          <cell r="H311" t="str">
            <v>11.I</v>
          </cell>
          <cell r="L311">
            <v>3500</v>
          </cell>
          <cell r="N311">
            <v>3500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-140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1</v>
          </cell>
          <cell r="AH311">
            <v>70</v>
          </cell>
        </row>
        <row r="312">
          <cell r="A312" t="str">
            <v>A1054</v>
          </cell>
          <cell r="B312" t="str">
            <v>Nguyễn Ngọc Thanh Trí</v>
          </cell>
          <cell r="C312" t="str">
            <v>CI.1</v>
          </cell>
          <cell r="D312" t="str">
            <v>Công nhân Xưởng 1</v>
          </cell>
          <cell r="E312" t="str">
            <v>T3/18</v>
          </cell>
          <cell r="F312">
            <v>2</v>
          </cell>
          <cell r="G312">
            <v>0</v>
          </cell>
          <cell r="H312" t="str">
            <v>11.I</v>
          </cell>
          <cell r="L312">
            <v>3500</v>
          </cell>
          <cell r="N312">
            <v>3500</v>
          </cell>
          <cell r="O312">
            <v>1</v>
          </cell>
          <cell r="P312">
            <v>0</v>
          </cell>
          <cell r="Q312">
            <v>0</v>
          </cell>
          <cell r="R312">
            <v>1</v>
          </cell>
          <cell r="S312">
            <v>8</v>
          </cell>
          <cell r="T312">
            <v>3</v>
          </cell>
          <cell r="U312">
            <v>0</v>
          </cell>
          <cell r="V312">
            <v>13</v>
          </cell>
          <cell r="W312">
            <v>16</v>
          </cell>
          <cell r="X312">
            <v>0</v>
          </cell>
          <cell r="Y312">
            <v>0</v>
          </cell>
          <cell r="Z312">
            <v>0</v>
          </cell>
          <cell r="AA312">
            <v>240</v>
          </cell>
          <cell r="AB312">
            <v>0</v>
          </cell>
          <cell r="AC312">
            <v>0</v>
          </cell>
          <cell r="AD312">
            <v>1000000</v>
          </cell>
          <cell r="AE312">
            <v>0</v>
          </cell>
          <cell r="AF312">
            <v>0</v>
          </cell>
          <cell r="AG312">
            <v>1</v>
          </cell>
          <cell r="AH312">
            <v>70</v>
          </cell>
        </row>
        <row r="313">
          <cell r="A313" t="str">
            <v>A1055</v>
          </cell>
          <cell r="B313" t="str">
            <v>Phạm Thành Nam</v>
          </cell>
          <cell r="C313" t="str">
            <v>CII.4</v>
          </cell>
          <cell r="D313" t="str">
            <v>Công nhân Xưởng 2</v>
          </cell>
          <cell r="E313" t="str">
            <v>T3/18</v>
          </cell>
          <cell r="F313">
            <v>2</v>
          </cell>
          <cell r="G313">
            <v>0</v>
          </cell>
          <cell r="H313" t="str">
            <v>11.I</v>
          </cell>
          <cell r="L313">
            <v>3500</v>
          </cell>
          <cell r="N313">
            <v>3500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-140</v>
          </cell>
          <cell r="AC313">
            <v>0</v>
          </cell>
          <cell r="AD313">
            <v>1000000</v>
          </cell>
          <cell r="AE313">
            <v>0</v>
          </cell>
          <cell r="AF313">
            <v>0</v>
          </cell>
          <cell r="AG313">
            <v>1</v>
          </cell>
          <cell r="AH313">
            <v>70</v>
          </cell>
        </row>
        <row r="314">
          <cell r="A314" t="str">
            <v>A1056</v>
          </cell>
          <cell r="B314" t="str">
            <v>Trần Duy Hưng</v>
          </cell>
          <cell r="C314" t="str">
            <v>Gián tiếp</v>
          </cell>
          <cell r="D314" t="str">
            <v>Kế toán tổng hợp</v>
          </cell>
          <cell r="E314" t="str">
            <v>T3/18</v>
          </cell>
          <cell r="F314">
            <v>2</v>
          </cell>
          <cell r="G314">
            <v>0</v>
          </cell>
          <cell r="H314" t="str">
            <v>4.III</v>
          </cell>
          <cell r="L314">
            <v>4980</v>
          </cell>
          <cell r="M314">
            <v>8020</v>
          </cell>
          <cell r="N314">
            <v>13000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-300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1</v>
          </cell>
          <cell r="AH314">
            <v>150</v>
          </cell>
        </row>
        <row r="315">
          <cell r="A315" t="str">
            <v>A1057</v>
          </cell>
          <cell r="B315" t="str">
            <v>Nguyễn Châu Điền</v>
          </cell>
          <cell r="C315" t="str">
            <v>CI.1</v>
          </cell>
          <cell r="D315" t="str">
            <v>Trưởng ca Xưởng 1</v>
          </cell>
          <cell r="E315" t="str">
            <v>T3/18</v>
          </cell>
          <cell r="F315">
            <v>2</v>
          </cell>
          <cell r="G315">
            <v>0</v>
          </cell>
          <cell r="H315" t="str">
            <v>5.I</v>
          </cell>
          <cell r="L315">
            <v>4436</v>
          </cell>
          <cell r="M315">
            <v>3564</v>
          </cell>
          <cell r="N315">
            <v>8000</v>
          </cell>
          <cell r="O315">
            <v>5</v>
          </cell>
          <cell r="P315">
            <v>0</v>
          </cell>
          <cell r="Q315">
            <v>0</v>
          </cell>
          <cell r="R315">
            <v>1</v>
          </cell>
          <cell r="S315">
            <v>4</v>
          </cell>
          <cell r="T315">
            <v>3</v>
          </cell>
          <cell r="U315">
            <v>0</v>
          </cell>
          <cell r="V315">
            <v>13</v>
          </cell>
          <cell r="W315">
            <v>22.5</v>
          </cell>
          <cell r="X315">
            <v>4</v>
          </cell>
          <cell r="Y315">
            <v>0</v>
          </cell>
          <cell r="Z315">
            <v>16</v>
          </cell>
          <cell r="AA315">
            <v>240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1</v>
          </cell>
          <cell r="AH315">
            <v>150</v>
          </cell>
        </row>
        <row r="316">
          <cell r="A316" t="str">
            <v>A1058</v>
          </cell>
          <cell r="B316" t="str">
            <v>Trương Quốc Tiến</v>
          </cell>
          <cell r="C316" t="str">
            <v>Kho</v>
          </cell>
          <cell r="D316" t="str">
            <v>Phụ kho</v>
          </cell>
          <cell r="E316" t="str">
            <v>T3/18</v>
          </cell>
          <cell r="F316">
            <v>2</v>
          </cell>
          <cell r="G316">
            <v>0</v>
          </cell>
          <cell r="H316" t="str">
            <v>11.I</v>
          </cell>
          <cell r="L316">
            <v>3980</v>
          </cell>
          <cell r="M316">
            <v>520</v>
          </cell>
          <cell r="N316">
            <v>4500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-140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1</v>
          </cell>
          <cell r="AH316">
            <v>70</v>
          </cell>
        </row>
        <row r="317">
          <cell r="A317" t="str">
            <v>A1059</v>
          </cell>
          <cell r="B317" t="str">
            <v>Lê Nguyễn Thanh Sang</v>
          </cell>
          <cell r="C317" t="str">
            <v>CI.1</v>
          </cell>
          <cell r="D317" t="str">
            <v>Công nhân Xưởng 1</v>
          </cell>
          <cell r="E317" t="str">
            <v>T3/18</v>
          </cell>
          <cell r="F317">
            <v>2</v>
          </cell>
          <cell r="G317">
            <v>0</v>
          </cell>
          <cell r="H317" t="str">
            <v>11.I</v>
          </cell>
          <cell r="L317">
            <v>3500</v>
          </cell>
          <cell r="N317">
            <v>3500</v>
          </cell>
          <cell r="O317">
            <v>10</v>
          </cell>
          <cell r="P317">
            <v>1</v>
          </cell>
          <cell r="Q317">
            <v>0</v>
          </cell>
          <cell r="R317">
            <v>0</v>
          </cell>
          <cell r="S317">
            <v>0</v>
          </cell>
          <cell r="T317">
            <v>3</v>
          </cell>
          <cell r="U317">
            <v>1</v>
          </cell>
          <cell r="V317">
            <v>15</v>
          </cell>
          <cell r="W317">
            <v>92</v>
          </cell>
          <cell r="X317">
            <v>18</v>
          </cell>
          <cell r="Y317">
            <v>0</v>
          </cell>
          <cell r="Z317">
            <v>0</v>
          </cell>
          <cell r="AA317">
            <v>256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1</v>
          </cell>
          <cell r="AH317">
            <v>70</v>
          </cell>
        </row>
        <row r="318">
          <cell r="A318" t="str">
            <v>A1060</v>
          </cell>
          <cell r="B318" t="str">
            <v>Hồng Thị Hằng</v>
          </cell>
          <cell r="C318" t="str">
            <v>CI.1</v>
          </cell>
          <cell r="D318" t="str">
            <v>Công nhân Xưởng 1</v>
          </cell>
          <cell r="E318" t="str">
            <v>T3/18</v>
          </cell>
          <cell r="F318">
            <v>2</v>
          </cell>
          <cell r="G318">
            <v>0</v>
          </cell>
          <cell r="H318" t="str">
            <v>11.I</v>
          </cell>
          <cell r="L318">
            <v>3500</v>
          </cell>
          <cell r="N318">
            <v>3500</v>
          </cell>
          <cell r="O318">
            <v>0</v>
          </cell>
          <cell r="P318">
            <v>0</v>
          </cell>
          <cell r="Q318">
            <v>0</v>
          </cell>
          <cell r="R318">
            <v>1</v>
          </cell>
          <cell r="S318">
            <v>0</v>
          </cell>
          <cell r="T318">
            <v>0</v>
          </cell>
          <cell r="U318">
            <v>0</v>
          </cell>
          <cell r="V318">
            <v>1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-140</v>
          </cell>
          <cell r="AC318">
            <v>0</v>
          </cell>
          <cell r="AD318">
            <v>2000000</v>
          </cell>
          <cell r="AE318">
            <v>0</v>
          </cell>
          <cell r="AF318">
            <v>0</v>
          </cell>
          <cell r="AG318">
            <v>1</v>
          </cell>
          <cell r="AH318">
            <v>70</v>
          </cell>
        </row>
        <row r="319">
          <cell r="A319" t="str">
            <v>A1061</v>
          </cell>
          <cell r="B319" t="str">
            <v>Võ Minh Kiệt</v>
          </cell>
          <cell r="C319" t="str">
            <v>QCX</v>
          </cell>
          <cell r="D319" t="str">
            <v>Công nhân Xưởng 1</v>
          </cell>
          <cell r="E319" t="str">
            <v>T3/18</v>
          </cell>
          <cell r="F319">
            <v>2</v>
          </cell>
          <cell r="G319">
            <v>0</v>
          </cell>
          <cell r="H319" t="str">
            <v>11.I</v>
          </cell>
          <cell r="L319">
            <v>3500</v>
          </cell>
          <cell r="N319">
            <v>3500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-140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1</v>
          </cell>
          <cell r="AH319">
            <v>70</v>
          </cell>
        </row>
        <row r="320">
          <cell r="A320" t="str">
            <v>A1062</v>
          </cell>
          <cell r="B320" t="str">
            <v>Lê Minh Chiêu</v>
          </cell>
          <cell r="C320" t="str">
            <v>EN</v>
          </cell>
          <cell r="D320" t="str">
            <v>Công nhân Xưởng 1</v>
          </cell>
          <cell r="E320" t="str">
            <v>T3/18</v>
          </cell>
          <cell r="F320">
            <v>2</v>
          </cell>
          <cell r="G320">
            <v>0</v>
          </cell>
          <cell r="H320" t="str">
            <v>11.I</v>
          </cell>
          <cell r="L320">
            <v>3500</v>
          </cell>
          <cell r="N320">
            <v>3500</v>
          </cell>
          <cell r="O320">
            <v>9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6</v>
          </cell>
          <cell r="U320">
            <v>0</v>
          </cell>
          <cell r="V320">
            <v>15</v>
          </cell>
          <cell r="W320">
            <v>48</v>
          </cell>
          <cell r="X320">
            <v>12</v>
          </cell>
          <cell r="Y320">
            <v>0</v>
          </cell>
          <cell r="Z320">
            <v>0</v>
          </cell>
          <cell r="AA320">
            <v>336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1</v>
          </cell>
          <cell r="AH320">
            <v>70</v>
          </cell>
        </row>
        <row r="321">
          <cell r="A321" t="str">
            <v>A1063</v>
          </cell>
          <cell r="B321" t="str">
            <v>Đỗ Quốc Trí</v>
          </cell>
          <cell r="C321" t="str">
            <v>Gián tiếp</v>
          </cell>
          <cell r="D321" t="str">
            <v>Phó GĐ</v>
          </cell>
          <cell r="E321" t="str">
            <v>T3/18</v>
          </cell>
          <cell r="F321">
            <v>2</v>
          </cell>
          <cell r="G321">
            <v>0</v>
          </cell>
          <cell r="H321" t="str">
            <v>1.I</v>
          </cell>
          <cell r="L321">
            <v>15050</v>
          </cell>
          <cell r="M321">
            <v>10950</v>
          </cell>
          <cell r="N321">
            <v>26000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5000000</v>
          </cell>
          <cell r="AE321">
            <v>0</v>
          </cell>
          <cell r="AF321">
            <v>0</v>
          </cell>
          <cell r="AG321">
            <v>1</v>
          </cell>
        </row>
        <row r="322">
          <cell r="A322" t="str">
            <v>A1064</v>
          </cell>
          <cell r="B322" t="str">
            <v>Nguyễn Thị Cẩm Loan</v>
          </cell>
          <cell r="C322" t="str">
            <v>TXBVTV</v>
          </cell>
          <cell r="D322" t="str">
            <v>Tạp vụ Xưởng 1</v>
          </cell>
          <cell r="E322" t="str">
            <v>T3/18</v>
          </cell>
          <cell r="F322">
            <v>2</v>
          </cell>
          <cell r="G322">
            <v>0</v>
          </cell>
          <cell r="H322" t="str">
            <v>11.I</v>
          </cell>
          <cell r="L322">
            <v>3980</v>
          </cell>
          <cell r="M322">
            <v>520</v>
          </cell>
          <cell r="N322">
            <v>4500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14</v>
          </cell>
          <cell r="T322">
            <v>0</v>
          </cell>
          <cell r="U322">
            <v>0</v>
          </cell>
          <cell r="V322">
            <v>14</v>
          </cell>
          <cell r="W322">
            <v>14</v>
          </cell>
          <cell r="X322">
            <v>0</v>
          </cell>
          <cell r="Y322">
            <v>0</v>
          </cell>
          <cell r="Z322">
            <v>0</v>
          </cell>
          <cell r="AA322">
            <v>224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1</v>
          </cell>
          <cell r="AH322">
            <v>70</v>
          </cell>
        </row>
        <row r="323">
          <cell r="A323" t="str">
            <v>A1065</v>
          </cell>
          <cell r="B323" t="str">
            <v>Huỳnh Tí Nị</v>
          </cell>
          <cell r="C323" t="str">
            <v>CI.1</v>
          </cell>
          <cell r="D323" t="str">
            <v>Công nhân Xưởng 1</v>
          </cell>
          <cell r="E323" t="str">
            <v>T3/18</v>
          </cell>
          <cell r="F323">
            <v>2</v>
          </cell>
          <cell r="G323">
            <v>0</v>
          </cell>
          <cell r="H323" t="str">
            <v>11.I</v>
          </cell>
          <cell r="L323">
            <v>3500</v>
          </cell>
          <cell r="N323">
            <v>3500</v>
          </cell>
          <cell r="O323">
            <v>0</v>
          </cell>
          <cell r="P323">
            <v>0</v>
          </cell>
          <cell r="Q323">
            <v>0</v>
          </cell>
          <cell r="R323">
            <v>1</v>
          </cell>
          <cell r="S323">
            <v>0</v>
          </cell>
          <cell r="T323">
            <v>0</v>
          </cell>
          <cell r="U323">
            <v>0</v>
          </cell>
          <cell r="V323">
            <v>1</v>
          </cell>
          <cell r="W323">
            <v>0</v>
          </cell>
          <cell r="X323">
            <v>0</v>
          </cell>
          <cell r="Y323">
            <v>0</v>
          </cell>
          <cell r="Z323">
            <v>16</v>
          </cell>
          <cell r="AA323">
            <v>0</v>
          </cell>
          <cell r="AB323">
            <v>-140</v>
          </cell>
          <cell r="AC323">
            <v>0</v>
          </cell>
          <cell r="AD323">
            <v>1000000</v>
          </cell>
          <cell r="AE323">
            <v>0</v>
          </cell>
          <cell r="AF323">
            <v>0</v>
          </cell>
          <cell r="AG323">
            <v>1</v>
          </cell>
          <cell r="AH323">
            <v>70</v>
          </cell>
        </row>
        <row r="324">
          <cell r="A324" t="str">
            <v>A1067</v>
          </cell>
          <cell r="B324" t="str">
            <v>Ngô Văn Thanh</v>
          </cell>
          <cell r="C324" t="str">
            <v>QCX</v>
          </cell>
          <cell r="D324" t="str">
            <v>Công nhân Xưởng 1</v>
          </cell>
          <cell r="E324" t="str">
            <v>T3/18</v>
          </cell>
          <cell r="F324">
            <v>2</v>
          </cell>
          <cell r="G324">
            <v>0</v>
          </cell>
          <cell r="H324" t="str">
            <v>11.I</v>
          </cell>
          <cell r="L324">
            <v>3500</v>
          </cell>
          <cell r="N324">
            <v>3500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12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-140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1</v>
          </cell>
          <cell r="AH324">
            <v>70</v>
          </cell>
        </row>
        <row r="325">
          <cell r="A325" t="str">
            <v>A1068</v>
          </cell>
          <cell r="B325" t="str">
            <v>Lương Đức Phương</v>
          </cell>
          <cell r="C325" t="str">
            <v>CII.1</v>
          </cell>
          <cell r="D325" t="str">
            <v>Công nhân Xưởng 2</v>
          </cell>
          <cell r="E325" t="str">
            <v>T3/18</v>
          </cell>
          <cell r="F325">
            <v>2</v>
          </cell>
          <cell r="G325">
            <v>0</v>
          </cell>
          <cell r="H325" t="str">
            <v>11.I</v>
          </cell>
          <cell r="L325">
            <v>3500</v>
          </cell>
          <cell r="N325">
            <v>3500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-140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1</v>
          </cell>
          <cell r="AH325">
            <v>70</v>
          </cell>
        </row>
        <row r="326">
          <cell r="A326" t="str">
            <v>A1069</v>
          </cell>
          <cell r="B326" t="str">
            <v>Huỳnh Thị Ly</v>
          </cell>
          <cell r="C326" t="str">
            <v>QCX</v>
          </cell>
          <cell r="D326" t="str">
            <v>Công nhân Xưởng 1</v>
          </cell>
          <cell r="E326" t="str">
            <v>T3/18</v>
          </cell>
          <cell r="F326">
            <v>2</v>
          </cell>
          <cell r="G326">
            <v>0</v>
          </cell>
          <cell r="H326" t="str">
            <v>11.I</v>
          </cell>
          <cell r="L326">
            <v>3500</v>
          </cell>
          <cell r="N326">
            <v>3500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8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-140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1</v>
          </cell>
          <cell r="AH326">
            <v>70</v>
          </cell>
        </row>
        <row r="327">
          <cell r="A327" t="str">
            <v>A1071</v>
          </cell>
          <cell r="B327" t="str">
            <v>Nguyễn Tấn Thành</v>
          </cell>
          <cell r="C327" t="str">
            <v>EN</v>
          </cell>
          <cell r="D327" t="str">
            <v>Công nhân Xưởng 1</v>
          </cell>
          <cell r="E327" t="str">
            <v>T3/18</v>
          </cell>
          <cell r="F327">
            <v>2</v>
          </cell>
          <cell r="G327">
            <v>0</v>
          </cell>
          <cell r="H327" t="str">
            <v>11.I</v>
          </cell>
          <cell r="L327">
            <v>3500</v>
          </cell>
          <cell r="N327">
            <v>3500</v>
          </cell>
          <cell r="O327">
            <v>6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9</v>
          </cell>
          <cell r="U327">
            <v>0</v>
          </cell>
          <cell r="V327">
            <v>15</v>
          </cell>
          <cell r="W327">
            <v>43</v>
          </cell>
          <cell r="X327">
            <v>12</v>
          </cell>
          <cell r="Y327">
            <v>0</v>
          </cell>
          <cell r="Z327">
            <v>0</v>
          </cell>
          <cell r="AA327">
            <v>384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1</v>
          </cell>
          <cell r="AH327">
            <v>70</v>
          </cell>
        </row>
        <row r="328">
          <cell r="A328" t="str">
            <v>A1072</v>
          </cell>
          <cell r="B328" t="str">
            <v>Nguyễn Thị Tiếm</v>
          </cell>
          <cell r="C328" t="str">
            <v>TXBVTV</v>
          </cell>
          <cell r="D328" t="str">
            <v>Tạp vụ xưởng 2</v>
          </cell>
          <cell r="E328" t="str">
            <v>T3/18</v>
          </cell>
          <cell r="F328">
            <v>2</v>
          </cell>
          <cell r="G328">
            <v>0</v>
          </cell>
          <cell r="H328" t="str">
            <v>11.I</v>
          </cell>
          <cell r="L328">
            <v>3980</v>
          </cell>
          <cell r="M328">
            <v>520</v>
          </cell>
          <cell r="N328">
            <v>4500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-140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1</v>
          </cell>
          <cell r="AH328">
            <v>70</v>
          </cell>
        </row>
        <row r="329">
          <cell r="A329" t="str">
            <v>A1073</v>
          </cell>
          <cell r="B329" t="str">
            <v>Đoàn Cao Cường</v>
          </cell>
          <cell r="C329" t="str">
            <v>QCE</v>
          </cell>
          <cell r="D329" t="str">
            <v>Nhân viên Thí nghiệm</v>
          </cell>
          <cell r="E329" t="str">
            <v>T3/18</v>
          </cell>
          <cell r="F329">
            <v>2</v>
          </cell>
          <cell r="G329">
            <v>0</v>
          </cell>
          <cell r="H329" t="str">
            <v>6.I</v>
          </cell>
          <cell r="L329">
            <v>4361</v>
          </cell>
          <cell r="M329">
            <v>1639</v>
          </cell>
          <cell r="N329">
            <v>6000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15</v>
          </cell>
          <cell r="T329">
            <v>0</v>
          </cell>
          <cell r="U329">
            <v>0</v>
          </cell>
          <cell r="V329">
            <v>15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240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1</v>
          </cell>
          <cell r="AH329">
            <v>150</v>
          </cell>
        </row>
        <row r="330">
          <cell r="A330" t="str">
            <v>A1074</v>
          </cell>
          <cell r="B330" t="str">
            <v>Nguyễn Tuấn Anh</v>
          </cell>
          <cell r="C330" t="str">
            <v>EN</v>
          </cell>
          <cell r="D330" t="str">
            <v>Công nhân Xưởng 1</v>
          </cell>
          <cell r="E330" t="str">
            <v>T3/18</v>
          </cell>
          <cell r="F330">
            <v>2</v>
          </cell>
          <cell r="G330">
            <v>0</v>
          </cell>
          <cell r="H330" t="str">
            <v>11.I</v>
          </cell>
          <cell r="L330">
            <v>3500</v>
          </cell>
          <cell r="N330">
            <v>3500</v>
          </cell>
          <cell r="O330">
            <v>6</v>
          </cell>
          <cell r="P330">
            <v>0</v>
          </cell>
          <cell r="Q330">
            <v>0</v>
          </cell>
          <cell r="R330">
            <v>0</v>
          </cell>
          <cell r="S330">
            <v>6</v>
          </cell>
          <cell r="T330">
            <v>3</v>
          </cell>
          <cell r="U330">
            <v>0</v>
          </cell>
          <cell r="V330">
            <v>15</v>
          </cell>
          <cell r="W330">
            <v>28</v>
          </cell>
          <cell r="X330">
            <v>8</v>
          </cell>
          <cell r="Y330">
            <v>0</v>
          </cell>
          <cell r="Z330">
            <v>0</v>
          </cell>
          <cell r="AA330">
            <v>288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1</v>
          </cell>
          <cell r="AH330">
            <v>70</v>
          </cell>
        </row>
        <row r="331">
          <cell r="A331" t="str">
            <v>A1075</v>
          </cell>
          <cell r="B331" t="str">
            <v>Huỳnh Đức Lợi</v>
          </cell>
          <cell r="C331" t="str">
            <v>GA</v>
          </cell>
          <cell r="D331" t="str">
            <v>Công nhân Xưởng 1</v>
          </cell>
          <cell r="E331" t="str">
            <v>T3/18</v>
          </cell>
          <cell r="F331">
            <v>2</v>
          </cell>
          <cell r="G331">
            <v>0</v>
          </cell>
          <cell r="H331" t="str">
            <v>11.I</v>
          </cell>
          <cell r="L331">
            <v>3500</v>
          </cell>
          <cell r="N331">
            <v>3500</v>
          </cell>
          <cell r="O331">
            <v>13</v>
          </cell>
          <cell r="P331">
            <v>0</v>
          </cell>
          <cell r="Q331">
            <v>0</v>
          </cell>
          <cell r="R331">
            <v>0</v>
          </cell>
          <cell r="S331">
            <v>1</v>
          </cell>
          <cell r="T331">
            <v>0</v>
          </cell>
          <cell r="U331">
            <v>0</v>
          </cell>
          <cell r="V331">
            <v>14</v>
          </cell>
          <cell r="W331">
            <v>61</v>
          </cell>
          <cell r="X331">
            <v>12</v>
          </cell>
          <cell r="Y331">
            <v>0</v>
          </cell>
          <cell r="Z331">
            <v>0</v>
          </cell>
          <cell r="AA331">
            <v>224</v>
          </cell>
          <cell r="AB331">
            <v>0</v>
          </cell>
          <cell r="AC331">
            <v>0</v>
          </cell>
          <cell r="AD331">
            <v>1000000</v>
          </cell>
          <cell r="AE331">
            <v>0</v>
          </cell>
          <cell r="AF331">
            <v>0</v>
          </cell>
          <cell r="AG331">
            <v>1</v>
          </cell>
          <cell r="AH331">
            <v>70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HINH SACH LUONG"/>
      <sheetName val="ABC"/>
      <sheetName val="CACH TINH LUONG"/>
      <sheetName val="QUY DINH CHAM CONG"/>
      <sheetName val="THANG LUONG BHXH 2017"/>
      <sheetName val="quy dinh khau tru thue tncn"/>
      <sheetName val="pivot THANG LUONG 2017"/>
      <sheetName val="BHXH2018"/>
      <sheetName val="CHAMCONG"/>
      <sheetName val="DATA"/>
      <sheetName val="TONGHOP"/>
      <sheetName val="Sheet1"/>
      <sheetName val="TK"/>
      <sheetName val="TAM UNG"/>
      <sheetName val="truy thu luong T2"/>
      <sheetName val="CK"/>
      <sheetName val="TM"/>
      <sheetName val="PLuong "/>
      <sheetName val="NPT"/>
      <sheetName val="taikhoan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A7" t="str">
            <v>A001</v>
          </cell>
          <cell r="B7" t="str">
            <v>Tống Viết Cường</v>
          </cell>
          <cell r="C7" t="str">
            <v>Gián tiếp</v>
          </cell>
          <cell r="D7">
            <v>0</v>
          </cell>
          <cell r="E7">
            <v>37987</v>
          </cell>
          <cell r="F7">
            <v>13</v>
          </cell>
          <cell r="G7" t="str">
            <v>D</v>
          </cell>
          <cell r="H7">
            <v>0</v>
          </cell>
          <cell r="I7" t="str">
            <v>D</v>
          </cell>
          <cell r="J7">
            <v>0</v>
          </cell>
          <cell r="K7" t="str">
            <v>D</v>
          </cell>
          <cell r="L7">
            <v>0</v>
          </cell>
          <cell r="M7">
            <v>0</v>
          </cell>
          <cell r="N7">
            <v>0</v>
          </cell>
          <cell r="O7" t="str">
            <v>D</v>
          </cell>
          <cell r="P7">
            <v>0</v>
          </cell>
          <cell r="Q7" t="str">
            <v>D</v>
          </cell>
          <cell r="R7">
            <v>0</v>
          </cell>
          <cell r="S7" t="str">
            <v>D</v>
          </cell>
          <cell r="T7">
            <v>0</v>
          </cell>
          <cell r="U7" t="str">
            <v>D</v>
          </cell>
          <cell r="V7">
            <v>0</v>
          </cell>
          <cell r="W7" t="str">
            <v>D</v>
          </cell>
          <cell r="X7">
            <v>0</v>
          </cell>
          <cell r="Y7" t="str">
            <v>NT7</v>
          </cell>
          <cell r="Z7">
            <v>0</v>
          </cell>
          <cell r="AA7">
            <v>0</v>
          </cell>
          <cell r="AB7">
            <v>0</v>
          </cell>
          <cell r="AC7" t="str">
            <v>D</v>
          </cell>
          <cell r="AD7">
            <v>0</v>
          </cell>
          <cell r="AE7" t="str">
            <v>D</v>
          </cell>
          <cell r="AF7">
            <v>0</v>
          </cell>
          <cell r="AG7" t="str">
            <v>D</v>
          </cell>
          <cell r="AH7">
            <v>0</v>
          </cell>
          <cell r="AI7" t="str">
            <v>D</v>
          </cell>
          <cell r="AJ7">
            <v>0</v>
          </cell>
          <cell r="AK7" t="str">
            <v>D</v>
          </cell>
          <cell r="AL7">
            <v>0</v>
          </cell>
          <cell r="AM7" t="str">
            <v>NT7</v>
          </cell>
          <cell r="AN7">
            <v>0</v>
          </cell>
          <cell r="AO7">
            <v>0</v>
          </cell>
          <cell r="AP7">
            <v>0</v>
          </cell>
          <cell r="AQ7" t="str">
            <v>D</v>
          </cell>
          <cell r="AR7">
            <v>0</v>
          </cell>
          <cell r="AS7" t="str">
            <v>D</v>
          </cell>
          <cell r="AT7">
            <v>0</v>
          </cell>
          <cell r="AU7" t="str">
            <v>D</v>
          </cell>
          <cell r="AV7">
            <v>0</v>
          </cell>
          <cell r="AW7" t="str">
            <v>D</v>
          </cell>
          <cell r="AX7">
            <v>0</v>
          </cell>
          <cell r="AY7" t="str">
            <v>D</v>
          </cell>
          <cell r="AZ7">
            <v>0</v>
          </cell>
          <cell r="BA7" t="str">
            <v>D</v>
          </cell>
          <cell r="BB7">
            <v>0</v>
          </cell>
          <cell r="BC7">
            <v>0</v>
          </cell>
          <cell r="BD7">
            <v>0</v>
          </cell>
          <cell r="BE7" t="str">
            <v>D</v>
          </cell>
          <cell r="BF7">
            <v>0</v>
          </cell>
          <cell r="BG7" t="str">
            <v>D</v>
          </cell>
          <cell r="BH7">
            <v>0</v>
          </cell>
          <cell r="BI7" t="str">
            <v>D</v>
          </cell>
          <cell r="BJ7">
            <v>0</v>
          </cell>
          <cell r="BK7" t="str">
            <v>D</v>
          </cell>
          <cell r="BL7">
            <v>0</v>
          </cell>
          <cell r="BM7" t="str">
            <v>D</v>
          </cell>
          <cell r="BN7">
            <v>0</v>
          </cell>
          <cell r="BO7" t="str">
            <v>D</v>
          </cell>
          <cell r="BP7">
            <v>0</v>
          </cell>
          <cell r="BQ7">
            <v>0</v>
          </cell>
          <cell r="BR7">
            <v>25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2</v>
          </cell>
          <cell r="BY7">
            <v>0</v>
          </cell>
          <cell r="BZ7">
            <v>27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14</v>
          </cell>
          <cell r="CH7">
            <v>0</v>
          </cell>
          <cell r="CI7">
            <v>0</v>
          </cell>
        </row>
        <row r="8">
          <cell r="A8" t="str">
            <v>A003</v>
          </cell>
          <cell r="B8" t="str">
            <v>Tống Phước Tiến</v>
          </cell>
          <cell r="C8" t="str">
            <v>Gián tiếp</v>
          </cell>
          <cell r="D8">
            <v>0</v>
          </cell>
          <cell r="E8">
            <v>37987</v>
          </cell>
          <cell r="F8">
            <v>13</v>
          </cell>
          <cell r="G8" t="str">
            <v>D</v>
          </cell>
          <cell r="H8">
            <v>0</v>
          </cell>
          <cell r="I8" t="str">
            <v>D</v>
          </cell>
          <cell r="J8">
            <v>0</v>
          </cell>
          <cell r="K8" t="str">
            <v>D</v>
          </cell>
          <cell r="L8">
            <v>0</v>
          </cell>
          <cell r="M8">
            <v>0</v>
          </cell>
          <cell r="N8">
            <v>0</v>
          </cell>
          <cell r="O8" t="str">
            <v>D</v>
          </cell>
          <cell r="P8">
            <v>0</v>
          </cell>
          <cell r="Q8" t="str">
            <v>D</v>
          </cell>
          <cell r="R8">
            <v>0</v>
          </cell>
          <cell r="S8" t="str">
            <v>D</v>
          </cell>
          <cell r="T8">
            <v>0</v>
          </cell>
          <cell r="U8" t="str">
            <v>D</v>
          </cell>
          <cell r="V8">
            <v>0</v>
          </cell>
          <cell r="W8" t="str">
            <v>D</v>
          </cell>
          <cell r="X8">
            <v>0</v>
          </cell>
          <cell r="Y8" t="str">
            <v>NT7</v>
          </cell>
          <cell r="Z8">
            <v>0</v>
          </cell>
          <cell r="AA8">
            <v>0</v>
          </cell>
          <cell r="AB8">
            <v>0</v>
          </cell>
          <cell r="AC8" t="str">
            <v>D</v>
          </cell>
          <cell r="AD8">
            <v>0</v>
          </cell>
          <cell r="AE8" t="str">
            <v>D</v>
          </cell>
          <cell r="AF8">
            <v>0</v>
          </cell>
          <cell r="AG8" t="str">
            <v>D</v>
          </cell>
          <cell r="AH8">
            <v>0</v>
          </cell>
          <cell r="AI8" t="str">
            <v>D</v>
          </cell>
          <cell r="AJ8">
            <v>0</v>
          </cell>
          <cell r="AK8" t="str">
            <v>D</v>
          </cell>
          <cell r="AL8">
            <v>0</v>
          </cell>
          <cell r="AM8" t="str">
            <v>NT7</v>
          </cell>
          <cell r="AN8">
            <v>0</v>
          </cell>
          <cell r="AO8">
            <v>0</v>
          </cell>
          <cell r="AP8">
            <v>0</v>
          </cell>
          <cell r="AQ8" t="str">
            <v>D</v>
          </cell>
          <cell r="AR8">
            <v>0</v>
          </cell>
          <cell r="AS8" t="str">
            <v>D</v>
          </cell>
          <cell r="AT8">
            <v>0</v>
          </cell>
          <cell r="AU8" t="str">
            <v>D</v>
          </cell>
          <cell r="AV8">
            <v>0</v>
          </cell>
          <cell r="AW8" t="str">
            <v>D</v>
          </cell>
          <cell r="AX8">
            <v>0</v>
          </cell>
          <cell r="AY8" t="str">
            <v>D</v>
          </cell>
          <cell r="AZ8">
            <v>0</v>
          </cell>
          <cell r="BA8" t="str">
            <v>D</v>
          </cell>
          <cell r="BB8">
            <v>0</v>
          </cell>
          <cell r="BC8">
            <v>0</v>
          </cell>
          <cell r="BD8">
            <v>0</v>
          </cell>
          <cell r="BE8" t="str">
            <v>D</v>
          </cell>
          <cell r="BF8">
            <v>0</v>
          </cell>
          <cell r="BG8" t="str">
            <v>D</v>
          </cell>
          <cell r="BH8">
            <v>0</v>
          </cell>
          <cell r="BI8" t="str">
            <v>D</v>
          </cell>
          <cell r="BJ8">
            <v>0</v>
          </cell>
          <cell r="BK8" t="str">
            <v>D</v>
          </cell>
          <cell r="BL8">
            <v>0</v>
          </cell>
          <cell r="BM8" t="str">
            <v>D</v>
          </cell>
          <cell r="BN8">
            <v>0</v>
          </cell>
          <cell r="BO8" t="str">
            <v>D</v>
          </cell>
          <cell r="BP8">
            <v>0</v>
          </cell>
          <cell r="BQ8">
            <v>0</v>
          </cell>
          <cell r="BR8">
            <v>25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2</v>
          </cell>
          <cell r="BY8">
            <v>0</v>
          </cell>
          <cell r="BZ8">
            <v>27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14</v>
          </cell>
          <cell r="CH8">
            <v>0</v>
          </cell>
          <cell r="CI8">
            <v>0</v>
          </cell>
        </row>
        <row r="9">
          <cell r="A9" t="str">
            <v>A005</v>
          </cell>
          <cell r="B9" t="str">
            <v>Trần Thanh Bình</v>
          </cell>
          <cell r="C9" t="str">
            <v>Kho</v>
          </cell>
          <cell r="D9">
            <v>0</v>
          </cell>
          <cell r="E9">
            <v>38384</v>
          </cell>
          <cell r="F9">
            <v>4</v>
          </cell>
          <cell r="G9" t="str">
            <v>P5,D5</v>
          </cell>
          <cell r="H9">
            <v>0</v>
          </cell>
          <cell r="I9" t="str">
            <v>D</v>
          </cell>
          <cell r="J9">
            <v>0</v>
          </cell>
          <cell r="K9" t="str">
            <v>D</v>
          </cell>
          <cell r="L9">
            <v>0</v>
          </cell>
          <cell r="M9">
            <v>0</v>
          </cell>
          <cell r="N9">
            <v>0</v>
          </cell>
          <cell r="O9" t="str">
            <v>D</v>
          </cell>
          <cell r="P9">
            <v>0</v>
          </cell>
          <cell r="Q9" t="str">
            <v>D</v>
          </cell>
          <cell r="R9">
            <v>0</v>
          </cell>
          <cell r="S9" t="str">
            <v>P5,D5</v>
          </cell>
          <cell r="T9">
            <v>0</v>
          </cell>
          <cell r="U9" t="str">
            <v>D</v>
          </cell>
          <cell r="V9">
            <v>0</v>
          </cell>
          <cell r="W9" t="str">
            <v>D</v>
          </cell>
          <cell r="X9">
            <v>0</v>
          </cell>
          <cell r="Y9" t="str">
            <v>NT7</v>
          </cell>
          <cell r="Z9">
            <v>0</v>
          </cell>
          <cell r="AA9">
            <v>0</v>
          </cell>
          <cell r="AB9">
            <v>0</v>
          </cell>
          <cell r="AC9" t="str">
            <v>D</v>
          </cell>
          <cell r="AD9">
            <v>0</v>
          </cell>
          <cell r="AE9" t="str">
            <v>D</v>
          </cell>
          <cell r="AF9">
            <v>0</v>
          </cell>
          <cell r="AG9" t="str">
            <v>D</v>
          </cell>
          <cell r="AH9">
            <v>0</v>
          </cell>
          <cell r="AI9" t="str">
            <v>D</v>
          </cell>
          <cell r="AJ9">
            <v>0</v>
          </cell>
          <cell r="AK9" t="str">
            <v>P</v>
          </cell>
          <cell r="AL9">
            <v>0</v>
          </cell>
          <cell r="AM9" t="str">
            <v>NT7</v>
          </cell>
          <cell r="AN9">
            <v>0</v>
          </cell>
          <cell r="AO9">
            <v>0</v>
          </cell>
          <cell r="AP9">
            <v>0</v>
          </cell>
          <cell r="AQ9" t="str">
            <v>D</v>
          </cell>
          <cell r="AR9">
            <v>0</v>
          </cell>
          <cell r="AS9" t="str">
            <v>D</v>
          </cell>
          <cell r="AT9">
            <v>0</v>
          </cell>
          <cell r="AU9" t="str">
            <v>D</v>
          </cell>
          <cell r="AV9">
            <v>0</v>
          </cell>
          <cell r="AW9" t="str">
            <v>D</v>
          </cell>
          <cell r="AX9">
            <v>0</v>
          </cell>
          <cell r="AY9" t="str">
            <v>D</v>
          </cell>
          <cell r="AZ9">
            <v>0</v>
          </cell>
          <cell r="BA9" t="str">
            <v>D</v>
          </cell>
          <cell r="BB9">
            <v>0</v>
          </cell>
          <cell r="BC9">
            <v>0</v>
          </cell>
          <cell r="BD9">
            <v>0</v>
          </cell>
          <cell r="BE9" t="str">
            <v>D</v>
          </cell>
          <cell r="BF9">
            <v>0</v>
          </cell>
          <cell r="BG9" t="str">
            <v>D</v>
          </cell>
          <cell r="BH9">
            <v>0</v>
          </cell>
          <cell r="BI9" t="str">
            <v>D</v>
          </cell>
          <cell r="BJ9">
            <v>0</v>
          </cell>
          <cell r="BK9" t="str">
            <v>D</v>
          </cell>
          <cell r="BL9">
            <v>0</v>
          </cell>
          <cell r="BM9" t="str">
            <v>D</v>
          </cell>
          <cell r="BN9">
            <v>0</v>
          </cell>
          <cell r="BO9" t="str">
            <v>D</v>
          </cell>
          <cell r="BP9">
            <v>0</v>
          </cell>
          <cell r="BQ9">
            <v>0</v>
          </cell>
          <cell r="BR9">
            <v>23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2</v>
          </cell>
          <cell r="BY9">
            <v>2</v>
          </cell>
          <cell r="BZ9">
            <v>27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3</v>
          </cell>
          <cell r="CH9">
            <v>0</v>
          </cell>
          <cell r="CI9">
            <v>150</v>
          </cell>
        </row>
        <row r="10">
          <cell r="A10" t="str">
            <v>A007</v>
          </cell>
          <cell r="B10" t="str">
            <v>Đào Thanh Điền</v>
          </cell>
          <cell r="C10" t="str">
            <v>CII.1</v>
          </cell>
          <cell r="D10">
            <v>0</v>
          </cell>
          <cell r="E10">
            <v>38384</v>
          </cell>
          <cell r="F10">
            <v>12.5</v>
          </cell>
          <cell r="G10" t="str">
            <v>A</v>
          </cell>
          <cell r="H10">
            <v>4</v>
          </cell>
          <cell r="I10" t="str">
            <v>A</v>
          </cell>
          <cell r="J10">
            <v>4</v>
          </cell>
          <cell r="K10" t="str">
            <v>D</v>
          </cell>
          <cell r="L10">
            <v>2</v>
          </cell>
          <cell r="M10">
            <v>0</v>
          </cell>
          <cell r="N10">
            <v>11</v>
          </cell>
          <cell r="O10" t="str">
            <v>A</v>
          </cell>
          <cell r="P10">
            <v>4</v>
          </cell>
          <cell r="Q10" t="str">
            <v>A</v>
          </cell>
          <cell r="R10">
            <v>4</v>
          </cell>
          <cell r="S10" t="str">
            <v>A</v>
          </cell>
          <cell r="T10">
            <v>4</v>
          </cell>
          <cell r="U10" t="str">
            <v>A</v>
          </cell>
          <cell r="V10">
            <v>4</v>
          </cell>
          <cell r="W10" t="str">
            <v>A</v>
          </cell>
          <cell r="X10">
            <v>4</v>
          </cell>
          <cell r="Y10" t="str">
            <v>D</v>
          </cell>
          <cell r="Z10">
            <v>2.5</v>
          </cell>
          <cell r="AA10">
            <v>0</v>
          </cell>
          <cell r="AB10">
            <v>11</v>
          </cell>
          <cell r="AC10" t="str">
            <v>A</v>
          </cell>
          <cell r="AD10">
            <v>4</v>
          </cell>
          <cell r="AE10" t="str">
            <v>A</v>
          </cell>
          <cell r="AF10">
            <v>4</v>
          </cell>
          <cell r="AG10" t="str">
            <v>A</v>
          </cell>
          <cell r="AH10">
            <v>4</v>
          </cell>
          <cell r="AI10" t="str">
            <v>A</v>
          </cell>
          <cell r="AJ10">
            <v>4</v>
          </cell>
          <cell r="AK10" t="str">
            <v>A</v>
          </cell>
          <cell r="AL10">
            <v>4</v>
          </cell>
          <cell r="AM10" t="str">
            <v>D</v>
          </cell>
          <cell r="AN10">
            <v>1</v>
          </cell>
          <cell r="AO10">
            <v>0</v>
          </cell>
          <cell r="AP10">
            <v>11</v>
          </cell>
          <cell r="AQ10" t="str">
            <v>A</v>
          </cell>
          <cell r="AR10">
            <v>4</v>
          </cell>
          <cell r="AS10" t="str">
            <v>A</v>
          </cell>
          <cell r="AT10">
            <v>4</v>
          </cell>
          <cell r="AU10" t="str">
            <v>A</v>
          </cell>
          <cell r="AV10">
            <v>4</v>
          </cell>
          <cell r="AW10" t="str">
            <v>A</v>
          </cell>
          <cell r="AX10">
            <v>4</v>
          </cell>
          <cell r="AY10" t="str">
            <v>A</v>
          </cell>
          <cell r="AZ10">
            <v>4</v>
          </cell>
          <cell r="BA10" t="str">
            <v>D</v>
          </cell>
          <cell r="BB10">
            <v>1</v>
          </cell>
          <cell r="BC10">
            <v>0</v>
          </cell>
          <cell r="BD10">
            <v>11</v>
          </cell>
          <cell r="BE10" t="str">
            <v>A</v>
          </cell>
          <cell r="BF10">
            <v>4</v>
          </cell>
          <cell r="BG10" t="str">
            <v>A</v>
          </cell>
          <cell r="BH10">
            <v>4</v>
          </cell>
          <cell r="BI10" t="str">
            <v>NT7</v>
          </cell>
          <cell r="BJ10">
            <v>0</v>
          </cell>
          <cell r="BK10" t="str">
            <v>A</v>
          </cell>
          <cell r="BL10">
            <v>4</v>
          </cell>
          <cell r="BM10" t="str">
            <v>A</v>
          </cell>
          <cell r="BN10">
            <v>4</v>
          </cell>
          <cell r="BO10" t="str">
            <v>D</v>
          </cell>
          <cell r="BP10">
            <v>2</v>
          </cell>
          <cell r="BQ10">
            <v>21</v>
          </cell>
          <cell r="BR10">
            <v>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1</v>
          </cell>
          <cell r="BY10">
            <v>0</v>
          </cell>
          <cell r="BZ10">
            <v>27</v>
          </cell>
          <cell r="CA10">
            <v>92.5</v>
          </cell>
          <cell r="CB10">
            <v>44</v>
          </cell>
          <cell r="CC10">
            <v>0</v>
          </cell>
          <cell r="CD10">
            <v>1</v>
          </cell>
          <cell r="CE10">
            <v>0</v>
          </cell>
          <cell r="CF10">
            <v>150</v>
          </cell>
          <cell r="CG10">
            <v>13.5</v>
          </cell>
          <cell r="CH10">
            <v>0</v>
          </cell>
          <cell r="CI10">
            <v>150</v>
          </cell>
        </row>
        <row r="11">
          <cell r="A11" t="str">
            <v>A010</v>
          </cell>
          <cell r="B11" t="str">
            <v>Dương Khánh Linh</v>
          </cell>
          <cell r="C11" t="str">
            <v>Gián tiếp</v>
          </cell>
          <cell r="D11">
            <v>0</v>
          </cell>
          <cell r="E11">
            <v>38412</v>
          </cell>
          <cell r="F11">
            <v>3</v>
          </cell>
          <cell r="G11" t="str">
            <v>D</v>
          </cell>
          <cell r="H11">
            <v>0</v>
          </cell>
          <cell r="I11" t="str">
            <v>D</v>
          </cell>
          <cell r="J11">
            <v>0</v>
          </cell>
          <cell r="K11" t="str">
            <v>D</v>
          </cell>
          <cell r="L11">
            <v>0</v>
          </cell>
          <cell r="M11">
            <v>0</v>
          </cell>
          <cell r="N11">
            <v>0</v>
          </cell>
          <cell r="O11" t="str">
            <v>D</v>
          </cell>
          <cell r="P11">
            <v>0</v>
          </cell>
          <cell r="Q11" t="str">
            <v>D</v>
          </cell>
          <cell r="R11">
            <v>0</v>
          </cell>
          <cell r="S11" t="str">
            <v>D</v>
          </cell>
          <cell r="T11">
            <v>0</v>
          </cell>
          <cell r="U11" t="str">
            <v>D</v>
          </cell>
          <cell r="V11">
            <v>0</v>
          </cell>
          <cell r="W11" t="str">
            <v>D</v>
          </cell>
          <cell r="X11">
            <v>0</v>
          </cell>
          <cell r="Y11" t="str">
            <v>D</v>
          </cell>
          <cell r="Z11">
            <v>0</v>
          </cell>
          <cell r="AA11">
            <v>0</v>
          </cell>
          <cell r="AB11">
            <v>0</v>
          </cell>
          <cell r="AC11" t="str">
            <v>D</v>
          </cell>
          <cell r="AD11">
            <v>0</v>
          </cell>
          <cell r="AE11" t="str">
            <v>D</v>
          </cell>
          <cell r="AF11">
            <v>0</v>
          </cell>
          <cell r="AG11" t="str">
            <v>D</v>
          </cell>
          <cell r="AH11">
            <v>0</v>
          </cell>
          <cell r="AI11" t="str">
            <v>D</v>
          </cell>
          <cell r="AJ11">
            <v>0</v>
          </cell>
          <cell r="AK11" t="str">
            <v>NT7</v>
          </cell>
          <cell r="AL11">
            <v>0</v>
          </cell>
          <cell r="AM11" t="str">
            <v>NT7</v>
          </cell>
          <cell r="AN11">
            <v>0</v>
          </cell>
          <cell r="AO11">
            <v>0</v>
          </cell>
          <cell r="AP11">
            <v>0</v>
          </cell>
          <cell r="AQ11" t="str">
            <v>P</v>
          </cell>
          <cell r="AR11">
            <v>0</v>
          </cell>
          <cell r="AS11" t="str">
            <v>P</v>
          </cell>
          <cell r="AT11">
            <v>0</v>
          </cell>
          <cell r="AU11" t="str">
            <v>D</v>
          </cell>
          <cell r="AV11">
            <v>0</v>
          </cell>
          <cell r="AW11" t="str">
            <v>D</v>
          </cell>
          <cell r="AX11">
            <v>0</v>
          </cell>
          <cell r="AY11" t="str">
            <v>D</v>
          </cell>
          <cell r="AZ11">
            <v>0</v>
          </cell>
          <cell r="BA11" t="str">
            <v>D</v>
          </cell>
          <cell r="BB11">
            <v>0</v>
          </cell>
          <cell r="BC11">
            <v>0</v>
          </cell>
          <cell r="BD11">
            <v>0</v>
          </cell>
          <cell r="BE11" t="str">
            <v>D</v>
          </cell>
          <cell r="BF11">
            <v>0</v>
          </cell>
          <cell r="BG11" t="str">
            <v>D</v>
          </cell>
          <cell r="BH11">
            <v>0</v>
          </cell>
          <cell r="BI11" t="str">
            <v>D</v>
          </cell>
          <cell r="BJ11">
            <v>0</v>
          </cell>
          <cell r="BK11" t="str">
            <v>D</v>
          </cell>
          <cell r="BL11">
            <v>0</v>
          </cell>
          <cell r="BM11" t="str">
            <v>D</v>
          </cell>
          <cell r="BN11">
            <v>0</v>
          </cell>
          <cell r="BO11" t="str">
            <v>D</v>
          </cell>
          <cell r="BP11">
            <v>0</v>
          </cell>
          <cell r="BQ11">
            <v>0</v>
          </cell>
          <cell r="BR11">
            <v>23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2</v>
          </cell>
          <cell r="BY11">
            <v>2</v>
          </cell>
          <cell r="BZ11">
            <v>27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2</v>
          </cell>
          <cell r="CH11">
            <v>0</v>
          </cell>
          <cell r="CI11">
            <v>150</v>
          </cell>
        </row>
        <row r="12">
          <cell r="A12" t="str">
            <v>A015</v>
          </cell>
          <cell r="B12" t="str">
            <v>Nguyễn Văn Năm</v>
          </cell>
          <cell r="C12" t="str">
            <v>CII.4</v>
          </cell>
          <cell r="D12">
            <v>0</v>
          </cell>
          <cell r="E12">
            <v>38446</v>
          </cell>
          <cell r="F12">
            <v>7</v>
          </cell>
          <cell r="G12" t="str">
            <v>D</v>
          </cell>
          <cell r="H12">
            <v>0</v>
          </cell>
          <cell r="I12" t="str">
            <v>A</v>
          </cell>
          <cell r="J12">
            <v>4</v>
          </cell>
          <cell r="K12" t="str">
            <v>A</v>
          </cell>
          <cell r="L12">
            <v>4</v>
          </cell>
          <cell r="M12">
            <v>0</v>
          </cell>
          <cell r="N12">
            <v>12</v>
          </cell>
          <cell r="O12" t="str">
            <v>C</v>
          </cell>
          <cell r="P12">
            <v>4</v>
          </cell>
          <cell r="Q12" t="str">
            <v>C</v>
          </cell>
          <cell r="R12">
            <v>4</v>
          </cell>
          <cell r="S12" t="str">
            <v>C</v>
          </cell>
          <cell r="T12">
            <v>4</v>
          </cell>
          <cell r="U12" t="str">
            <v>C</v>
          </cell>
          <cell r="V12">
            <v>4</v>
          </cell>
          <cell r="W12" t="str">
            <v>C</v>
          </cell>
          <cell r="X12">
            <v>4</v>
          </cell>
          <cell r="Y12" t="str">
            <v>C</v>
          </cell>
          <cell r="Z12">
            <v>4</v>
          </cell>
          <cell r="AA12">
            <v>0</v>
          </cell>
          <cell r="AB12">
            <v>0</v>
          </cell>
          <cell r="AC12" t="str">
            <v>A</v>
          </cell>
          <cell r="AD12">
            <v>4</v>
          </cell>
          <cell r="AE12" t="str">
            <v>A</v>
          </cell>
          <cell r="AF12">
            <v>4</v>
          </cell>
          <cell r="AG12" t="str">
            <v>A</v>
          </cell>
          <cell r="AH12">
            <v>4</v>
          </cell>
          <cell r="AI12" t="str">
            <v>A</v>
          </cell>
          <cell r="AJ12">
            <v>4</v>
          </cell>
          <cell r="AK12" t="str">
            <v>A</v>
          </cell>
          <cell r="AL12">
            <v>4</v>
          </cell>
          <cell r="AM12" t="str">
            <v>A</v>
          </cell>
          <cell r="AN12">
            <v>4</v>
          </cell>
          <cell r="AO12">
            <v>0</v>
          </cell>
          <cell r="AP12">
            <v>8</v>
          </cell>
          <cell r="AQ12" t="str">
            <v>C</v>
          </cell>
          <cell r="AR12">
            <v>4</v>
          </cell>
          <cell r="AS12" t="str">
            <v>C</v>
          </cell>
          <cell r="AT12">
            <v>4</v>
          </cell>
          <cell r="AU12" t="str">
            <v>NT7</v>
          </cell>
          <cell r="AV12">
            <v>0</v>
          </cell>
          <cell r="AW12" t="str">
            <v>C</v>
          </cell>
          <cell r="AX12">
            <v>4</v>
          </cell>
          <cell r="AY12" t="str">
            <v>C</v>
          </cell>
          <cell r="AZ12">
            <v>4</v>
          </cell>
          <cell r="BA12" t="str">
            <v>C</v>
          </cell>
          <cell r="BB12">
            <v>4</v>
          </cell>
          <cell r="BC12">
            <v>0</v>
          </cell>
          <cell r="BD12">
            <v>12</v>
          </cell>
          <cell r="BE12" t="str">
            <v>P</v>
          </cell>
          <cell r="BF12">
            <v>0</v>
          </cell>
          <cell r="BG12" t="str">
            <v>P</v>
          </cell>
          <cell r="BH12">
            <v>0</v>
          </cell>
          <cell r="BI12" t="str">
            <v>P</v>
          </cell>
          <cell r="BJ12">
            <v>0</v>
          </cell>
          <cell r="BK12" t="str">
            <v>P</v>
          </cell>
          <cell r="BL12">
            <v>0</v>
          </cell>
          <cell r="BM12" t="str">
            <v>P</v>
          </cell>
          <cell r="BN12">
            <v>0</v>
          </cell>
          <cell r="BO12" t="str">
            <v>NT7</v>
          </cell>
          <cell r="BP12">
            <v>0</v>
          </cell>
          <cell r="BQ12">
            <v>8</v>
          </cell>
          <cell r="BR12">
            <v>1</v>
          </cell>
          <cell r="BS12">
            <v>0</v>
          </cell>
          <cell r="BT12">
            <v>11</v>
          </cell>
          <cell r="BU12">
            <v>0</v>
          </cell>
          <cell r="BV12">
            <v>0</v>
          </cell>
          <cell r="BW12">
            <v>0</v>
          </cell>
          <cell r="BX12">
            <v>2</v>
          </cell>
          <cell r="BY12">
            <v>5</v>
          </cell>
          <cell r="BZ12">
            <v>27</v>
          </cell>
          <cell r="CA12">
            <v>76</v>
          </cell>
          <cell r="CB12">
            <v>32</v>
          </cell>
          <cell r="CC12">
            <v>0</v>
          </cell>
          <cell r="CD12">
            <v>0</v>
          </cell>
          <cell r="CE12">
            <v>3</v>
          </cell>
          <cell r="CF12">
            <v>0</v>
          </cell>
          <cell r="CG12">
            <v>3</v>
          </cell>
          <cell r="CH12">
            <v>48</v>
          </cell>
          <cell r="CI12">
            <v>70</v>
          </cell>
        </row>
        <row r="13">
          <cell r="A13" t="str">
            <v>A019</v>
          </cell>
          <cell r="B13" t="str">
            <v>Đoàn Thanh Hải</v>
          </cell>
          <cell r="C13" t="str">
            <v>CII.4</v>
          </cell>
          <cell r="D13">
            <v>0</v>
          </cell>
          <cell r="E13">
            <v>38608</v>
          </cell>
          <cell r="F13">
            <v>7.5</v>
          </cell>
          <cell r="G13" t="str">
            <v>A</v>
          </cell>
          <cell r="H13">
            <v>4</v>
          </cell>
          <cell r="I13" t="str">
            <v>A</v>
          </cell>
          <cell r="J13">
            <v>4</v>
          </cell>
          <cell r="K13" t="str">
            <v>A</v>
          </cell>
          <cell r="L13">
            <v>4</v>
          </cell>
          <cell r="M13">
            <v>0</v>
          </cell>
          <cell r="N13">
            <v>0</v>
          </cell>
          <cell r="O13" t="str">
            <v>A</v>
          </cell>
          <cell r="P13">
            <v>4</v>
          </cell>
          <cell r="Q13" t="str">
            <v>A</v>
          </cell>
          <cell r="R13">
            <v>4</v>
          </cell>
          <cell r="S13" t="str">
            <v>A</v>
          </cell>
          <cell r="T13">
            <v>4</v>
          </cell>
          <cell r="U13" t="str">
            <v>A</v>
          </cell>
          <cell r="V13">
            <v>4</v>
          </cell>
          <cell r="W13" t="str">
            <v>A</v>
          </cell>
          <cell r="X13">
            <v>4</v>
          </cell>
          <cell r="Y13" t="str">
            <v>A</v>
          </cell>
          <cell r="Z13">
            <v>4</v>
          </cell>
          <cell r="AA13">
            <v>0</v>
          </cell>
          <cell r="AB13">
            <v>0</v>
          </cell>
          <cell r="AC13" t="str">
            <v>D</v>
          </cell>
          <cell r="AD13">
            <v>0</v>
          </cell>
          <cell r="AE13" t="str">
            <v>D</v>
          </cell>
          <cell r="AF13">
            <v>0</v>
          </cell>
          <cell r="AG13" t="str">
            <v>P</v>
          </cell>
          <cell r="AH13">
            <v>0</v>
          </cell>
          <cell r="AI13" t="str">
            <v>NT7</v>
          </cell>
          <cell r="AJ13">
            <v>0</v>
          </cell>
          <cell r="AK13" t="str">
            <v>A</v>
          </cell>
          <cell r="AL13">
            <v>4</v>
          </cell>
          <cell r="AM13" t="str">
            <v>A</v>
          </cell>
          <cell r="AN13">
            <v>4</v>
          </cell>
          <cell r="AO13">
            <v>0</v>
          </cell>
          <cell r="AP13">
            <v>0</v>
          </cell>
          <cell r="AQ13" t="str">
            <v>A</v>
          </cell>
          <cell r="AR13">
            <v>4</v>
          </cell>
          <cell r="AS13" t="str">
            <v>D</v>
          </cell>
          <cell r="AT13">
            <v>0</v>
          </cell>
          <cell r="AU13" t="str">
            <v>A</v>
          </cell>
          <cell r="AV13">
            <v>4</v>
          </cell>
          <cell r="AW13" t="str">
            <v>D</v>
          </cell>
          <cell r="AX13">
            <v>1.5</v>
          </cell>
          <cell r="AY13" t="str">
            <v>A</v>
          </cell>
          <cell r="AZ13">
            <v>4</v>
          </cell>
          <cell r="BA13" t="str">
            <v>A</v>
          </cell>
          <cell r="BB13">
            <v>4</v>
          </cell>
          <cell r="BC13">
            <v>0</v>
          </cell>
          <cell r="BD13">
            <v>12</v>
          </cell>
          <cell r="BE13" t="str">
            <v>A</v>
          </cell>
          <cell r="BF13">
            <v>4</v>
          </cell>
          <cell r="BG13" t="str">
            <v>A</v>
          </cell>
          <cell r="BH13">
            <v>6</v>
          </cell>
          <cell r="BI13" t="str">
            <v>A</v>
          </cell>
          <cell r="BJ13">
            <v>6</v>
          </cell>
          <cell r="BK13" t="str">
            <v>A</v>
          </cell>
          <cell r="BL13">
            <v>6</v>
          </cell>
          <cell r="BM13" t="str">
            <v>A</v>
          </cell>
          <cell r="BN13">
            <v>4</v>
          </cell>
          <cell r="BO13" t="str">
            <v>NT7</v>
          </cell>
          <cell r="BP13">
            <v>0</v>
          </cell>
          <cell r="BQ13">
            <v>20</v>
          </cell>
          <cell r="BR13">
            <v>4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2</v>
          </cell>
          <cell r="BY13">
            <v>1</v>
          </cell>
          <cell r="BZ13">
            <v>27</v>
          </cell>
          <cell r="CA13">
            <v>87.5</v>
          </cell>
          <cell r="CB13">
            <v>12</v>
          </cell>
          <cell r="CC13">
            <v>0</v>
          </cell>
          <cell r="CD13">
            <v>0</v>
          </cell>
          <cell r="CE13">
            <v>1</v>
          </cell>
          <cell r="CF13">
            <v>0</v>
          </cell>
          <cell r="CG13">
            <v>7.5</v>
          </cell>
          <cell r="CH13">
            <v>16</v>
          </cell>
          <cell r="CI13">
            <v>70</v>
          </cell>
        </row>
        <row r="14">
          <cell r="A14" t="str">
            <v>A021</v>
          </cell>
          <cell r="B14" t="str">
            <v>Cao Thị Kim Thu</v>
          </cell>
          <cell r="C14" t="str">
            <v>QCE</v>
          </cell>
          <cell r="D14">
            <v>0</v>
          </cell>
          <cell r="E14">
            <v>38811</v>
          </cell>
          <cell r="F14">
            <v>7</v>
          </cell>
          <cell r="G14" t="str">
            <v>A</v>
          </cell>
          <cell r="H14">
            <v>4</v>
          </cell>
          <cell r="I14" t="str">
            <v>A</v>
          </cell>
          <cell r="J14">
            <v>4</v>
          </cell>
          <cell r="K14" t="str">
            <v>A</v>
          </cell>
          <cell r="L14">
            <v>4</v>
          </cell>
          <cell r="M14">
            <v>0</v>
          </cell>
          <cell r="N14">
            <v>10</v>
          </cell>
          <cell r="O14" t="str">
            <v>A</v>
          </cell>
          <cell r="P14">
            <v>4</v>
          </cell>
          <cell r="Q14" t="str">
            <v>A</v>
          </cell>
          <cell r="R14">
            <v>6.5</v>
          </cell>
          <cell r="S14" t="str">
            <v>A</v>
          </cell>
          <cell r="T14">
            <v>4</v>
          </cell>
          <cell r="U14" t="str">
            <v>A</v>
          </cell>
          <cell r="V14">
            <v>4</v>
          </cell>
          <cell r="W14" t="str">
            <v>A</v>
          </cell>
          <cell r="X14">
            <v>4</v>
          </cell>
          <cell r="Y14" t="str">
            <v>A</v>
          </cell>
          <cell r="Z14">
            <v>4</v>
          </cell>
          <cell r="AA14">
            <v>0</v>
          </cell>
          <cell r="AB14">
            <v>7</v>
          </cell>
          <cell r="AC14" t="str">
            <v>A</v>
          </cell>
          <cell r="AD14">
            <v>4.5</v>
          </cell>
          <cell r="AE14" t="str">
            <v>A</v>
          </cell>
          <cell r="AF14">
            <v>4</v>
          </cell>
          <cell r="AG14" t="str">
            <v>A</v>
          </cell>
          <cell r="AH14">
            <v>4</v>
          </cell>
          <cell r="AI14" t="str">
            <v>A</v>
          </cell>
          <cell r="AJ14">
            <v>4</v>
          </cell>
          <cell r="AK14" t="str">
            <v>A</v>
          </cell>
          <cell r="AL14">
            <v>4</v>
          </cell>
          <cell r="AM14" t="str">
            <v>A</v>
          </cell>
          <cell r="AN14">
            <v>4</v>
          </cell>
          <cell r="AO14">
            <v>0</v>
          </cell>
          <cell r="AP14">
            <v>8</v>
          </cell>
          <cell r="AQ14" t="str">
            <v>A</v>
          </cell>
          <cell r="AR14">
            <v>4</v>
          </cell>
          <cell r="AS14" t="str">
            <v>A</v>
          </cell>
          <cell r="AT14">
            <v>4</v>
          </cell>
          <cell r="AU14" t="str">
            <v>A</v>
          </cell>
          <cell r="AV14">
            <v>4</v>
          </cell>
          <cell r="AW14" t="str">
            <v>D</v>
          </cell>
          <cell r="AX14">
            <v>1</v>
          </cell>
          <cell r="AY14" t="str">
            <v>A</v>
          </cell>
          <cell r="AZ14">
            <v>4</v>
          </cell>
          <cell r="BA14" t="str">
            <v>A</v>
          </cell>
          <cell r="BB14">
            <v>4</v>
          </cell>
          <cell r="BC14">
            <v>0</v>
          </cell>
          <cell r="BD14">
            <v>8</v>
          </cell>
          <cell r="BE14" t="str">
            <v>A</v>
          </cell>
          <cell r="BF14">
            <v>4</v>
          </cell>
          <cell r="BG14" t="str">
            <v>A</v>
          </cell>
          <cell r="BH14">
            <v>4</v>
          </cell>
          <cell r="BI14" t="str">
            <v>A</v>
          </cell>
          <cell r="BJ14">
            <v>4</v>
          </cell>
          <cell r="BK14" t="str">
            <v>A</v>
          </cell>
          <cell r="BL14">
            <v>4</v>
          </cell>
          <cell r="BM14" t="str">
            <v>A</v>
          </cell>
          <cell r="BN14">
            <v>4</v>
          </cell>
          <cell r="BO14" t="str">
            <v>A</v>
          </cell>
          <cell r="BP14">
            <v>4</v>
          </cell>
          <cell r="BQ14">
            <v>26</v>
          </cell>
          <cell r="BR14">
            <v>1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27</v>
          </cell>
          <cell r="CA14">
            <v>108</v>
          </cell>
          <cell r="CB14">
            <v>33</v>
          </cell>
          <cell r="CC14">
            <v>0</v>
          </cell>
          <cell r="CD14">
            <v>2</v>
          </cell>
          <cell r="CE14">
            <v>1</v>
          </cell>
          <cell r="CF14">
            <v>140</v>
          </cell>
          <cell r="CG14">
            <v>8</v>
          </cell>
          <cell r="CH14">
            <v>16</v>
          </cell>
          <cell r="CI14">
            <v>70</v>
          </cell>
        </row>
        <row r="15">
          <cell r="A15" t="str">
            <v>A023</v>
          </cell>
          <cell r="B15" t="str">
            <v>Nguyễn Văn Mừng</v>
          </cell>
          <cell r="C15" t="str">
            <v>CI.1</v>
          </cell>
          <cell r="D15">
            <v>0</v>
          </cell>
          <cell r="E15">
            <v>38930</v>
          </cell>
          <cell r="F15">
            <v>5</v>
          </cell>
          <cell r="G15" t="str">
            <v>C</v>
          </cell>
          <cell r="H15">
            <v>4</v>
          </cell>
          <cell r="I15" t="str">
            <v>C</v>
          </cell>
          <cell r="J15">
            <v>4</v>
          </cell>
          <cell r="K15" t="str">
            <v>C</v>
          </cell>
          <cell r="L15">
            <v>4</v>
          </cell>
          <cell r="M15">
            <v>0</v>
          </cell>
          <cell r="N15">
            <v>0</v>
          </cell>
          <cell r="O15" t="str">
            <v>A</v>
          </cell>
          <cell r="P15">
            <v>4</v>
          </cell>
          <cell r="Q15" t="str">
            <v>A</v>
          </cell>
          <cell r="R15">
            <v>4.5</v>
          </cell>
          <cell r="S15" t="str">
            <v>A</v>
          </cell>
          <cell r="T15">
            <v>4</v>
          </cell>
          <cell r="U15" t="str">
            <v>A</v>
          </cell>
          <cell r="V15">
            <v>4</v>
          </cell>
          <cell r="W15" t="str">
            <v>A</v>
          </cell>
          <cell r="X15">
            <v>4</v>
          </cell>
          <cell r="Y15" t="str">
            <v>A</v>
          </cell>
          <cell r="Z15">
            <v>4</v>
          </cell>
          <cell r="AA15">
            <v>0</v>
          </cell>
          <cell r="AB15">
            <v>0</v>
          </cell>
          <cell r="AC15" t="str">
            <v>HH</v>
          </cell>
          <cell r="AD15">
            <v>0</v>
          </cell>
          <cell r="AE15" t="str">
            <v>C</v>
          </cell>
          <cell r="AF15">
            <v>4</v>
          </cell>
          <cell r="AG15" t="str">
            <v>C</v>
          </cell>
          <cell r="AH15">
            <v>4</v>
          </cell>
          <cell r="AI15" t="str">
            <v>C</v>
          </cell>
          <cell r="AJ15">
            <v>4</v>
          </cell>
          <cell r="AK15" t="str">
            <v>C</v>
          </cell>
          <cell r="AL15">
            <v>4</v>
          </cell>
          <cell r="AM15" t="str">
            <v>C</v>
          </cell>
          <cell r="AN15">
            <v>4</v>
          </cell>
          <cell r="AO15">
            <v>0</v>
          </cell>
          <cell r="AP15">
            <v>0</v>
          </cell>
          <cell r="AQ15" t="str">
            <v>D</v>
          </cell>
          <cell r="AR15">
            <v>0</v>
          </cell>
          <cell r="AS15" t="str">
            <v>D</v>
          </cell>
          <cell r="AT15">
            <v>0</v>
          </cell>
          <cell r="AU15" t="str">
            <v>A</v>
          </cell>
          <cell r="AV15">
            <v>4</v>
          </cell>
          <cell r="AW15" t="str">
            <v>D</v>
          </cell>
          <cell r="AX15">
            <v>1</v>
          </cell>
          <cell r="AY15" t="str">
            <v>A</v>
          </cell>
          <cell r="AZ15">
            <v>4</v>
          </cell>
          <cell r="BA15" t="str">
            <v>A</v>
          </cell>
          <cell r="BB15">
            <v>4</v>
          </cell>
          <cell r="BC15">
            <v>0</v>
          </cell>
          <cell r="BD15">
            <v>16</v>
          </cell>
          <cell r="BE15" t="str">
            <v>C</v>
          </cell>
          <cell r="BF15">
            <v>4</v>
          </cell>
          <cell r="BG15" t="str">
            <v>C</v>
          </cell>
          <cell r="BH15">
            <v>4</v>
          </cell>
          <cell r="BI15" t="str">
            <v>B</v>
          </cell>
          <cell r="BJ15">
            <v>0</v>
          </cell>
          <cell r="BK15" t="str">
            <v>C</v>
          </cell>
          <cell r="BL15">
            <v>4</v>
          </cell>
          <cell r="BM15" t="str">
            <v>C</v>
          </cell>
          <cell r="BN15">
            <v>4</v>
          </cell>
          <cell r="BO15" t="str">
            <v>HH</v>
          </cell>
          <cell r="BP15">
            <v>0</v>
          </cell>
          <cell r="BQ15">
            <v>9</v>
          </cell>
          <cell r="BR15">
            <v>3</v>
          </cell>
          <cell r="BS15">
            <v>1</v>
          </cell>
          <cell r="BT15">
            <v>12</v>
          </cell>
          <cell r="BU15">
            <v>0</v>
          </cell>
          <cell r="BV15">
            <v>0</v>
          </cell>
          <cell r="BW15">
            <v>2</v>
          </cell>
          <cell r="BX15">
            <v>0</v>
          </cell>
          <cell r="BY15">
            <v>0</v>
          </cell>
          <cell r="BZ15">
            <v>27</v>
          </cell>
          <cell r="CA15">
            <v>85.5</v>
          </cell>
          <cell r="CB15">
            <v>16</v>
          </cell>
          <cell r="CC15">
            <v>0</v>
          </cell>
          <cell r="CD15">
            <v>2</v>
          </cell>
          <cell r="CE15">
            <v>1</v>
          </cell>
          <cell r="CF15">
            <v>140</v>
          </cell>
          <cell r="CG15">
            <v>6</v>
          </cell>
          <cell r="CH15">
            <v>16</v>
          </cell>
          <cell r="CI15">
            <v>70</v>
          </cell>
        </row>
        <row r="16">
          <cell r="A16" t="str">
            <v>A026</v>
          </cell>
          <cell r="B16" t="str">
            <v>Nguyễn Văn Bình</v>
          </cell>
          <cell r="C16" t="str">
            <v>CII.1</v>
          </cell>
          <cell r="D16">
            <v>0</v>
          </cell>
          <cell r="E16">
            <v>39224</v>
          </cell>
          <cell r="F16">
            <v>2</v>
          </cell>
          <cell r="G16" t="str">
            <v>C</v>
          </cell>
          <cell r="H16">
            <v>4</v>
          </cell>
          <cell r="I16" t="str">
            <v>C</v>
          </cell>
          <cell r="J16">
            <v>4</v>
          </cell>
          <cell r="K16" t="str">
            <v>HH</v>
          </cell>
          <cell r="L16">
            <v>0</v>
          </cell>
          <cell r="M16">
            <v>0</v>
          </cell>
          <cell r="N16">
            <v>0</v>
          </cell>
          <cell r="O16" t="str">
            <v>P</v>
          </cell>
          <cell r="P16">
            <v>0</v>
          </cell>
          <cell r="Q16" t="str">
            <v>D</v>
          </cell>
          <cell r="R16">
            <v>0</v>
          </cell>
          <cell r="S16" t="str">
            <v>D</v>
          </cell>
          <cell r="T16">
            <v>0</v>
          </cell>
          <cell r="U16" t="str">
            <v>D</v>
          </cell>
          <cell r="V16">
            <v>0</v>
          </cell>
          <cell r="W16" t="str">
            <v>D</v>
          </cell>
          <cell r="X16">
            <v>0</v>
          </cell>
          <cell r="Y16" t="str">
            <v>D</v>
          </cell>
          <cell r="Z16">
            <v>0</v>
          </cell>
          <cell r="AA16">
            <v>0</v>
          </cell>
          <cell r="AB16">
            <v>0</v>
          </cell>
          <cell r="AC16" t="str">
            <v>C</v>
          </cell>
          <cell r="AD16">
            <v>4</v>
          </cell>
          <cell r="AE16" t="str">
            <v>C</v>
          </cell>
          <cell r="AF16">
            <v>4</v>
          </cell>
          <cell r="AG16" t="str">
            <v>C</v>
          </cell>
          <cell r="AH16">
            <v>4</v>
          </cell>
          <cell r="AI16" t="str">
            <v>C</v>
          </cell>
          <cell r="AJ16">
            <v>4</v>
          </cell>
          <cell r="AK16" t="str">
            <v>C</v>
          </cell>
          <cell r="AL16">
            <v>4</v>
          </cell>
          <cell r="AM16" t="str">
            <v>NT7</v>
          </cell>
          <cell r="AN16">
            <v>0</v>
          </cell>
          <cell r="AO16">
            <v>0</v>
          </cell>
          <cell r="AP16">
            <v>0</v>
          </cell>
          <cell r="AQ16" t="str">
            <v>A</v>
          </cell>
          <cell r="AR16">
            <v>4</v>
          </cell>
          <cell r="AS16" t="str">
            <v>P</v>
          </cell>
          <cell r="AT16">
            <v>0</v>
          </cell>
          <cell r="AU16" t="str">
            <v>A</v>
          </cell>
          <cell r="AV16">
            <v>4</v>
          </cell>
          <cell r="AW16" t="str">
            <v>A</v>
          </cell>
          <cell r="AX16">
            <v>4</v>
          </cell>
          <cell r="AY16" t="str">
            <v>A</v>
          </cell>
          <cell r="AZ16">
            <v>4</v>
          </cell>
          <cell r="BA16" t="str">
            <v>D</v>
          </cell>
          <cell r="BB16">
            <v>0</v>
          </cell>
          <cell r="BC16">
            <v>0</v>
          </cell>
          <cell r="BD16">
            <v>0</v>
          </cell>
          <cell r="BE16" t="str">
            <v>C</v>
          </cell>
          <cell r="BF16">
            <v>4</v>
          </cell>
          <cell r="BG16" t="str">
            <v>C</v>
          </cell>
          <cell r="BH16">
            <v>4</v>
          </cell>
          <cell r="BI16" t="str">
            <v>C</v>
          </cell>
          <cell r="BJ16">
            <v>4</v>
          </cell>
          <cell r="BK16" t="str">
            <v>C</v>
          </cell>
          <cell r="BL16">
            <v>4</v>
          </cell>
          <cell r="BM16" t="str">
            <v>C</v>
          </cell>
          <cell r="BN16">
            <v>4</v>
          </cell>
          <cell r="BO16" t="str">
            <v>NT7</v>
          </cell>
          <cell r="BP16">
            <v>0</v>
          </cell>
          <cell r="BQ16">
            <v>4</v>
          </cell>
          <cell r="BR16">
            <v>6</v>
          </cell>
          <cell r="BS16">
            <v>0</v>
          </cell>
          <cell r="BT16">
            <v>12</v>
          </cell>
          <cell r="BU16">
            <v>0</v>
          </cell>
          <cell r="BV16">
            <v>0</v>
          </cell>
          <cell r="BW16">
            <v>1</v>
          </cell>
          <cell r="BX16">
            <v>2</v>
          </cell>
          <cell r="BY16">
            <v>2</v>
          </cell>
          <cell r="BZ16">
            <v>27</v>
          </cell>
          <cell r="CA16">
            <v>64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1</v>
          </cell>
          <cell r="CH16">
            <v>0</v>
          </cell>
          <cell r="CI16">
            <v>70</v>
          </cell>
        </row>
        <row r="17">
          <cell r="A17" t="str">
            <v>A027</v>
          </cell>
          <cell r="B17" t="str">
            <v>Đỗ Tấn Lạnh</v>
          </cell>
          <cell r="C17" t="str">
            <v>CII.1</v>
          </cell>
          <cell r="D17">
            <v>0</v>
          </cell>
          <cell r="E17">
            <v>39265</v>
          </cell>
          <cell r="F17">
            <v>11.5</v>
          </cell>
          <cell r="G17" t="str">
            <v>D</v>
          </cell>
          <cell r="H17">
            <v>1</v>
          </cell>
          <cell r="I17" t="str">
            <v>D</v>
          </cell>
          <cell r="J17">
            <v>1</v>
          </cell>
          <cell r="K17" t="str">
            <v>D</v>
          </cell>
          <cell r="L17">
            <v>1</v>
          </cell>
          <cell r="M17">
            <v>0</v>
          </cell>
          <cell r="N17">
            <v>10</v>
          </cell>
          <cell r="O17" t="str">
            <v>D</v>
          </cell>
          <cell r="P17">
            <v>1</v>
          </cell>
          <cell r="Q17" t="str">
            <v>D</v>
          </cell>
          <cell r="R17">
            <v>1</v>
          </cell>
          <cell r="S17" t="str">
            <v>D</v>
          </cell>
          <cell r="T17">
            <v>1</v>
          </cell>
          <cell r="U17" t="str">
            <v>D</v>
          </cell>
          <cell r="V17">
            <v>1</v>
          </cell>
          <cell r="W17" t="str">
            <v>D</v>
          </cell>
          <cell r="X17">
            <v>1</v>
          </cell>
          <cell r="Y17" t="str">
            <v>D</v>
          </cell>
          <cell r="Z17">
            <v>1</v>
          </cell>
          <cell r="AA17">
            <v>0</v>
          </cell>
          <cell r="AB17">
            <v>10</v>
          </cell>
          <cell r="AC17" t="str">
            <v>D</v>
          </cell>
          <cell r="AD17">
            <v>1</v>
          </cell>
          <cell r="AE17" t="str">
            <v>D</v>
          </cell>
          <cell r="AF17">
            <v>1</v>
          </cell>
          <cell r="AG17" t="str">
            <v>D</v>
          </cell>
          <cell r="AH17">
            <v>1</v>
          </cell>
          <cell r="AI17" t="str">
            <v>D</v>
          </cell>
          <cell r="AJ17">
            <v>0</v>
          </cell>
          <cell r="AK17" t="str">
            <v>NT7</v>
          </cell>
          <cell r="AL17">
            <v>0</v>
          </cell>
          <cell r="AM17" t="str">
            <v>D</v>
          </cell>
          <cell r="AN17">
            <v>0</v>
          </cell>
          <cell r="AO17">
            <v>0</v>
          </cell>
          <cell r="AP17">
            <v>0</v>
          </cell>
          <cell r="AQ17" t="str">
            <v>D</v>
          </cell>
          <cell r="AR17">
            <v>1</v>
          </cell>
          <cell r="AS17" t="str">
            <v>D</v>
          </cell>
          <cell r="AT17">
            <v>1</v>
          </cell>
          <cell r="AU17" t="str">
            <v>D</v>
          </cell>
          <cell r="AV17">
            <v>1</v>
          </cell>
          <cell r="AW17" t="str">
            <v>D</v>
          </cell>
          <cell r="AX17">
            <v>1</v>
          </cell>
          <cell r="AY17" t="str">
            <v>D</v>
          </cell>
          <cell r="AZ17">
            <v>1</v>
          </cell>
          <cell r="BA17" t="str">
            <v>D</v>
          </cell>
          <cell r="BB17">
            <v>1</v>
          </cell>
          <cell r="BC17">
            <v>0</v>
          </cell>
          <cell r="BD17">
            <v>0</v>
          </cell>
          <cell r="BE17" t="str">
            <v>D</v>
          </cell>
          <cell r="BF17">
            <v>1</v>
          </cell>
          <cell r="BG17" t="str">
            <v>D</v>
          </cell>
          <cell r="BH17">
            <v>1</v>
          </cell>
          <cell r="BI17" t="str">
            <v>D</v>
          </cell>
          <cell r="BJ17">
            <v>1</v>
          </cell>
          <cell r="BK17" t="str">
            <v>D</v>
          </cell>
          <cell r="BL17">
            <v>1</v>
          </cell>
          <cell r="BM17" t="str">
            <v>D</v>
          </cell>
          <cell r="BN17">
            <v>1</v>
          </cell>
          <cell r="BO17" t="str">
            <v>D</v>
          </cell>
          <cell r="BP17">
            <v>1</v>
          </cell>
          <cell r="BQ17">
            <v>0</v>
          </cell>
          <cell r="BR17">
            <v>26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1</v>
          </cell>
          <cell r="BY17">
            <v>0</v>
          </cell>
          <cell r="BZ17">
            <v>27</v>
          </cell>
          <cell r="CA17">
            <v>24</v>
          </cell>
          <cell r="CB17">
            <v>20</v>
          </cell>
          <cell r="CC17">
            <v>0</v>
          </cell>
          <cell r="CD17">
            <v>1</v>
          </cell>
          <cell r="CE17">
            <v>0</v>
          </cell>
          <cell r="CF17">
            <v>70</v>
          </cell>
          <cell r="CG17">
            <v>12.5</v>
          </cell>
          <cell r="CH17">
            <v>0</v>
          </cell>
          <cell r="CI17">
            <v>70</v>
          </cell>
        </row>
        <row r="18">
          <cell r="A18" t="str">
            <v>A028</v>
          </cell>
          <cell r="B18" t="str">
            <v>Nguyễn Trung Lập</v>
          </cell>
          <cell r="C18" t="str">
            <v>CII.2</v>
          </cell>
          <cell r="D18">
            <v>0</v>
          </cell>
          <cell r="E18">
            <v>39272</v>
          </cell>
          <cell r="F18">
            <v>3.5</v>
          </cell>
          <cell r="G18" t="str">
            <v>C</v>
          </cell>
          <cell r="H18">
            <v>4</v>
          </cell>
          <cell r="I18" t="str">
            <v>C</v>
          </cell>
          <cell r="J18">
            <v>4</v>
          </cell>
          <cell r="K18" t="str">
            <v>C</v>
          </cell>
          <cell r="L18">
            <v>4</v>
          </cell>
          <cell r="M18">
            <v>0</v>
          </cell>
          <cell r="N18">
            <v>0</v>
          </cell>
          <cell r="O18" t="str">
            <v>A</v>
          </cell>
          <cell r="P18">
            <v>4</v>
          </cell>
          <cell r="Q18" t="str">
            <v>D</v>
          </cell>
          <cell r="R18">
            <v>2</v>
          </cell>
          <cell r="S18" t="str">
            <v>A</v>
          </cell>
          <cell r="T18">
            <v>4</v>
          </cell>
          <cell r="U18" t="str">
            <v>A</v>
          </cell>
          <cell r="V18">
            <v>4</v>
          </cell>
          <cell r="W18" t="str">
            <v>A</v>
          </cell>
          <cell r="X18">
            <v>4</v>
          </cell>
          <cell r="Y18" t="str">
            <v>D</v>
          </cell>
          <cell r="Z18">
            <v>0</v>
          </cell>
          <cell r="AA18">
            <v>0</v>
          </cell>
          <cell r="AB18">
            <v>0</v>
          </cell>
          <cell r="AC18" t="str">
            <v>C</v>
          </cell>
          <cell r="AD18">
            <v>4</v>
          </cell>
          <cell r="AE18" t="str">
            <v>NT7</v>
          </cell>
          <cell r="AF18">
            <v>0</v>
          </cell>
          <cell r="AG18" t="str">
            <v>A</v>
          </cell>
          <cell r="AH18">
            <v>4</v>
          </cell>
          <cell r="AI18" t="str">
            <v>D</v>
          </cell>
          <cell r="AJ18">
            <v>2</v>
          </cell>
          <cell r="AK18" t="str">
            <v>D</v>
          </cell>
          <cell r="AL18">
            <v>0</v>
          </cell>
          <cell r="AM18" t="str">
            <v>NT7</v>
          </cell>
          <cell r="AN18">
            <v>0</v>
          </cell>
          <cell r="AO18">
            <v>0</v>
          </cell>
          <cell r="AP18">
            <v>0</v>
          </cell>
          <cell r="AQ18" t="str">
            <v>P</v>
          </cell>
          <cell r="AR18">
            <v>0</v>
          </cell>
          <cell r="AS18" t="str">
            <v>P</v>
          </cell>
          <cell r="AT18">
            <v>0</v>
          </cell>
          <cell r="AU18" t="str">
            <v>C</v>
          </cell>
          <cell r="AV18">
            <v>4</v>
          </cell>
          <cell r="AW18" t="str">
            <v>HH</v>
          </cell>
          <cell r="AX18">
            <v>0</v>
          </cell>
          <cell r="AY18" t="str">
            <v>C</v>
          </cell>
          <cell r="AZ18">
            <v>4</v>
          </cell>
          <cell r="BA18" t="str">
            <v>HH</v>
          </cell>
          <cell r="BB18">
            <v>0</v>
          </cell>
          <cell r="BC18">
            <v>0</v>
          </cell>
          <cell r="BD18">
            <v>0</v>
          </cell>
          <cell r="BE18" t="str">
            <v>D</v>
          </cell>
          <cell r="BF18">
            <v>0</v>
          </cell>
          <cell r="BG18" t="str">
            <v>A</v>
          </cell>
          <cell r="BH18">
            <v>4</v>
          </cell>
          <cell r="BI18" t="str">
            <v>D</v>
          </cell>
          <cell r="BJ18">
            <v>0</v>
          </cell>
          <cell r="BK18" t="str">
            <v>D</v>
          </cell>
          <cell r="BL18">
            <v>0</v>
          </cell>
          <cell r="BM18" t="str">
            <v>D</v>
          </cell>
          <cell r="BN18">
            <v>1</v>
          </cell>
          <cell r="BO18" t="str">
            <v>D</v>
          </cell>
          <cell r="BP18">
            <v>0</v>
          </cell>
          <cell r="BQ18">
            <v>6</v>
          </cell>
          <cell r="BR18">
            <v>9</v>
          </cell>
          <cell r="BS18">
            <v>0</v>
          </cell>
          <cell r="BT18">
            <v>6</v>
          </cell>
          <cell r="BU18">
            <v>0</v>
          </cell>
          <cell r="BV18">
            <v>0</v>
          </cell>
          <cell r="BW18">
            <v>2</v>
          </cell>
          <cell r="BX18">
            <v>2</v>
          </cell>
          <cell r="BY18">
            <v>2</v>
          </cell>
          <cell r="BZ18">
            <v>27</v>
          </cell>
          <cell r="CA18">
            <v>53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2.5</v>
          </cell>
          <cell r="CH18">
            <v>0</v>
          </cell>
          <cell r="CI18">
            <v>150</v>
          </cell>
        </row>
        <row r="19">
          <cell r="A19" t="str">
            <v>A030</v>
          </cell>
          <cell r="B19" t="str">
            <v>Phạm Tấn Minh</v>
          </cell>
          <cell r="C19" t="str">
            <v>CII.2</v>
          </cell>
          <cell r="D19">
            <v>0</v>
          </cell>
          <cell r="E19">
            <v>39360</v>
          </cell>
          <cell r="F19">
            <v>8</v>
          </cell>
          <cell r="G19" t="str">
            <v>A</v>
          </cell>
          <cell r="H19">
            <v>4</v>
          </cell>
          <cell r="I19" t="str">
            <v>A</v>
          </cell>
          <cell r="J19">
            <v>4</v>
          </cell>
          <cell r="K19" t="str">
            <v>A</v>
          </cell>
          <cell r="L19">
            <v>4</v>
          </cell>
          <cell r="M19">
            <v>0</v>
          </cell>
          <cell r="N19">
            <v>0</v>
          </cell>
          <cell r="O19" t="str">
            <v>C</v>
          </cell>
          <cell r="P19">
            <v>4</v>
          </cell>
          <cell r="Q19" t="str">
            <v>NT7</v>
          </cell>
          <cell r="R19">
            <v>0</v>
          </cell>
          <cell r="S19" t="str">
            <v>C</v>
          </cell>
          <cell r="T19">
            <v>4</v>
          </cell>
          <cell r="U19" t="str">
            <v>C</v>
          </cell>
          <cell r="V19">
            <v>4</v>
          </cell>
          <cell r="W19" t="str">
            <v>C</v>
          </cell>
          <cell r="X19">
            <v>4</v>
          </cell>
          <cell r="Y19" t="str">
            <v>C</v>
          </cell>
          <cell r="Z19">
            <v>4</v>
          </cell>
          <cell r="AA19">
            <v>0</v>
          </cell>
          <cell r="AB19">
            <v>0</v>
          </cell>
          <cell r="AC19" t="str">
            <v>A</v>
          </cell>
          <cell r="AD19">
            <v>4</v>
          </cell>
          <cell r="AE19" t="str">
            <v>A</v>
          </cell>
          <cell r="AF19">
            <v>4</v>
          </cell>
          <cell r="AG19" t="str">
            <v>A</v>
          </cell>
          <cell r="AH19">
            <v>4</v>
          </cell>
          <cell r="AI19" t="str">
            <v>D</v>
          </cell>
          <cell r="AJ19">
            <v>0</v>
          </cell>
          <cell r="AK19" t="str">
            <v>P</v>
          </cell>
          <cell r="AL19">
            <v>0</v>
          </cell>
          <cell r="AM19" t="str">
            <v>P</v>
          </cell>
          <cell r="AN19">
            <v>0</v>
          </cell>
          <cell r="AO19">
            <v>0</v>
          </cell>
          <cell r="AP19">
            <v>0</v>
          </cell>
          <cell r="AQ19" t="str">
            <v>P</v>
          </cell>
          <cell r="AR19">
            <v>0</v>
          </cell>
          <cell r="AS19" t="str">
            <v>P</v>
          </cell>
          <cell r="AT19">
            <v>0</v>
          </cell>
          <cell r="AU19" t="str">
            <v>A</v>
          </cell>
          <cell r="AV19">
            <v>4</v>
          </cell>
          <cell r="AW19" t="str">
            <v>A</v>
          </cell>
          <cell r="AX19">
            <v>4</v>
          </cell>
          <cell r="AY19" t="str">
            <v>A</v>
          </cell>
          <cell r="AZ19">
            <v>4</v>
          </cell>
          <cell r="BA19" t="str">
            <v>D</v>
          </cell>
          <cell r="BB19">
            <v>0</v>
          </cell>
          <cell r="BC19">
            <v>0</v>
          </cell>
          <cell r="BD19">
            <v>0</v>
          </cell>
          <cell r="BE19" t="str">
            <v>C</v>
          </cell>
          <cell r="BF19">
            <v>4</v>
          </cell>
          <cell r="BG19" t="str">
            <v>C</v>
          </cell>
          <cell r="BH19">
            <v>4</v>
          </cell>
          <cell r="BI19" t="str">
            <v>NT7</v>
          </cell>
          <cell r="BJ19">
            <v>0</v>
          </cell>
          <cell r="BK19" t="str">
            <v>D</v>
          </cell>
          <cell r="BL19">
            <v>0</v>
          </cell>
          <cell r="BM19" t="str">
            <v>D</v>
          </cell>
          <cell r="BN19">
            <v>1</v>
          </cell>
          <cell r="BO19" t="str">
            <v>D</v>
          </cell>
          <cell r="BP19">
            <v>0</v>
          </cell>
          <cell r="BQ19">
            <v>9</v>
          </cell>
          <cell r="BR19">
            <v>5</v>
          </cell>
          <cell r="BS19">
            <v>0</v>
          </cell>
          <cell r="BT19">
            <v>7</v>
          </cell>
          <cell r="BU19">
            <v>0</v>
          </cell>
          <cell r="BV19">
            <v>0</v>
          </cell>
          <cell r="BW19">
            <v>0</v>
          </cell>
          <cell r="BX19">
            <v>2</v>
          </cell>
          <cell r="BY19">
            <v>4</v>
          </cell>
          <cell r="BZ19">
            <v>27</v>
          </cell>
          <cell r="CA19">
            <v>65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5</v>
          </cell>
          <cell r="CH19">
            <v>0</v>
          </cell>
          <cell r="CI19">
            <v>150</v>
          </cell>
        </row>
        <row r="20">
          <cell r="A20" t="str">
            <v>A032</v>
          </cell>
          <cell r="B20" t="str">
            <v>Lý Tuệ Vân</v>
          </cell>
          <cell r="C20" t="str">
            <v>Gián tiếp</v>
          </cell>
          <cell r="D20">
            <v>0</v>
          </cell>
          <cell r="E20">
            <v>39508</v>
          </cell>
          <cell r="F20">
            <v>10</v>
          </cell>
          <cell r="G20" t="str">
            <v>D</v>
          </cell>
          <cell r="H20">
            <v>0</v>
          </cell>
          <cell r="I20" t="str">
            <v>D</v>
          </cell>
          <cell r="J20">
            <v>0</v>
          </cell>
          <cell r="K20" t="str">
            <v>D</v>
          </cell>
          <cell r="L20">
            <v>0</v>
          </cell>
          <cell r="M20">
            <v>0</v>
          </cell>
          <cell r="N20">
            <v>0</v>
          </cell>
          <cell r="O20" t="str">
            <v>D</v>
          </cell>
          <cell r="P20">
            <v>0</v>
          </cell>
          <cell r="Q20" t="str">
            <v>D</v>
          </cell>
          <cell r="R20">
            <v>0</v>
          </cell>
          <cell r="S20" t="str">
            <v>D</v>
          </cell>
          <cell r="T20">
            <v>0</v>
          </cell>
          <cell r="U20" t="str">
            <v>D</v>
          </cell>
          <cell r="V20">
            <v>0</v>
          </cell>
          <cell r="W20" t="str">
            <v>D</v>
          </cell>
          <cell r="X20">
            <v>0</v>
          </cell>
          <cell r="Y20" t="str">
            <v>NT7</v>
          </cell>
          <cell r="Z20">
            <v>0</v>
          </cell>
          <cell r="AA20">
            <v>0</v>
          </cell>
          <cell r="AB20">
            <v>0</v>
          </cell>
          <cell r="AC20" t="str">
            <v>D</v>
          </cell>
          <cell r="AD20">
            <v>0</v>
          </cell>
          <cell r="AE20" t="str">
            <v>D</v>
          </cell>
          <cell r="AF20">
            <v>0</v>
          </cell>
          <cell r="AG20" t="str">
            <v>D</v>
          </cell>
          <cell r="AH20">
            <v>0</v>
          </cell>
          <cell r="AI20" t="str">
            <v>D</v>
          </cell>
          <cell r="AJ20">
            <v>0</v>
          </cell>
          <cell r="AK20" t="str">
            <v>D</v>
          </cell>
          <cell r="AL20">
            <v>0</v>
          </cell>
          <cell r="AM20" t="str">
            <v>D</v>
          </cell>
          <cell r="AN20">
            <v>0</v>
          </cell>
          <cell r="AO20">
            <v>0</v>
          </cell>
          <cell r="AP20">
            <v>0</v>
          </cell>
          <cell r="AQ20" t="str">
            <v>D</v>
          </cell>
          <cell r="AR20">
            <v>0</v>
          </cell>
          <cell r="AS20" t="str">
            <v>D</v>
          </cell>
          <cell r="AT20">
            <v>0</v>
          </cell>
          <cell r="AU20" t="str">
            <v>D</v>
          </cell>
          <cell r="AV20">
            <v>0</v>
          </cell>
          <cell r="AW20" t="str">
            <v>D</v>
          </cell>
          <cell r="AX20">
            <v>0</v>
          </cell>
          <cell r="AY20" t="str">
            <v>D</v>
          </cell>
          <cell r="AZ20">
            <v>0</v>
          </cell>
          <cell r="BA20" t="str">
            <v>D</v>
          </cell>
          <cell r="BB20">
            <v>0</v>
          </cell>
          <cell r="BC20">
            <v>0</v>
          </cell>
          <cell r="BD20">
            <v>0</v>
          </cell>
          <cell r="BE20" t="str">
            <v>D</v>
          </cell>
          <cell r="BF20">
            <v>0</v>
          </cell>
          <cell r="BG20" t="str">
            <v>D</v>
          </cell>
          <cell r="BH20">
            <v>0</v>
          </cell>
          <cell r="BI20" t="str">
            <v>D</v>
          </cell>
          <cell r="BJ20">
            <v>0</v>
          </cell>
          <cell r="BK20" t="str">
            <v>D</v>
          </cell>
          <cell r="BL20">
            <v>0</v>
          </cell>
          <cell r="BM20" t="str">
            <v>D</v>
          </cell>
          <cell r="BN20">
            <v>0</v>
          </cell>
          <cell r="BO20" t="str">
            <v>NT7</v>
          </cell>
          <cell r="BP20">
            <v>0</v>
          </cell>
          <cell r="BQ20">
            <v>0</v>
          </cell>
          <cell r="BR20">
            <v>25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2</v>
          </cell>
          <cell r="BY20">
            <v>0</v>
          </cell>
          <cell r="BZ20">
            <v>27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11</v>
          </cell>
          <cell r="CH20">
            <v>0</v>
          </cell>
          <cell r="CI20">
            <v>150</v>
          </cell>
        </row>
        <row r="21">
          <cell r="A21" t="str">
            <v>A033</v>
          </cell>
          <cell r="B21" t="str">
            <v>Hà Công Hoàng Minh</v>
          </cell>
          <cell r="C21" t="str">
            <v>CII.1</v>
          </cell>
          <cell r="D21">
            <v>0</v>
          </cell>
          <cell r="E21">
            <v>39520</v>
          </cell>
          <cell r="F21">
            <v>7</v>
          </cell>
          <cell r="G21" t="str">
            <v>NT7</v>
          </cell>
          <cell r="H21">
            <v>0</v>
          </cell>
          <cell r="I21" t="str">
            <v>A</v>
          </cell>
          <cell r="J21">
            <v>4</v>
          </cell>
          <cell r="K21" t="str">
            <v>D</v>
          </cell>
          <cell r="L21">
            <v>0</v>
          </cell>
          <cell r="M21">
            <v>0</v>
          </cell>
          <cell r="N21">
            <v>0</v>
          </cell>
          <cell r="O21" t="str">
            <v>C</v>
          </cell>
          <cell r="P21">
            <v>4</v>
          </cell>
          <cell r="Q21" t="str">
            <v>C</v>
          </cell>
          <cell r="R21">
            <v>4</v>
          </cell>
          <cell r="S21" t="str">
            <v>C</v>
          </cell>
          <cell r="T21">
            <v>4</v>
          </cell>
          <cell r="U21" t="str">
            <v>C</v>
          </cell>
          <cell r="V21">
            <v>4</v>
          </cell>
          <cell r="W21" t="str">
            <v>C</v>
          </cell>
          <cell r="X21">
            <v>4</v>
          </cell>
          <cell r="Y21" t="str">
            <v>HH</v>
          </cell>
          <cell r="Z21">
            <v>0</v>
          </cell>
          <cell r="AA21">
            <v>0</v>
          </cell>
          <cell r="AB21">
            <v>0</v>
          </cell>
          <cell r="AC21" t="str">
            <v>A</v>
          </cell>
          <cell r="AD21">
            <v>4</v>
          </cell>
          <cell r="AE21" t="str">
            <v>A</v>
          </cell>
          <cell r="AF21">
            <v>4</v>
          </cell>
          <cell r="AG21" t="str">
            <v>A</v>
          </cell>
          <cell r="AH21">
            <v>4</v>
          </cell>
          <cell r="AI21" t="str">
            <v>A</v>
          </cell>
          <cell r="AJ21">
            <v>4</v>
          </cell>
          <cell r="AK21" t="str">
            <v>A</v>
          </cell>
          <cell r="AL21">
            <v>4</v>
          </cell>
          <cell r="AM21" t="str">
            <v>D</v>
          </cell>
          <cell r="AN21">
            <v>0</v>
          </cell>
          <cell r="AO21">
            <v>0</v>
          </cell>
          <cell r="AP21">
            <v>0</v>
          </cell>
          <cell r="AQ21" t="str">
            <v>C</v>
          </cell>
          <cell r="AR21">
            <v>4</v>
          </cell>
          <cell r="AS21" t="str">
            <v>C</v>
          </cell>
          <cell r="AT21">
            <v>4</v>
          </cell>
          <cell r="AU21" t="str">
            <v>C</v>
          </cell>
          <cell r="AV21">
            <v>4</v>
          </cell>
          <cell r="AW21" t="str">
            <v>C</v>
          </cell>
          <cell r="AX21">
            <v>4</v>
          </cell>
          <cell r="AY21" t="str">
            <v>C</v>
          </cell>
          <cell r="AZ21">
            <v>4</v>
          </cell>
          <cell r="BA21" t="str">
            <v>HH</v>
          </cell>
          <cell r="BB21">
            <v>0</v>
          </cell>
          <cell r="BC21">
            <v>0</v>
          </cell>
          <cell r="BD21">
            <v>0</v>
          </cell>
          <cell r="BE21" t="str">
            <v>A</v>
          </cell>
          <cell r="BF21">
            <v>4</v>
          </cell>
          <cell r="BG21" t="str">
            <v>A</v>
          </cell>
          <cell r="BH21">
            <v>4</v>
          </cell>
          <cell r="BI21" t="str">
            <v>NT7</v>
          </cell>
          <cell r="BJ21">
            <v>0</v>
          </cell>
          <cell r="BK21" t="str">
            <v>A</v>
          </cell>
          <cell r="BL21">
            <v>4</v>
          </cell>
          <cell r="BM21" t="str">
            <v>A</v>
          </cell>
          <cell r="BN21">
            <v>4</v>
          </cell>
          <cell r="BO21" t="str">
            <v>D</v>
          </cell>
          <cell r="BP21">
            <v>0</v>
          </cell>
          <cell r="BQ21">
            <v>10</v>
          </cell>
          <cell r="BR21">
            <v>3</v>
          </cell>
          <cell r="BS21">
            <v>0</v>
          </cell>
          <cell r="BT21">
            <v>10</v>
          </cell>
          <cell r="BU21">
            <v>0</v>
          </cell>
          <cell r="BV21">
            <v>0</v>
          </cell>
          <cell r="BW21">
            <v>2</v>
          </cell>
          <cell r="BX21">
            <v>2</v>
          </cell>
          <cell r="BY21">
            <v>0</v>
          </cell>
          <cell r="BZ21">
            <v>27</v>
          </cell>
          <cell r="CA21">
            <v>80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8</v>
          </cell>
          <cell r="CH21">
            <v>0</v>
          </cell>
          <cell r="CI21">
            <v>70</v>
          </cell>
        </row>
        <row r="22">
          <cell r="A22" t="str">
            <v>A034</v>
          </cell>
          <cell r="B22" t="str">
            <v>Võ Thái Nguyên</v>
          </cell>
          <cell r="C22" t="str">
            <v>SON</v>
          </cell>
          <cell r="D22">
            <v>0</v>
          </cell>
          <cell r="E22">
            <v>39548</v>
          </cell>
          <cell r="F22">
            <v>6</v>
          </cell>
          <cell r="G22" t="str">
            <v>D</v>
          </cell>
          <cell r="H22">
            <v>0.5</v>
          </cell>
          <cell r="I22" t="str">
            <v>D</v>
          </cell>
          <cell r="J22">
            <v>0.5</v>
          </cell>
          <cell r="K22" t="str">
            <v>NT7</v>
          </cell>
          <cell r="L22">
            <v>0</v>
          </cell>
          <cell r="M22">
            <v>0</v>
          </cell>
          <cell r="N22">
            <v>0</v>
          </cell>
          <cell r="O22" t="str">
            <v>P</v>
          </cell>
          <cell r="P22">
            <v>0</v>
          </cell>
          <cell r="Q22" t="str">
            <v>D</v>
          </cell>
          <cell r="R22">
            <v>1</v>
          </cell>
          <cell r="S22" t="str">
            <v>D</v>
          </cell>
          <cell r="T22">
            <v>0.5</v>
          </cell>
          <cell r="U22" t="str">
            <v>D</v>
          </cell>
          <cell r="V22">
            <v>0</v>
          </cell>
          <cell r="W22" t="str">
            <v>D</v>
          </cell>
          <cell r="X22">
            <v>0</v>
          </cell>
          <cell r="Y22" t="str">
            <v>NT7</v>
          </cell>
          <cell r="Z22">
            <v>0</v>
          </cell>
          <cell r="AA22">
            <v>0</v>
          </cell>
          <cell r="AB22">
            <v>0</v>
          </cell>
          <cell r="AC22" t="str">
            <v>D</v>
          </cell>
          <cell r="AD22">
            <v>0</v>
          </cell>
          <cell r="AE22" t="str">
            <v>D</v>
          </cell>
          <cell r="AF22">
            <v>0.5</v>
          </cell>
          <cell r="AG22" t="str">
            <v>D</v>
          </cell>
          <cell r="AH22">
            <v>0.5</v>
          </cell>
          <cell r="AI22" t="str">
            <v>D</v>
          </cell>
          <cell r="AJ22">
            <v>0</v>
          </cell>
          <cell r="AK22" t="str">
            <v>D</v>
          </cell>
          <cell r="AL22">
            <v>0.5</v>
          </cell>
          <cell r="AM22" t="str">
            <v>D</v>
          </cell>
          <cell r="AN22">
            <v>0</v>
          </cell>
          <cell r="AO22">
            <v>0</v>
          </cell>
          <cell r="AP22">
            <v>0</v>
          </cell>
          <cell r="AQ22" t="str">
            <v>D</v>
          </cell>
          <cell r="AR22">
            <v>0</v>
          </cell>
          <cell r="AS22" t="str">
            <v>D</v>
          </cell>
          <cell r="AT22">
            <v>0.5</v>
          </cell>
          <cell r="AU22" t="str">
            <v>D</v>
          </cell>
          <cell r="AV22">
            <v>0</v>
          </cell>
          <cell r="AW22" t="str">
            <v>D</v>
          </cell>
          <cell r="AX22">
            <v>0</v>
          </cell>
          <cell r="AY22" t="str">
            <v>D</v>
          </cell>
          <cell r="AZ22">
            <v>0</v>
          </cell>
          <cell r="BA22" t="str">
            <v>P</v>
          </cell>
          <cell r="BB22">
            <v>0</v>
          </cell>
          <cell r="BC22">
            <v>0</v>
          </cell>
          <cell r="BD22">
            <v>0</v>
          </cell>
          <cell r="BE22" t="str">
            <v>D</v>
          </cell>
          <cell r="BF22">
            <v>0</v>
          </cell>
          <cell r="BG22" t="str">
            <v>D</v>
          </cell>
          <cell r="BH22">
            <v>1</v>
          </cell>
          <cell r="BI22" t="str">
            <v>D</v>
          </cell>
          <cell r="BJ22">
            <v>0</v>
          </cell>
          <cell r="BK22" t="str">
            <v>D</v>
          </cell>
          <cell r="BL22">
            <v>0.5</v>
          </cell>
          <cell r="BM22" t="str">
            <v>D</v>
          </cell>
          <cell r="BN22">
            <v>0</v>
          </cell>
          <cell r="BO22" t="str">
            <v>D</v>
          </cell>
          <cell r="BP22">
            <v>0</v>
          </cell>
          <cell r="BQ22">
            <v>0</v>
          </cell>
          <cell r="BR22">
            <v>23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2</v>
          </cell>
          <cell r="BY22">
            <v>2</v>
          </cell>
          <cell r="BZ22">
            <v>27</v>
          </cell>
          <cell r="CA22">
            <v>6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5</v>
          </cell>
          <cell r="CH22">
            <v>0</v>
          </cell>
          <cell r="CI22">
            <v>150</v>
          </cell>
        </row>
        <row r="23">
          <cell r="A23" t="str">
            <v>A038</v>
          </cell>
          <cell r="B23" t="str">
            <v>Nguyễn Văn Chung</v>
          </cell>
          <cell r="C23" t="str">
            <v>CII.1</v>
          </cell>
          <cell r="D23">
            <v>0</v>
          </cell>
          <cell r="E23">
            <v>39716</v>
          </cell>
          <cell r="F23">
            <v>3</v>
          </cell>
          <cell r="G23" t="str">
            <v>A</v>
          </cell>
          <cell r="H23">
            <v>4</v>
          </cell>
          <cell r="I23" t="str">
            <v>A</v>
          </cell>
          <cell r="J23">
            <v>4</v>
          </cell>
          <cell r="K23" t="str">
            <v>D</v>
          </cell>
          <cell r="L23">
            <v>0</v>
          </cell>
          <cell r="M23">
            <v>0</v>
          </cell>
          <cell r="N23">
            <v>12</v>
          </cell>
          <cell r="O23" t="str">
            <v>C</v>
          </cell>
          <cell r="P23">
            <v>4</v>
          </cell>
          <cell r="Q23" t="str">
            <v>C</v>
          </cell>
          <cell r="R23">
            <v>4</v>
          </cell>
          <cell r="S23" t="str">
            <v>C</v>
          </cell>
          <cell r="T23">
            <v>4</v>
          </cell>
          <cell r="U23" t="str">
            <v>C</v>
          </cell>
          <cell r="V23">
            <v>4</v>
          </cell>
          <cell r="W23" t="str">
            <v>C</v>
          </cell>
          <cell r="X23">
            <v>4</v>
          </cell>
          <cell r="Y23" t="str">
            <v>HH</v>
          </cell>
          <cell r="Z23">
            <v>0</v>
          </cell>
          <cell r="AA23">
            <v>0</v>
          </cell>
          <cell r="AB23">
            <v>10</v>
          </cell>
          <cell r="AC23" t="str">
            <v>A</v>
          </cell>
          <cell r="AD23">
            <v>4</v>
          </cell>
          <cell r="AE23" t="str">
            <v>A</v>
          </cell>
          <cell r="AF23">
            <v>4</v>
          </cell>
          <cell r="AG23" t="str">
            <v>A</v>
          </cell>
          <cell r="AH23">
            <v>4</v>
          </cell>
          <cell r="AI23" t="str">
            <v>A</v>
          </cell>
          <cell r="AJ23">
            <v>4</v>
          </cell>
          <cell r="AK23" t="str">
            <v>A</v>
          </cell>
          <cell r="AL23">
            <v>4</v>
          </cell>
          <cell r="AM23" t="str">
            <v>A</v>
          </cell>
          <cell r="AN23">
            <v>4</v>
          </cell>
          <cell r="AO23">
            <v>0</v>
          </cell>
          <cell r="AP23">
            <v>12</v>
          </cell>
          <cell r="AQ23" t="str">
            <v>C</v>
          </cell>
          <cell r="AR23">
            <v>4</v>
          </cell>
          <cell r="AS23" t="str">
            <v>C</v>
          </cell>
          <cell r="AT23">
            <v>4</v>
          </cell>
          <cell r="AU23" t="str">
            <v>C</v>
          </cell>
          <cell r="AV23">
            <v>4</v>
          </cell>
          <cell r="AW23" t="str">
            <v>C</v>
          </cell>
          <cell r="AX23">
            <v>4</v>
          </cell>
          <cell r="AY23" t="str">
            <v>C</v>
          </cell>
          <cell r="AZ23">
            <v>4</v>
          </cell>
          <cell r="BA23" t="str">
            <v>HH</v>
          </cell>
          <cell r="BB23">
            <v>0</v>
          </cell>
          <cell r="BC23">
            <v>0</v>
          </cell>
          <cell r="BD23">
            <v>12</v>
          </cell>
          <cell r="BE23" t="str">
            <v>C</v>
          </cell>
          <cell r="BF23">
            <v>4</v>
          </cell>
          <cell r="BG23" t="str">
            <v>C</v>
          </cell>
          <cell r="BH23">
            <v>4</v>
          </cell>
          <cell r="BI23" t="str">
            <v>C</v>
          </cell>
          <cell r="BJ23">
            <v>4</v>
          </cell>
          <cell r="BK23" t="str">
            <v>C</v>
          </cell>
          <cell r="BL23">
            <v>4</v>
          </cell>
          <cell r="BM23" t="str">
            <v>C</v>
          </cell>
          <cell r="BN23">
            <v>4</v>
          </cell>
          <cell r="BO23" t="str">
            <v>NT7</v>
          </cell>
          <cell r="BP23">
            <v>0</v>
          </cell>
          <cell r="BQ23">
            <v>8</v>
          </cell>
          <cell r="BR23">
            <v>1</v>
          </cell>
          <cell r="BS23">
            <v>0</v>
          </cell>
          <cell r="BT23">
            <v>15</v>
          </cell>
          <cell r="BU23">
            <v>0</v>
          </cell>
          <cell r="BV23">
            <v>0</v>
          </cell>
          <cell r="BW23">
            <v>2</v>
          </cell>
          <cell r="BX23">
            <v>1</v>
          </cell>
          <cell r="BY23">
            <v>0</v>
          </cell>
          <cell r="BZ23">
            <v>27</v>
          </cell>
          <cell r="CA23">
            <v>92</v>
          </cell>
          <cell r="CB23">
            <v>46</v>
          </cell>
          <cell r="CC23">
            <v>0</v>
          </cell>
          <cell r="CD23">
            <v>1</v>
          </cell>
          <cell r="CE23">
            <v>6</v>
          </cell>
          <cell r="CF23">
            <v>150</v>
          </cell>
          <cell r="CG23">
            <v>4</v>
          </cell>
          <cell r="CH23">
            <v>96</v>
          </cell>
          <cell r="CI23">
            <v>150</v>
          </cell>
        </row>
        <row r="24">
          <cell r="A24" t="str">
            <v>A042</v>
          </cell>
          <cell r="B24" t="str">
            <v>Phạm Hoàng Khanh</v>
          </cell>
          <cell r="C24" t="str">
            <v>Gián tiếp</v>
          </cell>
          <cell r="D24">
            <v>0</v>
          </cell>
          <cell r="E24">
            <v>39867</v>
          </cell>
          <cell r="F24">
            <v>7</v>
          </cell>
          <cell r="G24" t="str">
            <v>D</v>
          </cell>
          <cell r="H24">
            <v>0</v>
          </cell>
          <cell r="I24" t="str">
            <v>D</v>
          </cell>
          <cell r="J24">
            <v>0</v>
          </cell>
          <cell r="K24" t="str">
            <v>D</v>
          </cell>
          <cell r="L24">
            <v>0</v>
          </cell>
          <cell r="M24">
            <v>0</v>
          </cell>
          <cell r="N24">
            <v>0</v>
          </cell>
          <cell r="O24" t="str">
            <v>D</v>
          </cell>
          <cell r="P24">
            <v>0</v>
          </cell>
          <cell r="Q24" t="str">
            <v>D</v>
          </cell>
          <cell r="R24">
            <v>0</v>
          </cell>
          <cell r="S24" t="str">
            <v>D</v>
          </cell>
          <cell r="T24">
            <v>0</v>
          </cell>
          <cell r="U24" t="str">
            <v>D</v>
          </cell>
          <cell r="V24">
            <v>0</v>
          </cell>
          <cell r="W24" t="str">
            <v>D</v>
          </cell>
          <cell r="X24">
            <v>0</v>
          </cell>
          <cell r="Y24" t="str">
            <v>NT7</v>
          </cell>
          <cell r="Z24">
            <v>0</v>
          </cell>
          <cell r="AA24">
            <v>0</v>
          </cell>
          <cell r="AB24">
            <v>0</v>
          </cell>
          <cell r="AC24" t="str">
            <v>P5,D5</v>
          </cell>
          <cell r="AD24">
            <v>0</v>
          </cell>
          <cell r="AE24" t="str">
            <v>D</v>
          </cell>
          <cell r="AF24">
            <v>0</v>
          </cell>
          <cell r="AG24" t="str">
            <v>D</v>
          </cell>
          <cell r="AH24">
            <v>0</v>
          </cell>
          <cell r="AI24" t="str">
            <v>D</v>
          </cell>
          <cell r="AJ24">
            <v>0</v>
          </cell>
          <cell r="AK24" t="str">
            <v>D</v>
          </cell>
          <cell r="AL24">
            <v>0</v>
          </cell>
          <cell r="AM24" t="str">
            <v>D</v>
          </cell>
          <cell r="AN24">
            <v>0</v>
          </cell>
          <cell r="AO24">
            <v>0</v>
          </cell>
          <cell r="AP24">
            <v>0</v>
          </cell>
          <cell r="AQ24" t="str">
            <v>D</v>
          </cell>
          <cell r="AR24">
            <v>0</v>
          </cell>
          <cell r="AS24" t="str">
            <v>D</v>
          </cell>
          <cell r="AT24">
            <v>0</v>
          </cell>
          <cell r="AU24" t="str">
            <v>D</v>
          </cell>
          <cell r="AV24">
            <v>0</v>
          </cell>
          <cell r="AW24" t="str">
            <v>D</v>
          </cell>
          <cell r="AX24">
            <v>0</v>
          </cell>
          <cell r="AY24" t="str">
            <v>D</v>
          </cell>
          <cell r="AZ24">
            <v>0</v>
          </cell>
          <cell r="BA24" t="str">
            <v>NT7</v>
          </cell>
          <cell r="BB24">
            <v>0</v>
          </cell>
          <cell r="BC24">
            <v>0</v>
          </cell>
          <cell r="BD24">
            <v>0</v>
          </cell>
          <cell r="BE24" t="str">
            <v>D</v>
          </cell>
          <cell r="BF24">
            <v>0</v>
          </cell>
          <cell r="BG24" t="str">
            <v>D</v>
          </cell>
          <cell r="BH24">
            <v>0</v>
          </cell>
          <cell r="BI24" t="str">
            <v>D</v>
          </cell>
          <cell r="BJ24">
            <v>0</v>
          </cell>
          <cell r="BK24" t="str">
            <v>D</v>
          </cell>
          <cell r="BL24">
            <v>0</v>
          </cell>
          <cell r="BM24" t="str">
            <v>D</v>
          </cell>
          <cell r="BN24">
            <v>0</v>
          </cell>
          <cell r="BO24" t="str">
            <v>D</v>
          </cell>
          <cell r="BP24">
            <v>0</v>
          </cell>
          <cell r="BQ24">
            <v>0</v>
          </cell>
          <cell r="BR24">
            <v>24.5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2</v>
          </cell>
          <cell r="BY24">
            <v>0.5</v>
          </cell>
          <cell r="BZ24">
            <v>27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7.5</v>
          </cell>
          <cell r="CH24">
            <v>0</v>
          </cell>
          <cell r="CI24">
            <v>0</v>
          </cell>
        </row>
        <row r="25">
          <cell r="A25" t="str">
            <v>A046</v>
          </cell>
          <cell r="B25" t="str">
            <v>Lê Văn Hà</v>
          </cell>
          <cell r="C25" t="str">
            <v>CII.1</v>
          </cell>
          <cell r="D25">
            <v>0</v>
          </cell>
          <cell r="E25">
            <v>39910</v>
          </cell>
          <cell r="F25">
            <v>0</v>
          </cell>
          <cell r="G25" t="str">
            <v>C</v>
          </cell>
          <cell r="H25">
            <v>4</v>
          </cell>
          <cell r="I25" t="str">
            <v>C</v>
          </cell>
          <cell r="J25">
            <v>4</v>
          </cell>
          <cell r="K25" t="str">
            <v>HH</v>
          </cell>
          <cell r="L25">
            <v>0</v>
          </cell>
          <cell r="M25">
            <v>0</v>
          </cell>
          <cell r="N25">
            <v>11</v>
          </cell>
          <cell r="O25" t="str">
            <v>A</v>
          </cell>
          <cell r="P25">
            <v>4</v>
          </cell>
          <cell r="Q25" t="str">
            <v>A</v>
          </cell>
          <cell r="R25">
            <v>4</v>
          </cell>
          <cell r="S25" t="str">
            <v>A</v>
          </cell>
          <cell r="T25">
            <v>4</v>
          </cell>
          <cell r="U25" t="str">
            <v>NT7</v>
          </cell>
          <cell r="V25">
            <v>0</v>
          </cell>
          <cell r="W25" t="str">
            <v>A</v>
          </cell>
          <cell r="X25">
            <v>4</v>
          </cell>
          <cell r="Y25" t="str">
            <v>D</v>
          </cell>
          <cell r="Z25">
            <v>1</v>
          </cell>
          <cell r="AA25">
            <v>0</v>
          </cell>
          <cell r="AB25">
            <v>0</v>
          </cell>
          <cell r="AC25" t="str">
            <v>C</v>
          </cell>
          <cell r="AD25">
            <v>4</v>
          </cell>
          <cell r="AE25" t="str">
            <v>C</v>
          </cell>
          <cell r="AF25">
            <v>4</v>
          </cell>
          <cell r="AG25" t="str">
            <v>C</v>
          </cell>
          <cell r="AH25">
            <v>4</v>
          </cell>
          <cell r="AI25" t="str">
            <v>C</v>
          </cell>
          <cell r="AJ25">
            <v>4</v>
          </cell>
          <cell r="AK25" t="str">
            <v>C</v>
          </cell>
          <cell r="AL25">
            <v>4</v>
          </cell>
          <cell r="AM25" t="str">
            <v>P</v>
          </cell>
          <cell r="AN25">
            <v>0</v>
          </cell>
          <cell r="AO25">
            <v>0</v>
          </cell>
          <cell r="AP25">
            <v>0</v>
          </cell>
          <cell r="AQ25" t="str">
            <v>A</v>
          </cell>
          <cell r="AR25">
            <v>4</v>
          </cell>
          <cell r="AS25" t="str">
            <v>A</v>
          </cell>
          <cell r="AT25">
            <v>4</v>
          </cell>
          <cell r="AU25" t="str">
            <v>A</v>
          </cell>
          <cell r="AV25">
            <v>4</v>
          </cell>
          <cell r="AW25" t="str">
            <v>A</v>
          </cell>
          <cell r="AX25">
            <v>4</v>
          </cell>
          <cell r="AY25" t="str">
            <v>A</v>
          </cell>
          <cell r="AZ25">
            <v>4</v>
          </cell>
          <cell r="BA25" t="str">
            <v>D</v>
          </cell>
          <cell r="BB25">
            <v>0</v>
          </cell>
          <cell r="BC25">
            <v>0</v>
          </cell>
          <cell r="BD25">
            <v>0</v>
          </cell>
          <cell r="BE25" t="str">
            <v>C</v>
          </cell>
          <cell r="BF25">
            <v>4</v>
          </cell>
          <cell r="BG25" t="str">
            <v>C</v>
          </cell>
          <cell r="BH25">
            <v>4</v>
          </cell>
          <cell r="BI25" t="str">
            <v>C</v>
          </cell>
          <cell r="BJ25">
            <v>4</v>
          </cell>
          <cell r="BK25" t="str">
            <v>C</v>
          </cell>
          <cell r="BL25">
            <v>4</v>
          </cell>
          <cell r="BM25" t="str">
            <v>C</v>
          </cell>
          <cell r="BN25">
            <v>4</v>
          </cell>
          <cell r="BO25" t="str">
            <v>NT7</v>
          </cell>
          <cell r="BP25">
            <v>0</v>
          </cell>
          <cell r="BQ25">
            <v>9</v>
          </cell>
          <cell r="BR25">
            <v>2</v>
          </cell>
          <cell r="BS25">
            <v>0</v>
          </cell>
          <cell r="BT25">
            <v>12</v>
          </cell>
          <cell r="BU25">
            <v>0</v>
          </cell>
          <cell r="BV25">
            <v>0</v>
          </cell>
          <cell r="BW25">
            <v>1</v>
          </cell>
          <cell r="BX25">
            <v>2</v>
          </cell>
          <cell r="BY25">
            <v>1</v>
          </cell>
          <cell r="BZ25">
            <v>27</v>
          </cell>
          <cell r="CA25">
            <v>85</v>
          </cell>
          <cell r="CB25">
            <v>11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70</v>
          </cell>
        </row>
        <row r="26">
          <cell r="A26" t="str">
            <v>A049</v>
          </cell>
          <cell r="B26" t="str">
            <v>Phạm Tấn Việt</v>
          </cell>
          <cell r="C26" t="str">
            <v>CI.1</v>
          </cell>
          <cell r="D26">
            <v>0</v>
          </cell>
          <cell r="E26">
            <v>39916</v>
          </cell>
          <cell r="F26">
            <v>8</v>
          </cell>
          <cell r="G26" t="str">
            <v>C</v>
          </cell>
          <cell r="H26">
            <v>4</v>
          </cell>
          <cell r="I26" t="str">
            <v>C</v>
          </cell>
          <cell r="J26">
            <v>4</v>
          </cell>
          <cell r="K26" t="str">
            <v>C</v>
          </cell>
          <cell r="L26">
            <v>4</v>
          </cell>
          <cell r="M26">
            <v>0</v>
          </cell>
          <cell r="N26">
            <v>0</v>
          </cell>
          <cell r="O26" t="str">
            <v>A</v>
          </cell>
          <cell r="P26">
            <v>4</v>
          </cell>
          <cell r="Q26" t="str">
            <v>A</v>
          </cell>
          <cell r="R26">
            <v>4</v>
          </cell>
          <cell r="S26" t="str">
            <v>A</v>
          </cell>
          <cell r="T26">
            <v>4</v>
          </cell>
          <cell r="U26" t="str">
            <v>A</v>
          </cell>
          <cell r="V26">
            <v>4</v>
          </cell>
          <cell r="W26" t="str">
            <v>A</v>
          </cell>
          <cell r="X26">
            <v>4</v>
          </cell>
          <cell r="Y26" t="str">
            <v>A</v>
          </cell>
          <cell r="Z26">
            <v>4</v>
          </cell>
          <cell r="AA26">
            <v>0</v>
          </cell>
          <cell r="AB26">
            <v>0</v>
          </cell>
          <cell r="AC26" t="str">
            <v>HH</v>
          </cell>
          <cell r="AD26">
            <v>0</v>
          </cell>
          <cell r="AE26" t="str">
            <v>C</v>
          </cell>
          <cell r="AF26">
            <v>4</v>
          </cell>
          <cell r="AG26" t="str">
            <v>C</v>
          </cell>
          <cell r="AH26">
            <v>4</v>
          </cell>
          <cell r="AI26" t="str">
            <v>C</v>
          </cell>
          <cell r="AJ26">
            <v>4</v>
          </cell>
          <cell r="AK26" t="str">
            <v>C</v>
          </cell>
          <cell r="AL26">
            <v>4</v>
          </cell>
          <cell r="AM26" t="str">
            <v>C</v>
          </cell>
          <cell r="AN26">
            <v>4</v>
          </cell>
          <cell r="AO26">
            <v>0</v>
          </cell>
          <cell r="AP26">
            <v>0</v>
          </cell>
          <cell r="AQ26" t="str">
            <v>D</v>
          </cell>
          <cell r="AR26">
            <v>1</v>
          </cell>
          <cell r="AS26" t="str">
            <v>D</v>
          </cell>
          <cell r="AT26">
            <v>0</v>
          </cell>
          <cell r="AU26" t="str">
            <v>D</v>
          </cell>
          <cell r="AV26">
            <v>3</v>
          </cell>
          <cell r="AW26" t="str">
            <v>D</v>
          </cell>
          <cell r="AX26">
            <v>1</v>
          </cell>
          <cell r="AY26" t="str">
            <v>A</v>
          </cell>
          <cell r="AZ26">
            <v>4</v>
          </cell>
          <cell r="BA26" t="str">
            <v>A</v>
          </cell>
          <cell r="BB26">
            <v>4</v>
          </cell>
          <cell r="BC26">
            <v>0</v>
          </cell>
          <cell r="BD26">
            <v>16</v>
          </cell>
          <cell r="BE26" t="str">
            <v>C</v>
          </cell>
          <cell r="BF26">
            <v>4</v>
          </cell>
          <cell r="BG26" t="str">
            <v>C</v>
          </cell>
          <cell r="BH26">
            <v>4</v>
          </cell>
          <cell r="BI26" t="str">
            <v>C</v>
          </cell>
          <cell r="BJ26">
            <v>4</v>
          </cell>
          <cell r="BK26" t="str">
            <v>C</v>
          </cell>
          <cell r="BL26">
            <v>4</v>
          </cell>
          <cell r="BM26" t="str">
            <v>C</v>
          </cell>
          <cell r="BN26">
            <v>4</v>
          </cell>
          <cell r="BO26" t="str">
            <v>HH</v>
          </cell>
          <cell r="BP26">
            <v>0</v>
          </cell>
          <cell r="BQ26">
            <v>8</v>
          </cell>
          <cell r="BR26">
            <v>4</v>
          </cell>
          <cell r="BS26">
            <v>0</v>
          </cell>
          <cell r="BT26">
            <v>13</v>
          </cell>
          <cell r="BU26">
            <v>0</v>
          </cell>
          <cell r="BV26">
            <v>0</v>
          </cell>
          <cell r="BW26">
            <v>2</v>
          </cell>
          <cell r="BX26">
            <v>0</v>
          </cell>
          <cell r="BY26">
            <v>0</v>
          </cell>
          <cell r="BZ26">
            <v>27</v>
          </cell>
          <cell r="CA26">
            <v>89</v>
          </cell>
          <cell r="CB26">
            <v>16</v>
          </cell>
          <cell r="CC26">
            <v>0</v>
          </cell>
          <cell r="CD26">
            <v>2</v>
          </cell>
          <cell r="CE26">
            <v>1</v>
          </cell>
          <cell r="CF26">
            <v>140</v>
          </cell>
          <cell r="CG26">
            <v>9</v>
          </cell>
          <cell r="CH26">
            <v>16</v>
          </cell>
          <cell r="CI26">
            <v>70</v>
          </cell>
        </row>
        <row r="27">
          <cell r="A27" t="str">
            <v>A055</v>
          </cell>
          <cell r="B27" t="str">
            <v>Nguyễn Thị Dung Em</v>
          </cell>
          <cell r="C27" t="str">
            <v>CI.1</v>
          </cell>
          <cell r="D27">
            <v>0</v>
          </cell>
          <cell r="E27">
            <v>39951</v>
          </cell>
          <cell r="F27">
            <v>8.5</v>
          </cell>
          <cell r="G27" t="str">
            <v>C</v>
          </cell>
          <cell r="H27">
            <v>4</v>
          </cell>
          <cell r="I27" t="str">
            <v>C</v>
          </cell>
          <cell r="J27">
            <v>4</v>
          </cell>
          <cell r="K27" t="str">
            <v>C</v>
          </cell>
          <cell r="L27">
            <v>4</v>
          </cell>
          <cell r="M27">
            <v>0</v>
          </cell>
          <cell r="N27">
            <v>0</v>
          </cell>
          <cell r="O27" t="str">
            <v>A</v>
          </cell>
          <cell r="P27">
            <v>4</v>
          </cell>
          <cell r="Q27" t="str">
            <v>A</v>
          </cell>
          <cell r="R27">
            <v>4</v>
          </cell>
          <cell r="S27" t="str">
            <v>A</v>
          </cell>
          <cell r="T27">
            <v>4</v>
          </cell>
          <cell r="U27" t="str">
            <v>A</v>
          </cell>
          <cell r="V27">
            <v>4</v>
          </cell>
          <cell r="W27" t="str">
            <v>A</v>
          </cell>
          <cell r="X27">
            <v>4</v>
          </cell>
          <cell r="Y27" t="str">
            <v>A</v>
          </cell>
          <cell r="Z27">
            <v>4</v>
          </cell>
          <cell r="AA27">
            <v>0</v>
          </cell>
          <cell r="AB27">
            <v>0</v>
          </cell>
          <cell r="AC27" t="str">
            <v>HH</v>
          </cell>
          <cell r="AD27">
            <v>0</v>
          </cell>
          <cell r="AE27" t="str">
            <v>C</v>
          </cell>
          <cell r="AF27">
            <v>4</v>
          </cell>
          <cell r="AG27" t="str">
            <v>C</v>
          </cell>
          <cell r="AH27">
            <v>4</v>
          </cell>
          <cell r="AI27" t="str">
            <v>C</v>
          </cell>
          <cell r="AJ27">
            <v>4</v>
          </cell>
          <cell r="AK27" t="str">
            <v>C</v>
          </cell>
          <cell r="AL27">
            <v>4</v>
          </cell>
          <cell r="AM27" t="str">
            <v>C</v>
          </cell>
          <cell r="AN27">
            <v>4</v>
          </cell>
          <cell r="AO27">
            <v>0</v>
          </cell>
          <cell r="AP27">
            <v>0</v>
          </cell>
          <cell r="AQ27" t="str">
            <v>D</v>
          </cell>
          <cell r="AR27">
            <v>0</v>
          </cell>
          <cell r="AS27" t="str">
            <v>D</v>
          </cell>
          <cell r="AT27">
            <v>0</v>
          </cell>
          <cell r="AU27" t="str">
            <v>A</v>
          </cell>
          <cell r="AV27">
            <v>4</v>
          </cell>
          <cell r="AW27" t="str">
            <v>D</v>
          </cell>
          <cell r="AX27">
            <v>1</v>
          </cell>
          <cell r="AY27" t="str">
            <v>A</v>
          </cell>
          <cell r="AZ27">
            <v>4</v>
          </cell>
          <cell r="BA27" t="str">
            <v>A</v>
          </cell>
          <cell r="BB27">
            <v>4</v>
          </cell>
          <cell r="BC27">
            <v>0</v>
          </cell>
          <cell r="BD27">
            <v>16</v>
          </cell>
          <cell r="BE27" t="str">
            <v>C</v>
          </cell>
          <cell r="BF27">
            <v>4</v>
          </cell>
          <cell r="BG27" t="str">
            <v>C</v>
          </cell>
          <cell r="BH27">
            <v>4</v>
          </cell>
          <cell r="BI27" t="str">
            <v>C</v>
          </cell>
          <cell r="BJ27">
            <v>4</v>
          </cell>
          <cell r="BK27" t="str">
            <v>C</v>
          </cell>
          <cell r="BL27">
            <v>4</v>
          </cell>
          <cell r="BM27" t="str">
            <v>C</v>
          </cell>
          <cell r="BN27">
            <v>4</v>
          </cell>
          <cell r="BO27" t="str">
            <v>HH</v>
          </cell>
          <cell r="BP27">
            <v>0</v>
          </cell>
          <cell r="BQ27">
            <v>9</v>
          </cell>
          <cell r="BR27">
            <v>3</v>
          </cell>
          <cell r="BS27">
            <v>0</v>
          </cell>
          <cell r="BT27">
            <v>13</v>
          </cell>
          <cell r="BU27">
            <v>0</v>
          </cell>
          <cell r="BV27">
            <v>0</v>
          </cell>
          <cell r="BW27">
            <v>2</v>
          </cell>
          <cell r="BX27">
            <v>0</v>
          </cell>
          <cell r="BY27">
            <v>0</v>
          </cell>
          <cell r="BZ27">
            <v>27</v>
          </cell>
          <cell r="CA27">
            <v>89</v>
          </cell>
          <cell r="CB27">
            <v>16</v>
          </cell>
          <cell r="CC27">
            <v>0</v>
          </cell>
          <cell r="CD27">
            <v>2</v>
          </cell>
          <cell r="CE27">
            <v>0</v>
          </cell>
          <cell r="CF27">
            <v>140</v>
          </cell>
          <cell r="CG27">
            <v>9.5</v>
          </cell>
          <cell r="CH27">
            <v>0</v>
          </cell>
          <cell r="CI27">
            <v>70</v>
          </cell>
        </row>
        <row r="28">
          <cell r="A28" t="str">
            <v>A059</v>
          </cell>
          <cell r="B28" t="str">
            <v>Ngô Nhật Thanh</v>
          </cell>
          <cell r="C28" t="str">
            <v>CII.1</v>
          </cell>
          <cell r="D28">
            <v>0</v>
          </cell>
          <cell r="E28">
            <v>39968</v>
          </cell>
          <cell r="F28">
            <v>7</v>
          </cell>
          <cell r="G28" t="str">
            <v>C</v>
          </cell>
          <cell r="H28">
            <v>4</v>
          </cell>
          <cell r="I28" t="str">
            <v>C</v>
          </cell>
          <cell r="J28">
            <v>4</v>
          </cell>
          <cell r="K28" t="str">
            <v>HH</v>
          </cell>
          <cell r="L28">
            <v>0</v>
          </cell>
          <cell r="M28">
            <v>0</v>
          </cell>
          <cell r="N28">
            <v>0</v>
          </cell>
          <cell r="O28" t="str">
            <v>A</v>
          </cell>
          <cell r="P28">
            <v>4</v>
          </cell>
          <cell r="Q28" t="str">
            <v>A</v>
          </cell>
          <cell r="R28">
            <v>4</v>
          </cell>
          <cell r="S28" t="str">
            <v>A</v>
          </cell>
          <cell r="T28">
            <v>4</v>
          </cell>
          <cell r="U28" t="str">
            <v>A</v>
          </cell>
          <cell r="V28">
            <v>4</v>
          </cell>
          <cell r="W28" t="str">
            <v>A</v>
          </cell>
          <cell r="X28">
            <v>4</v>
          </cell>
          <cell r="Y28" t="str">
            <v>D</v>
          </cell>
          <cell r="Z28">
            <v>2</v>
          </cell>
          <cell r="AA28">
            <v>0</v>
          </cell>
          <cell r="AB28">
            <v>12</v>
          </cell>
          <cell r="AC28" t="str">
            <v>C</v>
          </cell>
          <cell r="AD28">
            <v>4</v>
          </cell>
          <cell r="AE28" t="str">
            <v>C</v>
          </cell>
          <cell r="AF28">
            <v>4</v>
          </cell>
          <cell r="AG28" t="str">
            <v>C</v>
          </cell>
          <cell r="AH28">
            <v>4</v>
          </cell>
          <cell r="AI28" t="str">
            <v>C</v>
          </cell>
          <cell r="AJ28">
            <v>4</v>
          </cell>
          <cell r="AK28" t="str">
            <v>C</v>
          </cell>
          <cell r="AL28">
            <v>4</v>
          </cell>
          <cell r="AM28" t="str">
            <v>P</v>
          </cell>
          <cell r="AN28">
            <v>0</v>
          </cell>
          <cell r="AO28">
            <v>0</v>
          </cell>
          <cell r="AP28">
            <v>0</v>
          </cell>
          <cell r="AQ28" t="str">
            <v>A</v>
          </cell>
          <cell r="AR28">
            <v>4</v>
          </cell>
          <cell r="AS28" t="str">
            <v>A</v>
          </cell>
          <cell r="AT28">
            <v>4</v>
          </cell>
          <cell r="AU28" t="str">
            <v>A</v>
          </cell>
          <cell r="AV28">
            <v>4</v>
          </cell>
          <cell r="AW28" t="str">
            <v>A</v>
          </cell>
          <cell r="AX28">
            <v>4</v>
          </cell>
          <cell r="AY28" t="str">
            <v>D</v>
          </cell>
          <cell r="AZ28">
            <v>0</v>
          </cell>
          <cell r="BA28" t="str">
            <v>NT7</v>
          </cell>
          <cell r="BB28">
            <v>0</v>
          </cell>
          <cell r="BC28">
            <v>0</v>
          </cell>
          <cell r="BD28">
            <v>0</v>
          </cell>
          <cell r="BE28" t="str">
            <v>C</v>
          </cell>
          <cell r="BF28">
            <v>4</v>
          </cell>
          <cell r="BG28" t="str">
            <v>C</v>
          </cell>
          <cell r="BH28">
            <v>4</v>
          </cell>
          <cell r="BI28" t="str">
            <v>C</v>
          </cell>
          <cell r="BJ28">
            <v>4</v>
          </cell>
          <cell r="BK28" t="str">
            <v>C</v>
          </cell>
          <cell r="BL28">
            <v>4</v>
          </cell>
          <cell r="BM28" t="str">
            <v>C</v>
          </cell>
          <cell r="BN28">
            <v>4</v>
          </cell>
          <cell r="BO28" t="str">
            <v>NT7</v>
          </cell>
          <cell r="BP28">
            <v>0</v>
          </cell>
          <cell r="BQ28">
            <v>9</v>
          </cell>
          <cell r="BR28">
            <v>2</v>
          </cell>
          <cell r="BS28">
            <v>0</v>
          </cell>
          <cell r="BT28">
            <v>12</v>
          </cell>
          <cell r="BU28">
            <v>0</v>
          </cell>
          <cell r="BV28">
            <v>0</v>
          </cell>
          <cell r="BW28">
            <v>1</v>
          </cell>
          <cell r="BX28">
            <v>2</v>
          </cell>
          <cell r="BY28">
            <v>1</v>
          </cell>
          <cell r="BZ28">
            <v>27</v>
          </cell>
          <cell r="CA28">
            <v>86</v>
          </cell>
          <cell r="CB28">
            <v>12</v>
          </cell>
          <cell r="CC28">
            <v>0</v>
          </cell>
          <cell r="CD28">
            <v>0</v>
          </cell>
          <cell r="CE28">
            <v>2</v>
          </cell>
          <cell r="CF28">
            <v>0</v>
          </cell>
          <cell r="CG28">
            <v>7</v>
          </cell>
          <cell r="CH28">
            <v>32</v>
          </cell>
          <cell r="CI28">
            <v>70</v>
          </cell>
        </row>
        <row r="29">
          <cell r="A29" t="str">
            <v>A061</v>
          </cell>
          <cell r="B29" t="str">
            <v>Đỗ Thị Thanh Thảo</v>
          </cell>
          <cell r="C29" t="str">
            <v>QCX</v>
          </cell>
          <cell r="D29">
            <v>0</v>
          </cell>
          <cell r="E29">
            <v>39969</v>
          </cell>
          <cell r="F29">
            <v>4</v>
          </cell>
          <cell r="G29" t="str">
            <v>D</v>
          </cell>
          <cell r="H29">
            <v>3</v>
          </cell>
          <cell r="I29" t="str">
            <v>NT7</v>
          </cell>
          <cell r="J29">
            <v>0</v>
          </cell>
          <cell r="K29" t="str">
            <v>D</v>
          </cell>
          <cell r="L29">
            <v>1</v>
          </cell>
          <cell r="M29">
            <v>0</v>
          </cell>
          <cell r="N29">
            <v>8</v>
          </cell>
          <cell r="O29" t="str">
            <v>A</v>
          </cell>
          <cell r="P29">
            <v>4</v>
          </cell>
          <cell r="Q29" t="str">
            <v>A</v>
          </cell>
          <cell r="R29">
            <v>4</v>
          </cell>
          <cell r="S29" t="str">
            <v>A</v>
          </cell>
          <cell r="T29">
            <v>4</v>
          </cell>
          <cell r="U29" t="str">
            <v>D</v>
          </cell>
          <cell r="V29">
            <v>2</v>
          </cell>
          <cell r="W29" t="str">
            <v>A</v>
          </cell>
          <cell r="X29">
            <v>4</v>
          </cell>
          <cell r="Y29" t="str">
            <v>A</v>
          </cell>
          <cell r="Z29">
            <v>4</v>
          </cell>
          <cell r="AA29">
            <v>0</v>
          </cell>
          <cell r="AB29">
            <v>0</v>
          </cell>
          <cell r="AC29" t="str">
            <v>A</v>
          </cell>
          <cell r="AD29">
            <v>4</v>
          </cell>
          <cell r="AE29" t="str">
            <v>A</v>
          </cell>
          <cell r="AF29">
            <v>4</v>
          </cell>
          <cell r="AG29" t="str">
            <v>A</v>
          </cell>
          <cell r="AH29">
            <v>4</v>
          </cell>
          <cell r="AI29" t="str">
            <v>A</v>
          </cell>
          <cell r="AJ29">
            <v>4</v>
          </cell>
          <cell r="AK29" t="str">
            <v>A</v>
          </cell>
          <cell r="AL29">
            <v>4</v>
          </cell>
          <cell r="AM29" t="str">
            <v>D</v>
          </cell>
          <cell r="AN29">
            <v>0</v>
          </cell>
          <cell r="AO29">
            <v>0</v>
          </cell>
          <cell r="AP29">
            <v>0</v>
          </cell>
          <cell r="AQ29" t="str">
            <v>A</v>
          </cell>
          <cell r="AR29">
            <v>4</v>
          </cell>
          <cell r="AS29" t="str">
            <v>D</v>
          </cell>
          <cell r="AT29">
            <v>0</v>
          </cell>
          <cell r="AU29" t="str">
            <v>A</v>
          </cell>
          <cell r="AV29">
            <v>4</v>
          </cell>
          <cell r="AW29" t="str">
            <v>A</v>
          </cell>
          <cell r="AX29">
            <v>4</v>
          </cell>
          <cell r="AY29" t="str">
            <v>A</v>
          </cell>
          <cell r="AZ29">
            <v>4</v>
          </cell>
          <cell r="BA29" t="str">
            <v>D</v>
          </cell>
          <cell r="BB29">
            <v>0</v>
          </cell>
          <cell r="BC29">
            <v>0</v>
          </cell>
          <cell r="BD29">
            <v>0</v>
          </cell>
          <cell r="BE29" t="str">
            <v>NT7</v>
          </cell>
          <cell r="BF29">
            <v>0</v>
          </cell>
          <cell r="BG29" t="str">
            <v>D</v>
          </cell>
          <cell r="BH29">
            <v>3</v>
          </cell>
          <cell r="BI29" t="str">
            <v>D</v>
          </cell>
          <cell r="BJ29">
            <v>3</v>
          </cell>
          <cell r="BK29" t="str">
            <v>D</v>
          </cell>
          <cell r="BL29">
            <v>3</v>
          </cell>
          <cell r="BM29" t="str">
            <v>D</v>
          </cell>
          <cell r="BN29">
            <v>3</v>
          </cell>
          <cell r="BO29" t="str">
            <v>D</v>
          </cell>
          <cell r="BP29">
            <v>2</v>
          </cell>
          <cell r="BQ29">
            <v>14</v>
          </cell>
          <cell r="BR29">
            <v>11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2</v>
          </cell>
          <cell r="BY29">
            <v>0</v>
          </cell>
          <cell r="BZ29">
            <v>27</v>
          </cell>
          <cell r="CA29">
            <v>76</v>
          </cell>
          <cell r="CB29">
            <v>8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5</v>
          </cell>
          <cell r="CH29">
            <v>0</v>
          </cell>
          <cell r="CI29">
            <v>70</v>
          </cell>
        </row>
        <row r="30">
          <cell r="A30" t="str">
            <v>A063</v>
          </cell>
          <cell r="B30" t="str">
            <v>Nguyễn Thị Liễu</v>
          </cell>
          <cell r="C30" t="str">
            <v>EN</v>
          </cell>
          <cell r="D30">
            <v>0</v>
          </cell>
          <cell r="E30">
            <v>39998</v>
          </cell>
          <cell r="F30">
            <v>4.5</v>
          </cell>
          <cell r="G30" t="str">
            <v>A</v>
          </cell>
          <cell r="H30">
            <v>4</v>
          </cell>
          <cell r="I30" t="str">
            <v>A</v>
          </cell>
          <cell r="J30">
            <v>4</v>
          </cell>
          <cell r="K30" t="str">
            <v>A</v>
          </cell>
          <cell r="L30">
            <v>4</v>
          </cell>
          <cell r="M30">
            <v>0</v>
          </cell>
          <cell r="N30">
            <v>8</v>
          </cell>
          <cell r="O30" t="str">
            <v>C</v>
          </cell>
          <cell r="P30">
            <v>4</v>
          </cell>
          <cell r="Q30" t="str">
            <v>C</v>
          </cell>
          <cell r="R30">
            <v>4</v>
          </cell>
          <cell r="S30" t="str">
            <v>C</v>
          </cell>
          <cell r="T30">
            <v>4</v>
          </cell>
          <cell r="U30" t="str">
            <v>C</v>
          </cell>
          <cell r="V30">
            <v>4</v>
          </cell>
          <cell r="W30" t="str">
            <v>C</v>
          </cell>
          <cell r="X30">
            <v>4</v>
          </cell>
          <cell r="Y30" t="str">
            <v>C</v>
          </cell>
          <cell r="Z30">
            <v>4</v>
          </cell>
          <cell r="AA30">
            <v>0</v>
          </cell>
          <cell r="AB30">
            <v>0</v>
          </cell>
          <cell r="AC30" t="str">
            <v>A</v>
          </cell>
          <cell r="AD30">
            <v>6</v>
          </cell>
          <cell r="AE30" t="str">
            <v>A</v>
          </cell>
          <cell r="AF30">
            <v>4</v>
          </cell>
          <cell r="AG30" t="str">
            <v>A</v>
          </cell>
          <cell r="AH30">
            <v>4</v>
          </cell>
          <cell r="AI30" t="str">
            <v>A</v>
          </cell>
          <cell r="AJ30">
            <v>4</v>
          </cell>
          <cell r="AK30" t="str">
            <v>A</v>
          </cell>
          <cell r="AL30">
            <v>4</v>
          </cell>
          <cell r="AM30" t="str">
            <v>A</v>
          </cell>
          <cell r="AN30">
            <v>4</v>
          </cell>
          <cell r="AO30">
            <v>0</v>
          </cell>
          <cell r="AP30">
            <v>15</v>
          </cell>
          <cell r="AQ30" t="str">
            <v>C</v>
          </cell>
          <cell r="AR30">
            <v>4</v>
          </cell>
          <cell r="AS30" t="str">
            <v>C</v>
          </cell>
          <cell r="AT30">
            <v>4</v>
          </cell>
          <cell r="AU30" t="str">
            <v>C</v>
          </cell>
          <cell r="AV30">
            <v>4</v>
          </cell>
          <cell r="AW30" t="str">
            <v>C</v>
          </cell>
          <cell r="AX30">
            <v>4</v>
          </cell>
          <cell r="AY30" t="str">
            <v>C</v>
          </cell>
          <cell r="AZ30">
            <v>4</v>
          </cell>
          <cell r="BA30" t="str">
            <v>NT7</v>
          </cell>
          <cell r="BB30">
            <v>0</v>
          </cell>
          <cell r="BC30">
            <v>0</v>
          </cell>
          <cell r="BD30">
            <v>0</v>
          </cell>
          <cell r="BE30" t="str">
            <v>A</v>
          </cell>
          <cell r="BF30">
            <v>4</v>
          </cell>
          <cell r="BG30" t="str">
            <v>A</v>
          </cell>
          <cell r="BH30">
            <v>4</v>
          </cell>
          <cell r="BI30" t="str">
            <v>A</v>
          </cell>
          <cell r="BJ30">
            <v>4</v>
          </cell>
          <cell r="BK30" t="str">
            <v>A</v>
          </cell>
          <cell r="BL30">
            <v>4</v>
          </cell>
          <cell r="BM30" t="str">
            <v>A</v>
          </cell>
          <cell r="BN30">
            <v>4</v>
          </cell>
          <cell r="BO30" t="str">
            <v>A</v>
          </cell>
          <cell r="BP30">
            <v>4</v>
          </cell>
          <cell r="BQ30">
            <v>15</v>
          </cell>
          <cell r="BR30">
            <v>0</v>
          </cell>
          <cell r="BS30">
            <v>0</v>
          </cell>
          <cell r="BT30">
            <v>11</v>
          </cell>
          <cell r="BU30">
            <v>0</v>
          </cell>
          <cell r="BV30">
            <v>0</v>
          </cell>
          <cell r="BW30">
            <v>0</v>
          </cell>
          <cell r="BX30">
            <v>1</v>
          </cell>
          <cell r="BY30">
            <v>0</v>
          </cell>
          <cell r="BZ30">
            <v>27</v>
          </cell>
          <cell r="CA30">
            <v>106</v>
          </cell>
          <cell r="CB30">
            <v>23</v>
          </cell>
          <cell r="CC30">
            <v>0</v>
          </cell>
          <cell r="CD30">
            <v>1</v>
          </cell>
          <cell r="CE30">
            <v>1</v>
          </cell>
          <cell r="CF30">
            <v>70</v>
          </cell>
          <cell r="CG30">
            <v>5.5</v>
          </cell>
          <cell r="CH30">
            <v>16</v>
          </cell>
          <cell r="CI30">
            <v>70</v>
          </cell>
        </row>
        <row r="31">
          <cell r="A31" t="str">
            <v>A068</v>
          </cell>
          <cell r="B31" t="str">
            <v>Nguyễn Văn PhúcCD</v>
          </cell>
          <cell r="C31" t="str">
            <v>CD</v>
          </cell>
          <cell r="D31">
            <v>0</v>
          </cell>
          <cell r="E31">
            <v>40063</v>
          </cell>
          <cell r="F31">
            <v>10</v>
          </cell>
          <cell r="G31" t="str">
            <v>D</v>
          </cell>
          <cell r="H31">
            <v>3</v>
          </cell>
          <cell r="I31" t="str">
            <v>D</v>
          </cell>
          <cell r="J31">
            <v>3</v>
          </cell>
          <cell r="K31" t="str">
            <v>D</v>
          </cell>
          <cell r="L31">
            <v>3</v>
          </cell>
          <cell r="M31">
            <v>0</v>
          </cell>
          <cell r="N31">
            <v>11</v>
          </cell>
          <cell r="O31" t="str">
            <v>NT7</v>
          </cell>
          <cell r="P31">
            <v>0</v>
          </cell>
          <cell r="Q31" t="str">
            <v>D</v>
          </cell>
          <cell r="R31">
            <v>3</v>
          </cell>
          <cell r="S31" t="str">
            <v>D</v>
          </cell>
          <cell r="T31">
            <v>2</v>
          </cell>
          <cell r="U31" t="str">
            <v>P5,D5</v>
          </cell>
          <cell r="V31">
            <v>0</v>
          </cell>
          <cell r="W31" t="str">
            <v>D</v>
          </cell>
          <cell r="X31">
            <v>3</v>
          </cell>
          <cell r="Y31" t="str">
            <v>D</v>
          </cell>
          <cell r="Z31">
            <v>3</v>
          </cell>
          <cell r="AA31">
            <v>0</v>
          </cell>
          <cell r="AB31">
            <v>12</v>
          </cell>
          <cell r="AC31" t="str">
            <v>D</v>
          </cell>
          <cell r="AD31">
            <v>1</v>
          </cell>
          <cell r="AE31" t="str">
            <v>D</v>
          </cell>
          <cell r="AF31">
            <v>3</v>
          </cell>
          <cell r="AG31" t="str">
            <v>D</v>
          </cell>
          <cell r="AH31">
            <v>3</v>
          </cell>
          <cell r="AI31" t="str">
            <v>D</v>
          </cell>
          <cell r="AJ31">
            <v>3</v>
          </cell>
          <cell r="AK31" t="str">
            <v>D</v>
          </cell>
          <cell r="AL31">
            <v>3</v>
          </cell>
          <cell r="AM31" t="str">
            <v>D</v>
          </cell>
          <cell r="AN31">
            <v>3</v>
          </cell>
          <cell r="AO31">
            <v>0</v>
          </cell>
          <cell r="AP31">
            <v>11</v>
          </cell>
          <cell r="AQ31" t="str">
            <v>D</v>
          </cell>
          <cell r="AR31">
            <v>3</v>
          </cell>
          <cell r="AS31" t="str">
            <v>D</v>
          </cell>
          <cell r="AT31">
            <v>3</v>
          </cell>
          <cell r="AU31" t="str">
            <v>D</v>
          </cell>
          <cell r="AV31">
            <v>3</v>
          </cell>
          <cell r="AW31" t="str">
            <v>D</v>
          </cell>
          <cell r="AX31">
            <v>3</v>
          </cell>
          <cell r="AY31" t="str">
            <v>D</v>
          </cell>
          <cell r="AZ31">
            <v>2</v>
          </cell>
          <cell r="BA31" t="str">
            <v>D</v>
          </cell>
          <cell r="BB31">
            <v>2</v>
          </cell>
          <cell r="BC31">
            <v>0</v>
          </cell>
          <cell r="BD31">
            <v>10</v>
          </cell>
          <cell r="BE31" t="str">
            <v>D</v>
          </cell>
          <cell r="BF31">
            <v>3</v>
          </cell>
          <cell r="BG31" t="str">
            <v>D</v>
          </cell>
          <cell r="BH31">
            <v>3</v>
          </cell>
          <cell r="BI31" t="str">
            <v>D</v>
          </cell>
          <cell r="BJ31">
            <v>4</v>
          </cell>
          <cell r="BK31" t="str">
            <v>D</v>
          </cell>
          <cell r="BL31">
            <v>4</v>
          </cell>
          <cell r="BM31" t="str">
            <v>D</v>
          </cell>
          <cell r="BN31">
            <v>3</v>
          </cell>
          <cell r="BO31" t="str">
            <v>D</v>
          </cell>
          <cell r="BP31">
            <v>3</v>
          </cell>
          <cell r="BQ31">
            <v>0</v>
          </cell>
          <cell r="BR31">
            <v>25.5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1</v>
          </cell>
          <cell r="BY31">
            <v>0.5</v>
          </cell>
          <cell r="BZ31">
            <v>27</v>
          </cell>
          <cell r="CA31">
            <v>72</v>
          </cell>
          <cell r="CB31">
            <v>44</v>
          </cell>
          <cell r="CC31">
            <v>0</v>
          </cell>
          <cell r="CD31">
            <v>1</v>
          </cell>
          <cell r="CE31">
            <v>1</v>
          </cell>
          <cell r="CF31">
            <v>150</v>
          </cell>
          <cell r="CG31">
            <v>10.5</v>
          </cell>
          <cell r="CH31">
            <v>16</v>
          </cell>
          <cell r="CI31">
            <v>150</v>
          </cell>
        </row>
        <row r="32">
          <cell r="A32" t="str">
            <v>A080</v>
          </cell>
          <cell r="B32" t="str">
            <v>Trần Minh Thuận</v>
          </cell>
          <cell r="C32" t="str">
            <v>PHOI</v>
          </cell>
          <cell r="D32">
            <v>0</v>
          </cell>
          <cell r="E32">
            <v>40268</v>
          </cell>
          <cell r="F32">
            <v>3.5</v>
          </cell>
          <cell r="G32" t="str">
            <v>A</v>
          </cell>
          <cell r="H32">
            <v>6</v>
          </cell>
          <cell r="I32" t="str">
            <v>D</v>
          </cell>
          <cell r="J32">
            <v>0</v>
          </cell>
          <cell r="K32" t="str">
            <v>A</v>
          </cell>
          <cell r="L32">
            <v>6</v>
          </cell>
          <cell r="M32">
            <v>0</v>
          </cell>
          <cell r="N32">
            <v>12</v>
          </cell>
          <cell r="O32" t="str">
            <v>A</v>
          </cell>
          <cell r="P32">
            <v>6</v>
          </cell>
          <cell r="Q32" t="str">
            <v>A</v>
          </cell>
          <cell r="R32">
            <v>6</v>
          </cell>
          <cell r="S32" t="str">
            <v>A</v>
          </cell>
          <cell r="T32">
            <v>6</v>
          </cell>
          <cell r="U32" t="str">
            <v>A</v>
          </cell>
          <cell r="V32">
            <v>4</v>
          </cell>
          <cell r="W32" t="str">
            <v>A</v>
          </cell>
          <cell r="X32">
            <v>6</v>
          </cell>
          <cell r="Y32" t="str">
            <v>A</v>
          </cell>
          <cell r="Z32">
            <v>6</v>
          </cell>
          <cell r="AA32">
            <v>0</v>
          </cell>
          <cell r="AB32">
            <v>0</v>
          </cell>
          <cell r="AC32" t="str">
            <v>A</v>
          </cell>
          <cell r="AD32">
            <v>6</v>
          </cell>
          <cell r="AE32" t="str">
            <v>A</v>
          </cell>
          <cell r="AF32">
            <v>6</v>
          </cell>
          <cell r="AG32" t="str">
            <v>A</v>
          </cell>
          <cell r="AH32">
            <v>6</v>
          </cell>
          <cell r="AI32" t="str">
            <v>A</v>
          </cell>
          <cell r="AJ32">
            <v>6</v>
          </cell>
          <cell r="AK32" t="str">
            <v>A</v>
          </cell>
          <cell r="AL32">
            <v>6</v>
          </cell>
          <cell r="AM32" t="str">
            <v>A</v>
          </cell>
          <cell r="AN32">
            <v>4</v>
          </cell>
          <cell r="AO32">
            <v>0</v>
          </cell>
          <cell r="AP32">
            <v>0</v>
          </cell>
          <cell r="AQ32" t="str">
            <v>A</v>
          </cell>
          <cell r="AR32">
            <v>6</v>
          </cell>
          <cell r="AS32" t="str">
            <v>A</v>
          </cell>
          <cell r="AT32">
            <v>6</v>
          </cell>
          <cell r="AU32" t="str">
            <v>A</v>
          </cell>
          <cell r="AV32">
            <v>6</v>
          </cell>
          <cell r="AW32" t="str">
            <v>A</v>
          </cell>
          <cell r="AX32">
            <v>6</v>
          </cell>
          <cell r="AY32" t="str">
            <v>A</v>
          </cell>
          <cell r="AZ32">
            <v>6</v>
          </cell>
          <cell r="BA32" t="str">
            <v>A</v>
          </cell>
          <cell r="BB32">
            <v>4</v>
          </cell>
          <cell r="BC32">
            <v>0</v>
          </cell>
          <cell r="BD32">
            <v>12</v>
          </cell>
          <cell r="BE32" t="str">
            <v>A</v>
          </cell>
          <cell r="BF32">
            <v>6</v>
          </cell>
          <cell r="BG32" t="str">
            <v>A</v>
          </cell>
          <cell r="BH32">
            <v>4</v>
          </cell>
          <cell r="BI32" t="str">
            <v>A</v>
          </cell>
          <cell r="BJ32">
            <v>6</v>
          </cell>
          <cell r="BK32" t="str">
            <v>A</v>
          </cell>
          <cell r="BL32">
            <v>4</v>
          </cell>
          <cell r="BM32" t="str">
            <v>A</v>
          </cell>
          <cell r="BN32">
            <v>4</v>
          </cell>
          <cell r="BO32" t="str">
            <v>A</v>
          </cell>
          <cell r="BP32">
            <v>4</v>
          </cell>
          <cell r="BQ32">
            <v>26</v>
          </cell>
          <cell r="BR32">
            <v>1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27</v>
          </cell>
          <cell r="CA32">
            <v>142</v>
          </cell>
          <cell r="CB32">
            <v>24</v>
          </cell>
          <cell r="CC32">
            <v>0</v>
          </cell>
          <cell r="CD32">
            <v>2</v>
          </cell>
          <cell r="CE32">
            <v>2</v>
          </cell>
          <cell r="CF32">
            <v>140</v>
          </cell>
          <cell r="CG32">
            <v>4.5</v>
          </cell>
          <cell r="CH32">
            <v>32</v>
          </cell>
          <cell r="CI32">
            <v>70</v>
          </cell>
        </row>
        <row r="33">
          <cell r="A33" t="str">
            <v>A082</v>
          </cell>
          <cell r="B33" t="str">
            <v>Bùi Văn Đá</v>
          </cell>
          <cell r="C33" t="str">
            <v>CII.1</v>
          </cell>
          <cell r="D33">
            <v>0</v>
          </cell>
          <cell r="E33">
            <v>40274</v>
          </cell>
          <cell r="F33">
            <v>0</v>
          </cell>
          <cell r="G33" t="str">
            <v>A</v>
          </cell>
          <cell r="H33">
            <v>4</v>
          </cell>
          <cell r="I33" t="str">
            <v>A</v>
          </cell>
          <cell r="J33">
            <v>4</v>
          </cell>
          <cell r="K33" t="str">
            <v>D</v>
          </cell>
          <cell r="L33">
            <v>2</v>
          </cell>
          <cell r="M33">
            <v>0</v>
          </cell>
          <cell r="N33">
            <v>0</v>
          </cell>
          <cell r="O33" t="str">
            <v>C</v>
          </cell>
          <cell r="P33">
            <v>4</v>
          </cell>
          <cell r="Q33" t="str">
            <v>C</v>
          </cell>
          <cell r="R33">
            <v>4</v>
          </cell>
          <cell r="S33" t="str">
            <v>C</v>
          </cell>
          <cell r="T33">
            <v>4</v>
          </cell>
          <cell r="U33" t="str">
            <v>C</v>
          </cell>
          <cell r="V33">
            <v>4</v>
          </cell>
          <cell r="W33" t="str">
            <v>C</v>
          </cell>
          <cell r="X33">
            <v>4</v>
          </cell>
          <cell r="Y33" t="str">
            <v>HH</v>
          </cell>
          <cell r="Z33">
            <v>0</v>
          </cell>
          <cell r="AA33">
            <v>0</v>
          </cell>
          <cell r="AB33">
            <v>0</v>
          </cell>
          <cell r="AC33" t="str">
            <v>NT7</v>
          </cell>
          <cell r="AD33">
            <v>0</v>
          </cell>
          <cell r="AE33" t="str">
            <v>A</v>
          </cell>
          <cell r="AF33">
            <v>4</v>
          </cell>
          <cell r="AG33" t="str">
            <v>A</v>
          </cell>
          <cell r="AH33">
            <v>4</v>
          </cell>
          <cell r="AI33" t="str">
            <v>A</v>
          </cell>
          <cell r="AJ33">
            <v>4</v>
          </cell>
          <cell r="AK33" t="str">
            <v>D</v>
          </cell>
          <cell r="AL33">
            <v>0</v>
          </cell>
          <cell r="AM33" t="str">
            <v>D</v>
          </cell>
          <cell r="AN33">
            <v>0</v>
          </cell>
          <cell r="AO33">
            <v>0</v>
          </cell>
          <cell r="AP33">
            <v>0</v>
          </cell>
          <cell r="AQ33" t="str">
            <v>C</v>
          </cell>
          <cell r="AR33">
            <v>4</v>
          </cell>
          <cell r="AS33" t="str">
            <v>C</v>
          </cell>
          <cell r="AT33">
            <v>4</v>
          </cell>
          <cell r="AU33" t="str">
            <v>C</v>
          </cell>
          <cell r="AV33">
            <v>4</v>
          </cell>
          <cell r="AW33" t="str">
            <v>C</v>
          </cell>
          <cell r="AX33">
            <v>4</v>
          </cell>
          <cell r="AY33" t="str">
            <v>C</v>
          </cell>
          <cell r="AZ33">
            <v>4</v>
          </cell>
          <cell r="BA33" t="str">
            <v>HH</v>
          </cell>
          <cell r="BB33">
            <v>0</v>
          </cell>
          <cell r="BC33">
            <v>0</v>
          </cell>
          <cell r="BD33">
            <v>0</v>
          </cell>
          <cell r="BE33" t="str">
            <v>C</v>
          </cell>
          <cell r="BF33">
            <v>4</v>
          </cell>
          <cell r="BG33" t="str">
            <v>C</v>
          </cell>
          <cell r="BH33">
            <v>4</v>
          </cell>
          <cell r="BI33" t="str">
            <v>C</v>
          </cell>
          <cell r="BJ33">
            <v>4</v>
          </cell>
          <cell r="BK33" t="str">
            <v>C</v>
          </cell>
          <cell r="BL33">
            <v>4</v>
          </cell>
          <cell r="BM33" t="str">
            <v>C</v>
          </cell>
          <cell r="BN33">
            <v>4</v>
          </cell>
          <cell r="BO33" t="str">
            <v>D</v>
          </cell>
          <cell r="BP33">
            <v>0</v>
          </cell>
          <cell r="BQ33">
            <v>5</v>
          </cell>
          <cell r="BR33">
            <v>4</v>
          </cell>
          <cell r="BS33">
            <v>0</v>
          </cell>
          <cell r="BT33">
            <v>15</v>
          </cell>
          <cell r="BU33">
            <v>0</v>
          </cell>
          <cell r="BV33">
            <v>0</v>
          </cell>
          <cell r="BW33">
            <v>2</v>
          </cell>
          <cell r="BX33">
            <v>1</v>
          </cell>
          <cell r="BY33">
            <v>0</v>
          </cell>
          <cell r="BZ33">
            <v>27</v>
          </cell>
          <cell r="CA33">
            <v>82</v>
          </cell>
          <cell r="CB33">
            <v>0</v>
          </cell>
          <cell r="CC33">
            <v>0</v>
          </cell>
          <cell r="CD33">
            <v>1</v>
          </cell>
          <cell r="CE33">
            <v>0</v>
          </cell>
          <cell r="CF33">
            <v>70</v>
          </cell>
          <cell r="CG33">
            <v>1</v>
          </cell>
          <cell r="CH33">
            <v>0</v>
          </cell>
          <cell r="CI33">
            <v>70</v>
          </cell>
        </row>
        <row r="34">
          <cell r="A34" t="str">
            <v>A084</v>
          </cell>
          <cell r="B34" t="str">
            <v>Trần Kim Thoa</v>
          </cell>
          <cell r="C34" t="str">
            <v>PHOI</v>
          </cell>
          <cell r="D34">
            <v>0</v>
          </cell>
          <cell r="E34">
            <v>40288</v>
          </cell>
          <cell r="F34">
            <v>6.5</v>
          </cell>
          <cell r="G34" t="str">
            <v>A</v>
          </cell>
          <cell r="H34">
            <v>7</v>
          </cell>
          <cell r="I34" t="str">
            <v>A</v>
          </cell>
          <cell r="J34">
            <v>6</v>
          </cell>
          <cell r="K34" t="str">
            <v>A</v>
          </cell>
          <cell r="L34">
            <v>7</v>
          </cell>
          <cell r="M34">
            <v>0</v>
          </cell>
          <cell r="N34">
            <v>10</v>
          </cell>
          <cell r="O34" t="str">
            <v>A</v>
          </cell>
          <cell r="P34">
            <v>7</v>
          </cell>
          <cell r="Q34" t="str">
            <v>A</v>
          </cell>
          <cell r="R34">
            <v>7</v>
          </cell>
          <cell r="S34" t="str">
            <v>A</v>
          </cell>
          <cell r="T34">
            <v>7</v>
          </cell>
          <cell r="U34" t="str">
            <v>A</v>
          </cell>
          <cell r="V34">
            <v>7</v>
          </cell>
          <cell r="W34" t="str">
            <v>A</v>
          </cell>
          <cell r="X34">
            <v>7</v>
          </cell>
          <cell r="Y34" t="str">
            <v>A</v>
          </cell>
          <cell r="Z34">
            <v>7</v>
          </cell>
          <cell r="AA34">
            <v>0</v>
          </cell>
          <cell r="AB34">
            <v>0</v>
          </cell>
          <cell r="AC34" t="str">
            <v>A</v>
          </cell>
          <cell r="AD34">
            <v>7</v>
          </cell>
          <cell r="AE34" t="str">
            <v>A</v>
          </cell>
          <cell r="AF34">
            <v>7</v>
          </cell>
          <cell r="AG34" t="str">
            <v>A</v>
          </cell>
          <cell r="AH34">
            <v>7</v>
          </cell>
          <cell r="AI34" t="str">
            <v>A</v>
          </cell>
          <cell r="AJ34">
            <v>7</v>
          </cell>
          <cell r="AK34" t="str">
            <v>A</v>
          </cell>
          <cell r="AL34">
            <v>7</v>
          </cell>
          <cell r="AM34" t="str">
            <v>A</v>
          </cell>
          <cell r="AN34">
            <v>7</v>
          </cell>
          <cell r="AO34">
            <v>0</v>
          </cell>
          <cell r="AP34">
            <v>0</v>
          </cell>
          <cell r="AQ34" t="str">
            <v>A</v>
          </cell>
          <cell r="AR34">
            <v>7</v>
          </cell>
          <cell r="AS34" t="str">
            <v>A</v>
          </cell>
          <cell r="AT34">
            <v>7</v>
          </cell>
          <cell r="AU34" t="str">
            <v>A</v>
          </cell>
          <cell r="AV34">
            <v>7</v>
          </cell>
          <cell r="AW34" t="str">
            <v>A</v>
          </cell>
          <cell r="AX34">
            <v>7</v>
          </cell>
          <cell r="AY34" t="str">
            <v>A</v>
          </cell>
          <cell r="AZ34">
            <v>7</v>
          </cell>
          <cell r="BA34" t="str">
            <v>A</v>
          </cell>
          <cell r="BB34">
            <v>7</v>
          </cell>
          <cell r="BC34">
            <v>0</v>
          </cell>
          <cell r="BD34">
            <v>12</v>
          </cell>
          <cell r="BE34" t="str">
            <v>A</v>
          </cell>
          <cell r="BF34">
            <v>7</v>
          </cell>
          <cell r="BG34" t="str">
            <v>A</v>
          </cell>
          <cell r="BH34">
            <v>7</v>
          </cell>
          <cell r="BI34" t="str">
            <v>A</v>
          </cell>
          <cell r="BJ34">
            <v>7</v>
          </cell>
          <cell r="BK34" t="str">
            <v>A</v>
          </cell>
          <cell r="BL34">
            <v>7</v>
          </cell>
          <cell r="BM34" t="str">
            <v>A</v>
          </cell>
          <cell r="BN34">
            <v>7</v>
          </cell>
          <cell r="BO34" t="str">
            <v>A</v>
          </cell>
          <cell r="BP34">
            <v>7</v>
          </cell>
          <cell r="BQ34">
            <v>27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27</v>
          </cell>
          <cell r="CA34">
            <v>188</v>
          </cell>
          <cell r="CB34">
            <v>22</v>
          </cell>
          <cell r="CC34">
            <v>0</v>
          </cell>
          <cell r="CD34">
            <v>2</v>
          </cell>
          <cell r="CE34">
            <v>1</v>
          </cell>
          <cell r="CF34">
            <v>140</v>
          </cell>
          <cell r="CG34">
            <v>7.5</v>
          </cell>
          <cell r="CH34">
            <v>16</v>
          </cell>
          <cell r="CI34">
            <v>70</v>
          </cell>
        </row>
        <row r="35">
          <cell r="A35" t="str">
            <v>A086</v>
          </cell>
          <cell r="B35" t="str">
            <v>Nguyễn Tấn Hưng</v>
          </cell>
          <cell r="C35" t="str">
            <v>CD</v>
          </cell>
          <cell r="D35">
            <v>0</v>
          </cell>
          <cell r="E35">
            <v>40294</v>
          </cell>
          <cell r="F35">
            <v>12</v>
          </cell>
          <cell r="G35" t="str">
            <v>A</v>
          </cell>
          <cell r="H35">
            <v>4</v>
          </cell>
          <cell r="I35" t="str">
            <v>A</v>
          </cell>
          <cell r="J35">
            <v>4</v>
          </cell>
          <cell r="K35" t="str">
            <v>D</v>
          </cell>
          <cell r="L35">
            <v>2.5</v>
          </cell>
          <cell r="M35">
            <v>0</v>
          </cell>
          <cell r="N35">
            <v>11</v>
          </cell>
          <cell r="O35" t="str">
            <v>D</v>
          </cell>
          <cell r="P35">
            <v>2.5</v>
          </cell>
          <cell r="Q35" t="str">
            <v>D</v>
          </cell>
          <cell r="R35">
            <v>2.5</v>
          </cell>
          <cell r="S35" t="str">
            <v>D</v>
          </cell>
          <cell r="T35">
            <v>2.5</v>
          </cell>
          <cell r="U35" t="str">
            <v>D</v>
          </cell>
          <cell r="V35">
            <v>2.5</v>
          </cell>
          <cell r="W35" t="str">
            <v>D</v>
          </cell>
          <cell r="X35">
            <v>2.5</v>
          </cell>
          <cell r="Y35" t="str">
            <v>D</v>
          </cell>
          <cell r="Z35">
            <v>2.5</v>
          </cell>
          <cell r="AA35">
            <v>0</v>
          </cell>
          <cell r="AB35">
            <v>12</v>
          </cell>
          <cell r="AC35" t="str">
            <v>D</v>
          </cell>
          <cell r="AD35">
            <v>2.5</v>
          </cell>
          <cell r="AE35" t="str">
            <v>D</v>
          </cell>
          <cell r="AF35">
            <v>2.5</v>
          </cell>
          <cell r="AG35" t="str">
            <v>D</v>
          </cell>
          <cell r="AH35">
            <v>2.5</v>
          </cell>
          <cell r="AI35" t="str">
            <v>D</v>
          </cell>
          <cell r="AJ35">
            <v>2.5</v>
          </cell>
          <cell r="AK35" t="str">
            <v>D</v>
          </cell>
          <cell r="AL35">
            <v>2.5</v>
          </cell>
          <cell r="AM35" t="str">
            <v>D</v>
          </cell>
          <cell r="AN35">
            <v>2.5</v>
          </cell>
          <cell r="AO35">
            <v>0</v>
          </cell>
          <cell r="AP35">
            <v>12</v>
          </cell>
          <cell r="AQ35" t="str">
            <v>D</v>
          </cell>
          <cell r="AR35">
            <v>2.5</v>
          </cell>
          <cell r="AS35" t="str">
            <v>D</v>
          </cell>
          <cell r="AT35">
            <v>2.5</v>
          </cell>
          <cell r="AU35" t="str">
            <v>D</v>
          </cell>
          <cell r="AV35">
            <v>2.5</v>
          </cell>
          <cell r="AW35" t="str">
            <v>D</v>
          </cell>
          <cell r="AX35">
            <v>2.5</v>
          </cell>
          <cell r="AY35" t="str">
            <v>D</v>
          </cell>
          <cell r="AZ35">
            <v>2.5</v>
          </cell>
          <cell r="BA35" t="str">
            <v>D</v>
          </cell>
          <cell r="BB35">
            <v>2</v>
          </cell>
          <cell r="BC35">
            <v>0</v>
          </cell>
          <cell r="BD35">
            <v>11</v>
          </cell>
          <cell r="BE35" t="str">
            <v>D</v>
          </cell>
          <cell r="BF35">
            <v>2.5</v>
          </cell>
          <cell r="BG35" t="str">
            <v>D</v>
          </cell>
          <cell r="BH35">
            <v>2.5</v>
          </cell>
          <cell r="BI35" t="str">
            <v>A</v>
          </cell>
          <cell r="BJ35">
            <v>4</v>
          </cell>
          <cell r="BK35" t="str">
            <v>A</v>
          </cell>
          <cell r="BL35">
            <v>7</v>
          </cell>
          <cell r="BM35" t="str">
            <v>A</v>
          </cell>
          <cell r="BN35">
            <v>6</v>
          </cell>
          <cell r="BO35" t="str">
            <v>A</v>
          </cell>
          <cell r="BP35">
            <v>4</v>
          </cell>
          <cell r="BQ35">
            <v>6</v>
          </cell>
          <cell r="BR35">
            <v>21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27</v>
          </cell>
          <cell r="CA35">
            <v>81</v>
          </cell>
          <cell r="CB35">
            <v>46</v>
          </cell>
          <cell r="CC35">
            <v>0</v>
          </cell>
          <cell r="CD35">
            <v>2</v>
          </cell>
          <cell r="CE35">
            <v>2</v>
          </cell>
          <cell r="CF35">
            <v>300</v>
          </cell>
          <cell r="CG35">
            <v>13</v>
          </cell>
          <cell r="CH35">
            <v>32</v>
          </cell>
          <cell r="CI35">
            <v>150</v>
          </cell>
        </row>
        <row r="36">
          <cell r="A36" t="str">
            <v>A087</v>
          </cell>
          <cell r="B36" t="str">
            <v>Đoàn Văn Cường</v>
          </cell>
          <cell r="C36" t="str">
            <v>GA</v>
          </cell>
          <cell r="D36">
            <v>0</v>
          </cell>
          <cell r="E36">
            <v>40294</v>
          </cell>
          <cell r="F36">
            <v>5</v>
          </cell>
          <cell r="G36" t="str">
            <v>A</v>
          </cell>
          <cell r="H36">
            <v>4</v>
          </cell>
          <cell r="I36" t="str">
            <v>D</v>
          </cell>
          <cell r="J36">
            <v>3</v>
          </cell>
          <cell r="K36" t="str">
            <v>A</v>
          </cell>
          <cell r="L36">
            <v>4</v>
          </cell>
          <cell r="M36">
            <v>0</v>
          </cell>
          <cell r="N36">
            <v>12</v>
          </cell>
          <cell r="O36" t="str">
            <v>A</v>
          </cell>
          <cell r="P36">
            <v>4</v>
          </cell>
          <cell r="Q36" t="str">
            <v>A</v>
          </cell>
          <cell r="R36">
            <v>4</v>
          </cell>
          <cell r="S36" t="str">
            <v>A</v>
          </cell>
          <cell r="T36">
            <v>4</v>
          </cell>
          <cell r="U36" t="str">
            <v>P5,D5</v>
          </cell>
          <cell r="V36">
            <v>0</v>
          </cell>
          <cell r="W36" t="str">
            <v>NT7</v>
          </cell>
          <cell r="X36">
            <v>0</v>
          </cell>
          <cell r="Y36" t="str">
            <v>NT7</v>
          </cell>
          <cell r="Z36">
            <v>0</v>
          </cell>
          <cell r="AA36">
            <v>0</v>
          </cell>
          <cell r="AB36">
            <v>0</v>
          </cell>
          <cell r="AC36" t="str">
            <v>P</v>
          </cell>
          <cell r="AD36">
            <v>0</v>
          </cell>
          <cell r="AE36" t="str">
            <v>P</v>
          </cell>
          <cell r="AF36">
            <v>0</v>
          </cell>
          <cell r="AG36" t="str">
            <v>P</v>
          </cell>
          <cell r="AH36">
            <v>0</v>
          </cell>
          <cell r="AI36" t="str">
            <v>P5,D5</v>
          </cell>
          <cell r="AJ36">
            <v>0</v>
          </cell>
          <cell r="AK36" t="str">
            <v>A</v>
          </cell>
          <cell r="AL36">
            <v>4</v>
          </cell>
          <cell r="AM36" t="str">
            <v>A</v>
          </cell>
          <cell r="AN36">
            <v>4</v>
          </cell>
          <cell r="AO36">
            <v>0</v>
          </cell>
          <cell r="AP36">
            <v>0</v>
          </cell>
          <cell r="AQ36" t="str">
            <v>A</v>
          </cell>
          <cell r="AR36">
            <v>4</v>
          </cell>
          <cell r="AS36" t="str">
            <v>A</v>
          </cell>
          <cell r="AT36">
            <v>4</v>
          </cell>
          <cell r="AU36" t="str">
            <v>A</v>
          </cell>
          <cell r="AV36">
            <v>4</v>
          </cell>
          <cell r="AW36" t="str">
            <v>D</v>
          </cell>
          <cell r="AX36">
            <v>2</v>
          </cell>
          <cell r="AY36" t="str">
            <v>A</v>
          </cell>
          <cell r="AZ36">
            <v>4</v>
          </cell>
          <cell r="BA36" t="str">
            <v>D</v>
          </cell>
          <cell r="BB36">
            <v>1.5</v>
          </cell>
          <cell r="BC36">
            <v>0</v>
          </cell>
          <cell r="BD36">
            <v>10.5</v>
          </cell>
          <cell r="BE36" t="str">
            <v>A</v>
          </cell>
          <cell r="BF36">
            <v>4</v>
          </cell>
          <cell r="BG36" t="str">
            <v>A</v>
          </cell>
          <cell r="BH36">
            <v>4</v>
          </cell>
          <cell r="BI36" t="str">
            <v>A</v>
          </cell>
          <cell r="BJ36">
            <v>4</v>
          </cell>
          <cell r="BK36" t="str">
            <v>A</v>
          </cell>
          <cell r="BL36">
            <v>4</v>
          </cell>
          <cell r="BM36" t="str">
            <v>A</v>
          </cell>
          <cell r="BN36">
            <v>4</v>
          </cell>
          <cell r="BO36" t="str">
            <v>A</v>
          </cell>
          <cell r="BP36">
            <v>4</v>
          </cell>
          <cell r="BQ36">
            <v>17</v>
          </cell>
          <cell r="BR36">
            <v>4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2</v>
          </cell>
          <cell r="BY36">
            <v>4</v>
          </cell>
          <cell r="BZ36">
            <v>27</v>
          </cell>
          <cell r="CA36">
            <v>74.5</v>
          </cell>
          <cell r="CB36">
            <v>22.5</v>
          </cell>
          <cell r="CC36">
            <v>0</v>
          </cell>
          <cell r="CD36">
            <v>0</v>
          </cell>
          <cell r="CE36">
            <v>1</v>
          </cell>
          <cell r="CF36">
            <v>0</v>
          </cell>
          <cell r="CG36">
            <v>2</v>
          </cell>
          <cell r="CH36">
            <v>16</v>
          </cell>
          <cell r="CI36">
            <v>70</v>
          </cell>
        </row>
        <row r="37">
          <cell r="A37" t="str">
            <v>A093</v>
          </cell>
          <cell r="B37" t="str">
            <v>Trần Văn Đông</v>
          </cell>
          <cell r="C37" t="str">
            <v>GA</v>
          </cell>
          <cell r="D37">
            <v>0</v>
          </cell>
          <cell r="E37">
            <v>40312</v>
          </cell>
          <cell r="F37">
            <v>10.5</v>
          </cell>
          <cell r="G37" t="str">
            <v>A</v>
          </cell>
          <cell r="H37">
            <v>4</v>
          </cell>
          <cell r="I37" t="str">
            <v>A</v>
          </cell>
          <cell r="J37">
            <v>4</v>
          </cell>
          <cell r="K37" t="str">
            <v>D</v>
          </cell>
          <cell r="L37">
            <v>2</v>
          </cell>
          <cell r="M37">
            <v>0</v>
          </cell>
          <cell r="N37">
            <v>0</v>
          </cell>
          <cell r="O37" t="str">
            <v>A</v>
          </cell>
          <cell r="P37">
            <v>4</v>
          </cell>
          <cell r="Q37" t="str">
            <v>A</v>
          </cell>
          <cell r="R37">
            <v>4</v>
          </cell>
          <cell r="S37" t="str">
            <v>A</v>
          </cell>
          <cell r="T37">
            <v>4</v>
          </cell>
          <cell r="U37" t="str">
            <v>D</v>
          </cell>
          <cell r="V37">
            <v>0</v>
          </cell>
          <cell r="W37" t="str">
            <v>A</v>
          </cell>
          <cell r="X37">
            <v>4</v>
          </cell>
          <cell r="Y37" t="str">
            <v>A</v>
          </cell>
          <cell r="Z37">
            <v>4</v>
          </cell>
          <cell r="AA37">
            <v>0</v>
          </cell>
          <cell r="AB37">
            <v>12</v>
          </cell>
          <cell r="AC37" t="str">
            <v>A</v>
          </cell>
          <cell r="AD37">
            <v>4</v>
          </cell>
          <cell r="AE37" t="str">
            <v>A</v>
          </cell>
          <cell r="AF37">
            <v>4</v>
          </cell>
          <cell r="AG37" t="str">
            <v>A</v>
          </cell>
          <cell r="AH37">
            <v>4</v>
          </cell>
          <cell r="AI37" t="str">
            <v>A</v>
          </cell>
          <cell r="AJ37">
            <v>4</v>
          </cell>
          <cell r="AK37" t="str">
            <v>A</v>
          </cell>
          <cell r="AL37">
            <v>4</v>
          </cell>
          <cell r="AM37" t="str">
            <v>D</v>
          </cell>
          <cell r="AN37">
            <v>0</v>
          </cell>
          <cell r="AO37">
            <v>0</v>
          </cell>
          <cell r="AP37">
            <v>0</v>
          </cell>
          <cell r="AQ37" t="str">
            <v>NT7</v>
          </cell>
          <cell r="AR37">
            <v>0</v>
          </cell>
          <cell r="AS37" t="str">
            <v>A</v>
          </cell>
          <cell r="AT37">
            <v>4</v>
          </cell>
          <cell r="AU37" t="str">
            <v>A</v>
          </cell>
          <cell r="AV37">
            <v>4</v>
          </cell>
          <cell r="AW37" t="str">
            <v>D</v>
          </cell>
          <cell r="AX37">
            <v>2</v>
          </cell>
          <cell r="AY37" t="str">
            <v>A</v>
          </cell>
          <cell r="AZ37">
            <v>4</v>
          </cell>
          <cell r="BA37" t="str">
            <v>D</v>
          </cell>
          <cell r="BB37">
            <v>0</v>
          </cell>
          <cell r="BC37">
            <v>0</v>
          </cell>
          <cell r="BD37">
            <v>8</v>
          </cell>
          <cell r="BE37" t="str">
            <v>A</v>
          </cell>
          <cell r="BF37">
            <v>4</v>
          </cell>
          <cell r="BG37" t="str">
            <v>A</v>
          </cell>
          <cell r="BH37">
            <v>4</v>
          </cell>
          <cell r="BI37" t="str">
            <v>A</v>
          </cell>
          <cell r="BJ37">
            <v>4</v>
          </cell>
          <cell r="BK37" t="str">
            <v>A</v>
          </cell>
          <cell r="BL37">
            <v>4</v>
          </cell>
          <cell r="BM37" t="str">
            <v>A</v>
          </cell>
          <cell r="BN37">
            <v>4</v>
          </cell>
          <cell r="BO37" t="str">
            <v>A</v>
          </cell>
          <cell r="BP37">
            <v>4</v>
          </cell>
          <cell r="BQ37">
            <v>21</v>
          </cell>
          <cell r="BR37">
            <v>5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1</v>
          </cell>
          <cell r="BY37">
            <v>0</v>
          </cell>
          <cell r="BZ37">
            <v>27</v>
          </cell>
          <cell r="CA37">
            <v>88</v>
          </cell>
          <cell r="CB37">
            <v>20</v>
          </cell>
          <cell r="CC37">
            <v>0</v>
          </cell>
          <cell r="CD37">
            <v>1</v>
          </cell>
          <cell r="CE37">
            <v>1</v>
          </cell>
          <cell r="CF37">
            <v>70</v>
          </cell>
          <cell r="CG37">
            <v>11.5</v>
          </cell>
          <cell r="CH37">
            <v>16</v>
          </cell>
          <cell r="CI37">
            <v>70</v>
          </cell>
        </row>
        <row r="38">
          <cell r="A38" t="str">
            <v>A094</v>
          </cell>
          <cell r="B38" t="str">
            <v>Trần Thanh Trực</v>
          </cell>
          <cell r="C38" t="str">
            <v>CD</v>
          </cell>
          <cell r="D38">
            <v>0</v>
          </cell>
          <cell r="E38">
            <v>40319</v>
          </cell>
          <cell r="F38">
            <v>10.5</v>
          </cell>
          <cell r="G38" t="str">
            <v>D</v>
          </cell>
          <cell r="H38">
            <v>0</v>
          </cell>
          <cell r="I38" t="str">
            <v>D</v>
          </cell>
          <cell r="J38">
            <v>2</v>
          </cell>
          <cell r="K38" t="str">
            <v>D</v>
          </cell>
          <cell r="L38">
            <v>1.5</v>
          </cell>
          <cell r="M38">
            <v>0</v>
          </cell>
          <cell r="N38">
            <v>9</v>
          </cell>
          <cell r="O38" t="str">
            <v>D</v>
          </cell>
          <cell r="P38">
            <v>2</v>
          </cell>
          <cell r="Q38" t="str">
            <v>D</v>
          </cell>
          <cell r="R38">
            <v>2</v>
          </cell>
          <cell r="S38" t="str">
            <v>D</v>
          </cell>
          <cell r="T38">
            <v>2</v>
          </cell>
          <cell r="U38" t="str">
            <v>D</v>
          </cell>
          <cell r="V38">
            <v>2</v>
          </cell>
          <cell r="W38" t="str">
            <v>D</v>
          </cell>
          <cell r="X38">
            <v>2</v>
          </cell>
          <cell r="Y38" t="str">
            <v>D</v>
          </cell>
          <cell r="Z38">
            <v>2</v>
          </cell>
          <cell r="AA38">
            <v>0</v>
          </cell>
          <cell r="AB38">
            <v>0</v>
          </cell>
          <cell r="AC38" t="str">
            <v>D</v>
          </cell>
          <cell r="AD38">
            <v>0</v>
          </cell>
          <cell r="AE38" t="str">
            <v>D</v>
          </cell>
          <cell r="AF38">
            <v>2</v>
          </cell>
          <cell r="AG38" t="str">
            <v>D</v>
          </cell>
          <cell r="AH38">
            <v>2</v>
          </cell>
          <cell r="AI38" t="str">
            <v>D</v>
          </cell>
          <cell r="AJ38">
            <v>2</v>
          </cell>
          <cell r="AK38" t="str">
            <v>D</v>
          </cell>
          <cell r="AL38">
            <v>2</v>
          </cell>
          <cell r="AM38" t="str">
            <v>D</v>
          </cell>
          <cell r="AN38">
            <v>2</v>
          </cell>
          <cell r="AO38">
            <v>0</v>
          </cell>
          <cell r="AP38">
            <v>10</v>
          </cell>
          <cell r="AQ38" t="str">
            <v>A</v>
          </cell>
          <cell r="AR38">
            <v>4.5</v>
          </cell>
          <cell r="AS38" t="str">
            <v>D</v>
          </cell>
          <cell r="AT38">
            <v>0</v>
          </cell>
          <cell r="AU38" t="str">
            <v>D</v>
          </cell>
          <cell r="AV38">
            <v>0</v>
          </cell>
          <cell r="AW38" t="str">
            <v>D</v>
          </cell>
          <cell r="AX38">
            <v>0</v>
          </cell>
          <cell r="AY38" t="str">
            <v>D</v>
          </cell>
          <cell r="AZ38">
            <v>0</v>
          </cell>
          <cell r="BA38" t="str">
            <v>D</v>
          </cell>
          <cell r="BB38">
            <v>0</v>
          </cell>
          <cell r="BC38">
            <v>0</v>
          </cell>
          <cell r="BD38">
            <v>9</v>
          </cell>
          <cell r="BE38" t="str">
            <v>D</v>
          </cell>
          <cell r="BF38">
            <v>2</v>
          </cell>
          <cell r="BG38" t="str">
            <v>A</v>
          </cell>
          <cell r="BH38">
            <v>4</v>
          </cell>
          <cell r="BI38" t="str">
            <v>D</v>
          </cell>
          <cell r="BJ38">
            <v>2</v>
          </cell>
          <cell r="BK38" t="str">
            <v>D</v>
          </cell>
          <cell r="BL38">
            <v>0</v>
          </cell>
          <cell r="BM38" t="str">
            <v>A</v>
          </cell>
          <cell r="BN38">
            <v>4</v>
          </cell>
          <cell r="BO38" t="str">
            <v>D</v>
          </cell>
          <cell r="BP38">
            <v>3</v>
          </cell>
          <cell r="BQ38">
            <v>3</v>
          </cell>
          <cell r="BR38">
            <v>24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27</v>
          </cell>
          <cell r="CA38">
            <v>45</v>
          </cell>
          <cell r="CB38">
            <v>28</v>
          </cell>
          <cell r="CC38">
            <v>0</v>
          </cell>
          <cell r="CD38">
            <v>2</v>
          </cell>
          <cell r="CE38">
            <v>0</v>
          </cell>
          <cell r="CF38">
            <v>300</v>
          </cell>
          <cell r="CG38">
            <v>11.5</v>
          </cell>
          <cell r="CH38">
            <v>0</v>
          </cell>
          <cell r="CI38">
            <v>150</v>
          </cell>
        </row>
        <row r="39">
          <cell r="A39" t="str">
            <v>A105</v>
          </cell>
          <cell r="B39" t="str">
            <v>Trần Thị Diệp</v>
          </cell>
          <cell r="C39" t="str">
            <v>EN</v>
          </cell>
          <cell r="D39">
            <v>0</v>
          </cell>
          <cell r="E39">
            <v>40366</v>
          </cell>
          <cell r="F39">
            <v>8</v>
          </cell>
          <cell r="G39" t="str">
            <v>A</v>
          </cell>
          <cell r="H39">
            <v>7</v>
          </cell>
          <cell r="I39" t="str">
            <v>A</v>
          </cell>
          <cell r="J39">
            <v>7</v>
          </cell>
          <cell r="K39" t="str">
            <v>A</v>
          </cell>
          <cell r="L39">
            <v>7</v>
          </cell>
          <cell r="M39">
            <v>0</v>
          </cell>
          <cell r="N39">
            <v>0</v>
          </cell>
          <cell r="O39" t="str">
            <v>C</v>
          </cell>
          <cell r="P39">
            <v>4</v>
          </cell>
          <cell r="Q39" t="str">
            <v>C</v>
          </cell>
          <cell r="R39">
            <v>4</v>
          </cell>
          <cell r="S39" t="str">
            <v>C</v>
          </cell>
          <cell r="T39">
            <v>4</v>
          </cell>
          <cell r="U39" t="str">
            <v>C</v>
          </cell>
          <cell r="V39">
            <v>4</v>
          </cell>
          <cell r="W39" t="str">
            <v>C</v>
          </cell>
          <cell r="X39">
            <v>4</v>
          </cell>
          <cell r="Y39" t="str">
            <v>C</v>
          </cell>
          <cell r="Z39">
            <v>4</v>
          </cell>
          <cell r="AA39">
            <v>0</v>
          </cell>
          <cell r="AB39">
            <v>0</v>
          </cell>
          <cell r="AC39" t="str">
            <v>C</v>
          </cell>
          <cell r="AD39">
            <v>4</v>
          </cell>
          <cell r="AE39" t="str">
            <v>C</v>
          </cell>
          <cell r="AF39">
            <v>4</v>
          </cell>
          <cell r="AG39" t="str">
            <v>C</v>
          </cell>
          <cell r="AH39">
            <v>4</v>
          </cell>
          <cell r="AI39" t="str">
            <v>C</v>
          </cell>
          <cell r="AJ39">
            <v>4</v>
          </cell>
          <cell r="AK39" t="str">
            <v>C</v>
          </cell>
          <cell r="AL39">
            <v>4</v>
          </cell>
          <cell r="AM39" t="str">
            <v>C</v>
          </cell>
          <cell r="AN39">
            <v>4</v>
          </cell>
          <cell r="AO39">
            <v>0</v>
          </cell>
          <cell r="AP39">
            <v>0</v>
          </cell>
          <cell r="AQ39" t="str">
            <v>C</v>
          </cell>
          <cell r="AR39">
            <v>4</v>
          </cell>
          <cell r="AS39" t="str">
            <v>C</v>
          </cell>
          <cell r="AT39">
            <v>4</v>
          </cell>
          <cell r="AU39" t="str">
            <v>C</v>
          </cell>
          <cell r="AV39">
            <v>4</v>
          </cell>
          <cell r="AW39" t="str">
            <v>C</v>
          </cell>
          <cell r="AX39">
            <v>4</v>
          </cell>
          <cell r="AY39" t="str">
            <v>C</v>
          </cell>
          <cell r="AZ39">
            <v>4</v>
          </cell>
          <cell r="BA39" t="str">
            <v>C</v>
          </cell>
          <cell r="BB39">
            <v>4</v>
          </cell>
          <cell r="BC39">
            <v>0</v>
          </cell>
          <cell r="BD39">
            <v>0</v>
          </cell>
          <cell r="BE39" t="str">
            <v>NT7</v>
          </cell>
          <cell r="BF39">
            <v>0</v>
          </cell>
          <cell r="BG39" t="str">
            <v>A</v>
          </cell>
          <cell r="BH39">
            <v>4</v>
          </cell>
          <cell r="BI39" t="str">
            <v>A</v>
          </cell>
          <cell r="BJ39">
            <v>4</v>
          </cell>
          <cell r="BK39" t="str">
            <v>A</v>
          </cell>
          <cell r="BL39">
            <v>4</v>
          </cell>
          <cell r="BM39" t="str">
            <v>A</v>
          </cell>
          <cell r="BN39">
            <v>4</v>
          </cell>
          <cell r="BO39" t="str">
            <v>A</v>
          </cell>
          <cell r="BP39">
            <v>4</v>
          </cell>
          <cell r="BQ39">
            <v>8</v>
          </cell>
          <cell r="BR39">
            <v>0</v>
          </cell>
          <cell r="BS39">
            <v>0</v>
          </cell>
          <cell r="BT39">
            <v>18</v>
          </cell>
          <cell r="BU39">
            <v>0</v>
          </cell>
          <cell r="BV39">
            <v>0</v>
          </cell>
          <cell r="BW39">
            <v>0</v>
          </cell>
          <cell r="BX39">
            <v>1</v>
          </cell>
          <cell r="BY39">
            <v>0</v>
          </cell>
          <cell r="BZ39">
            <v>27</v>
          </cell>
          <cell r="CA39">
            <v>113</v>
          </cell>
          <cell r="CB39">
            <v>0</v>
          </cell>
          <cell r="CC39">
            <v>0</v>
          </cell>
          <cell r="CD39">
            <v>1</v>
          </cell>
          <cell r="CE39">
            <v>0</v>
          </cell>
          <cell r="CF39">
            <v>70</v>
          </cell>
          <cell r="CG39">
            <v>9</v>
          </cell>
          <cell r="CH39">
            <v>0</v>
          </cell>
          <cell r="CI39">
            <v>70</v>
          </cell>
        </row>
        <row r="40">
          <cell r="A40" t="str">
            <v>A113</v>
          </cell>
          <cell r="B40" t="str">
            <v xml:space="preserve"> Bùi Văn Vũ </v>
          </cell>
          <cell r="C40" t="str">
            <v>CII.2</v>
          </cell>
          <cell r="D40">
            <v>0</v>
          </cell>
          <cell r="E40">
            <v>40392</v>
          </cell>
          <cell r="F40">
            <v>3.5</v>
          </cell>
          <cell r="G40" t="str">
            <v>C</v>
          </cell>
          <cell r="H40">
            <v>4</v>
          </cell>
          <cell r="I40" t="str">
            <v>C</v>
          </cell>
          <cell r="J40">
            <v>4</v>
          </cell>
          <cell r="K40" t="str">
            <v>C</v>
          </cell>
          <cell r="L40">
            <v>4</v>
          </cell>
          <cell r="M40">
            <v>0</v>
          </cell>
          <cell r="N40">
            <v>0</v>
          </cell>
          <cell r="O40" t="str">
            <v>A</v>
          </cell>
          <cell r="P40">
            <v>4</v>
          </cell>
          <cell r="Q40" t="str">
            <v>D</v>
          </cell>
          <cell r="R40">
            <v>2</v>
          </cell>
          <cell r="S40" t="str">
            <v>A</v>
          </cell>
          <cell r="T40">
            <v>4</v>
          </cell>
          <cell r="U40" t="str">
            <v>A</v>
          </cell>
          <cell r="V40">
            <v>4</v>
          </cell>
          <cell r="W40" t="str">
            <v>A</v>
          </cell>
          <cell r="X40">
            <v>4</v>
          </cell>
          <cell r="Y40" t="str">
            <v>A</v>
          </cell>
          <cell r="Z40">
            <v>4</v>
          </cell>
          <cell r="AA40">
            <v>0</v>
          </cell>
          <cell r="AB40">
            <v>0</v>
          </cell>
          <cell r="AC40" t="str">
            <v>C</v>
          </cell>
          <cell r="AD40">
            <v>4</v>
          </cell>
          <cell r="AE40" t="str">
            <v>NT7</v>
          </cell>
          <cell r="AF40">
            <v>0</v>
          </cell>
          <cell r="AG40" t="str">
            <v>NT7</v>
          </cell>
          <cell r="AH40">
            <v>0</v>
          </cell>
          <cell r="AI40" t="str">
            <v>D</v>
          </cell>
          <cell r="AJ40">
            <v>2</v>
          </cell>
          <cell r="AK40" t="str">
            <v>D</v>
          </cell>
          <cell r="AL40">
            <v>0</v>
          </cell>
          <cell r="AM40" t="str">
            <v>P</v>
          </cell>
          <cell r="AN40">
            <v>0</v>
          </cell>
          <cell r="AO40">
            <v>0</v>
          </cell>
          <cell r="AP40">
            <v>0</v>
          </cell>
          <cell r="AQ40" t="str">
            <v>P</v>
          </cell>
          <cell r="AR40">
            <v>0</v>
          </cell>
          <cell r="AS40" t="str">
            <v>D</v>
          </cell>
          <cell r="AT40">
            <v>0</v>
          </cell>
          <cell r="AU40" t="str">
            <v>C</v>
          </cell>
          <cell r="AV40">
            <v>4</v>
          </cell>
          <cell r="AW40" t="str">
            <v>HH</v>
          </cell>
          <cell r="AX40">
            <v>0</v>
          </cell>
          <cell r="AY40" t="str">
            <v>C</v>
          </cell>
          <cell r="AZ40">
            <v>4</v>
          </cell>
          <cell r="BA40" t="str">
            <v>HH</v>
          </cell>
          <cell r="BB40">
            <v>0</v>
          </cell>
          <cell r="BC40">
            <v>0</v>
          </cell>
          <cell r="BD40">
            <v>0</v>
          </cell>
          <cell r="BE40" t="str">
            <v>A</v>
          </cell>
          <cell r="BF40">
            <v>4</v>
          </cell>
          <cell r="BG40" t="str">
            <v>A</v>
          </cell>
          <cell r="BH40">
            <v>4</v>
          </cell>
          <cell r="BI40" t="str">
            <v>D</v>
          </cell>
          <cell r="BJ40">
            <v>0</v>
          </cell>
          <cell r="BK40" t="str">
            <v>D</v>
          </cell>
          <cell r="BL40">
            <v>0</v>
          </cell>
          <cell r="BM40" t="str">
            <v>D</v>
          </cell>
          <cell r="BN40">
            <v>1</v>
          </cell>
          <cell r="BO40" t="str">
            <v>D</v>
          </cell>
          <cell r="BP40">
            <v>0</v>
          </cell>
          <cell r="BQ40">
            <v>7</v>
          </cell>
          <cell r="BR40">
            <v>8</v>
          </cell>
          <cell r="BS40">
            <v>0</v>
          </cell>
          <cell r="BT40">
            <v>6</v>
          </cell>
          <cell r="BU40">
            <v>0</v>
          </cell>
          <cell r="BV40">
            <v>0</v>
          </cell>
          <cell r="BW40">
            <v>2</v>
          </cell>
          <cell r="BX40">
            <v>2</v>
          </cell>
          <cell r="BY40">
            <v>2</v>
          </cell>
          <cell r="BZ40">
            <v>27</v>
          </cell>
          <cell r="CA40">
            <v>57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2.5</v>
          </cell>
          <cell r="CH40">
            <v>0</v>
          </cell>
          <cell r="CI40">
            <v>150</v>
          </cell>
        </row>
        <row r="41">
          <cell r="A41" t="str">
            <v>A120</v>
          </cell>
          <cell r="B41" t="str">
            <v>Bùi Thị Kim Liên</v>
          </cell>
          <cell r="C41" t="str">
            <v>QCX</v>
          </cell>
          <cell r="D41">
            <v>0</v>
          </cell>
          <cell r="E41">
            <v>40404</v>
          </cell>
          <cell r="F41">
            <v>0.5</v>
          </cell>
          <cell r="G41" t="str">
            <v>D</v>
          </cell>
          <cell r="H41">
            <v>3</v>
          </cell>
          <cell r="I41" t="str">
            <v>D</v>
          </cell>
          <cell r="J41">
            <v>3</v>
          </cell>
          <cell r="K41" t="str">
            <v>D</v>
          </cell>
          <cell r="L41">
            <v>0</v>
          </cell>
          <cell r="M41">
            <v>0</v>
          </cell>
          <cell r="N41">
            <v>0</v>
          </cell>
          <cell r="O41" t="str">
            <v>D</v>
          </cell>
          <cell r="P41">
            <v>3</v>
          </cell>
          <cell r="Q41" t="str">
            <v>D</v>
          </cell>
          <cell r="R41">
            <v>3</v>
          </cell>
          <cell r="S41" t="str">
            <v>P5,D5</v>
          </cell>
          <cell r="T41">
            <v>0</v>
          </cell>
          <cell r="U41" t="str">
            <v>D</v>
          </cell>
          <cell r="V41">
            <v>0</v>
          </cell>
          <cell r="W41" t="str">
            <v>D</v>
          </cell>
          <cell r="X41">
            <v>3</v>
          </cell>
          <cell r="Y41" t="str">
            <v>D</v>
          </cell>
          <cell r="Z41">
            <v>1</v>
          </cell>
          <cell r="AA41">
            <v>0</v>
          </cell>
          <cell r="AB41">
            <v>0</v>
          </cell>
          <cell r="AC41" t="str">
            <v>D</v>
          </cell>
          <cell r="AD41">
            <v>3</v>
          </cell>
          <cell r="AE41" t="str">
            <v>D</v>
          </cell>
          <cell r="AF41">
            <v>3</v>
          </cell>
          <cell r="AG41" t="str">
            <v>D</v>
          </cell>
          <cell r="AH41">
            <v>3</v>
          </cell>
          <cell r="AI41" t="str">
            <v>D</v>
          </cell>
          <cell r="AJ41">
            <v>3</v>
          </cell>
          <cell r="AK41" t="str">
            <v>D</v>
          </cell>
          <cell r="AL41">
            <v>1</v>
          </cell>
          <cell r="AM41" t="str">
            <v>D</v>
          </cell>
          <cell r="AN41">
            <v>0</v>
          </cell>
          <cell r="AO41">
            <v>0</v>
          </cell>
          <cell r="AP41">
            <v>0</v>
          </cell>
          <cell r="AQ41" t="str">
            <v>D</v>
          </cell>
          <cell r="AR41">
            <v>3</v>
          </cell>
          <cell r="AS41" t="str">
            <v>D</v>
          </cell>
          <cell r="AT41">
            <v>3</v>
          </cell>
          <cell r="AU41" t="str">
            <v>D</v>
          </cell>
          <cell r="AV41">
            <v>3</v>
          </cell>
          <cell r="AW41" t="str">
            <v>D</v>
          </cell>
          <cell r="AX41">
            <v>3</v>
          </cell>
          <cell r="AY41" t="str">
            <v>P5,D5</v>
          </cell>
          <cell r="AZ41">
            <v>0</v>
          </cell>
          <cell r="BA41" t="str">
            <v>D</v>
          </cell>
          <cell r="BB41">
            <v>1</v>
          </cell>
          <cell r="BC41">
            <v>0</v>
          </cell>
          <cell r="BD41">
            <v>0</v>
          </cell>
          <cell r="BE41" t="str">
            <v>D</v>
          </cell>
          <cell r="BF41">
            <v>1</v>
          </cell>
          <cell r="BG41" t="str">
            <v>D</v>
          </cell>
          <cell r="BH41">
            <v>3</v>
          </cell>
          <cell r="BI41" t="str">
            <v>D</v>
          </cell>
          <cell r="BJ41">
            <v>3</v>
          </cell>
          <cell r="BK41" t="str">
            <v>D</v>
          </cell>
          <cell r="BL41">
            <v>3</v>
          </cell>
          <cell r="BM41" t="str">
            <v>D</v>
          </cell>
          <cell r="BN41">
            <v>3</v>
          </cell>
          <cell r="BO41" t="str">
            <v>D</v>
          </cell>
          <cell r="BP41">
            <v>2</v>
          </cell>
          <cell r="BQ41">
            <v>0</v>
          </cell>
          <cell r="BR41">
            <v>26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1</v>
          </cell>
          <cell r="BZ41">
            <v>27</v>
          </cell>
          <cell r="CA41">
            <v>57</v>
          </cell>
          <cell r="CB41">
            <v>0</v>
          </cell>
          <cell r="CC41">
            <v>0</v>
          </cell>
          <cell r="CD41">
            <v>2</v>
          </cell>
          <cell r="CE41">
            <v>0</v>
          </cell>
          <cell r="CF41">
            <v>140</v>
          </cell>
          <cell r="CG41">
            <v>0.5</v>
          </cell>
          <cell r="CH41">
            <v>0</v>
          </cell>
          <cell r="CI41">
            <v>70</v>
          </cell>
        </row>
        <row r="42">
          <cell r="A42" t="str">
            <v>A122</v>
          </cell>
          <cell r="B42" t="str">
            <v xml:space="preserve">Nguyễn Thị Ánh Nguyệt </v>
          </cell>
          <cell r="C42" t="str">
            <v>CII.4</v>
          </cell>
          <cell r="D42">
            <v>0</v>
          </cell>
          <cell r="E42">
            <v>40408</v>
          </cell>
          <cell r="F42">
            <v>2</v>
          </cell>
          <cell r="G42" t="str">
            <v>TS</v>
          </cell>
          <cell r="H42">
            <v>0</v>
          </cell>
          <cell r="I42" t="str">
            <v>TS</v>
          </cell>
          <cell r="J42">
            <v>0</v>
          </cell>
          <cell r="K42" t="str">
            <v>TS</v>
          </cell>
          <cell r="L42">
            <v>0</v>
          </cell>
          <cell r="M42">
            <v>0</v>
          </cell>
          <cell r="N42">
            <v>0</v>
          </cell>
          <cell r="O42" t="str">
            <v>TS</v>
          </cell>
          <cell r="P42">
            <v>0</v>
          </cell>
          <cell r="Q42" t="str">
            <v>TS</v>
          </cell>
          <cell r="R42">
            <v>0</v>
          </cell>
          <cell r="S42" t="str">
            <v>TS</v>
          </cell>
          <cell r="T42">
            <v>0</v>
          </cell>
          <cell r="U42" t="str">
            <v>TS</v>
          </cell>
          <cell r="V42">
            <v>0</v>
          </cell>
          <cell r="W42" t="str">
            <v>TS</v>
          </cell>
          <cell r="X42">
            <v>0</v>
          </cell>
          <cell r="Y42" t="str">
            <v>TS</v>
          </cell>
          <cell r="Z42">
            <v>0</v>
          </cell>
          <cell r="AA42">
            <v>0</v>
          </cell>
          <cell r="AB42">
            <v>0</v>
          </cell>
          <cell r="AC42" t="str">
            <v>TS</v>
          </cell>
          <cell r="AD42">
            <v>0</v>
          </cell>
          <cell r="AE42" t="str">
            <v>TS</v>
          </cell>
          <cell r="AF42">
            <v>0</v>
          </cell>
          <cell r="AG42" t="str">
            <v>TS</v>
          </cell>
          <cell r="AH42">
            <v>0</v>
          </cell>
          <cell r="AI42" t="str">
            <v>TS</v>
          </cell>
          <cell r="AJ42">
            <v>0</v>
          </cell>
          <cell r="AK42" t="str">
            <v>TS</v>
          </cell>
          <cell r="AL42">
            <v>0</v>
          </cell>
          <cell r="AM42" t="str">
            <v>TS</v>
          </cell>
          <cell r="AN42">
            <v>0</v>
          </cell>
          <cell r="AO42">
            <v>0</v>
          </cell>
          <cell r="AP42">
            <v>0</v>
          </cell>
          <cell r="AQ42" t="str">
            <v>TS</v>
          </cell>
          <cell r="AR42">
            <v>0</v>
          </cell>
          <cell r="AS42" t="str">
            <v>TS</v>
          </cell>
          <cell r="AT42">
            <v>0</v>
          </cell>
          <cell r="AU42" t="str">
            <v>TS</v>
          </cell>
          <cell r="AV42">
            <v>0</v>
          </cell>
          <cell r="AW42" t="str">
            <v>TS</v>
          </cell>
          <cell r="AX42">
            <v>0</v>
          </cell>
          <cell r="AY42" t="str">
            <v>TS</v>
          </cell>
          <cell r="AZ42">
            <v>0</v>
          </cell>
          <cell r="BA42" t="str">
            <v>TS</v>
          </cell>
          <cell r="BB42">
            <v>0</v>
          </cell>
          <cell r="BC42">
            <v>0</v>
          </cell>
          <cell r="BD42">
            <v>0</v>
          </cell>
          <cell r="BE42" t="str">
            <v>TS</v>
          </cell>
          <cell r="BF42">
            <v>0</v>
          </cell>
          <cell r="BG42" t="str">
            <v>TS</v>
          </cell>
          <cell r="BH42">
            <v>0</v>
          </cell>
          <cell r="BI42" t="str">
            <v>TS</v>
          </cell>
          <cell r="BJ42">
            <v>0</v>
          </cell>
          <cell r="BK42" t="str">
            <v>TS</v>
          </cell>
          <cell r="BL42">
            <v>0</v>
          </cell>
          <cell r="BM42" t="str">
            <v>TS</v>
          </cell>
          <cell r="BN42">
            <v>0</v>
          </cell>
          <cell r="BO42" t="str">
            <v>TS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3</v>
          </cell>
          <cell r="CH42">
            <v>0</v>
          </cell>
          <cell r="CI42">
            <v>70</v>
          </cell>
        </row>
        <row r="43">
          <cell r="A43" t="str">
            <v>A123</v>
          </cell>
          <cell r="B43" t="str">
            <v>Phạm Thị Kim Xuyến</v>
          </cell>
          <cell r="C43" t="str">
            <v>CI.1</v>
          </cell>
          <cell r="D43">
            <v>0</v>
          </cell>
          <cell r="E43">
            <v>40410</v>
          </cell>
          <cell r="F43">
            <v>3.5</v>
          </cell>
          <cell r="G43" t="str">
            <v>A</v>
          </cell>
          <cell r="H43">
            <v>4</v>
          </cell>
          <cell r="I43" t="str">
            <v>A</v>
          </cell>
          <cell r="J43">
            <v>4</v>
          </cell>
          <cell r="K43" t="str">
            <v>NT7</v>
          </cell>
          <cell r="L43">
            <v>0</v>
          </cell>
          <cell r="M43">
            <v>0</v>
          </cell>
          <cell r="N43">
            <v>0</v>
          </cell>
          <cell r="O43" t="str">
            <v>C</v>
          </cell>
          <cell r="P43">
            <v>4</v>
          </cell>
          <cell r="Q43" t="str">
            <v>C</v>
          </cell>
          <cell r="R43">
            <v>4</v>
          </cell>
          <cell r="S43" t="str">
            <v>C</v>
          </cell>
          <cell r="T43">
            <v>4</v>
          </cell>
          <cell r="U43" t="str">
            <v>C</v>
          </cell>
          <cell r="V43">
            <v>4</v>
          </cell>
          <cell r="W43" t="str">
            <v>C</v>
          </cell>
          <cell r="X43">
            <v>4</v>
          </cell>
          <cell r="Y43" t="str">
            <v>B</v>
          </cell>
          <cell r="Z43">
            <v>3.5</v>
          </cell>
          <cell r="AA43">
            <v>0</v>
          </cell>
          <cell r="AB43">
            <v>0</v>
          </cell>
          <cell r="AC43" t="str">
            <v>NT7</v>
          </cell>
          <cell r="AD43">
            <v>0</v>
          </cell>
          <cell r="AE43" t="str">
            <v>D</v>
          </cell>
          <cell r="AF43">
            <v>0</v>
          </cell>
          <cell r="AG43" t="str">
            <v>A</v>
          </cell>
          <cell r="AH43">
            <v>4</v>
          </cell>
          <cell r="AI43" t="str">
            <v>A</v>
          </cell>
          <cell r="AJ43">
            <v>4</v>
          </cell>
          <cell r="AK43" t="str">
            <v>A</v>
          </cell>
          <cell r="AL43">
            <v>4</v>
          </cell>
          <cell r="AM43" t="str">
            <v>A</v>
          </cell>
          <cell r="AN43">
            <v>4</v>
          </cell>
          <cell r="AO43">
            <v>0</v>
          </cell>
          <cell r="AP43">
            <v>0</v>
          </cell>
          <cell r="AQ43" t="str">
            <v>HH</v>
          </cell>
          <cell r="AR43">
            <v>0</v>
          </cell>
          <cell r="AS43" t="str">
            <v>HH</v>
          </cell>
          <cell r="AT43">
            <v>0</v>
          </cell>
          <cell r="AU43" t="str">
            <v>C</v>
          </cell>
          <cell r="AV43">
            <v>4</v>
          </cell>
          <cell r="AW43" t="str">
            <v>C</v>
          </cell>
          <cell r="AX43">
            <v>4</v>
          </cell>
          <cell r="AY43" t="str">
            <v>C</v>
          </cell>
          <cell r="AZ43">
            <v>4</v>
          </cell>
          <cell r="BA43" t="str">
            <v>C</v>
          </cell>
          <cell r="BB43">
            <v>4</v>
          </cell>
          <cell r="BC43">
            <v>0</v>
          </cell>
          <cell r="BD43">
            <v>8</v>
          </cell>
          <cell r="BE43" t="str">
            <v>A</v>
          </cell>
          <cell r="BF43">
            <v>4</v>
          </cell>
          <cell r="BG43" t="str">
            <v>A</v>
          </cell>
          <cell r="BH43">
            <v>4</v>
          </cell>
          <cell r="BI43" t="str">
            <v>D</v>
          </cell>
          <cell r="BJ43">
            <v>0</v>
          </cell>
          <cell r="BK43" t="str">
            <v>A</v>
          </cell>
          <cell r="BL43">
            <v>4</v>
          </cell>
          <cell r="BM43" t="str">
            <v>A</v>
          </cell>
          <cell r="BN43">
            <v>4</v>
          </cell>
          <cell r="BO43" t="str">
            <v>P</v>
          </cell>
          <cell r="BP43">
            <v>0</v>
          </cell>
          <cell r="BQ43">
            <v>10</v>
          </cell>
          <cell r="BR43">
            <v>2</v>
          </cell>
          <cell r="BS43">
            <v>1</v>
          </cell>
          <cell r="BT43">
            <v>9</v>
          </cell>
          <cell r="BU43">
            <v>0</v>
          </cell>
          <cell r="BV43">
            <v>0</v>
          </cell>
          <cell r="BW43">
            <v>2</v>
          </cell>
          <cell r="BX43">
            <v>2</v>
          </cell>
          <cell r="BY43">
            <v>1</v>
          </cell>
          <cell r="BZ43">
            <v>27</v>
          </cell>
          <cell r="CA43">
            <v>79.5</v>
          </cell>
          <cell r="CB43">
            <v>8</v>
          </cell>
          <cell r="CC43">
            <v>0</v>
          </cell>
          <cell r="CD43">
            <v>0</v>
          </cell>
          <cell r="CE43">
            <v>1</v>
          </cell>
          <cell r="CF43">
            <v>0</v>
          </cell>
          <cell r="CG43">
            <v>3.5</v>
          </cell>
          <cell r="CH43">
            <v>16</v>
          </cell>
          <cell r="CI43">
            <v>70</v>
          </cell>
        </row>
        <row r="44">
          <cell r="A44" t="str">
            <v>A128</v>
          </cell>
          <cell r="B44" t="str">
            <v>Nguyễn Minh Hải</v>
          </cell>
          <cell r="C44" t="str">
            <v>Kho</v>
          </cell>
          <cell r="D44">
            <v>0</v>
          </cell>
          <cell r="E44">
            <v>40425</v>
          </cell>
          <cell r="F44">
            <v>6</v>
          </cell>
          <cell r="G44" t="str">
            <v>NT7</v>
          </cell>
          <cell r="H44">
            <v>0</v>
          </cell>
          <cell r="I44" t="str">
            <v>D</v>
          </cell>
          <cell r="J44">
            <v>2</v>
          </cell>
          <cell r="K44" t="str">
            <v>D</v>
          </cell>
          <cell r="L44">
            <v>1.5</v>
          </cell>
          <cell r="M44">
            <v>0</v>
          </cell>
          <cell r="N44">
            <v>0</v>
          </cell>
          <cell r="O44" t="str">
            <v>D</v>
          </cell>
          <cell r="P44">
            <v>0.5</v>
          </cell>
          <cell r="Q44" t="str">
            <v>D</v>
          </cell>
          <cell r="R44">
            <v>1.5</v>
          </cell>
          <cell r="S44" t="str">
            <v>D</v>
          </cell>
          <cell r="T44">
            <v>3</v>
          </cell>
          <cell r="U44" t="str">
            <v>D</v>
          </cell>
          <cell r="V44">
            <v>0.5</v>
          </cell>
          <cell r="W44" t="str">
            <v>D</v>
          </cell>
          <cell r="X44">
            <v>3</v>
          </cell>
          <cell r="Y44" t="str">
            <v>D</v>
          </cell>
          <cell r="Z44">
            <v>0</v>
          </cell>
          <cell r="AA44">
            <v>0</v>
          </cell>
          <cell r="AB44">
            <v>0</v>
          </cell>
          <cell r="AC44" t="str">
            <v>D</v>
          </cell>
          <cell r="AD44">
            <v>3</v>
          </cell>
          <cell r="AE44" t="str">
            <v>D</v>
          </cell>
          <cell r="AF44">
            <v>0.5</v>
          </cell>
          <cell r="AG44" t="str">
            <v>D</v>
          </cell>
          <cell r="AH44">
            <v>2.5</v>
          </cell>
          <cell r="AI44" t="str">
            <v>D</v>
          </cell>
          <cell r="AJ44">
            <v>0.5</v>
          </cell>
          <cell r="AK44" t="str">
            <v>D</v>
          </cell>
          <cell r="AL44">
            <v>2</v>
          </cell>
          <cell r="AM44" t="str">
            <v>D</v>
          </cell>
          <cell r="AN44">
            <v>0</v>
          </cell>
          <cell r="AO44">
            <v>0</v>
          </cell>
          <cell r="AP44">
            <v>0</v>
          </cell>
          <cell r="AQ44" t="str">
            <v>D</v>
          </cell>
          <cell r="AR44">
            <v>0.5</v>
          </cell>
          <cell r="AS44" t="str">
            <v>D</v>
          </cell>
          <cell r="AT44">
            <v>3</v>
          </cell>
          <cell r="AU44" t="str">
            <v>D</v>
          </cell>
          <cell r="AV44">
            <v>1.5</v>
          </cell>
          <cell r="AW44" t="str">
            <v>A</v>
          </cell>
          <cell r="AX44">
            <v>4</v>
          </cell>
          <cell r="AY44" t="str">
            <v>D</v>
          </cell>
          <cell r="AZ44">
            <v>0.5</v>
          </cell>
          <cell r="BA44" t="str">
            <v>D</v>
          </cell>
          <cell r="BB44">
            <v>0.5</v>
          </cell>
          <cell r="BC44">
            <v>0</v>
          </cell>
          <cell r="BD44">
            <v>0</v>
          </cell>
          <cell r="BE44" t="str">
            <v>A</v>
          </cell>
          <cell r="BF44">
            <v>4</v>
          </cell>
          <cell r="BG44" t="str">
            <v>D</v>
          </cell>
          <cell r="BH44">
            <v>2.5</v>
          </cell>
          <cell r="BI44" t="str">
            <v>D</v>
          </cell>
          <cell r="BJ44">
            <v>1.5</v>
          </cell>
          <cell r="BK44" t="str">
            <v>D</v>
          </cell>
          <cell r="BL44">
            <v>0.5</v>
          </cell>
          <cell r="BM44" t="str">
            <v>A</v>
          </cell>
          <cell r="BN44">
            <v>4.5</v>
          </cell>
          <cell r="BO44" t="str">
            <v>D</v>
          </cell>
          <cell r="BP44">
            <v>2</v>
          </cell>
          <cell r="BQ44">
            <v>3</v>
          </cell>
          <cell r="BR44">
            <v>23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1</v>
          </cell>
          <cell r="BY44">
            <v>0</v>
          </cell>
          <cell r="BZ44">
            <v>27</v>
          </cell>
          <cell r="CA44">
            <v>45.5</v>
          </cell>
          <cell r="CB44">
            <v>0</v>
          </cell>
          <cell r="CC44">
            <v>0</v>
          </cell>
          <cell r="CD44">
            <v>1</v>
          </cell>
          <cell r="CE44">
            <v>0</v>
          </cell>
          <cell r="CF44">
            <v>70</v>
          </cell>
          <cell r="CG44">
            <v>7</v>
          </cell>
          <cell r="CH44">
            <v>0</v>
          </cell>
          <cell r="CI44">
            <v>70</v>
          </cell>
        </row>
        <row r="45">
          <cell r="A45" t="str">
            <v>A133</v>
          </cell>
          <cell r="B45" t="str">
            <v>Trần Thị Nương</v>
          </cell>
          <cell r="C45" t="str">
            <v>CII.1</v>
          </cell>
          <cell r="D45">
            <v>0</v>
          </cell>
          <cell r="E45">
            <v>40430</v>
          </cell>
          <cell r="F45">
            <v>0</v>
          </cell>
          <cell r="G45" t="str">
            <v>A</v>
          </cell>
          <cell r="H45">
            <v>4</v>
          </cell>
          <cell r="I45" t="str">
            <v>A</v>
          </cell>
          <cell r="J45">
            <v>4</v>
          </cell>
          <cell r="K45" t="str">
            <v>D</v>
          </cell>
          <cell r="L45">
            <v>0</v>
          </cell>
          <cell r="M45">
            <v>0</v>
          </cell>
          <cell r="N45">
            <v>0</v>
          </cell>
          <cell r="O45" t="str">
            <v>C</v>
          </cell>
          <cell r="P45">
            <v>4</v>
          </cell>
          <cell r="Q45" t="str">
            <v>C</v>
          </cell>
          <cell r="R45">
            <v>4</v>
          </cell>
          <cell r="S45" t="str">
            <v>C</v>
          </cell>
          <cell r="T45">
            <v>4</v>
          </cell>
          <cell r="U45" t="str">
            <v>C</v>
          </cell>
          <cell r="V45">
            <v>4</v>
          </cell>
          <cell r="W45" t="str">
            <v>C</v>
          </cell>
          <cell r="X45">
            <v>4</v>
          </cell>
          <cell r="Y45" t="str">
            <v>HH</v>
          </cell>
          <cell r="Z45">
            <v>0</v>
          </cell>
          <cell r="AA45">
            <v>0</v>
          </cell>
          <cell r="AB45">
            <v>0</v>
          </cell>
          <cell r="AC45" t="str">
            <v>A</v>
          </cell>
          <cell r="AD45">
            <v>4</v>
          </cell>
          <cell r="AE45" t="str">
            <v>A</v>
          </cell>
          <cell r="AF45">
            <v>4</v>
          </cell>
          <cell r="AG45" t="str">
            <v>A</v>
          </cell>
          <cell r="AH45">
            <v>4</v>
          </cell>
          <cell r="AI45" t="str">
            <v>A</v>
          </cell>
          <cell r="AJ45">
            <v>4</v>
          </cell>
          <cell r="AK45" t="str">
            <v>A</v>
          </cell>
          <cell r="AL45">
            <v>4</v>
          </cell>
          <cell r="AM45" t="str">
            <v>D</v>
          </cell>
          <cell r="AN45">
            <v>0</v>
          </cell>
          <cell r="AO45">
            <v>0</v>
          </cell>
          <cell r="AP45">
            <v>0</v>
          </cell>
          <cell r="AQ45" t="str">
            <v>C</v>
          </cell>
          <cell r="AR45">
            <v>4</v>
          </cell>
          <cell r="AS45" t="str">
            <v>C</v>
          </cell>
          <cell r="AT45">
            <v>4</v>
          </cell>
          <cell r="AU45" t="str">
            <v>C</v>
          </cell>
          <cell r="AV45">
            <v>4</v>
          </cell>
          <cell r="AW45" t="str">
            <v>C</v>
          </cell>
          <cell r="AX45">
            <v>4</v>
          </cell>
          <cell r="AY45" t="str">
            <v>C</v>
          </cell>
          <cell r="AZ45">
            <v>4</v>
          </cell>
          <cell r="BA45" t="str">
            <v>HH</v>
          </cell>
          <cell r="BB45">
            <v>0</v>
          </cell>
          <cell r="BC45">
            <v>0</v>
          </cell>
          <cell r="BD45">
            <v>0</v>
          </cell>
          <cell r="BE45" t="str">
            <v>A</v>
          </cell>
          <cell r="BF45">
            <v>4</v>
          </cell>
          <cell r="BG45" t="str">
            <v>A</v>
          </cell>
          <cell r="BH45">
            <v>4</v>
          </cell>
          <cell r="BI45" t="str">
            <v>A</v>
          </cell>
          <cell r="BJ45">
            <v>4</v>
          </cell>
          <cell r="BK45" t="str">
            <v>A</v>
          </cell>
          <cell r="BL45">
            <v>4</v>
          </cell>
          <cell r="BM45" t="str">
            <v>A</v>
          </cell>
          <cell r="BN45">
            <v>4</v>
          </cell>
          <cell r="BO45" t="str">
            <v>D</v>
          </cell>
          <cell r="BP45">
            <v>0</v>
          </cell>
          <cell r="BQ45">
            <v>12</v>
          </cell>
          <cell r="BR45">
            <v>3</v>
          </cell>
          <cell r="BS45">
            <v>0</v>
          </cell>
          <cell r="BT45">
            <v>10</v>
          </cell>
          <cell r="BU45">
            <v>0</v>
          </cell>
          <cell r="BV45">
            <v>0</v>
          </cell>
          <cell r="BW45">
            <v>2</v>
          </cell>
          <cell r="BX45">
            <v>0</v>
          </cell>
          <cell r="BY45">
            <v>0</v>
          </cell>
          <cell r="BZ45">
            <v>27</v>
          </cell>
          <cell r="CA45">
            <v>88</v>
          </cell>
          <cell r="CB45">
            <v>0</v>
          </cell>
          <cell r="CC45">
            <v>0</v>
          </cell>
          <cell r="CD45">
            <v>2</v>
          </cell>
          <cell r="CE45">
            <v>0</v>
          </cell>
          <cell r="CF45">
            <v>300</v>
          </cell>
          <cell r="CG45">
            <v>1</v>
          </cell>
          <cell r="CH45">
            <v>0</v>
          </cell>
          <cell r="CI45">
            <v>150</v>
          </cell>
        </row>
        <row r="46">
          <cell r="A46" t="str">
            <v>A135</v>
          </cell>
          <cell r="B46" t="str">
            <v>Nguyễn Thị Kim Phương</v>
          </cell>
          <cell r="C46" t="str">
            <v>CII.4</v>
          </cell>
          <cell r="D46">
            <v>0</v>
          </cell>
          <cell r="E46">
            <v>40432</v>
          </cell>
          <cell r="F46">
            <v>2.5</v>
          </cell>
          <cell r="G46" t="str">
            <v>A</v>
          </cell>
          <cell r="H46">
            <v>4</v>
          </cell>
          <cell r="I46" t="str">
            <v>A</v>
          </cell>
          <cell r="J46">
            <v>4</v>
          </cell>
          <cell r="K46" t="str">
            <v>A</v>
          </cell>
          <cell r="L46">
            <v>4</v>
          </cell>
          <cell r="M46">
            <v>0</v>
          </cell>
          <cell r="N46">
            <v>0</v>
          </cell>
          <cell r="O46" t="str">
            <v>C</v>
          </cell>
          <cell r="P46">
            <v>4</v>
          </cell>
          <cell r="Q46" t="str">
            <v>HH</v>
          </cell>
          <cell r="R46">
            <v>0</v>
          </cell>
          <cell r="S46" t="str">
            <v>NT7</v>
          </cell>
          <cell r="T46">
            <v>0</v>
          </cell>
          <cell r="U46" t="str">
            <v>C</v>
          </cell>
          <cell r="V46">
            <v>4</v>
          </cell>
          <cell r="W46" t="str">
            <v>C</v>
          </cell>
          <cell r="X46">
            <v>4</v>
          </cell>
          <cell r="Y46" t="str">
            <v>C</v>
          </cell>
          <cell r="Z46">
            <v>4</v>
          </cell>
          <cell r="AA46">
            <v>0</v>
          </cell>
          <cell r="AB46">
            <v>0</v>
          </cell>
          <cell r="AC46" t="str">
            <v>D</v>
          </cell>
          <cell r="AD46">
            <v>0</v>
          </cell>
          <cell r="AE46" t="str">
            <v>A</v>
          </cell>
          <cell r="AF46">
            <v>4</v>
          </cell>
          <cell r="AG46" t="str">
            <v>A</v>
          </cell>
          <cell r="AH46">
            <v>4</v>
          </cell>
          <cell r="AI46" t="str">
            <v>A</v>
          </cell>
          <cell r="AJ46">
            <v>4</v>
          </cell>
          <cell r="AK46" t="str">
            <v>P</v>
          </cell>
          <cell r="AL46">
            <v>0</v>
          </cell>
          <cell r="AM46" t="str">
            <v>A</v>
          </cell>
          <cell r="AN46">
            <v>4</v>
          </cell>
          <cell r="AO46">
            <v>0</v>
          </cell>
          <cell r="AP46">
            <v>12</v>
          </cell>
          <cell r="AQ46" t="str">
            <v>C</v>
          </cell>
          <cell r="AR46">
            <v>4</v>
          </cell>
          <cell r="AS46" t="str">
            <v>C</v>
          </cell>
          <cell r="AT46">
            <v>4</v>
          </cell>
          <cell r="AU46" t="str">
            <v>C</v>
          </cell>
          <cell r="AV46">
            <v>4</v>
          </cell>
          <cell r="AW46" t="str">
            <v>C</v>
          </cell>
          <cell r="AX46">
            <v>4</v>
          </cell>
          <cell r="AY46" t="str">
            <v>C</v>
          </cell>
          <cell r="AZ46">
            <v>4</v>
          </cell>
          <cell r="BA46" t="str">
            <v>C</v>
          </cell>
          <cell r="BB46">
            <v>4</v>
          </cell>
          <cell r="BC46">
            <v>0</v>
          </cell>
          <cell r="BD46">
            <v>12</v>
          </cell>
          <cell r="BE46" t="str">
            <v>C</v>
          </cell>
          <cell r="BF46">
            <v>4</v>
          </cell>
          <cell r="BG46" t="str">
            <v>C</v>
          </cell>
          <cell r="BH46">
            <v>4</v>
          </cell>
          <cell r="BI46" t="str">
            <v>C</v>
          </cell>
          <cell r="BJ46">
            <v>4</v>
          </cell>
          <cell r="BK46" t="str">
            <v>NT7</v>
          </cell>
          <cell r="BL46">
            <v>0</v>
          </cell>
          <cell r="BM46" t="str">
            <v>A</v>
          </cell>
          <cell r="BN46">
            <v>4</v>
          </cell>
          <cell r="BO46" t="str">
            <v>A</v>
          </cell>
          <cell r="BP46">
            <v>4</v>
          </cell>
          <cell r="BQ46">
            <v>9</v>
          </cell>
          <cell r="BR46">
            <v>1</v>
          </cell>
          <cell r="BS46">
            <v>0</v>
          </cell>
          <cell r="BT46">
            <v>13</v>
          </cell>
          <cell r="BU46">
            <v>0</v>
          </cell>
          <cell r="BV46">
            <v>0</v>
          </cell>
          <cell r="BW46">
            <v>1</v>
          </cell>
          <cell r="BX46">
            <v>2</v>
          </cell>
          <cell r="BY46">
            <v>1</v>
          </cell>
          <cell r="BZ46">
            <v>27</v>
          </cell>
          <cell r="CA46">
            <v>88</v>
          </cell>
          <cell r="CB46">
            <v>24</v>
          </cell>
          <cell r="CC46">
            <v>0</v>
          </cell>
          <cell r="CD46">
            <v>0</v>
          </cell>
          <cell r="CE46">
            <v>3</v>
          </cell>
          <cell r="CF46">
            <v>0</v>
          </cell>
          <cell r="CG46">
            <v>2.5</v>
          </cell>
          <cell r="CH46">
            <v>48</v>
          </cell>
          <cell r="CI46">
            <v>150</v>
          </cell>
        </row>
        <row r="47">
          <cell r="A47" t="str">
            <v>A144</v>
          </cell>
          <cell r="B47" t="str">
            <v>Bùi Thị Bòn</v>
          </cell>
          <cell r="C47" t="str">
            <v>QCX</v>
          </cell>
          <cell r="D47">
            <v>0</v>
          </cell>
          <cell r="E47">
            <v>40438</v>
          </cell>
          <cell r="F47">
            <v>0</v>
          </cell>
          <cell r="G47" t="str">
            <v>A</v>
          </cell>
          <cell r="H47">
            <v>4</v>
          </cell>
          <cell r="I47" t="str">
            <v>D</v>
          </cell>
          <cell r="J47">
            <v>0</v>
          </cell>
          <cell r="K47" t="str">
            <v>D</v>
          </cell>
          <cell r="L47">
            <v>0</v>
          </cell>
          <cell r="M47">
            <v>0</v>
          </cell>
          <cell r="N47">
            <v>8</v>
          </cell>
          <cell r="O47" t="str">
            <v>C</v>
          </cell>
          <cell r="P47">
            <v>4</v>
          </cell>
          <cell r="Q47" t="str">
            <v>C</v>
          </cell>
          <cell r="R47">
            <v>4</v>
          </cell>
          <cell r="S47" t="str">
            <v>NT7</v>
          </cell>
          <cell r="T47">
            <v>0</v>
          </cell>
          <cell r="U47" t="str">
            <v>C</v>
          </cell>
          <cell r="V47">
            <v>4</v>
          </cell>
          <cell r="W47" t="str">
            <v>C</v>
          </cell>
          <cell r="X47">
            <v>4</v>
          </cell>
          <cell r="Y47" t="str">
            <v>NT7</v>
          </cell>
          <cell r="Z47">
            <v>0</v>
          </cell>
          <cell r="AA47">
            <v>0</v>
          </cell>
          <cell r="AB47">
            <v>8</v>
          </cell>
          <cell r="AC47" t="str">
            <v>A</v>
          </cell>
          <cell r="AD47">
            <v>4</v>
          </cell>
          <cell r="AE47" t="str">
            <v>A</v>
          </cell>
          <cell r="AF47">
            <v>4</v>
          </cell>
          <cell r="AG47" t="str">
            <v>A</v>
          </cell>
          <cell r="AH47">
            <v>4</v>
          </cell>
          <cell r="AI47" t="str">
            <v>A</v>
          </cell>
          <cell r="AJ47">
            <v>4</v>
          </cell>
          <cell r="AK47" t="str">
            <v>A</v>
          </cell>
          <cell r="AL47">
            <v>4</v>
          </cell>
          <cell r="AM47" t="str">
            <v>D</v>
          </cell>
          <cell r="AN47">
            <v>0</v>
          </cell>
          <cell r="AO47">
            <v>0</v>
          </cell>
          <cell r="AP47">
            <v>6</v>
          </cell>
          <cell r="AQ47" t="str">
            <v>C</v>
          </cell>
          <cell r="AR47">
            <v>4</v>
          </cell>
          <cell r="AS47" t="str">
            <v>C</v>
          </cell>
          <cell r="AT47">
            <v>4</v>
          </cell>
          <cell r="AU47" t="str">
            <v>C</v>
          </cell>
          <cell r="AV47">
            <v>4</v>
          </cell>
          <cell r="AW47" t="str">
            <v>C</v>
          </cell>
          <cell r="AX47">
            <v>4</v>
          </cell>
          <cell r="AY47" t="str">
            <v>C</v>
          </cell>
          <cell r="AZ47">
            <v>4</v>
          </cell>
          <cell r="BA47" t="str">
            <v>P</v>
          </cell>
          <cell r="BB47">
            <v>0</v>
          </cell>
          <cell r="BC47">
            <v>0</v>
          </cell>
          <cell r="BD47">
            <v>0</v>
          </cell>
          <cell r="BE47" t="str">
            <v>A</v>
          </cell>
          <cell r="BF47">
            <v>4</v>
          </cell>
          <cell r="BG47" t="str">
            <v>A</v>
          </cell>
          <cell r="BH47">
            <v>4</v>
          </cell>
          <cell r="BI47" t="str">
            <v>A</v>
          </cell>
          <cell r="BJ47">
            <v>4</v>
          </cell>
          <cell r="BK47" t="str">
            <v>A</v>
          </cell>
          <cell r="BL47">
            <v>4</v>
          </cell>
          <cell r="BM47" t="str">
            <v>A</v>
          </cell>
          <cell r="BN47">
            <v>4</v>
          </cell>
          <cell r="BO47" t="str">
            <v>A</v>
          </cell>
          <cell r="BP47">
            <v>4</v>
          </cell>
          <cell r="BQ47">
            <v>12</v>
          </cell>
          <cell r="BR47">
            <v>3</v>
          </cell>
          <cell r="BS47">
            <v>0</v>
          </cell>
          <cell r="BT47">
            <v>9</v>
          </cell>
          <cell r="BU47">
            <v>0</v>
          </cell>
          <cell r="BV47">
            <v>0</v>
          </cell>
          <cell r="BW47">
            <v>0</v>
          </cell>
          <cell r="BX47">
            <v>2</v>
          </cell>
          <cell r="BY47">
            <v>1</v>
          </cell>
          <cell r="BZ47">
            <v>27</v>
          </cell>
          <cell r="CA47">
            <v>84</v>
          </cell>
          <cell r="CB47">
            <v>22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70</v>
          </cell>
        </row>
        <row r="48">
          <cell r="A48" t="str">
            <v>A145</v>
          </cell>
          <cell r="B48" t="str">
            <v>Bùi Thị Linh</v>
          </cell>
          <cell r="C48" t="str">
            <v>PHOI</v>
          </cell>
          <cell r="D48">
            <v>0</v>
          </cell>
          <cell r="E48">
            <v>40438</v>
          </cell>
          <cell r="F48">
            <v>3</v>
          </cell>
          <cell r="G48" t="str">
            <v>A</v>
          </cell>
          <cell r="H48">
            <v>5</v>
          </cell>
          <cell r="I48" t="str">
            <v>A</v>
          </cell>
          <cell r="J48">
            <v>6</v>
          </cell>
          <cell r="K48" t="str">
            <v>D</v>
          </cell>
          <cell r="L48">
            <v>0</v>
          </cell>
          <cell r="M48">
            <v>0</v>
          </cell>
          <cell r="N48">
            <v>12</v>
          </cell>
          <cell r="O48" t="str">
            <v>A</v>
          </cell>
          <cell r="P48">
            <v>6</v>
          </cell>
          <cell r="Q48" t="str">
            <v>A</v>
          </cell>
          <cell r="R48">
            <v>6</v>
          </cell>
          <cell r="S48" t="str">
            <v>A</v>
          </cell>
          <cell r="T48">
            <v>6</v>
          </cell>
          <cell r="U48" t="str">
            <v>A</v>
          </cell>
          <cell r="V48">
            <v>4</v>
          </cell>
          <cell r="W48" t="str">
            <v>A</v>
          </cell>
          <cell r="X48">
            <v>6</v>
          </cell>
          <cell r="Y48" t="str">
            <v>A</v>
          </cell>
          <cell r="Z48">
            <v>6</v>
          </cell>
          <cell r="AA48">
            <v>0</v>
          </cell>
          <cell r="AB48">
            <v>0</v>
          </cell>
          <cell r="AC48" t="str">
            <v>A</v>
          </cell>
          <cell r="AD48">
            <v>6</v>
          </cell>
          <cell r="AE48" t="str">
            <v>A</v>
          </cell>
          <cell r="AF48">
            <v>6</v>
          </cell>
          <cell r="AG48" t="str">
            <v>A</v>
          </cell>
          <cell r="AH48">
            <v>6</v>
          </cell>
          <cell r="AI48" t="str">
            <v>A</v>
          </cell>
          <cell r="AJ48">
            <v>6</v>
          </cell>
          <cell r="AK48" t="str">
            <v>A</v>
          </cell>
          <cell r="AL48">
            <v>6</v>
          </cell>
          <cell r="AM48" t="str">
            <v>A</v>
          </cell>
          <cell r="AN48">
            <v>6</v>
          </cell>
          <cell r="AO48">
            <v>0</v>
          </cell>
          <cell r="AP48">
            <v>0</v>
          </cell>
          <cell r="AQ48" t="str">
            <v>A</v>
          </cell>
          <cell r="AR48">
            <v>6</v>
          </cell>
          <cell r="AS48" t="str">
            <v>A</v>
          </cell>
          <cell r="AT48">
            <v>6</v>
          </cell>
          <cell r="AU48" t="str">
            <v>A</v>
          </cell>
          <cell r="AV48">
            <v>6</v>
          </cell>
          <cell r="AW48" t="str">
            <v>A</v>
          </cell>
          <cell r="AX48">
            <v>6</v>
          </cell>
          <cell r="AY48" t="str">
            <v>A</v>
          </cell>
          <cell r="AZ48">
            <v>6</v>
          </cell>
          <cell r="BA48" t="str">
            <v>A</v>
          </cell>
          <cell r="BB48">
            <v>4</v>
          </cell>
          <cell r="BC48">
            <v>0</v>
          </cell>
          <cell r="BD48">
            <v>12</v>
          </cell>
          <cell r="BE48" t="str">
            <v>A</v>
          </cell>
          <cell r="BF48">
            <v>6</v>
          </cell>
          <cell r="BG48" t="str">
            <v>A</v>
          </cell>
          <cell r="BH48">
            <v>6</v>
          </cell>
          <cell r="BI48" t="str">
            <v>A</v>
          </cell>
          <cell r="BJ48">
            <v>6</v>
          </cell>
          <cell r="BK48" t="str">
            <v>D</v>
          </cell>
          <cell r="BL48">
            <v>0</v>
          </cell>
          <cell r="BM48" t="str">
            <v>A</v>
          </cell>
          <cell r="BN48">
            <v>6</v>
          </cell>
          <cell r="BO48" t="str">
            <v>A</v>
          </cell>
          <cell r="BP48">
            <v>4</v>
          </cell>
          <cell r="BQ48">
            <v>25</v>
          </cell>
          <cell r="BR48">
            <v>2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27</v>
          </cell>
          <cell r="CA48">
            <v>143</v>
          </cell>
          <cell r="CB48">
            <v>24</v>
          </cell>
          <cell r="CC48">
            <v>0</v>
          </cell>
          <cell r="CD48">
            <v>2</v>
          </cell>
          <cell r="CE48">
            <v>2</v>
          </cell>
          <cell r="CF48">
            <v>140</v>
          </cell>
          <cell r="CG48">
            <v>4</v>
          </cell>
          <cell r="CH48">
            <v>32</v>
          </cell>
          <cell r="CI48">
            <v>70</v>
          </cell>
        </row>
        <row r="49">
          <cell r="A49" t="str">
            <v>A148</v>
          </cell>
          <cell r="B49" t="str">
            <v>Huỳnh Thị Châu</v>
          </cell>
          <cell r="C49" t="str">
            <v>EN</v>
          </cell>
          <cell r="D49">
            <v>0</v>
          </cell>
          <cell r="E49">
            <v>40441</v>
          </cell>
          <cell r="F49">
            <v>8.5</v>
          </cell>
          <cell r="G49" t="str">
            <v>A</v>
          </cell>
          <cell r="H49">
            <v>7</v>
          </cell>
          <cell r="I49" t="str">
            <v>A</v>
          </cell>
          <cell r="J49">
            <v>4</v>
          </cell>
          <cell r="K49" t="str">
            <v>A</v>
          </cell>
          <cell r="L49">
            <v>7</v>
          </cell>
          <cell r="M49">
            <v>0</v>
          </cell>
          <cell r="N49">
            <v>0</v>
          </cell>
          <cell r="O49" t="str">
            <v>C</v>
          </cell>
          <cell r="P49">
            <v>4</v>
          </cell>
          <cell r="Q49" t="str">
            <v>C</v>
          </cell>
          <cell r="R49">
            <v>4</v>
          </cell>
          <cell r="S49" t="str">
            <v>C</v>
          </cell>
          <cell r="T49">
            <v>4</v>
          </cell>
          <cell r="U49" t="str">
            <v>C</v>
          </cell>
          <cell r="V49">
            <v>4</v>
          </cell>
          <cell r="W49" t="str">
            <v>C</v>
          </cell>
          <cell r="X49">
            <v>4</v>
          </cell>
          <cell r="Y49" t="str">
            <v>C</v>
          </cell>
          <cell r="Z49">
            <v>4</v>
          </cell>
          <cell r="AA49">
            <v>0</v>
          </cell>
          <cell r="AB49">
            <v>0</v>
          </cell>
          <cell r="AC49" t="str">
            <v>NT7</v>
          </cell>
          <cell r="AD49">
            <v>0</v>
          </cell>
          <cell r="AE49" t="str">
            <v>A</v>
          </cell>
          <cell r="AF49">
            <v>4</v>
          </cell>
          <cell r="AG49" t="str">
            <v>A</v>
          </cell>
          <cell r="AH49">
            <v>4</v>
          </cell>
          <cell r="AI49" t="str">
            <v>A</v>
          </cell>
          <cell r="AJ49">
            <v>4</v>
          </cell>
          <cell r="AK49" t="str">
            <v>A</v>
          </cell>
          <cell r="AL49">
            <v>4</v>
          </cell>
          <cell r="AM49" t="str">
            <v>A</v>
          </cell>
          <cell r="AN49">
            <v>4</v>
          </cell>
          <cell r="AO49">
            <v>0</v>
          </cell>
          <cell r="AP49">
            <v>0</v>
          </cell>
          <cell r="AQ49" t="str">
            <v>C</v>
          </cell>
          <cell r="AR49">
            <v>4</v>
          </cell>
          <cell r="AS49" t="str">
            <v>C</v>
          </cell>
          <cell r="AT49">
            <v>4</v>
          </cell>
          <cell r="AU49" t="str">
            <v>C</v>
          </cell>
          <cell r="AV49">
            <v>4</v>
          </cell>
          <cell r="AW49" t="str">
            <v>C</v>
          </cell>
          <cell r="AX49">
            <v>4</v>
          </cell>
          <cell r="AY49" t="str">
            <v>C</v>
          </cell>
          <cell r="AZ49">
            <v>7</v>
          </cell>
          <cell r="BA49" t="str">
            <v>C</v>
          </cell>
          <cell r="BB49">
            <v>4</v>
          </cell>
          <cell r="BC49">
            <v>0</v>
          </cell>
          <cell r="BD49">
            <v>0</v>
          </cell>
          <cell r="BE49" t="str">
            <v>A</v>
          </cell>
          <cell r="BF49">
            <v>4</v>
          </cell>
          <cell r="BG49" t="str">
            <v>A</v>
          </cell>
          <cell r="BH49">
            <v>4</v>
          </cell>
          <cell r="BI49" t="str">
            <v>A</v>
          </cell>
          <cell r="BJ49">
            <v>4</v>
          </cell>
          <cell r="BK49" t="str">
            <v>A</v>
          </cell>
          <cell r="BL49">
            <v>4</v>
          </cell>
          <cell r="BM49" t="str">
            <v>A</v>
          </cell>
          <cell r="BN49">
            <v>4</v>
          </cell>
          <cell r="BO49" t="str">
            <v>A</v>
          </cell>
          <cell r="BP49">
            <v>4</v>
          </cell>
          <cell r="BQ49">
            <v>14</v>
          </cell>
          <cell r="BR49">
            <v>0</v>
          </cell>
          <cell r="BS49">
            <v>0</v>
          </cell>
          <cell r="BT49">
            <v>12</v>
          </cell>
          <cell r="BU49">
            <v>0</v>
          </cell>
          <cell r="BV49">
            <v>0</v>
          </cell>
          <cell r="BW49">
            <v>0</v>
          </cell>
          <cell r="BX49">
            <v>1</v>
          </cell>
          <cell r="BY49">
            <v>0</v>
          </cell>
          <cell r="BZ49">
            <v>27</v>
          </cell>
          <cell r="CA49">
            <v>113</v>
          </cell>
          <cell r="CB49">
            <v>0</v>
          </cell>
          <cell r="CC49">
            <v>0</v>
          </cell>
          <cell r="CD49">
            <v>1</v>
          </cell>
          <cell r="CE49">
            <v>0</v>
          </cell>
          <cell r="CF49">
            <v>70</v>
          </cell>
          <cell r="CG49">
            <v>9.5</v>
          </cell>
          <cell r="CH49">
            <v>0</v>
          </cell>
          <cell r="CI49">
            <v>70</v>
          </cell>
        </row>
        <row r="50">
          <cell r="A50" t="str">
            <v>A172</v>
          </cell>
          <cell r="B50" t="str">
            <v>Trần Văn Ướt</v>
          </cell>
          <cell r="C50" t="str">
            <v>CII.1</v>
          </cell>
          <cell r="D50">
            <v>0</v>
          </cell>
          <cell r="E50">
            <v>40446</v>
          </cell>
          <cell r="F50">
            <v>1.5</v>
          </cell>
          <cell r="G50" t="str">
            <v>C</v>
          </cell>
          <cell r="H50">
            <v>4</v>
          </cell>
          <cell r="I50" t="str">
            <v>C</v>
          </cell>
          <cell r="J50">
            <v>4</v>
          </cell>
          <cell r="K50" t="str">
            <v>HH</v>
          </cell>
          <cell r="L50">
            <v>0</v>
          </cell>
          <cell r="M50">
            <v>0</v>
          </cell>
          <cell r="N50">
            <v>0</v>
          </cell>
          <cell r="O50" t="str">
            <v>A</v>
          </cell>
          <cell r="P50">
            <v>4</v>
          </cell>
          <cell r="Q50" t="str">
            <v>A</v>
          </cell>
          <cell r="R50">
            <v>4</v>
          </cell>
          <cell r="S50" t="str">
            <v>A</v>
          </cell>
          <cell r="T50">
            <v>4</v>
          </cell>
          <cell r="U50" t="str">
            <v>A</v>
          </cell>
          <cell r="V50">
            <v>4</v>
          </cell>
          <cell r="W50" t="str">
            <v>A</v>
          </cell>
          <cell r="X50">
            <v>4</v>
          </cell>
          <cell r="Y50" t="str">
            <v>D</v>
          </cell>
          <cell r="Z50">
            <v>2</v>
          </cell>
          <cell r="AA50">
            <v>0</v>
          </cell>
          <cell r="AB50">
            <v>0</v>
          </cell>
          <cell r="AC50" t="str">
            <v>C</v>
          </cell>
          <cell r="AD50">
            <v>4</v>
          </cell>
          <cell r="AE50" t="str">
            <v>C</v>
          </cell>
          <cell r="AF50">
            <v>4</v>
          </cell>
          <cell r="AG50" t="str">
            <v>C</v>
          </cell>
          <cell r="AH50">
            <v>4</v>
          </cell>
          <cell r="AI50" t="str">
            <v>C</v>
          </cell>
          <cell r="AJ50">
            <v>4</v>
          </cell>
          <cell r="AK50" t="str">
            <v>C</v>
          </cell>
          <cell r="AL50">
            <v>4</v>
          </cell>
          <cell r="AM50" t="str">
            <v>P</v>
          </cell>
          <cell r="AN50">
            <v>0</v>
          </cell>
          <cell r="AO50">
            <v>0</v>
          </cell>
          <cell r="AP50">
            <v>0</v>
          </cell>
          <cell r="AQ50" t="str">
            <v>A</v>
          </cell>
          <cell r="AR50">
            <v>4</v>
          </cell>
          <cell r="AS50" t="str">
            <v>A</v>
          </cell>
          <cell r="AT50">
            <v>4</v>
          </cell>
          <cell r="AU50" t="str">
            <v>A</v>
          </cell>
          <cell r="AV50">
            <v>4</v>
          </cell>
          <cell r="AW50" t="str">
            <v>A</v>
          </cell>
          <cell r="AX50">
            <v>4</v>
          </cell>
          <cell r="AY50" t="str">
            <v>A</v>
          </cell>
          <cell r="AZ50">
            <v>4</v>
          </cell>
          <cell r="BA50" t="str">
            <v>NT7</v>
          </cell>
          <cell r="BB50">
            <v>0</v>
          </cell>
          <cell r="BC50">
            <v>0</v>
          </cell>
          <cell r="BD50">
            <v>0</v>
          </cell>
          <cell r="BE50" t="str">
            <v>C</v>
          </cell>
          <cell r="BF50">
            <v>4</v>
          </cell>
          <cell r="BG50" t="str">
            <v>C</v>
          </cell>
          <cell r="BH50">
            <v>4</v>
          </cell>
          <cell r="BI50" t="str">
            <v>C</v>
          </cell>
          <cell r="BJ50">
            <v>4</v>
          </cell>
          <cell r="BK50" t="str">
            <v>C</v>
          </cell>
          <cell r="BL50">
            <v>4</v>
          </cell>
          <cell r="BM50" t="str">
            <v>C</v>
          </cell>
          <cell r="BN50">
            <v>4</v>
          </cell>
          <cell r="BO50" t="str">
            <v>NT7</v>
          </cell>
          <cell r="BP50">
            <v>0</v>
          </cell>
          <cell r="BQ50">
            <v>10</v>
          </cell>
          <cell r="BR50">
            <v>1</v>
          </cell>
          <cell r="BS50">
            <v>0</v>
          </cell>
          <cell r="BT50">
            <v>12</v>
          </cell>
          <cell r="BU50">
            <v>0</v>
          </cell>
          <cell r="BV50">
            <v>0</v>
          </cell>
          <cell r="BW50">
            <v>1</v>
          </cell>
          <cell r="BX50">
            <v>2</v>
          </cell>
          <cell r="BY50">
            <v>1</v>
          </cell>
          <cell r="BZ50">
            <v>27</v>
          </cell>
          <cell r="CA50">
            <v>90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1.5</v>
          </cell>
          <cell r="CH50">
            <v>0</v>
          </cell>
          <cell r="CI50">
            <v>70</v>
          </cell>
        </row>
        <row r="51">
          <cell r="A51" t="str">
            <v>A173</v>
          </cell>
          <cell r="B51" t="str">
            <v>Lê Thị Lệ Hồng</v>
          </cell>
          <cell r="C51" t="str">
            <v>CII.1</v>
          </cell>
          <cell r="D51">
            <v>0</v>
          </cell>
          <cell r="E51">
            <v>40446</v>
          </cell>
          <cell r="F51">
            <v>0</v>
          </cell>
          <cell r="G51" t="str">
            <v>C</v>
          </cell>
          <cell r="H51">
            <v>4</v>
          </cell>
          <cell r="I51" t="str">
            <v>C</v>
          </cell>
          <cell r="J51">
            <v>4</v>
          </cell>
          <cell r="K51" t="str">
            <v>HH</v>
          </cell>
          <cell r="L51">
            <v>0</v>
          </cell>
          <cell r="M51">
            <v>0</v>
          </cell>
          <cell r="N51">
            <v>0</v>
          </cell>
          <cell r="O51" t="str">
            <v>A</v>
          </cell>
          <cell r="P51">
            <v>4</v>
          </cell>
          <cell r="Q51" t="str">
            <v>A</v>
          </cell>
          <cell r="R51">
            <v>4</v>
          </cell>
          <cell r="S51" t="str">
            <v>A</v>
          </cell>
          <cell r="T51">
            <v>4</v>
          </cell>
          <cell r="U51" t="str">
            <v>A</v>
          </cell>
          <cell r="V51">
            <v>4</v>
          </cell>
          <cell r="W51" t="str">
            <v>A</v>
          </cell>
          <cell r="X51">
            <v>4</v>
          </cell>
          <cell r="Y51" t="str">
            <v>D</v>
          </cell>
          <cell r="Z51">
            <v>2</v>
          </cell>
          <cell r="AA51">
            <v>0</v>
          </cell>
          <cell r="AB51">
            <v>0</v>
          </cell>
          <cell r="AC51" t="str">
            <v>C</v>
          </cell>
          <cell r="AD51">
            <v>4</v>
          </cell>
          <cell r="AE51" t="str">
            <v>C</v>
          </cell>
          <cell r="AF51">
            <v>4</v>
          </cell>
          <cell r="AG51" t="str">
            <v>C</v>
          </cell>
          <cell r="AH51">
            <v>4</v>
          </cell>
          <cell r="AI51" t="str">
            <v>C</v>
          </cell>
          <cell r="AJ51">
            <v>4</v>
          </cell>
          <cell r="AK51" t="str">
            <v>C</v>
          </cell>
          <cell r="AL51">
            <v>4</v>
          </cell>
          <cell r="AM51" t="str">
            <v>NT7</v>
          </cell>
          <cell r="AN51">
            <v>0</v>
          </cell>
          <cell r="AO51">
            <v>0</v>
          </cell>
          <cell r="AP51">
            <v>0</v>
          </cell>
          <cell r="AQ51" t="str">
            <v>A</v>
          </cell>
          <cell r="AR51">
            <v>4</v>
          </cell>
          <cell r="AS51" t="str">
            <v>A</v>
          </cell>
          <cell r="AT51">
            <v>4</v>
          </cell>
          <cell r="AU51" t="str">
            <v>A</v>
          </cell>
          <cell r="AV51">
            <v>4</v>
          </cell>
          <cell r="AW51" t="str">
            <v>A</v>
          </cell>
          <cell r="AX51">
            <v>4</v>
          </cell>
          <cell r="AY51" t="str">
            <v>A</v>
          </cell>
          <cell r="AZ51">
            <v>4</v>
          </cell>
          <cell r="BA51" t="str">
            <v>NT7</v>
          </cell>
          <cell r="BB51">
            <v>0</v>
          </cell>
          <cell r="BC51">
            <v>0</v>
          </cell>
          <cell r="BD51">
            <v>0</v>
          </cell>
          <cell r="BE51" t="str">
            <v>C</v>
          </cell>
          <cell r="BF51">
            <v>4</v>
          </cell>
          <cell r="BG51" t="str">
            <v>C</v>
          </cell>
          <cell r="BH51">
            <v>4</v>
          </cell>
          <cell r="BI51" t="str">
            <v>C</v>
          </cell>
          <cell r="BJ51">
            <v>4</v>
          </cell>
          <cell r="BK51" t="str">
            <v>C</v>
          </cell>
          <cell r="BL51">
            <v>4</v>
          </cell>
          <cell r="BM51" t="str">
            <v>C</v>
          </cell>
          <cell r="BN51">
            <v>4</v>
          </cell>
          <cell r="BO51" t="str">
            <v>P</v>
          </cell>
          <cell r="BP51">
            <v>0</v>
          </cell>
          <cell r="BQ51">
            <v>10</v>
          </cell>
          <cell r="BR51">
            <v>1</v>
          </cell>
          <cell r="BS51">
            <v>0</v>
          </cell>
          <cell r="BT51">
            <v>12</v>
          </cell>
          <cell r="BU51">
            <v>0</v>
          </cell>
          <cell r="BV51">
            <v>0</v>
          </cell>
          <cell r="BW51">
            <v>1</v>
          </cell>
          <cell r="BX51">
            <v>2</v>
          </cell>
          <cell r="BY51">
            <v>1</v>
          </cell>
          <cell r="BZ51">
            <v>27</v>
          </cell>
          <cell r="CA51">
            <v>90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70</v>
          </cell>
        </row>
        <row r="52">
          <cell r="A52" t="str">
            <v>A178</v>
          </cell>
          <cell r="B52" t="str">
            <v>Phạm Thanh Tú</v>
          </cell>
          <cell r="C52" t="str">
            <v>CII.1</v>
          </cell>
          <cell r="D52">
            <v>0</v>
          </cell>
          <cell r="E52">
            <v>40449</v>
          </cell>
          <cell r="F52">
            <v>6</v>
          </cell>
          <cell r="G52" t="str">
            <v>A</v>
          </cell>
          <cell r="H52">
            <v>4</v>
          </cell>
          <cell r="I52" t="str">
            <v>A</v>
          </cell>
          <cell r="J52">
            <v>4</v>
          </cell>
          <cell r="K52" t="str">
            <v>D</v>
          </cell>
          <cell r="L52">
            <v>0</v>
          </cell>
          <cell r="M52">
            <v>0</v>
          </cell>
          <cell r="N52">
            <v>0</v>
          </cell>
          <cell r="O52" t="str">
            <v>C</v>
          </cell>
          <cell r="P52">
            <v>4</v>
          </cell>
          <cell r="Q52" t="str">
            <v>C</v>
          </cell>
          <cell r="R52">
            <v>4</v>
          </cell>
          <cell r="S52" t="str">
            <v>C</v>
          </cell>
          <cell r="T52">
            <v>4</v>
          </cell>
          <cell r="U52" t="str">
            <v>C</v>
          </cell>
          <cell r="V52">
            <v>4</v>
          </cell>
          <cell r="W52" t="str">
            <v>C</v>
          </cell>
          <cell r="X52">
            <v>4</v>
          </cell>
          <cell r="Y52" t="str">
            <v>HH</v>
          </cell>
          <cell r="Z52">
            <v>0</v>
          </cell>
          <cell r="AA52">
            <v>0</v>
          </cell>
          <cell r="AB52">
            <v>0</v>
          </cell>
          <cell r="AC52" t="str">
            <v>A</v>
          </cell>
          <cell r="AD52">
            <v>4</v>
          </cell>
          <cell r="AE52" t="str">
            <v>A</v>
          </cell>
          <cell r="AF52">
            <v>4</v>
          </cell>
          <cell r="AG52" t="str">
            <v>A</v>
          </cell>
          <cell r="AH52">
            <v>4</v>
          </cell>
          <cell r="AI52" t="str">
            <v>A</v>
          </cell>
          <cell r="AJ52">
            <v>4</v>
          </cell>
          <cell r="AK52" t="str">
            <v>A</v>
          </cell>
          <cell r="AL52">
            <v>4</v>
          </cell>
          <cell r="AM52" t="str">
            <v>NT7</v>
          </cell>
          <cell r="AN52">
            <v>0</v>
          </cell>
          <cell r="AO52">
            <v>0</v>
          </cell>
          <cell r="AP52">
            <v>0</v>
          </cell>
          <cell r="AQ52" t="str">
            <v>C</v>
          </cell>
          <cell r="AR52">
            <v>4</v>
          </cell>
          <cell r="AS52" t="str">
            <v>C</v>
          </cell>
          <cell r="AT52">
            <v>4</v>
          </cell>
          <cell r="AU52" t="str">
            <v>C</v>
          </cell>
          <cell r="AV52">
            <v>4</v>
          </cell>
          <cell r="AW52" t="str">
            <v>C</v>
          </cell>
          <cell r="AX52">
            <v>4</v>
          </cell>
          <cell r="AY52" t="str">
            <v>C</v>
          </cell>
          <cell r="AZ52">
            <v>4</v>
          </cell>
          <cell r="BA52" t="str">
            <v>HH</v>
          </cell>
          <cell r="BB52">
            <v>0</v>
          </cell>
          <cell r="BC52">
            <v>0</v>
          </cell>
          <cell r="BD52">
            <v>0</v>
          </cell>
          <cell r="BE52" t="str">
            <v>A</v>
          </cell>
          <cell r="BF52">
            <v>4</v>
          </cell>
          <cell r="BG52" t="str">
            <v>A</v>
          </cell>
          <cell r="BH52">
            <v>4</v>
          </cell>
          <cell r="BI52" t="str">
            <v>A</v>
          </cell>
          <cell r="BJ52">
            <v>4</v>
          </cell>
          <cell r="BK52" t="str">
            <v>A</v>
          </cell>
          <cell r="BL52">
            <v>4</v>
          </cell>
          <cell r="BM52" t="str">
            <v>A</v>
          </cell>
          <cell r="BN52">
            <v>4</v>
          </cell>
          <cell r="BO52" t="str">
            <v>NT7</v>
          </cell>
          <cell r="BP52">
            <v>0</v>
          </cell>
          <cell r="BQ52">
            <v>12</v>
          </cell>
          <cell r="BR52">
            <v>1</v>
          </cell>
          <cell r="BS52">
            <v>0</v>
          </cell>
          <cell r="BT52">
            <v>10</v>
          </cell>
          <cell r="BU52">
            <v>0</v>
          </cell>
          <cell r="BV52">
            <v>0</v>
          </cell>
          <cell r="BW52">
            <v>2</v>
          </cell>
          <cell r="BX52">
            <v>2</v>
          </cell>
          <cell r="BY52">
            <v>0</v>
          </cell>
          <cell r="BZ52">
            <v>27</v>
          </cell>
          <cell r="CA52">
            <v>88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7</v>
          </cell>
          <cell r="CH52">
            <v>0</v>
          </cell>
          <cell r="CI52">
            <v>70</v>
          </cell>
        </row>
        <row r="53">
          <cell r="A53" t="str">
            <v>A187</v>
          </cell>
          <cell r="B53" t="str">
            <v>Trần Thị Hồng</v>
          </cell>
          <cell r="C53" t="str">
            <v>CII.4</v>
          </cell>
          <cell r="D53">
            <v>0</v>
          </cell>
          <cell r="E53">
            <v>40456</v>
          </cell>
          <cell r="F53">
            <v>1</v>
          </cell>
          <cell r="G53" t="str">
            <v>NT7</v>
          </cell>
          <cell r="H53">
            <v>0</v>
          </cell>
          <cell r="I53" t="str">
            <v>C</v>
          </cell>
          <cell r="J53">
            <v>4</v>
          </cell>
          <cell r="K53" t="str">
            <v>C</v>
          </cell>
          <cell r="L53">
            <v>4</v>
          </cell>
          <cell r="M53">
            <v>0</v>
          </cell>
          <cell r="N53">
            <v>0</v>
          </cell>
          <cell r="O53" t="str">
            <v>A</v>
          </cell>
          <cell r="P53">
            <v>4</v>
          </cell>
          <cell r="Q53" t="str">
            <v>A</v>
          </cell>
          <cell r="R53">
            <v>4</v>
          </cell>
          <cell r="S53" t="str">
            <v>A</v>
          </cell>
          <cell r="T53">
            <v>4</v>
          </cell>
          <cell r="U53" t="str">
            <v>A</v>
          </cell>
          <cell r="V53">
            <v>4</v>
          </cell>
          <cell r="W53" t="str">
            <v>A</v>
          </cell>
          <cell r="X53">
            <v>4</v>
          </cell>
          <cell r="Y53" t="str">
            <v>A</v>
          </cell>
          <cell r="Z53">
            <v>4</v>
          </cell>
          <cell r="AA53">
            <v>0</v>
          </cell>
          <cell r="AB53">
            <v>0</v>
          </cell>
          <cell r="AC53" t="str">
            <v>C</v>
          </cell>
          <cell r="AD53">
            <v>4</v>
          </cell>
          <cell r="AE53" t="str">
            <v>C</v>
          </cell>
          <cell r="AF53">
            <v>4</v>
          </cell>
          <cell r="AG53" t="str">
            <v>C</v>
          </cell>
          <cell r="AH53">
            <v>4</v>
          </cell>
          <cell r="AI53" t="str">
            <v>C</v>
          </cell>
          <cell r="AJ53">
            <v>4</v>
          </cell>
          <cell r="AK53" t="str">
            <v>C</v>
          </cell>
          <cell r="AL53">
            <v>4</v>
          </cell>
          <cell r="AM53" t="str">
            <v>C</v>
          </cell>
          <cell r="AN53">
            <v>4</v>
          </cell>
          <cell r="AO53">
            <v>0</v>
          </cell>
          <cell r="AP53">
            <v>0</v>
          </cell>
          <cell r="AQ53" t="str">
            <v>A</v>
          </cell>
          <cell r="AR53">
            <v>4</v>
          </cell>
          <cell r="AS53" t="str">
            <v>A</v>
          </cell>
          <cell r="AT53">
            <v>4</v>
          </cell>
          <cell r="AU53" t="str">
            <v>D</v>
          </cell>
          <cell r="AV53">
            <v>0</v>
          </cell>
          <cell r="AW53" t="str">
            <v>A</v>
          </cell>
          <cell r="AX53">
            <v>4</v>
          </cell>
          <cell r="AY53" t="str">
            <v>A</v>
          </cell>
          <cell r="AZ53">
            <v>4</v>
          </cell>
          <cell r="BA53" t="str">
            <v>A</v>
          </cell>
          <cell r="BB53">
            <v>4</v>
          </cell>
          <cell r="BC53">
            <v>0</v>
          </cell>
          <cell r="BD53">
            <v>12</v>
          </cell>
          <cell r="BE53" t="str">
            <v>A</v>
          </cell>
          <cell r="BF53">
            <v>4</v>
          </cell>
          <cell r="BG53" t="str">
            <v>P</v>
          </cell>
          <cell r="BH53">
            <v>0</v>
          </cell>
          <cell r="BI53" t="str">
            <v>A</v>
          </cell>
          <cell r="BJ53">
            <v>4</v>
          </cell>
          <cell r="BK53" t="str">
            <v>NT7</v>
          </cell>
          <cell r="BL53">
            <v>0</v>
          </cell>
          <cell r="BM53" t="str">
            <v>A</v>
          </cell>
          <cell r="BN53">
            <v>4</v>
          </cell>
          <cell r="BO53" t="str">
            <v>A</v>
          </cell>
          <cell r="BP53">
            <v>4</v>
          </cell>
          <cell r="BQ53">
            <v>15</v>
          </cell>
          <cell r="BR53">
            <v>1</v>
          </cell>
          <cell r="BS53">
            <v>0</v>
          </cell>
          <cell r="BT53">
            <v>8</v>
          </cell>
          <cell r="BU53">
            <v>0</v>
          </cell>
          <cell r="BV53">
            <v>0</v>
          </cell>
          <cell r="BW53">
            <v>0</v>
          </cell>
          <cell r="BX53">
            <v>2</v>
          </cell>
          <cell r="BY53">
            <v>1</v>
          </cell>
          <cell r="BZ53">
            <v>27</v>
          </cell>
          <cell r="CA53">
            <v>92</v>
          </cell>
          <cell r="CB53">
            <v>12</v>
          </cell>
          <cell r="CC53">
            <v>0</v>
          </cell>
          <cell r="CD53">
            <v>0</v>
          </cell>
          <cell r="CE53">
            <v>1</v>
          </cell>
          <cell r="CF53">
            <v>0</v>
          </cell>
          <cell r="CG53">
            <v>1</v>
          </cell>
          <cell r="CH53">
            <v>16</v>
          </cell>
          <cell r="CI53">
            <v>70</v>
          </cell>
        </row>
        <row r="54">
          <cell r="A54" t="str">
            <v>A191</v>
          </cell>
          <cell r="B54" t="str">
            <v>Nguyễn Thị Mộng Cầm</v>
          </cell>
          <cell r="C54" t="str">
            <v>TXBVTV</v>
          </cell>
          <cell r="D54">
            <v>0</v>
          </cell>
          <cell r="E54">
            <v>40459</v>
          </cell>
          <cell r="F54">
            <v>4.5</v>
          </cell>
          <cell r="G54" t="str">
            <v>D</v>
          </cell>
          <cell r="H54">
            <v>0</v>
          </cell>
          <cell r="I54" t="str">
            <v>D</v>
          </cell>
          <cell r="J54">
            <v>0</v>
          </cell>
          <cell r="K54" t="str">
            <v>D</v>
          </cell>
          <cell r="L54">
            <v>0</v>
          </cell>
          <cell r="M54">
            <v>0</v>
          </cell>
          <cell r="N54">
            <v>0</v>
          </cell>
          <cell r="O54" t="str">
            <v>D</v>
          </cell>
          <cell r="P54">
            <v>0</v>
          </cell>
          <cell r="Q54" t="str">
            <v>D</v>
          </cell>
          <cell r="R54">
            <v>0</v>
          </cell>
          <cell r="S54" t="str">
            <v>D</v>
          </cell>
          <cell r="T54">
            <v>0</v>
          </cell>
          <cell r="U54" t="str">
            <v>D</v>
          </cell>
          <cell r="V54">
            <v>0</v>
          </cell>
          <cell r="W54" t="str">
            <v>D</v>
          </cell>
          <cell r="X54">
            <v>0</v>
          </cell>
          <cell r="Y54" t="str">
            <v>NT7</v>
          </cell>
          <cell r="Z54">
            <v>0</v>
          </cell>
          <cell r="AA54">
            <v>0</v>
          </cell>
          <cell r="AB54">
            <v>0</v>
          </cell>
          <cell r="AC54" t="str">
            <v>D</v>
          </cell>
          <cell r="AD54">
            <v>0</v>
          </cell>
          <cell r="AE54" t="str">
            <v>D</v>
          </cell>
          <cell r="AF54">
            <v>0</v>
          </cell>
          <cell r="AG54" t="str">
            <v>D</v>
          </cell>
          <cell r="AH54">
            <v>0</v>
          </cell>
          <cell r="AI54" t="str">
            <v>D</v>
          </cell>
          <cell r="AJ54">
            <v>0</v>
          </cell>
          <cell r="AK54" t="str">
            <v>D</v>
          </cell>
          <cell r="AL54">
            <v>0</v>
          </cell>
          <cell r="AM54" t="str">
            <v>D</v>
          </cell>
          <cell r="AN54">
            <v>0</v>
          </cell>
          <cell r="AO54">
            <v>0</v>
          </cell>
          <cell r="AP54">
            <v>4</v>
          </cell>
          <cell r="AQ54" t="str">
            <v>D</v>
          </cell>
          <cell r="AR54">
            <v>0</v>
          </cell>
          <cell r="AS54" t="str">
            <v>D</v>
          </cell>
          <cell r="AT54">
            <v>0</v>
          </cell>
          <cell r="AU54" t="str">
            <v>D</v>
          </cell>
          <cell r="AV54">
            <v>0</v>
          </cell>
          <cell r="AW54" t="str">
            <v>D</v>
          </cell>
          <cell r="AX54">
            <v>0</v>
          </cell>
          <cell r="AY54" t="str">
            <v>D</v>
          </cell>
          <cell r="AZ54">
            <v>0</v>
          </cell>
          <cell r="BA54" t="str">
            <v>NT7</v>
          </cell>
          <cell r="BB54">
            <v>0</v>
          </cell>
          <cell r="BC54">
            <v>0</v>
          </cell>
          <cell r="BD54">
            <v>0</v>
          </cell>
          <cell r="BE54" t="str">
            <v>D</v>
          </cell>
          <cell r="BF54">
            <v>0</v>
          </cell>
          <cell r="BG54" t="str">
            <v>D</v>
          </cell>
          <cell r="BH54">
            <v>0</v>
          </cell>
          <cell r="BI54" t="str">
            <v>D</v>
          </cell>
          <cell r="BJ54">
            <v>0</v>
          </cell>
          <cell r="BK54" t="str">
            <v>D</v>
          </cell>
          <cell r="BL54">
            <v>0</v>
          </cell>
          <cell r="BM54" t="str">
            <v>P5,D5</v>
          </cell>
          <cell r="BN54">
            <v>0</v>
          </cell>
          <cell r="BO54" t="str">
            <v>D</v>
          </cell>
          <cell r="BP54">
            <v>0</v>
          </cell>
          <cell r="BQ54">
            <v>0</v>
          </cell>
          <cell r="BR54">
            <v>24.5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2</v>
          </cell>
          <cell r="BY54">
            <v>0.5</v>
          </cell>
          <cell r="BZ54">
            <v>27</v>
          </cell>
          <cell r="CA54">
            <v>0</v>
          </cell>
          <cell r="CB54">
            <v>4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5</v>
          </cell>
          <cell r="CH54">
            <v>0</v>
          </cell>
          <cell r="CI54">
            <v>70</v>
          </cell>
        </row>
        <row r="55">
          <cell r="A55" t="str">
            <v>A193</v>
          </cell>
          <cell r="B55" t="str">
            <v>Trần Thị Diệu</v>
          </cell>
          <cell r="C55" t="str">
            <v>PHOI</v>
          </cell>
          <cell r="D55">
            <v>0</v>
          </cell>
          <cell r="E55">
            <v>40459</v>
          </cell>
          <cell r="F55">
            <v>5.5</v>
          </cell>
          <cell r="G55" t="str">
            <v>A</v>
          </cell>
          <cell r="H55">
            <v>4</v>
          </cell>
          <cell r="I55" t="str">
            <v>A</v>
          </cell>
          <cell r="J55">
            <v>6</v>
          </cell>
          <cell r="K55" t="str">
            <v>A</v>
          </cell>
          <cell r="L55">
            <v>6</v>
          </cell>
          <cell r="M55">
            <v>0</v>
          </cell>
          <cell r="N55">
            <v>10</v>
          </cell>
          <cell r="O55" t="str">
            <v>A</v>
          </cell>
          <cell r="P55">
            <v>6.5</v>
          </cell>
          <cell r="Q55" t="str">
            <v>A</v>
          </cell>
          <cell r="R55">
            <v>7</v>
          </cell>
          <cell r="S55" t="str">
            <v>A</v>
          </cell>
          <cell r="T55">
            <v>7</v>
          </cell>
          <cell r="U55" t="str">
            <v>A</v>
          </cell>
          <cell r="V55">
            <v>7</v>
          </cell>
          <cell r="W55" t="str">
            <v>A</v>
          </cell>
          <cell r="X55">
            <v>7</v>
          </cell>
          <cell r="Y55" t="str">
            <v>A</v>
          </cell>
          <cell r="Z55">
            <v>7</v>
          </cell>
          <cell r="AA55">
            <v>0</v>
          </cell>
          <cell r="AB55">
            <v>0</v>
          </cell>
          <cell r="AC55" t="str">
            <v>A</v>
          </cell>
          <cell r="AD55">
            <v>7</v>
          </cell>
          <cell r="AE55" t="str">
            <v>A</v>
          </cell>
          <cell r="AF55">
            <v>6.5</v>
          </cell>
          <cell r="AG55" t="str">
            <v>A</v>
          </cell>
          <cell r="AH55">
            <v>7</v>
          </cell>
          <cell r="AI55" t="str">
            <v>A</v>
          </cell>
          <cell r="AJ55">
            <v>7</v>
          </cell>
          <cell r="AK55" t="str">
            <v>A</v>
          </cell>
          <cell r="AL55">
            <v>7</v>
          </cell>
          <cell r="AM55" t="str">
            <v>A</v>
          </cell>
          <cell r="AN55">
            <v>7</v>
          </cell>
          <cell r="AO55">
            <v>0</v>
          </cell>
          <cell r="AP55">
            <v>0</v>
          </cell>
          <cell r="AQ55" t="str">
            <v>A</v>
          </cell>
          <cell r="AR55">
            <v>5</v>
          </cell>
          <cell r="AS55" t="str">
            <v>P5,D5</v>
          </cell>
          <cell r="AT55">
            <v>0</v>
          </cell>
          <cell r="AU55" t="str">
            <v>A</v>
          </cell>
          <cell r="AV55">
            <v>7</v>
          </cell>
          <cell r="AW55" t="str">
            <v>A</v>
          </cell>
          <cell r="AX55">
            <v>7</v>
          </cell>
          <cell r="AY55" t="str">
            <v>A</v>
          </cell>
          <cell r="AZ55">
            <v>7</v>
          </cell>
          <cell r="BA55" t="str">
            <v>A</v>
          </cell>
          <cell r="BB55">
            <v>7</v>
          </cell>
          <cell r="BC55">
            <v>0</v>
          </cell>
          <cell r="BD55">
            <v>11</v>
          </cell>
          <cell r="BE55" t="str">
            <v>A</v>
          </cell>
          <cell r="BF55">
            <v>7</v>
          </cell>
          <cell r="BG55" t="str">
            <v>A</v>
          </cell>
          <cell r="BH55">
            <v>7</v>
          </cell>
          <cell r="BI55" t="str">
            <v>A</v>
          </cell>
          <cell r="BJ55">
            <v>7</v>
          </cell>
          <cell r="BK55" t="str">
            <v>A</v>
          </cell>
          <cell r="BL55">
            <v>7</v>
          </cell>
          <cell r="BM55" t="str">
            <v>A</v>
          </cell>
          <cell r="BN55">
            <v>7</v>
          </cell>
          <cell r="BO55" t="str">
            <v>A</v>
          </cell>
          <cell r="BP55">
            <v>4</v>
          </cell>
          <cell r="BQ55">
            <v>26</v>
          </cell>
          <cell r="BR55">
            <v>0.5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0.5</v>
          </cell>
          <cell r="BZ55">
            <v>27</v>
          </cell>
          <cell r="CA55">
            <v>171</v>
          </cell>
          <cell r="CB55">
            <v>21</v>
          </cell>
          <cell r="CC55">
            <v>0</v>
          </cell>
          <cell r="CD55">
            <v>2</v>
          </cell>
          <cell r="CE55">
            <v>0</v>
          </cell>
          <cell r="CF55">
            <v>140</v>
          </cell>
          <cell r="CG55">
            <v>6</v>
          </cell>
          <cell r="CH55">
            <v>0</v>
          </cell>
          <cell r="CI55">
            <v>70</v>
          </cell>
        </row>
        <row r="56">
          <cell r="A56" t="str">
            <v>A211</v>
          </cell>
          <cell r="B56" t="str">
            <v>Nguyễn Thị Thanh Tuyền</v>
          </cell>
          <cell r="C56" t="str">
            <v>QCX</v>
          </cell>
          <cell r="D56">
            <v>0</v>
          </cell>
          <cell r="E56">
            <v>40490</v>
          </cell>
          <cell r="F56">
            <v>8</v>
          </cell>
          <cell r="G56" t="str">
            <v>A</v>
          </cell>
          <cell r="H56">
            <v>4</v>
          </cell>
          <cell r="I56" t="str">
            <v>A</v>
          </cell>
          <cell r="J56">
            <v>4</v>
          </cell>
          <cell r="K56" t="str">
            <v>D</v>
          </cell>
          <cell r="L56">
            <v>2</v>
          </cell>
          <cell r="M56">
            <v>0</v>
          </cell>
          <cell r="N56">
            <v>6</v>
          </cell>
          <cell r="O56" t="str">
            <v>A</v>
          </cell>
          <cell r="P56">
            <v>4</v>
          </cell>
          <cell r="Q56" t="str">
            <v>A</v>
          </cell>
          <cell r="R56">
            <v>4</v>
          </cell>
          <cell r="S56" t="str">
            <v>A</v>
          </cell>
          <cell r="T56">
            <v>4</v>
          </cell>
          <cell r="U56" t="str">
            <v>A</v>
          </cell>
          <cell r="V56">
            <v>4</v>
          </cell>
          <cell r="W56" t="str">
            <v>A</v>
          </cell>
          <cell r="X56">
            <v>4</v>
          </cell>
          <cell r="Y56" t="str">
            <v>A</v>
          </cell>
          <cell r="Z56">
            <v>4</v>
          </cell>
          <cell r="AA56">
            <v>0</v>
          </cell>
          <cell r="AB56">
            <v>8</v>
          </cell>
          <cell r="AC56" t="str">
            <v>A</v>
          </cell>
          <cell r="AD56">
            <v>4</v>
          </cell>
          <cell r="AE56" t="str">
            <v>A</v>
          </cell>
          <cell r="AF56">
            <v>4</v>
          </cell>
          <cell r="AG56" t="str">
            <v>A</v>
          </cell>
          <cell r="AH56">
            <v>4</v>
          </cell>
          <cell r="AI56" t="str">
            <v>A</v>
          </cell>
          <cell r="AJ56">
            <v>4</v>
          </cell>
          <cell r="AK56" t="str">
            <v>A</v>
          </cell>
          <cell r="AL56">
            <v>4</v>
          </cell>
          <cell r="AM56" t="str">
            <v>D</v>
          </cell>
          <cell r="AN56">
            <v>0</v>
          </cell>
          <cell r="AO56">
            <v>0</v>
          </cell>
          <cell r="AP56">
            <v>0</v>
          </cell>
          <cell r="AQ56" t="str">
            <v>A</v>
          </cell>
          <cell r="AR56">
            <v>4</v>
          </cell>
          <cell r="AS56" t="str">
            <v>A</v>
          </cell>
          <cell r="AT56">
            <v>4</v>
          </cell>
          <cell r="AU56" t="str">
            <v>A</v>
          </cell>
          <cell r="AV56">
            <v>4</v>
          </cell>
          <cell r="AW56" t="str">
            <v>A</v>
          </cell>
          <cell r="AX56">
            <v>4</v>
          </cell>
          <cell r="AY56" t="str">
            <v>D</v>
          </cell>
          <cell r="AZ56">
            <v>3</v>
          </cell>
          <cell r="BA56" t="str">
            <v>D</v>
          </cell>
          <cell r="BB56">
            <v>2</v>
          </cell>
          <cell r="BC56">
            <v>0</v>
          </cell>
          <cell r="BD56">
            <v>0</v>
          </cell>
          <cell r="BE56" t="str">
            <v>A</v>
          </cell>
          <cell r="BF56">
            <v>4</v>
          </cell>
          <cell r="BG56" t="str">
            <v>A</v>
          </cell>
          <cell r="BH56">
            <v>4</v>
          </cell>
          <cell r="BI56" t="str">
            <v>C</v>
          </cell>
          <cell r="BJ56">
            <v>9</v>
          </cell>
          <cell r="BK56" t="str">
            <v>A</v>
          </cell>
          <cell r="BL56">
            <v>4</v>
          </cell>
          <cell r="BM56" t="str">
            <v>B</v>
          </cell>
          <cell r="BN56">
            <v>2</v>
          </cell>
          <cell r="BO56" t="str">
            <v>B</v>
          </cell>
          <cell r="BP56">
            <v>0</v>
          </cell>
          <cell r="BQ56">
            <v>20</v>
          </cell>
          <cell r="BR56">
            <v>4</v>
          </cell>
          <cell r="BS56">
            <v>2</v>
          </cell>
          <cell r="BT56">
            <v>1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27</v>
          </cell>
          <cell r="CA56">
            <v>98</v>
          </cell>
          <cell r="CB56">
            <v>14</v>
          </cell>
          <cell r="CC56">
            <v>0</v>
          </cell>
          <cell r="CD56">
            <v>2</v>
          </cell>
          <cell r="CE56">
            <v>0</v>
          </cell>
          <cell r="CF56">
            <v>140</v>
          </cell>
          <cell r="CG56">
            <v>9</v>
          </cell>
          <cell r="CH56">
            <v>0</v>
          </cell>
          <cell r="CI56">
            <v>70</v>
          </cell>
        </row>
        <row r="57">
          <cell r="A57" t="str">
            <v>A228</v>
          </cell>
          <cell r="B57" t="str">
            <v>Lê Hoàng Thảo</v>
          </cell>
          <cell r="C57" t="str">
            <v>CII.2</v>
          </cell>
          <cell r="D57">
            <v>0</v>
          </cell>
          <cell r="E57">
            <v>40238</v>
          </cell>
          <cell r="F57">
            <v>6</v>
          </cell>
          <cell r="G57" t="str">
            <v>A</v>
          </cell>
          <cell r="H57">
            <v>4</v>
          </cell>
          <cell r="I57" t="str">
            <v>A</v>
          </cell>
          <cell r="J57">
            <v>4</v>
          </cell>
          <cell r="K57" t="str">
            <v>A</v>
          </cell>
          <cell r="L57">
            <v>4</v>
          </cell>
          <cell r="M57">
            <v>0</v>
          </cell>
          <cell r="N57">
            <v>0</v>
          </cell>
          <cell r="O57" t="str">
            <v>C</v>
          </cell>
          <cell r="P57">
            <v>4</v>
          </cell>
          <cell r="Q57" t="str">
            <v>NT7</v>
          </cell>
          <cell r="R57">
            <v>0</v>
          </cell>
          <cell r="S57" t="str">
            <v>C</v>
          </cell>
          <cell r="T57">
            <v>4</v>
          </cell>
          <cell r="U57" t="str">
            <v>C</v>
          </cell>
          <cell r="V57">
            <v>4</v>
          </cell>
          <cell r="W57" t="str">
            <v>C</v>
          </cell>
          <cell r="X57">
            <v>4</v>
          </cell>
          <cell r="Y57" t="str">
            <v>C</v>
          </cell>
          <cell r="Z57">
            <v>4</v>
          </cell>
          <cell r="AA57">
            <v>0</v>
          </cell>
          <cell r="AB57">
            <v>0</v>
          </cell>
          <cell r="AC57" t="str">
            <v>A</v>
          </cell>
          <cell r="AD57">
            <v>4</v>
          </cell>
          <cell r="AE57" t="str">
            <v>A</v>
          </cell>
          <cell r="AF57">
            <v>4</v>
          </cell>
          <cell r="AG57" t="str">
            <v>A</v>
          </cell>
          <cell r="AH57">
            <v>4</v>
          </cell>
          <cell r="AI57" t="str">
            <v>D</v>
          </cell>
          <cell r="AJ57">
            <v>0</v>
          </cell>
          <cell r="AK57" t="str">
            <v>P</v>
          </cell>
          <cell r="AL57">
            <v>0</v>
          </cell>
          <cell r="AM57" t="str">
            <v>P</v>
          </cell>
          <cell r="AN57">
            <v>0</v>
          </cell>
          <cell r="AO57">
            <v>0</v>
          </cell>
          <cell r="AP57">
            <v>0</v>
          </cell>
          <cell r="AQ57" t="str">
            <v>P</v>
          </cell>
          <cell r="AR57">
            <v>0</v>
          </cell>
          <cell r="AS57" t="str">
            <v>P</v>
          </cell>
          <cell r="AT57">
            <v>0</v>
          </cell>
          <cell r="AU57" t="str">
            <v>A</v>
          </cell>
          <cell r="AV57">
            <v>4</v>
          </cell>
          <cell r="AW57" t="str">
            <v>A</v>
          </cell>
          <cell r="AX57">
            <v>4</v>
          </cell>
          <cell r="AY57" t="str">
            <v>A</v>
          </cell>
          <cell r="AZ57">
            <v>4</v>
          </cell>
          <cell r="BA57" t="str">
            <v>D</v>
          </cell>
          <cell r="BB57">
            <v>0</v>
          </cell>
          <cell r="BC57">
            <v>0</v>
          </cell>
          <cell r="BD57">
            <v>9</v>
          </cell>
          <cell r="BE57" t="str">
            <v>C</v>
          </cell>
          <cell r="BF57">
            <v>4</v>
          </cell>
          <cell r="BG57" t="str">
            <v>C</v>
          </cell>
          <cell r="BH57">
            <v>4</v>
          </cell>
          <cell r="BI57" t="str">
            <v>NT7</v>
          </cell>
          <cell r="BJ57">
            <v>0</v>
          </cell>
          <cell r="BK57" t="str">
            <v>D</v>
          </cell>
          <cell r="BL57">
            <v>0</v>
          </cell>
          <cell r="BM57" t="str">
            <v>A</v>
          </cell>
          <cell r="BN57">
            <v>6</v>
          </cell>
          <cell r="BO57" t="str">
            <v>A</v>
          </cell>
          <cell r="BP57">
            <v>4</v>
          </cell>
          <cell r="BQ57">
            <v>11</v>
          </cell>
          <cell r="BR57">
            <v>3</v>
          </cell>
          <cell r="BS57">
            <v>0</v>
          </cell>
          <cell r="BT57">
            <v>7</v>
          </cell>
          <cell r="BU57">
            <v>0</v>
          </cell>
          <cell r="BV57">
            <v>0</v>
          </cell>
          <cell r="BW57">
            <v>0</v>
          </cell>
          <cell r="BX57">
            <v>2</v>
          </cell>
          <cell r="BY57">
            <v>4</v>
          </cell>
          <cell r="BZ57">
            <v>27</v>
          </cell>
          <cell r="CA57">
            <v>74</v>
          </cell>
          <cell r="CB57">
            <v>9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3</v>
          </cell>
          <cell r="CH57">
            <v>0</v>
          </cell>
          <cell r="CI57">
            <v>70</v>
          </cell>
        </row>
        <row r="58">
          <cell r="A58" t="str">
            <v>A230</v>
          </cell>
          <cell r="B58" t="str">
            <v>Trương Thị Tuyết</v>
          </cell>
          <cell r="C58" t="str">
            <v>Gián tiếp</v>
          </cell>
          <cell r="D58">
            <v>0</v>
          </cell>
          <cell r="E58">
            <v>40602</v>
          </cell>
          <cell r="F58">
            <v>0.5</v>
          </cell>
          <cell r="G58" t="str">
            <v>D</v>
          </cell>
          <cell r="H58">
            <v>0</v>
          </cell>
          <cell r="I58" t="str">
            <v>D</v>
          </cell>
          <cell r="J58">
            <v>0</v>
          </cell>
          <cell r="K58" t="str">
            <v>D</v>
          </cell>
          <cell r="L58">
            <v>0</v>
          </cell>
          <cell r="M58">
            <v>0</v>
          </cell>
          <cell r="N58">
            <v>0</v>
          </cell>
          <cell r="O58" t="str">
            <v>D</v>
          </cell>
          <cell r="P58">
            <v>0</v>
          </cell>
          <cell r="Q58" t="str">
            <v>D</v>
          </cell>
          <cell r="R58">
            <v>0</v>
          </cell>
          <cell r="S58" t="str">
            <v>D</v>
          </cell>
          <cell r="T58">
            <v>0</v>
          </cell>
          <cell r="U58" t="str">
            <v>D</v>
          </cell>
          <cell r="V58">
            <v>0</v>
          </cell>
          <cell r="W58" t="str">
            <v>D</v>
          </cell>
          <cell r="X58">
            <v>0</v>
          </cell>
          <cell r="Y58" t="str">
            <v>D</v>
          </cell>
          <cell r="Z58">
            <v>0</v>
          </cell>
          <cell r="AA58">
            <v>0</v>
          </cell>
          <cell r="AB58">
            <v>0</v>
          </cell>
          <cell r="AC58" t="str">
            <v>NT7</v>
          </cell>
          <cell r="AD58">
            <v>0</v>
          </cell>
          <cell r="AE58" t="str">
            <v>D</v>
          </cell>
          <cell r="AF58">
            <v>0</v>
          </cell>
          <cell r="AG58" t="str">
            <v>D</v>
          </cell>
          <cell r="AH58">
            <v>0</v>
          </cell>
          <cell r="AI58" t="str">
            <v>D</v>
          </cell>
          <cell r="AJ58">
            <v>0</v>
          </cell>
          <cell r="AK58" t="str">
            <v>D</v>
          </cell>
          <cell r="AL58">
            <v>0</v>
          </cell>
          <cell r="AM58" t="str">
            <v>D</v>
          </cell>
          <cell r="AN58">
            <v>0</v>
          </cell>
          <cell r="AO58">
            <v>0</v>
          </cell>
          <cell r="AP58">
            <v>0</v>
          </cell>
          <cell r="AQ58" t="str">
            <v>D</v>
          </cell>
          <cell r="AR58">
            <v>0</v>
          </cell>
          <cell r="AS58" t="str">
            <v>D</v>
          </cell>
          <cell r="AT58">
            <v>0</v>
          </cell>
          <cell r="AU58" t="str">
            <v>D</v>
          </cell>
          <cell r="AV58">
            <v>0</v>
          </cell>
          <cell r="AW58" t="str">
            <v>D</v>
          </cell>
          <cell r="AX58">
            <v>0</v>
          </cell>
          <cell r="AY58" t="str">
            <v>D</v>
          </cell>
          <cell r="AZ58">
            <v>0</v>
          </cell>
          <cell r="BA58" t="str">
            <v>NT7</v>
          </cell>
          <cell r="BB58">
            <v>0</v>
          </cell>
          <cell r="BC58">
            <v>0</v>
          </cell>
          <cell r="BD58">
            <v>0</v>
          </cell>
          <cell r="BE58" t="str">
            <v>P5,D5</v>
          </cell>
          <cell r="BF58">
            <v>0</v>
          </cell>
          <cell r="BG58" t="str">
            <v>D</v>
          </cell>
          <cell r="BH58">
            <v>0</v>
          </cell>
          <cell r="BI58" t="str">
            <v>D</v>
          </cell>
          <cell r="BJ58">
            <v>0</v>
          </cell>
          <cell r="BK58" t="str">
            <v>D</v>
          </cell>
          <cell r="BL58">
            <v>0</v>
          </cell>
          <cell r="BM58" t="str">
            <v>D</v>
          </cell>
          <cell r="BN58">
            <v>0</v>
          </cell>
          <cell r="BO58" t="str">
            <v>D</v>
          </cell>
          <cell r="BP58">
            <v>0</v>
          </cell>
          <cell r="BQ58">
            <v>0</v>
          </cell>
          <cell r="BR58">
            <v>24.5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2</v>
          </cell>
          <cell r="BY58">
            <v>0.5</v>
          </cell>
          <cell r="BZ58">
            <v>27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1</v>
          </cell>
          <cell r="CH58">
            <v>0</v>
          </cell>
          <cell r="CI58">
            <v>150</v>
          </cell>
        </row>
        <row r="59">
          <cell r="A59" t="str">
            <v>A231</v>
          </cell>
          <cell r="B59" t="str">
            <v>Trần Thị Phường</v>
          </cell>
          <cell r="C59" t="str">
            <v>QCE</v>
          </cell>
          <cell r="D59">
            <v>0</v>
          </cell>
          <cell r="E59">
            <v>40603</v>
          </cell>
          <cell r="F59">
            <v>0</v>
          </cell>
          <cell r="G59" t="str">
            <v>D</v>
          </cell>
          <cell r="H59">
            <v>0</v>
          </cell>
          <cell r="I59" t="str">
            <v>A</v>
          </cell>
          <cell r="J59">
            <v>4</v>
          </cell>
          <cell r="K59" t="str">
            <v>D</v>
          </cell>
          <cell r="L59">
            <v>0</v>
          </cell>
          <cell r="M59">
            <v>0</v>
          </cell>
          <cell r="N59">
            <v>8</v>
          </cell>
          <cell r="O59" t="str">
            <v>D</v>
          </cell>
          <cell r="P59">
            <v>0</v>
          </cell>
          <cell r="Q59" t="str">
            <v>D</v>
          </cell>
          <cell r="R59">
            <v>0</v>
          </cell>
          <cell r="S59" t="str">
            <v>NT7</v>
          </cell>
          <cell r="T59">
            <v>0</v>
          </cell>
          <cell r="U59" t="str">
            <v>D</v>
          </cell>
          <cell r="V59">
            <v>0</v>
          </cell>
          <cell r="W59" t="str">
            <v>A</v>
          </cell>
          <cell r="X59">
            <v>4</v>
          </cell>
          <cell r="Y59" t="str">
            <v>D</v>
          </cell>
          <cell r="Z59">
            <v>0</v>
          </cell>
          <cell r="AA59">
            <v>0</v>
          </cell>
          <cell r="AB59">
            <v>0</v>
          </cell>
          <cell r="AC59" t="str">
            <v>D</v>
          </cell>
          <cell r="AD59">
            <v>0</v>
          </cell>
          <cell r="AE59" t="str">
            <v>D</v>
          </cell>
          <cell r="AF59">
            <v>3</v>
          </cell>
          <cell r="AG59" t="str">
            <v>D</v>
          </cell>
          <cell r="AH59">
            <v>3</v>
          </cell>
          <cell r="AI59" t="str">
            <v>D</v>
          </cell>
          <cell r="AJ59">
            <v>0</v>
          </cell>
          <cell r="AK59" t="str">
            <v>D</v>
          </cell>
          <cell r="AL59">
            <v>0</v>
          </cell>
          <cell r="AM59" t="str">
            <v>NT7</v>
          </cell>
          <cell r="AN59">
            <v>0</v>
          </cell>
          <cell r="AO59">
            <v>0</v>
          </cell>
          <cell r="AP59">
            <v>0</v>
          </cell>
          <cell r="AQ59" t="str">
            <v>D</v>
          </cell>
          <cell r="AR59">
            <v>0</v>
          </cell>
          <cell r="AS59" t="str">
            <v>D</v>
          </cell>
          <cell r="AT59">
            <v>0</v>
          </cell>
          <cell r="AU59" t="str">
            <v>A</v>
          </cell>
          <cell r="AV59">
            <v>4</v>
          </cell>
          <cell r="AW59" t="str">
            <v>D</v>
          </cell>
          <cell r="AX59">
            <v>0</v>
          </cell>
          <cell r="AY59" t="str">
            <v>A</v>
          </cell>
          <cell r="AZ59">
            <v>4</v>
          </cell>
          <cell r="BA59" t="str">
            <v>D</v>
          </cell>
          <cell r="BB59">
            <v>0</v>
          </cell>
          <cell r="BC59">
            <v>0</v>
          </cell>
          <cell r="BD59">
            <v>0</v>
          </cell>
          <cell r="BE59" t="str">
            <v>A</v>
          </cell>
          <cell r="BF59">
            <v>4</v>
          </cell>
          <cell r="BG59" t="str">
            <v>D</v>
          </cell>
          <cell r="BH59">
            <v>1</v>
          </cell>
          <cell r="BI59" t="str">
            <v>A</v>
          </cell>
          <cell r="BJ59">
            <v>4</v>
          </cell>
          <cell r="BK59" t="str">
            <v>D</v>
          </cell>
          <cell r="BL59">
            <v>3</v>
          </cell>
          <cell r="BM59" t="str">
            <v>D</v>
          </cell>
          <cell r="BN59">
            <v>1</v>
          </cell>
          <cell r="BO59" t="str">
            <v>D</v>
          </cell>
          <cell r="BP59">
            <v>0</v>
          </cell>
          <cell r="BQ59">
            <v>6</v>
          </cell>
          <cell r="BR59">
            <v>19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2</v>
          </cell>
          <cell r="BY59">
            <v>0</v>
          </cell>
          <cell r="BZ59">
            <v>27</v>
          </cell>
          <cell r="CA59">
            <v>35</v>
          </cell>
          <cell r="CB59">
            <v>8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1</v>
          </cell>
          <cell r="CH59">
            <v>0</v>
          </cell>
          <cell r="CI59">
            <v>70</v>
          </cell>
        </row>
        <row r="60">
          <cell r="A60" t="str">
            <v>A232</v>
          </cell>
          <cell r="B60" t="str">
            <v>Lê Thanh Sang</v>
          </cell>
          <cell r="C60" t="str">
            <v>XLN</v>
          </cell>
          <cell r="D60">
            <v>0</v>
          </cell>
          <cell r="E60">
            <v>40603</v>
          </cell>
          <cell r="F60">
            <v>3.5</v>
          </cell>
          <cell r="G60" t="str">
            <v>C</v>
          </cell>
          <cell r="H60">
            <v>4</v>
          </cell>
          <cell r="I60" t="str">
            <v>C</v>
          </cell>
          <cell r="J60">
            <v>4</v>
          </cell>
          <cell r="K60" t="str">
            <v>C</v>
          </cell>
          <cell r="L60">
            <v>4</v>
          </cell>
          <cell r="M60">
            <v>0</v>
          </cell>
          <cell r="N60">
            <v>12</v>
          </cell>
          <cell r="O60" t="str">
            <v>C</v>
          </cell>
          <cell r="P60">
            <v>4</v>
          </cell>
          <cell r="Q60" t="str">
            <v>C</v>
          </cell>
          <cell r="R60">
            <v>4</v>
          </cell>
          <cell r="S60" t="str">
            <v>C</v>
          </cell>
          <cell r="T60">
            <v>4</v>
          </cell>
          <cell r="U60" t="str">
            <v>C</v>
          </cell>
          <cell r="V60">
            <v>10</v>
          </cell>
          <cell r="W60" t="str">
            <v>C</v>
          </cell>
          <cell r="X60">
            <v>4</v>
          </cell>
          <cell r="Y60" t="str">
            <v>C</v>
          </cell>
          <cell r="Z60">
            <v>4</v>
          </cell>
          <cell r="AA60">
            <v>0</v>
          </cell>
          <cell r="AB60">
            <v>8</v>
          </cell>
          <cell r="AC60" t="str">
            <v>A</v>
          </cell>
          <cell r="AD60">
            <v>4</v>
          </cell>
          <cell r="AE60" t="str">
            <v>A</v>
          </cell>
          <cell r="AF60">
            <v>4</v>
          </cell>
          <cell r="AG60" t="str">
            <v>A</v>
          </cell>
          <cell r="AH60">
            <v>4</v>
          </cell>
          <cell r="AI60" t="str">
            <v>A</v>
          </cell>
          <cell r="AJ60">
            <v>4</v>
          </cell>
          <cell r="AK60" t="str">
            <v>A</v>
          </cell>
          <cell r="AL60">
            <v>4</v>
          </cell>
          <cell r="AM60" t="str">
            <v>A</v>
          </cell>
          <cell r="AN60">
            <v>4</v>
          </cell>
          <cell r="AO60">
            <v>0</v>
          </cell>
          <cell r="AP60">
            <v>12</v>
          </cell>
          <cell r="AQ60" t="str">
            <v>C</v>
          </cell>
          <cell r="AR60">
            <v>4</v>
          </cell>
          <cell r="AS60" t="str">
            <v>C</v>
          </cell>
          <cell r="AT60">
            <v>4</v>
          </cell>
          <cell r="AU60" t="str">
            <v>C</v>
          </cell>
          <cell r="AV60">
            <v>4</v>
          </cell>
          <cell r="AW60" t="str">
            <v>C</v>
          </cell>
          <cell r="AX60">
            <v>4</v>
          </cell>
          <cell r="AY60" t="str">
            <v>C</v>
          </cell>
          <cell r="AZ60">
            <v>4</v>
          </cell>
          <cell r="BA60" t="str">
            <v>C</v>
          </cell>
          <cell r="BB60">
            <v>4</v>
          </cell>
          <cell r="BC60">
            <v>0</v>
          </cell>
          <cell r="BD60">
            <v>12</v>
          </cell>
          <cell r="BE60" t="str">
            <v>C</v>
          </cell>
          <cell r="BF60">
            <v>4</v>
          </cell>
          <cell r="BG60" t="str">
            <v>C</v>
          </cell>
          <cell r="BH60">
            <v>4</v>
          </cell>
          <cell r="BI60" t="str">
            <v>C</v>
          </cell>
          <cell r="BJ60">
            <v>4</v>
          </cell>
          <cell r="BK60" t="str">
            <v>C</v>
          </cell>
          <cell r="BL60">
            <v>4</v>
          </cell>
          <cell r="BM60" t="str">
            <v>C</v>
          </cell>
          <cell r="BN60">
            <v>4</v>
          </cell>
          <cell r="BO60" t="str">
            <v>C</v>
          </cell>
          <cell r="BP60">
            <v>4</v>
          </cell>
          <cell r="BQ60">
            <v>6</v>
          </cell>
          <cell r="BR60">
            <v>0</v>
          </cell>
          <cell r="BS60">
            <v>0</v>
          </cell>
          <cell r="BT60">
            <v>21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27</v>
          </cell>
          <cell r="CA60">
            <v>114</v>
          </cell>
          <cell r="CB60">
            <v>44</v>
          </cell>
          <cell r="CC60">
            <v>0</v>
          </cell>
          <cell r="CD60">
            <v>2</v>
          </cell>
          <cell r="CE60">
            <v>6</v>
          </cell>
          <cell r="CF60">
            <v>140</v>
          </cell>
          <cell r="CG60">
            <v>4.5</v>
          </cell>
          <cell r="CH60">
            <v>96</v>
          </cell>
          <cell r="CI60">
            <v>70</v>
          </cell>
        </row>
        <row r="61">
          <cell r="A61" t="str">
            <v>A272</v>
          </cell>
          <cell r="B61" t="str">
            <v>Võ Minh Vân</v>
          </cell>
          <cell r="C61" t="str">
            <v>EN</v>
          </cell>
          <cell r="D61">
            <v>0</v>
          </cell>
          <cell r="E61">
            <v>40829</v>
          </cell>
          <cell r="F61">
            <v>4</v>
          </cell>
          <cell r="G61" t="str">
            <v>A</v>
          </cell>
          <cell r="H61">
            <v>7</v>
          </cell>
          <cell r="I61" t="str">
            <v>A</v>
          </cell>
          <cell r="J61">
            <v>7</v>
          </cell>
          <cell r="K61" t="str">
            <v>A</v>
          </cell>
          <cell r="L61">
            <v>4</v>
          </cell>
          <cell r="M61">
            <v>0</v>
          </cell>
          <cell r="N61">
            <v>0</v>
          </cell>
          <cell r="O61" t="str">
            <v>C</v>
          </cell>
          <cell r="P61">
            <v>4</v>
          </cell>
          <cell r="Q61" t="str">
            <v>C</v>
          </cell>
          <cell r="R61">
            <v>4</v>
          </cell>
          <cell r="S61" t="str">
            <v>C</v>
          </cell>
          <cell r="T61">
            <v>4</v>
          </cell>
          <cell r="U61" t="str">
            <v>C</v>
          </cell>
          <cell r="V61">
            <v>4</v>
          </cell>
          <cell r="W61" t="str">
            <v>C</v>
          </cell>
          <cell r="X61">
            <v>4</v>
          </cell>
          <cell r="Y61" t="str">
            <v>C</v>
          </cell>
          <cell r="Z61">
            <v>4</v>
          </cell>
          <cell r="AA61">
            <v>0</v>
          </cell>
          <cell r="AB61">
            <v>0</v>
          </cell>
          <cell r="AC61" t="str">
            <v>A</v>
          </cell>
          <cell r="AD61">
            <v>4</v>
          </cell>
          <cell r="AE61" t="str">
            <v>NT7</v>
          </cell>
          <cell r="AF61">
            <v>0</v>
          </cell>
          <cell r="AG61" t="str">
            <v>A</v>
          </cell>
          <cell r="AH61">
            <v>4</v>
          </cell>
          <cell r="AI61" t="str">
            <v>A</v>
          </cell>
          <cell r="AJ61">
            <v>4</v>
          </cell>
          <cell r="AK61" t="str">
            <v>A</v>
          </cell>
          <cell r="AL61">
            <v>4</v>
          </cell>
          <cell r="AM61" t="str">
            <v>A</v>
          </cell>
          <cell r="AN61">
            <v>4</v>
          </cell>
          <cell r="AO61">
            <v>0</v>
          </cell>
          <cell r="AP61">
            <v>16</v>
          </cell>
          <cell r="AQ61" t="str">
            <v>C</v>
          </cell>
          <cell r="AR61">
            <v>4</v>
          </cell>
          <cell r="AS61" t="str">
            <v>C</v>
          </cell>
          <cell r="AT61">
            <v>4</v>
          </cell>
          <cell r="AU61" t="str">
            <v>C</v>
          </cell>
          <cell r="AV61">
            <v>4</v>
          </cell>
          <cell r="AW61" t="str">
            <v>C</v>
          </cell>
          <cell r="AX61">
            <v>4</v>
          </cell>
          <cell r="AY61" t="str">
            <v>C</v>
          </cell>
          <cell r="AZ61">
            <v>4</v>
          </cell>
          <cell r="BA61" t="str">
            <v>C</v>
          </cell>
          <cell r="BB61">
            <v>4</v>
          </cell>
          <cell r="BC61">
            <v>0</v>
          </cell>
          <cell r="BD61">
            <v>0</v>
          </cell>
          <cell r="BE61" t="str">
            <v>D</v>
          </cell>
          <cell r="BF61">
            <v>2</v>
          </cell>
          <cell r="BG61" t="str">
            <v>A</v>
          </cell>
          <cell r="BH61">
            <v>4</v>
          </cell>
          <cell r="BI61" t="str">
            <v>A</v>
          </cell>
          <cell r="BJ61">
            <v>4</v>
          </cell>
          <cell r="BK61" t="str">
            <v>A</v>
          </cell>
          <cell r="BL61">
            <v>4</v>
          </cell>
          <cell r="BM61" t="str">
            <v>A</v>
          </cell>
          <cell r="BN61">
            <v>4</v>
          </cell>
          <cell r="BO61" t="str">
            <v>A</v>
          </cell>
          <cell r="BP61">
            <v>4</v>
          </cell>
          <cell r="BQ61">
            <v>13</v>
          </cell>
          <cell r="BR61">
            <v>1</v>
          </cell>
          <cell r="BS61">
            <v>0</v>
          </cell>
          <cell r="BT61">
            <v>12</v>
          </cell>
          <cell r="BU61">
            <v>0</v>
          </cell>
          <cell r="BV61">
            <v>0</v>
          </cell>
          <cell r="BW61">
            <v>0</v>
          </cell>
          <cell r="BX61">
            <v>1</v>
          </cell>
          <cell r="BY61">
            <v>0</v>
          </cell>
          <cell r="BZ61">
            <v>27</v>
          </cell>
          <cell r="CA61">
            <v>108</v>
          </cell>
          <cell r="CB61">
            <v>16</v>
          </cell>
          <cell r="CC61">
            <v>0</v>
          </cell>
          <cell r="CD61">
            <v>1</v>
          </cell>
          <cell r="CE61">
            <v>2</v>
          </cell>
          <cell r="CF61">
            <v>70</v>
          </cell>
          <cell r="CG61">
            <v>5</v>
          </cell>
          <cell r="CH61">
            <v>32</v>
          </cell>
          <cell r="CI61">
            <v>70</v>
          </cell>
        </row>
        <row r="62">
          <cell r="A62" t="str">
            <v>A280</v>
          </cell>
          <cell r="B62" t="str">
            <v xml:space="preserve"> Trần Tâm </v>
          </cell>
          <cell r="C62" t="str">
            <v>CII.4</v>
          </cell>
          <cell r="D62">
            <v>0</v>
          </cell>
          <cell r="E62">
            <v>40957</v>
          </cell>
          <cell r="F62">
            <v>0.5</v>
          </cell>
          <cell r="G62" t="str">
            <v>NT7</v>
          </cell>
          <cell r="H62">
            <v>0</v>
          </cell>
          <cell r="I62" t="str">
            <v>C</v>
          </cell>
          <cell r="J62">
            <v>4</v>
          </cell>
          <cell r="K62" t="str">
            <v>C</v>
          </cell>
          <cell r="L62">
            <v>4</v>
          </cell>
          <cell r="M62">
            <v>0</v>
          </cell>
          <cell r="N62">
            <v>0</v>
          </cell>
          <cell r="O62" t="str">
            <v>A</v>
          </cell>
          <cell r="P62">
            <v>4</v>
          </cell>
          <cell r="Q62" t="str">
            <v>P5,D5</v>
          </cell>
          <cell r="R62">
            <v>0</v>
          </cell>
          <cell r="S62" t="str">
            <v>A</v>
          </cell>
          <cell r="T62">
            <v>4</v>
          </cell>
          <cell r="U62" t="str">
            <v>A</v>
          </cell>
          <cell r="V62">
            <v>4</v>
          </cell>
          <cell r="W62" t="str">
            <v>A</v>
          </cell>
          <cell r="X62">
            <v>4</v>
          </cell>
          <cell r="Y62" t="str">
            <v>A</v>
          </cell>
          <cell r="Z62">
            <v>4</v>
          </cell>
          <cell r="AA62">
            <v>0</v>
          </cell>
          <cell r="AB62">
            <v>12</v>
          </cell>
          <cell r="AC62" t="str">
            <v>NT7</v>
          </cell>
          <cell r="AD62">
            <v>0</v>
          </cell>
          <cell r="AE62" t="str">
            <v>C</v>
          </cell>
          <cell r="AF62">
            <v>4</v>
          </cell>
          <cell r="AG62" t="str">
            <v>C</v>
          </cell>
          <cell r="AH62">
            <v>4</v>
          </cell>
          <cell r="AI62" t="str">
            <v>C</v>
          </cell>
          <cell r="AJ62">
            <v>4</v>
          </cell>
          <cell r="AK62" t="str">
            <v>C</v>
          </cell>
          <cell r="AL62">
            <v>4</v>
          </cell>
          <cell r="AM62" t="str">
            <v>C</v>
          </cell>
          <cell r="AN62">
            <v>4</v>
          </cell>
          <cell r="AO62">
            <v>0</v>
          </cell>
          <cell r="AP62">
            <v>0</v>
          </cell>
          <cell r="AQ62" t="str">
            <v>P</v>
          </cell>
          <cell r="AR62">
            <v>0</v>
          </cell>
          <cell r="AS62" t="str">
            <v>A</v>
          </cell>
          <cell r="AT62">
            <v>4</v>
          </cell>
          <cell r="AU62" t="str">
            <v>A</v>
          </cell>
          <cell r="AV62">
            <v>4</v>
          </cell>
          <cell r="AW62" t="str">
            <v>A</v>
          </cell>
          <cell r="AX62">
            <v>4</v>
          </cell>
          <cell r="AY62" t="str">
            <v>A</v>
          </cell>
          <cell r="AZ62">
            <v>4</v>
          </cell>
          <cell r="BA62" t="str">
            <v>D</v>
          </cell>
          <cell r="BB62">
            <v>0</v>
          </cell>
          <cell r="BC62">
            <v>0</v>
          </cell>
          <cell r="BD62">
            <v>12</v>
          </cell>
          <cell r="BE62" t="str">
            <v>D</v>
          </cell>
          <cell r="BF62">
            <v>2</v>
          </cell>
          <cell r="BG62" t="str">
            <v>D</v>
          </cell>
          <cell r="BH62">
            <v>0</v>
          </cell>
          <cell r="BI62" t="str">
            <v>A</v>
          </cell>
          <cell r="BJ62">
            <v>4</v>
          </cell>
          <cell r="BK62" t="str">
            <v>A</v>
          </cell>
          <cell r="BL62">
            <v>4</v>
          </cell>
          <cell r="BM62" t="str">
            <v>A</v>
          </cell>
          <cell r="BN62">
            <v>4</v>
          </cell>
          <cell r="BO62" t="str">
            <v>A</v>
          </cell>
          <cell r="BP62">
            <v>4</v>
          </cell>
          <cell r="BQ62">
            <v>13</v>
          </cell>
          <cell r="BR62">
            <v>3.5</v>
          </cell>
          <cell r="BS62">
            <v>0</v>
          </cell>
          <cell r="BT62">
            <v>7</v>
          </cell>
          <cell r="BU62">
            <v>0</v>
          </cell>
          <cell r="BV62">
            <v>0</v>
          </cell>
          <cell r="BW62">
            <v>0</v>
          </cell>
          <cell r="BX62">
            <v>2</v>
          </cell>
          <cell r="BY62">
            <v>1.5</v>
          </cell>
          <cell r="BZ62">
            <v>27</v>
          </cell>
          <cell r="CA62">
            <v>82</v>
          </cell>
          <cell r="CB62">
            <v>24</v>
          </cell>
          <cell r="CC62">
            <v>0</v>
          </cell>
          <cell r="CD62">
            <v>0</v>
          </cell>
          <cell r="CE62">
            <v>2</v>
          </cell>
          <cell r="CF62">
            <v>0</v>
          </cell>
          <cell r="CG62">
            <v>0</v>
          </cell>
          <cell r="CH62">
            <v>32</v>
          </cell>
          <cell r="CI62">
            <v>70</v>
          </cell>
        </row>
        <row r="63">
          <cell r="A63" t="str">
            <v>A293</v>
          </cell>
          <cell r="B63" t="str">
            <v>Nguyễn Văn Hồng</v>
          </cell>
          <cell r="C63" t="str">
            <v>Gián tiếp</v>
          </cell>
          <cell r="D63">
            <v>0</v>
          </cell>
          <cell r="E63">
            <v>41008</v>
          </cell>
          <cell r="F63">
            <v>3.5</v>
          </cell>
          <cell r="G63" t="str">
            <v>D</v>
          </cell>
          <cell r="H63">
            <v>0</v>
          </cell>
          <cell r="I63" t="str">
            <v>D</v>
          </cell>
          <cell r="J63">
            <v>0</v>
          </cell>
          <cell r="K63" t="str">
            <v>D</v>
          </cell>
          <cell r="L63">
            <v>0</v>
          </cell>
          <cell r="M63">
            <v>0</v>
          </cell>
          <cell r="N63">
            <v>0</v>
          </cell>
          <cell r="O63" t="str">
            <v>D</v>
          </cell>
          <cell r="P63">
            <v>0</v>
          </cell>
          <cell r="Q63" t="str">
            <v>D</v>
          </cell>
          <cell r="R63">
            <v>0</v>
          </cell>
          <cell r="S63" t="str">
            <v>D</v>
          </cell>
          <cell r="T63">
            <v>0</v>
          </cell>
          <cell r="U63" t="str">
            <v>D</v>
          </cell>
          <cell r="V63">
            <v>0</v>
          </cell>
          <cell r="W63" t="str">
            <v>D</v>
          </cell>
          <cell r="X63">
            <v>0</v>
          </cell>
          <cell r="Y63" t="str">
            <v>NT7</v>
          </cell>
          <cell r="Z63">
            <v>0</v>
          </cell>
          <cell r="AA63">
            <v>0</v>
          </cell>
          <cell r="AB63">
            <v>0</v>
          </cell>
          <cell r="AC63" t="str">
            <v>D</v>
          </cell>
          <cell r="AD63">
            <v>0</v>
          </cell>
          <cell r="AE63" t="str">
            <v>D</v>
          </cell>
          <cell r="AF63">
            <v>0</v>
          </cell>
          <cell r="AG63" t="str">
            <v>D</v>
          </cell>
          <cell r="AH63">
            <v>0</v>
          </cell>
          <cell r="AI63" t="str">
            <v>D</v>
          </cell>
          <cell r="AJ63">
            <v>0</v>
          </cell>
          <cell r="AK63" t="str">
            <v>D</v>
          </cell>
          <cell r="AL63">
            <v>0</v>
          </cell>
          <cell r="AM63" t="str">
            <v>D</v>
          </cell>
          <cell r="AN63">
            <v>0</v>
          </cell>
          <cell r="AO63">
            <v>0</v>
          </cell>
          <cell r="AP63">
            <v>0</v>
          </cell>
          <cell r="AQ63" t="str">
            <v>D</v>
          </cell>
          <cell r="AR63">
            <v>0</v>
          </cell>
          <cell r="AS63" t="str">
            <v>D</v>
          </cell>
          <cell r="AT63">
            <v>0</v>
          </cell>
          <cell r="AU63" t="str">
            <v>D</v>
          </cell>
          <cell r="AV63">
            <v>0</v>
          </cell>
          <cell r="AW63" t="str">
            <v>P</v>
          </cell>
          <cell r="AX63">
            <v>0</v>
          </cell>
          <cell r="AY63" t="str">
            <v>D</v>
          </cell>
          <cell r="AZ63">
            <v>0</v>
          </cell>
          <cell r="BA63" t="str">
            <v>NT7</v>
          </cell>
          <cell r="BB63">
            <v>0</v>
          </cell>
          <cell r="BC63">
            <v>0</v>
          </cell>
          <cell r="BD63">
            <v>0</v>
          </cell>
          <cell r="BE63" t="str">
            <v>D</v>
          </cell>
          <cell r="BF63">
            <v>0</v>
          </cell>
          <cell r="BG63" t="str">
            <v>D</v>
          </cell>
          <cell r="BH63">
            <v>0</v>
          </cell>
          <cell r="BI63" t="str">
            <v>D</v>
          </cell>
          <cell r="BJ63">
            <v>0</v>
          </cell>
          <cell r="BK63" t="str">
            <v>D</v>
          </cell>
          <cell r="BL63">
            <v>0</v>
          </cell>
          <cell r="BM63" t="str">
            <v>D</v>
          </cell>
          <cell r="BN63">
            <v>0</v>
          </cell>
          <cell r="BO63" t="str">
            <v>D</v>
          </cell>
          <cell r="BP63">
            <v>0</v>
          </cell>
          <cell r="BQ63">
            <v>0</v>
          </cell>
          <cell r="BR63">
            <v>24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2</v>
          </cell>
          <cell r="BY63">
            <v>1</v>
          </cell>
          <cell r="BZ63">
            <v>27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3.5</v>
          </cell>
          <cell r="CH63">
            <v>0</v>
          </cell>
          <cell r="CI63">
            <v>0</v>
          </cell>
        </row>
        <row r="64">
          <cell r="A64" t="str">
            <v>A296</v>
          </cell>
          <cell r="B64" t="str">
            <v>Phạm Thanh Ngọc</v>
          </cell>
          <cell r="C64" t="str">
            <v>XLN</v>
          </cell>
          <cell r="D64">
            <v>0</v>
          </cell>
          <cell r="E64">
            <v>41020</v>
          </cell>
          <cell r="F64">
            <v>11</v>
          </cell>
          <cell r="G64" t="str">
            <v>A</v>
          </cell>
          <cell r="H64">
            <v>4</v>
          </cell>
          <cell r="I64" t="str">
            <v>A</v>
          </cell>
          <cell r="J64">
            <v>4</v>
          </cell>
          <cell r="K64" t="str">
            <v>A</v>
          </cell>
          <cell r="L64">
            <v>4</v>
          </cell>
          <cell r="M64">
            <v>0</v>
          </cell>
          <cell r="N64">
            <v>12</v>
          </cell>
          <cell r="O64" t="str">
            <v>A</v>
          </cell>
          <cell r="P64">
            <v>4</v>
          </cell>
          <cell r="Q64" t="str">
            <v>A</v>
          </cell>
          <cell r="R64">
            <v>4</v>
          </cell>
          <cell r="S64" t="str">
            <v>A</v>
          </cell>
          <cell r="T64">
            <v>4</v>
          </cell>
          <cell r="U64" t="str">
            <v>A</v>
          </cell>
          <cell r="V64">
            <v>4</v>
          </cell>
          <cell r="W64" t="str">
            <v>A</v>
          </cell>
          <cell r="X64">
            <v>4</v>
          </cell>
          <cell r="Y64" t="str">
            <v>A</v>
          </cell>
          <cell r="Z64">
            <v>4</v>
          </cell>
          <cell r="AA64">
            <v>0</v>
          </cell>
          <cell r="AB64">
            <v>12</v>
          </cell>
          <cell r="AC64" t="str">
            <v>A</v>
          </cell>
          <cell r="AD64">
            <v>4</v>
          </cell>
          <cell r="AE64" t="str">
            <v>A</v>
          </cell>
          <cell r="AF64">
            <v>4</v>
          </cell>
          <cell r="AG64" t="str">
            <v>A</v>
          </cell>
          <cell r="AH64">
            <v>4</v>
          </cell>
          <cell r="AI64" t="str">
            <v>A</v>
          </cell>
          <cell r="AJ64">
            <v>4</v>
          </cell>
          <cell r="AK64" t="str">
            <v>A</v>
          </cell>
          <cell r="AL64">
            <v>4</v>
          </cell>
          <cell r="AM64" t="str">
            <v>NT7</v>
          </cell>
          <cell r="AN64">
            <v>0</v>
          </cell>
          <cell r="AO64">
            <v>0</v>
          </cell>
          <cell r="AP64">
            <v>10</v>
          </cell>
          <cell r="AQ64" t="str">
            <v>A</v>
          </cell>
          <cell r="AR64">
            <v>4</v>
          </cell>
          <cell r="AS64" t="str">
            <v>A</v>
          </cell>
          <cell r="AT64">
            <v>4</v>
          </cell>
          <cell r="AU64" t="str">
            <v>A</v>
          </cell>
          <cell r="AV64">
            <v>4</v>
          </cell>
          <cell r="AW64" t="str">
            <v>A</v>
          </cell>
          <cell r="AX64">
            <v>4</v>
          </cell>
          <cell r="AY64" t="str">
            <v>A</v>
          </cell>
          <cell r="AZ64">
            <v>4</v>
          </cell>
          <cell r="BA64" t="str">
            <v>A</v>
          </cell>
          <cell r="BB64">
            <v>4</v>
          </cell>
          <cell r="BC64">
            <v>0</v>
          </cell>
          <cell r="BD64">
            <v>12</v>
          </cell>
          <cell r="BE64" t="str">
            <v>A</v>
          </cell>
          <cell r="BF64">
            <v>4</v>
          </cell>
          <cell r="BG64" t="str">
            <v>A</v>
          </cell>
          <cell r="BH64">
            <v>4</v>
          </cell>
          <cell r="BI64" t="str">
            <v>A</v>
          </cell>
          <cell r="BJ64">
            <v>4</v>
          </cell>
          <cell r="BK64" t="str">
            <v>A</v>
          </cell>
          <cell r="BL64">
            <v>4</v>
          </cell>
          <cell r="BM64" t="str">
            <v>A</v>
          </cell>
          <cell r="BN64">
            <v>4</v>
          </cell>
          <cell r="BO64" t="str">
            <v>A</v>
          </cell>
          <cell r="BP64">
            <v>4</v>
          </cell>
          <cell r="BQ64">
            <v>26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1</v>
          </cell>
          <cell r="BY64">
            <v>0</v>
          </cell>
          <cell r="BZ64">
            <v>27</v>
          </cell>
          <cell r="CA64">
            <v>104</v>
          </cell>
          <cell r="CB64">
            <v>46</v>
          </cell>
          <cell r="CC64">
            <v>0</v>
          </cell>
          <cell r="CD64">
            <v>1</v>
          </cell>
          <cell r="CE64">
            <v>3</v>
          </cell>
          <cell r="CF64">
            <v>70</v>
          </cell>
          <cell r="CG64">
            <v>12</v>
          </cell>
          <cell r="CH64">
            <v>48</v>
          </cell>
          <cell r="CI64">
            <v>70</v>
          </cell>
        </row>
        <row r="65">
          <cell r="A65" t="str">
            <v>A309</v>
          </cell>
          <cell r="B65" t="str">
            <v>Nguyễn Thị Trang</v>
          </cell>
          <cell r="C65" t="str">
            <v>QCE</v>
          </cell>
          <cell r="D65">
            <v>0</v>
          </cell>
          <cell r="E65">
            <v>41062</v>
          </cell>
          <cell r="F65">
            <v>2</v>
          </cell>
          <cell r="G65" t="str">
            <v>D</v>
          </cell>
          <cell r="H65">
            <v>3</v>
          </cell>
          <cell r="I65" t="str">
            <v>D</v>
          </cell>
          <cell r="J65">
            <v>3</v>
          </cell>
          <cell r="K65" t="str">
            <v>D</v>
          </cell>
          <cell r="L65">
            <v>3</v>
          </cell>
          <cell r="M65">
            <v>0</v>
          </cell>
          <cell r="N65">
            <v>7</v>
          </cell>
          <cell r="O65" t="str">
            <v>D</v>
          </cell>
          <cell r="P65">
            <v>2</v>
          </cell>
          <cell r="Q65" t="str">
            <v>P5,D5</v>
          </cell>
          <cell r="R65">
            <v>0</v>
          </cell>
          <cell r="S65" t="str">
            <v>P5,D5</v>
          </cell>
          <cell r="T65">
            <v>0</v>
          </cell>
          <cell r="U65" t="str">
            <v>NT7</v>
          </cell>
          <cell r="V65">
            <v>0</v>
          </cell>
          <cell r="W65" t="str">
            <v>NT7</v>
          </cell>
          <cell r="X65">
            <v>0</v>
          </cell>
          <cell r="Y65" t="str">
            <v>P</v>
          </cell>
          <cell r="Z65">
            <v>0</v>
          </cell>
          <cell r="AA65">
            <v>0</v>
          </cell>
          <cell r="AB65">
            <v>0</v>
          </cell>
          <cell r="AC65" t="str">
            <v>P</v>
          </cell>
          <cell r="AD65">
            <v>0</v>
          </cell>
          <cell r="AE65" t="str">
            <v>R0</v>
          </cell>
          <cell r="AF65">
            <v>0</v>
          </cell>
          <cell r="AG65" t="str">
            <v>R0</v>
          </cell>
          <cell r="AH65">
            <v>0</v>
          </cell>
          <cell r="AI65" t="str">
            <v>R0</v>
          </cell>
          <cell r="AJ65">
            <v>0</v>
          </cell>
          <cell r="AK65" t="str">
            <v>A</v>
          </cell>
          <cell r="AL65">
            <v>4</v>
          </cell>
          <cell r="AM65" t="str">
            <v>D</v>
          </cell>
          <cell r="AN65">
            <v>6</v>
          </cell>
          <cell r="AO65">
            <v>0</v>
          </cell>
          <cell r="AP65">
            <v>6</v>
          </cell>
          <cell r="AQ65" t="str">
            <v>D</v>
          </cell>
          <cell r="AR65">
            <v>3</v>
          </cell>
          <cell r="AS65" t="str">
            <v>D</v>
          </cell>
          <cell r="AT65">
            <v>0</v>
          </cell>
          <cell r="AU65" t="str">
            <v>A</v>
          </cell>
          <cell r="AV65">
            <v>4</v>
          </cell>
          <cell r="AW65" t="str">
            <v>D</v>
          </cell>
          <cell r="AX65">
            <v>0</v>
          </cell>
          <cell r="AY65" t="str">
            <v>A</v>
          </cell>
          <cell r="AZ65">
            <v>5</v>
          </cell>
          <cell r="BA65" t="str">
            <v>A</v>
          </cell>
          <cell r="BB65">
            <v>4</v>
          </cell>
          <cell r="BC65">
            <v>0</v>
          </cell>
          <cell r="BD65">
            <v>16</v>
          </cell>
          <cell r="BE65" t="str">
            <v>A</v>
          </cell>
          <cell r="BF65">
            <v>4</v>
          </cell>
          <cell r="BG65" t="str">
            <v>D</v>
          </cell>
          <cell r="BH65">
            <v>1</v>
          </cell>
          <cell r="BI65" t="str">
            <v>A</v>
          </cell>
          <cell r="BJ65">
            <v>5</v>
          </cell>
          <cell r="BK65" t="str">
            <v>D</v>
          </cell>
          <cell r="BL65">
            <v>0</v>
          </cell>
          <cell r="BM65" t="str">
            <v>D</v>
          </cell>
          <cell r="BN65">
            <v>0</v>
          </cell>
          <cell r="BO65" t="str">
            <v>R0</v>
          </cell>
          <cell r="BP65">
            <v>0</v>
          </cell>
          <cell r="BQ65">
            <v>6</v>
          </cell>
          <cell r="BR65">
            <v>12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2</v>
          </cell>
          <cell r="BY65">
            <v>3</v>
          </cell>
          <cell r="BZ65">
            <v>23</v>
          </cell>
          <cell r="CA65">
            <v>47</v>
          </cell>
          <cell r="CB65">
            <v>29</v>
          </cell>
          <cell r="CC65">
            <v>0</v>
          </cell>
          <cell r="CD65">
            <v>0</v>
          </cell>
          <cell r="CE65">
            <v>1</v>
          </cell>
          <cell r="CF65">
            <v>0</v>
          </cell>
          <cell r="CG65">
            <v>0</v>
          </cell>
          <cell r="CH65">
            <v>16</v>
          </cell>
          <cell r="CI65">
            <v>150</v>
          </cell>
        </row>
        <row r="66">
          <cell r="A66" t="str">
            <v>A310</v>
          </cell>
          <cell r="B66" t="str">
            <v>Phạm Thị Bông</v>
          </cell>
          <cell r="C66" t="str">
            <v>CI.1</v>
          </cell>
          <cell r="D66">
            <v>0</v>
          </cell>
          <cell r="E66">
            <v>41062</v>
          </cell>
          <cell r="F66">
            <v>4</v>
          </cell>
          <cell r="G66" t="str">
            <v>A</v>
          </cell>
          <cell r="H66">
            <v>4</v>
          </cell>
          <cell r="I66" t="str">
            <v>A</v>
          </cell>
          <cell r="J66">
            <v>4</v>
          </cell>
          <cell r="K66" t="str">
            <v>A</v>
          </cell>
          <cell r="L66">
            <v>4</v>
          </cell>
          <cell r="M66">
            <v>0</v>
          </cell>
          <cell r="N66">
            <v>0</v>
          </cell>
          <cell r="O66" t="str">
            <v>C</v>
          </cell>
          <cell r="P66">
            <v>4</v>
          </cell>
          <cell r="Q66" t="str">
            <v>C</v>
          </cell>
          <cell r="R66">
            <v>4</v>
          </cell>
          <cell r="S66" t="str">
            <v>C</v>
          </cell>
          <cell r="T66">
            <v>4</v>
          </cell>
          <cell r="U66" t="str">
            <v>NT7</v>
          </cell>
          <cell r="V66">
            <v>0</v>
          </cell>
          <cell r="W66" t="str">
            <v>C</v>
          </cell>
          <cell r="X66">
            <v>4</v>
          </cell>
          <cell r="Y66" t="str">
            <v>C</v>
          </cell>
          <cell r="Z66">
            <v>4</v>
          </cell>
          <cell r="AA66">
            <v>0</v>
          </cell>
          <cell r="AB66">
            <v>0</v>
          </cell>
          <cell r="AC66" t="str">
            <v>HH</v>
          </cell>
          <cell r="AD66">
            <v>0</v>
          </cell>
          <cell r="AE66" t="str">
            <v>D</v>
          </cell>
          <cell r="AF66">
            <v>0</v>
          </cell>
          <cell r="AG66" t="str">
            <v>A</v>
          </cell>
          <cell r="AH66">
            <v>4</v>
          </cell>
          <cell r="AI66" t="str">
            <v>A</v>
          </cell>
          <cell r="AJ66">
            <v>4</v>
          </cell>
          <cell r="AK66" t="str">
            <v>A</v>
          </cell>
          <cell r="AL66">
            <v>4</v>
          </cell>
          <cell r="AM66" t="str">
            <v>A</v>
          </cell>
          <cell r="AN66">
            <v>4</v>
          </cell>
          <cell r="AO66">
            <v>0</v>
          </cell>
          <cell r="AP66">
            <v>0</v>
          </cell>
          <cell r="AQ66" t="str">
            <v>HH</v>
          </cell>
          <cell r="AR66">
            <v>0</v>
          </cell>
          <cell r="AS66" t="str">
            <v>HH</v>
          </cell>
          <cell r="AT66">
            <v>0</v>
          </cell>
          <cell r="AU66" t="str">
            <v>C</v>
          </cell>
          <cell r="AV66">
            <v>4</v>
          </cell>
          <cell r="AW66" t="str">
            <v>C</v>
          </cell>
          <cell r="AX66">
            <v>4</v>
          </cell>
          <cell r="AY66" t="str">
            <v>C</v>
          </cell>
          <cell r="AZ66">
            <v>4</v>
          </cell>
          <cell r="BA66" t="str">
            <v>C</v>
          </cell>
          <cell r="BB66">
            <v>4</v>
          </cell>
          <cell r="BC66">
            <v>0</v>
          </cell>
          <cell r="BD66">
            <v>0</v>
          </cell>
          <cell r="BE66" t="str">
            <v>A</v>
          </cell>
          <cell r="BF66">
            <v>4</v>
          </cell>
          <cell r="BG66" t="str">
            <v>A</v>
          </cell>
          <cell r="BH66">
            <v>4</v>
          </cell>
          <cell r="BI66" t="str">
            <v>D</v>
          </cell>
          <cell r="BJ66">
            <v>1.5</v>
          </cell>
          <cell r="BK66" t="str">
            <v>A</v>
          </cell>
          <cell r="BL66">
            <v>4</v>
          </cell>
          <cell r="BM66" t="str">
            <v>A</v>
          </cell>
          <cell r="BN66">
            <v>4</v>
          </cell>
          <cell r="BO66" t="str">
            <v>D</v>
          </cell>
          <cell r="BP66">
            <v>0</v>
          </cell>
          <cell r="BQ66">
            <v>11</v>
          </cell>
          <cell r="BR66">
            <v>3</v>
          </cell>
          <cell r="BS66">
            <v>0</v>
          </cell>
          <cell r="BT66">
            <v>9</v>
          </cell>
          <cell r="BU66">
            <v>0</v>
          </cell>
          <cell r="BV66">
            <v>0</v>
          </cell>
          <cell r="BW66">
            <v>3</v>
          </cell>
          <cell r="BX66">
            <v>1</v>
          </cell>
          <cell r="BY66">
            <v>0</v>
          </cell>
          <cell r="BZ66">
            <v>27</v>
          </cell>
          <cell r="CA66">
            <v>81.5</v>
          </cell>
          <cell r="CB66">
            <v>0</v>
          </cell>
          <cell r="CC66">
            <v>0</v>
          </cell>
          <cell r="CD66">
            <v>1</v>
          </cell>
          <cell r="CE66">
            <v>0</v>
          </cell>
          <cell r="CF66">
            <v>70</v>
          </cell>
          <cell r="CG66">
            <v>5</v>
          </cell>
          <cell r="CH66">
            <v>0</v>
          </cell>
          <cell r="CI66">
            <v>70</v>
          </cell>
        </row>
        <row r="67">
          <cell r="A67" t="str">
            <v>A326</v>
          </cell>
          <cell r="B67" t="str">
            <v>Nguyễn Lê Thọ</v>
          </cell>
          <cell r="C67" t="str">
            <v>Gián tiếp</v>
          </cell>
          <cell r="D67">
            <v>0</v>
          </cell>
          <cell r="E67">
            <v>41183</v>
          </cell>
          <cell r="F67">
            <v>2.5</v>
          </cell>
          <cell r="G67" t="str">
            <v>P</v>
          </cell>
          <cell r="H67">
            <v>0</v>
          </cell>
          <cell r="I67" t="str">
            <v>P</v>
          </cell>
          <cell r="J67">
            <v>0</v>
          </cell>
          <cell r="K67" t="str">
            <v>NT7</v>
          </cell>
          <cell r="L67">
            <v>0</v>
          </cell>
          <cell r="M67">
            <v>0</v>
          </cell>
          <cell r="N67">
            <v>0</v>
          </cell>
          <cell r="O67" t="str">
            <v>D</v>
          </cell>
          <cell r="P67">
            <v>0</v>
          </cell>
          <cell r="Q67" t="str">
            <v>D</v>
          </cell>
          <cell r="R67">
            <v>0</v>
          </cell>
          <cell r="S67" t="str">
            <v>D</v>
          </cell>
          <cell r="T67">
            <v>0</v>
          </cell>
          <cell r="U67" t="str">
            <v>D</v>
          </cell>
          <cell r="V67">
            <v>0</v>
          </cell>
          <cell r="W67" t="str">
            <v>D</v>
          </cell>
          <cell r="X67">
            <v>0</v>
          </cell>
          <cell r="Y67" t="str">
            <v>D</v>
          </cell>
          <cell r="Z67">
            <v>0</v>
          </cell>
          <cell r="AA67">
            <v>0</v>
          </cell>
          <cell r="AB67">
            <v>0</v>
          </cell>
          <cell r="AC67" t="str">
            <v>D</v>
          </cell>
          <cell r="AD67">
            <v>0</v>
          </cell>
          <cell r="AE67" t="str">
            <v>D</v>
          </cell>
          <cell r="AF67">
            <v>0</v>
          </cell>
          <cell r="AG67" t="str">
            <v>D</v>
          </cell>
          <cell r="AH67">
            <v>0</v>
          </cell>
          <cell r="AI67" t="str">
            <v>D</v>
          </cell>
          <cell r="AJ67">
            <v>0</v>
          </cell>
          <cell r="AK67" t="str">
            <v>D</v>
          </cell>
          <cell r="AL67">
            <v>0</v>
          </cell>
          <cell r="AM67" t="str">
            <v>D</v>
          </cell>
          <cell r="AN67">
            <v>0</v>
          </cell>
          <cell r="AO67">
            <v>0</v>
          </cell>
          <cell r="AP67">
            <v>0</v>
          </cell>
          <cell r="AQ67" t="str">
            <v>NT7</v>
          </cell>
          <cell r="AR67">
            <v>0</v>
          </cell>
          <cell r="AS67" t="str">
            <v>D</v>
          </cell>
          <cell r="AT67">
            <v>0</v>
          </cell>
          <cell r="AU67" t="str">
            <v>D</v>
          </cell>
          <cell r="AV67">
            <v>0</v>
          </cell>
          <cell r="AW67" t="str">
            <v>D</v>
          </cell>
          <cell r="AX67">
            <v>0</v>
          </cell>
          <cell r="AY67" t="str">
            <v>D</v>
          </cell>
          <cell r="AZ67">
            <v>0</v>
          </cell>
          <cell r="BA67" t="str">
            <v>P</v>
          </cell>
          <cell r="BB67">
            <v>0</v>
          </cell>
          <cell r="BC67">
            <v>0</v>
          </cell>
          <cell r="BD67">
            <v>0</v>
          </cell>
          <cell r="BE67" t="str">
            <v>D</v>
          </cell>
          <cell r="BF67">
            <v>0</v>
          </cell>
          <cell r="BG67" t="str">
            <v>D</v>
          </cell>
          <cell r="BH67">
            <v>0</v>
          </cell>
          <cell r="BI67" t="str">
            <v>D</v>
          </cell>
          <cell r="BJ67">
            <v>0</v>
          </cell>
          <cell r="BK67" t="str">
            <v>D</v>
          </cell>
          <cell r="BL67">
            <v>0</v>
          </cell>
          <cell r="BM67" t="str">
            <v>D</v>
          </cell>
          <cell r="BN67">
            <v>0</v>
          </cell>
          <cell r="BO67" t="str">
            <v>D</v>
          </cell>
          <cell r="BP67">
            <v>1</v>
          </cell>
          <cell r="BQ67">
            <v>0</v>
          </cell>
          <cell r="BR67">
            <v>22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2</v>
          </cell>
          <cell r="BY67">
            <v>3</v>
          </cell>
          <cell r="BZ67">
            <v>27</v>
          </cell>
          <cell r="CA67">
            <v>1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0.5</v>
          </cell>
          <cell r="CH67">
            <v>0</v>
          </cell>
          <cell r="CI67">
            <v>0</v>
          </cell>
        </row>
        <row r="68">
          <cell r="A68" t="str">
            <v>A328</v>
          </cell>
          <cell r="B68" t="str">
            <v>Bùi Thị Bé Tư</v>
          </cell>
          <cell r="C68" t="str">
            <v>CII.4</v>
          </cell>
          <cell r="D68">
            <v>0</v>
          </cell>
          <cell r="E68">
            <v>41198</v>
          </cell>
          <cell r="F68">
            <v>4</v>
          </cell>
          <cell r="G68" t="str">
            <v>D</v>
          </cell>
          <cell r="H68">
            <v>0</v>
          </cell>
          <cell r="I68" t="str">
            <v>A</v>
          </cell>
          <cell r="J68">
            <v>4</v>
          </cell>
          <cell r="K68" t="str">
            <v>A</v>
          </cell>
          <cell r="L68">
            <v>4</v>
          </cell>
          <cell r="M68">
            <v>0</v>
          </cell>
          <cell r="N68">
            <v>0</v>
          </cell>
          <cell r="O68" t="str">
            <v>C</v>
          </cell>
          <cell r="P68">
            <v>4</v>
          </cell>
          <cell r="Q68" t="str">
            <v>C</v>
          </cell>
          <cell r="R68">
            <v>4</v>
          </cell>
          <cell r="S68" t="str">
            <v>C</v>
          </cell>
          <cell r="T68">
            <v>4</v>
          </cell>
          <cell r="U68" t="str">
            <v>C</v>
          </cell>
          <cell r="V68">
            <v>4</v>
          </cell>
          <cell r="W68" t="str">
            <v>C</v>
          </cell>
          <cell r="X68">
            <v>4</v>
          </cell>
          <cell r="Y68" t="str">
            <v>C</v>
          </cell>
          <cell r="Z68">
            <v>4</v>
          </cell>
          <cell r="AA68">
            <v>0</v>
          </cell>
          <cell r="AB68">
            <v>0</v>
          </cell>
          <cell r="AC68" t="str">
            <v>A</v>
          </cell>
          <cell r="AD68">
            <v>4</v>
          </cell>
          <cell r="AE68" t="str">
            <v>A</v>
          </cell>
          <cell r="AF68">
            <v>4</v>
          </cell>
          <cell r="AG68" t="str">
            <v>A</v>
          </cell>
          <cell r="AH68">
            <v>4</v>
          </cell>
          <cell r="AI68" t="str">
            <v>A</v>
          </cell>
          <cell r="AJ68">
            <v>4</v>
          </cell>
          <cell r="AK68" t="str">
            <v>A</v>
          </cell>
          <cell r="AL68">
            <v>4</v>
          </cell>
          <cell r="AM68" t="str">
            <v>A</v>
          </cell>
          <cell r="AN68">
            <v>4</v>
          </cell>
          <cell r="AO68">
            <v>0</v>
          </cell>
          <cell r="AP68">
            <v>0</v>
          </cell>
          <cell r="AQ68" t="str">
            <v>C</v>
          </cell>
          <cell r="AR68">
            <v>4</v>
          </cell>
          <cell r="AS68" t="str">
            <v>C</v>
          </cell>
          <cell r="AT68">
            <v>4</v>
          </cell>
          <cell r="AU68" t="str">
            <v>NT7</v>
          </cell>
          <cell r="AV68">
            <v>0</v>
          </cell>
          <cell r="AW68" t="str">
            <v>C</v>
          </cell>
          <cell r="AX68">
            <v>4</v>
          </cell>
          <cell r="AY68" t="str">
            <v>C</v>
          </cell>
          <cell r="AZ68">
            <v>4</v>
          </cell>
          <cell r="BA68" t="str">
            <v>C</v>
          </cell>
          <cell r="BB68">
            <v>4</v>
          </cell>
          <cell r="BC68">
            <v>0</v>
          </cell>
          <cell r="BD68">
            <v>12</v>
          </cell>
          <cell r="BE68" t="str">
            <v>C</v>
          </cell>
          <cell r="BF68">
            <v>4</v>
          </cell>
          <cell r="BG68" t="str">
            <v>C</v>
          </cell>
          <cell r="BH68">
            <v>4</v>
          </cell>
          <cell r="BI68" t="str">
            <v>C</v>
          </cell>
          <cell r="BJ68">
            <v>4</v>
          </cell>
          <cell r="BK68" t="str">
            <v>C</v>
          </cell>
          <cell r="BL68">
            <v>4</v>
          </cell>
          <cell r="BM68" t="str">
            <v>C</v>
          </cell>
          <cell r="BN68">
            <v>4</v>
          </cell>
          <cell r="BO68" t="str">
            <v>NT7</v>
          </cell>
          <cell r="BP68">
            <v>0</v>
          </cell>
          <cell r="BQ68">
            <v>8</v>
          </cell>
          <cell r="BR68">
            <v>1</v>
          </cell>
          <cell r="BS68">
            <v>0</v>
          </cell>
          <cell r="BT68">
            <v>16</v>
          </cell>
          <cell r="BU68">
            <v>0</v>
          </cell>
          <cell r="BV68">
            <v>0</v>
          </cell>
          <cell r="BW68">
            <v>0</v>
          </cell>
          <cell r="BX68">
            <v>2</v>
          </cell>
          <cell r="BY68">
            <v>0</v>
          </cell>
          <cell r="BZ68">
            <v>27</v>
          </cell>
          <cell r="CA68">
            <v>96</v>
          </cell>
          <cell r="CB68">
            <v>12</v>
          </cell>
          <cell r="CC68">
            <v>0</v>
          </cell>
          <cell r="CD68">
            <v>0</v>
          </cell>
          <cell r="CE68">
            <v>2</v>
          </cell>
          <cell r="CF68">
            <v>0</v>
          </cell>
          <cell r="CG68">
            <v>5</v>
          </cell>
          <cell r="CH68">
            <v>32</v>
          </cell>
          <cell r="CI68">
            <v>70</v>
          </cell>
        </row>
        <row r="69">
          <cell r="A69" t="str">
            <v>A330</v>
          </cell>
          <cell r="B69" t="str">
            <v>Nguyễn Thị Tuyết Nhung</v>
          </cell>
          <cell r="C69" t="str">
            <v>CII.4</v>
          </cell>
          <cell r="D69">
            <v>0</v>
          </cell>
          <cell r="E69">
            <v>41220</v>
          </cell>
          <cell r="F69">
            <v>2.5</v>
          </cell>
          <cell r="G69" t="str">
            <v>A</v>
          </cell>
          <cell r="H69">
            <v>4</v>
          </cell>
          <cell r="I69" t="str">
            <v>A</v>
          </cell>
          <cell r="J69">
            <v>4</v>
          </cell>
          <cell r="K69" t="str">
            <v>A</v>
          </cell>
          <cell r="L69">
            <v>4</v>
          </cell>
          <cell r="M69">
            <v>0</v>
          </cell>
          <cell r="N69">
            <v>0</v>
          </cell>
          <cell r="O69" t="str">
            <v>A</v>
          </cell>
          <cell r="P69">
            <v>4</v>
          </cell>
          <cell r="Q69" t="str">
            <v>A</v>
          </cell>
          <cell r="R69">
            <v>4</v>
          </cell>
          <cell r="S69" t="str">
            <v>A</v>
          </cell>
          <cell r="T69">
            <v>4</v>
          </cell>
          <cell r="U69" t="str">
            <v>A</v>
          </cell>
          <cell r="V69">
            <v>4</v>
          </cell>
          <cell r="W69" t="str">
            <v>A</v>
          </cell>
          <cell r="X69">
            <v>4</v>
          </cell>
          <cell r="Y69" t="str">
            <v>A</v>
          </cell>
          <cell r="Z69">
            <v>4</v>
          </cell>
          <cell r="AA69">
            <v>0</v>
          </cell>
          <cell r="AB69">
            <v>0</v>
          </cell>
          <cell r="AC69" t="str">
            <v>C</v>
          </cell>
          <cell r="AD69">
            <v>4</v>
          </cell>
          <cell r="AE69" t="str">
            <v>C</v>
          </cell>
          <cell r="AF69">
            <v>4</v>
          </cell>
          <cell r="AG69" t="str">
            <v>C</v>
          </cell>
          <cell r="AH69">
            <v>4</v>
          </cell>
          <cell r="AI69" t="str">
            <v>C</v>
          </cell>
          <cell r="AJ69">
            <v>4</v>
          </cell>
          <cell r="AK69" t="str">
            <v>C</v>
          </cell>
          <cell r="AL69">
            <v>4</v>
          </cell>
          <cell r="AM69" t="str">
            <v>C</v>
          </cell>
          <cell r="AN69">
            <v>4</v>
          </cell>
          <cell r="AO69">
            <v>0</v>
          </cell>
          <cell r="AP69">
            <v>0</v>
          </cell>
          <cell r="AQ69" t="str">
            <v>A</v>
          </cell>
          <cell r="AR69">
            <v>4</v>
          </cell>
          <cell r="AS69" t="str">
            <v>A</v>
          </cell>
          <cell r="AT69">
            <v>4</v>
          </cell>
          <cell r="AU69" t="str">
            <v>D</v>
          </cell>
          <cell r="AV69">
            <v>0</v>
          </cell>
          <cell r="AW69" t="str">
            <v>D</v>
          </cell>
          <cell r="AX69">
            <v>1.5</v>
          </cell>
          <cell r="AY69" t="str">
            <v>A</v>
          </cell>
          <cell r="AZ69">
            <v>4</v>
          </cell>
          <cell r="BA69" t="str">
            <v>A</v>
          </cell>
          <cell r="BB69">
            <v>4</v>
          </cell>
          <cell r="BC69">
            <v>0</v>
          </cell>
          <cell r="BD69">
            <v>0</v>
          </cell>
          <cell r="BE69" t="str">
            <v>A</v>
          </cell>
          <cell r="BF69">
            <v>4</v>
          </cell>
          <cell r="BG69" t="str">
            <v>A</v>
          </cell>
          <cell r="BH69">
            <v>6</v>
          </cell>
          <cell r="BI69" t="str">
            <v>A</v>
          </cell>
          <cell r="BJ69">
            <v>6</v>
          </cell>
          <cell r="BK69" t="str">
            <v>A</v>
          </cell>
          <cell r="BL69">
            <v>6</v>
          </cell>
          <cell r="BM69" t="str">
            <v>A</v>
          </cell>
          <cell r="BN69">
            <v>4</v>
          </cell>
          <cell r="BO69" t="str">
            <v>A</v>
          </cell>
          <cell r="BP69">
            <v>4</v>
          </cell>
          <cell r="BQ69">
            <v>19</v>
          </cell>
          <cell r="BR69">
            <v>2</v>
          </cell>
          <cell r="BS69">
            <v>0</v>
          </cell>
          <cell r="BT69">
            <v>6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27</v>
          </cell>
          <cell r="CA69">
            <v>107.5</v>
          </cell>
          <cell r="CB69">
            <v>0</v>
          </cell>
          <cell r="CC69">
            <v>0</v>
          </cell>
          <cell r="CD69">
            <v>2</v>
          </cell>
          <cell r="CE69">
            <v>0</v>
          </cell>
          <cell r="CF69">
            <v>140</v>
          </cell>
          <cell r="CG69">
            <v>3.5</v>
          </cell>
          <cell r="CH69">
            <v>0</v>
          </cell>
          <cell r="CI69">
            <v>70</v>
          </cell>
        </row>
        <row r="70">
          <cell r="A70" t="str">
            <v>A336</v>
          </cell>
          <cell r="B70" t="str">
            <v>Dương Văn Minh Thanh</v>
          </cell>
          <cell r="C70" t="str">
            <v>QCX</v>
          </cell>
          <cell r="D70">
            <v>0</v>
          </cell>
          <cell r="E70">
            <v>41242</v>
          </cell>
          <cell r="F70">
            <v>4</v>
          </cell>
          <cell r="G70" t="str">
            <v>A</v>
          </cell>
          <cell r="H70">
            <v>4</v>
          </cell>
          <cell r="I70" t="str">
            <v>A</v>
          </cell>
          <cell r="J70">
            <v>4</v>
          </cell>
          <cell r="K70" t="str">
            <v>NT7</v>
          </cell>
          <cell r="L70">
            <v>0</v>
          </cell>
          <cell r="M70">
            <v>0</v>
          </cell>
          <cell r="N70">
            <v>0</v>
          </cell>
          <cell r="O70" t="str">
            <v>A</v>
          </cell>
          <cell r="P70">
            <v>4</v>
          </cell>
          <cell r="Q70" t="str">
            <v>A</v>
          </cell>
          <cell r="R70">
            <v>4</v>
          </cell>
          <cell r="S70" t="str">
            <v>A</v>
          </cell>
          <cell r="T70">
            <v>4</v>
          </cell>
          <cell r="U70" t="str">
            <v>D</v>
          </cell>
          <cell r="V70">
            <v>2</v>
          </cell>
          <cell r="W70" t="str">
            <v>A</v>
          </cell>
          <cell r="X70">
            <v>4</v>
          </cell>
          <cell r="Y70" t="str">
            <v>A</v>
          </cell>
          <cell r="Z70">
            <v>4</v>
          </cell>
          <cell r="AA70">
            <v>0</v>
          </cell>
          <cell r="AB70">
            <v>0</v>
          </cell>
          <cell r="AC70" t="str">
            <v>A</v>
          </cell>
          <cell r="AD70">
            <v>4</v>
          </cell>
          <cell r="AE70" t="str">
            <v>A</v>
          </cell>
          <cell r="AF70">
            <v>4</v>
          </cell>
          <cell r="AG70" t="str">
            <v>P5,D5</v>
          </cell>
          <cell r="AH70">
            <v>0</v>
          </cell>
          <cell r="AI70" t="str">
            <v>A</v>
          </cell>
          <cell r="AJ70">
            <v>4</v>
          </cell>
          <cell r="AK70" t="str">
            <v>A</v>
          </cell>
          <cell r="AL70">
            <v>4</v>
          </cell>
          <cell r="AM70" t="str">
            <v>D</v>
          </cell>
          <cell r="AN70">
            <v>0</v>
          </cell>
          <cell r="AO70">
            <v>0</v>
          </cell>
          <cell r="AP70">
            <v>0</v>
          </cell>
          <cell r="AQ70" t="str">
            <v>NT7</v>
          </cell>
          <cell r="AR70">
            <v>0</v>
          </cell>
          <cell r="AS70" t="str">
            <v>A</v>
          </cell>
          <cell r="AT70">
            <v>4</v>
          </cell>
          <cell r="AU70" t="str">
            <v>A</v>
          </cell>
          <cell r="AV70">
            <v>4</v>
          </cell>
          <cell r="AW70" t="str">
            <v>A</v>
          </cell>
          <cell r="AX70">
            <v>4</v>
          </cell>
          <cell r="AY70" t="str">
            <v>A</v>
          </cell>
          <cell r="AZ70">
            <v>4</v>
          </cell>
          <cell r="BA70" t="str">
            <v>D</v>
          </cell>
          <cell r="BB70">
            <v>2</v>
          </cell>
          <cell r="BC70">
            <v>0</v>
          </cell>
          <cell r="BD70">
            <v>0</v>
          </cell>
          <cell r="BE70" t="str">
            <v>P</v>
          </cell>
          <cell r="BF70">
            <v>0</v>
          </cell>
          <cell r="BG70" t="str">
            <v>A</v>
          </cell>
          <cell r="BH70">
            <v>4</v>
          </cell>
          <cell r="BI70" t="str">
            <v>A</v>
          </cell>
          <cell r="BJ70">
            <v>4</v>
          </cell>
          <cell r="BK70" t="str">
            <v>A</v>
          </cell>
          <cell r="BL70">
            <v>4</v>
          </cell>
          <cell r="BM70" t="str">
            <v>A</v>
          </cell>
          <cell r="BN70">
            <v>4</v>
          </cell>
          <cell r="BO70" t="str">
            <v>A</v>
          </cell>
          <cell r="BP70">
            <v>4</v>
          </cell>
          <cell r="BQ70">
            <v>20</v>
          </cell>
          <cell r="BR70">
            <v>3.5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2</v>
          </cell>
          <cell r="BY70">
            <v>1.5</v>
          </cell>
          <cell r="BZ70">
            <v>27</v>
          </cell>
          <cell r="CA70">
            <v>84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3.5</v>
          </cell>
          <cell r="CH70">
            <v>0</v>
          </cell>
          <cell r="CI70">
            <v>70</v>
          </cell>
        </row>
        <row r="71">
          <cell r="A71" t="str">
            <v>A341</v>
          </cell>
          <cell r="B71" t="str">
            <v>Đặng Phước Hoàng</v>
          </cell>
          <cell r="C71" t="str">
            <v>CII.4</v>
          </cell>
          <cell r="D71">
            <v>0</v>
          </cell>
          <cell r="E71">
            <v>41325</v>
          </cell>
          <cell r="F71">
            <v>3</v>
          </cell>
          <cell r="G71" t="str">
            <v>A</v>
          </cell>
          <cell r="H71">
            <v>4</v>
          </cell>
          <cell r="I71" t="str">
            <v>A</v>
          </cell>
          <cell r="J71">
            <v>4</v>
          </cell>
          <cell r="K71" t="str">
            <v>D</v>
          </cell>
          <cell r="L71">
            <v>0</v>
          </cell>
          <cell r="M71">
            <v>0</v>
          </cell>
          <cell r="N71">
            <v>0</v>
          </cell>
          <cell r="O71" t="str">
            <v>A</v>
          </cell>
          <cell r="P71">
            <v>4</v>
          </cell>
          <cell r="Q71" t="str">
            <v>A</v>
          </cell>
          <cell r="R71">
            <v>4</v>
          </cell>
          <cell r="S71" t="str">
            <v>A</v>
          </cell>
          <cell r="T71">
            <v>4</v>
          </cell>
          <cell r="U71" t="str">
            <v>A</v>
          </cell>
          <cell r="V71">
            <v>4</v>
          </cell>
          <cell r="W71" t="str">
            <v>A</v>
          </cell>
          <cell r="X71">
            <v>4</v>
          </cell>
          <cell r="Y71" t="str">
            <v>A</v>
          </cell>
          <cell r="Z71">
            <v>4</v>
          </cell>
          <cell r="AA71">
            <v>0</v>
          </cell>
          <cell r="AB71">
            <v>12</v>
          </cell>
          <cell r="AC71" t="str">
            <v>A</v>
          </cell>
          <cell r="AD71">
            <v>4</v>
          </cell>
          <cell r="AE71" t="str">
            <v>A</v>
          </cell>
          <cell r="AF71">
            <v>4</v>
          </cell>
          <cell r="AG71" t="str">
            <v>A</v>
          </cell>
          <cell r="AH71">
            <v>4</v>
          </cell>
          <cell r="AI71" t="str">
            <v>A</v>
          </cell>
          <cell r="AJ71">
            <v>4</v>
          </cell>
          <cell r="AK71" t="str">
            <v>A</v>
          </cell>
          <cell r="AL71">
            <v>4</v>
          </cell>
          <cell r="AM71" t="str">
            <v>A</v>
          </cell>
          <cell r="AN71">
            <v>4</v>
          </cell>
          <cell r="AO71">
            <v>0</v>
          </cell>
          <cell r="AP71">
            <v>12</v>
          </cell>
          <cell r="AQ71" t="str">
            <v>A</v>
          </cell>
          <cell r="AR71">
            <v>4</v>
          </cell>
          <cell r="AS71" t="str">
            <v>NT7</v>
          </cell>
          <cell r="AT71">
            <v>0</v>
          </cell>
          <cell r="AU71" t="str">
            <v>A</v>
          </cell>
          <cell r="AV71">
            <v>4</v>
          </cell>
          <cell r="AW71" t="str">
            <v>D</v>
          </cell>
          <cell r="AX71">
            <v>1.5</v>
          </cell>
          <cell r="AY71" t="str">
            <v>A</v>
          </cell>
          <cell r="AZ71">
            <v>4</v>
          </cell>
          <cell r="BA71" t="str">
            <v>A</v>
          </cell>
          <cell r="BB71">
            <v>4</v>
          </cell>
          <cell r="BC71">
            <v>0</v>
          </cell>
          <cell r="BD71">
            <v>12</v>
          </cell>
          <cell r="BE71" t="str">
            <v>A</v>
          </cell>
          <cell r="BF71">
            <v>4</v>
          </cell>
          <cell r="BG71" t="str">
            <v>D</v>
          </cell>
          <cell r="BH71">
            <v>0</v>
          </cell>
          <cell r="BI71" t="str">
            <v>A</v>
          </cell>
          <cell r="BJ71">
            <v>4</v>
          </cell>
          <cell r="BK71" t="str">
            <v>A</v>
          </cell>
          <cell r="BL71">
            <v>4</v>
          </cell>
          <cell r="BM71" t="str">
            <v>A</v>
          </cell>
          <cell r="BN71">
            <v>8</v>
          </cell>
          <cell r="BO71" t="str">
            <v>D</v>
          </cell>
          <cell r="BP71">
            <v>2.5</v>
          </cell>
          <cell r="BQ71">
            <v>22</v>
          </cell>
          <cell r="BR71">
            <v>4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1</v>
          </cell>
          <cell r="BY71">
            <v>0</v>
          </cell>
          <cell r="BZ71">
            <v>27</v>
          </cell>
          <cell r="CA71">
            <v>96</v>
          </cell>
          <cell r="CB71">
            <v>36</v>
          </cell>
          <cell r="CC71">
            <v>0</v>
          </cell>
          <cell r="CD71">
            <v>1</v>
          </cell>
          <cell r="CE71">
            <v>3</v>
          </cell>
          <cell r="CF71">
            <v>70</v>
          </cell>
          <cell r="CG71">
            <v>4</v>
          </cell>
          <cell r="CH71">
            <v>48</v>
          </cell>
          <cell r="CI71">
            <v>70</v>
          </cell>
        </row>
        <row r="72">
          <cell r="A72" t="str">
            <v>A355</v>
          </cell>
          <cell r="B72" t="str">
            <v>Đặng Văn Thật</v>
          </cell>
          <cell r="C72" t="str">
            <v>CII.1</v>
          </cell>
          <cell r="D72">
            <v>0</v>
          </cell>
          <cell r="E72">
            <v>41338</v>
          </cell>
          <cell r="F72">
            <v>0</v>
          </cell>
          <cell r="G72" t="str">
            <v>A</v>
          </cell>
          <cell r="H72">
            <v>4</v>
          </cell>
          <cell r="I72" t="str">
            <v>D</v>
          </cell>
          <cell r="J72">
            <v>3</v>
          </cell>
          <cell r="K72" t="str">
            <v>D</v>
          </cell>
          <cell r="L72">
            <v>0</v>
          </cell>
          <cell r="M72">
            <v>0</v>
          </cell>
          <cell r="N72">
            <v>11.5</v>
          </cell>
          <cell r="O72" t="str">
            <v>B</v>
          </cell>
          <cell r="P72">
            <v>0</v>
          </cell>
          <cell r="Q72" t="str">
            <v>B</v>
          </cell>
          <cell r="R72">
            <v>3.5</v>
          </cell>
          <cell r="S72" t="str">
            <v>B</v>
          </cell>
          <cell r="T72">
            <v>3.5</v>
          </cell>
          <cell r="U72" t="str">
            <v>B</v>
          </cell>
          <cell r="V72">
            <v>3.5</v>
          </cell>
          <cell r="W72" t="str">
            <v>B</v>
          </cell>
          <cell r="X72">
            <v>3.5</v>
          </cell>
          <cell r="Y72" t="str">
            <v>HH</v>
          </cell>
          <cell r="Z72">
            <v>0</v>
          </cell>
          <cell r="AA72">
            <v>0</v>
          </cell>
          <cell r="AB72">
            <v>0</v>
          </cell>
          <cell r="AC72" t="str">
            <v>A</v>
          </cell>
          <cell r="AD72">
            <v>4</v>
          </cell>
          <cell r="AE72" t="str">
            <v>A</v>
          </cell>
          <cell r="AF72">
            <v>4</v>
          </cell>
          <cell r="AG72" t="str">
            <v>D</v>
          </cell>
          <cell r="AH72">
            <v>0</v>
          </cell>
          <cell r="AI72" t="str">
            <v>A</v>
          </cell>
          <cell r="AJ72">
            <v>4</v>
          </cell>
          <cell r="AK72" t="str">
            <v>A</v>
          </cell>
          <cell r="AL72">
            <v>4</v>
          </cell>
          <cell r="AM72" t="str">
            <v>D</v>
          </cell>
          <cell r="AN72">
            <v>0</v>
          </cell>
          <cell r="AO72">
            <v>0</v>
          </cell>
          <cell r="AP72">
            <v>11.5</v>
          </cell>
          <cell r="AQ72" t="str">
            <v>B</v>
          </cell>
          <cell r="AR72">
            <v>2</v>
          </cell>
          <cell r="AS72" t="str">
            <v>B</v>
          </cell>
          <cell r="AT72">
            <v>3.5</v>
          </cell>
          <cell r="AU72" t="str">
            <v>B</v>
          </cell>
          <cell r="AV72">
            <v>3.5</v>
          </cell>
          <cell r="AW72" t="str">
            <v>NT7</v>
          </cell>
          <cell r="AX72">
            <v>0</v>
          </cell>
          <cell r="AY72" t="str">
            <v>B</v>
          </cell>
          <cell r="AZ72">
            <v>3.5</v>
          </cell>
          <cell r="BA72" t="str">
            <v>HH</v>
          </cell>
          <cell r="BB72">
            <v>0</v>
          </cell>
          <cell r="BC72">
            <v>0</v>
          </cell>
          <cell r="BD72">
            <v>0</v>
          </cell>
          <cell r="BE72" t="str">
            <v>A</v>
          </cell>
          <cell r="BF72">
            <v>4</v>
          </cell>
          <cell r="BG72" t="str">
            <v>A</v>
          </cell>
          <cell r="BH72">
            <v>4</v>
          </cell>
          <cell r="BI72" t="str">
            <v>A</v>
          </cell>
          <cell r="BJ72">
            <v>4</v>
          </cell>
          <cell r="BK72" t="str">
            <v>A</v>
          </cell>
          <cell r="BL72">
            <v>4</v>
          </cell>
          <cell r="BM72" t="str">
            <v>A</v>
          </cell>
          <cell r="BN72">
            <v>4</v>
          </cell>
          <cell r="BO72" t="str">
            <v>D</v>
          </cell>
          <cell r="BP72">
            <v>0</v>
          </cell>
          <cell r="BQ72">
            <v>10</v>
          </cell>
          <cell r="BR72">
            <v>5</v>
          </cell>
          <cell r="BS72">
            <v>9</v>
          </cell>
          <cell r="BT72">
            <v>0</v>
          </cell>
          <cell r="BU72">
            <v>0</v>
          </cell>
          <cell r="BV72">
            <v>0</v>
          </cell>
          <cell r="BW72">
            <v>2</v>
          </cell>
          <cell r="BX72">
            <v>1</v>
          </cell>
          <cell r="BY72">
            <v>0</v>
          </cell>
          <cell r="BZ72">
            <v>27</v>
          </cell>
          <cell r="CA72">
            <v>69.5</v>
          </cell>
          <cell r="CB72">
            <v>23</v>
          </cell>
          <cell r="CC72">
            <v>0</v>
          </cell>
          <cell r="CD72">
            <v>1</v>
          </cell>
          <cell r="CE72">
            <v>1</v>
          </cell>
          <cell r="CF72">
            <v>70</v>
          </cell>
          <cell r="CG72">
            <v>1</v>
          </cell>
          <cell r="CH72">
            <v>16</v>
          </cell>
          <cell r="CI72">
            <v>70</v>
          </cell>
        </row>
        <row r="73">
          <cell r="A73" t="str">
            <v>A356</v>
          </cell>
          <cell r="B73" t="str">
            <v>Nguyễn Văn Tùng</v>
          </cell>
          <cell r="C73" t="str">
            <v>CII.1</v>
          </cell>
          <cell r="D73">
            <v>0</v>
          </cell>
          <cell r="E73">
            <v>41339</v>
          </cell>
          <cell r="F73">
            <v>0</v>
          </cell>
          <cell r="G73" t="str">
            <v>D</v>
          </cell>
          <cell r="H73">
            <v>0</v>
          </cell>
          <cell r="I73" t="str">
            <v>A</v>
          </cell>
          <cell r="J73">
            <v>4</v>
          </cell>
          <cell r="K73" t="str">
            <v>D</v>
          </cell>
          <cell r="L73">
            <v>2</v>
          </cell>
          <cell r="M73">
            <v>0</v>
          </cell>
          <cell r="N73">
            <v>0</v>
          </cell>
          <cell r="O73" t="str">
            <v>C</v>
          </cell>
          <cell r="P73">
            <v>4</v>
          </cell>
          <cell r="Q73" t="str">
            <v>C</v>
          </cell>
          <cell r="R73">
            <v>4</v>
          </cell>
          <cell r="S73" t="str">
            <v>C</v>
          </cell>
          <cell r="T73">
            <v>4</v>
          </cell>
          <cell r="U73" t="str">
            <v>C</v>
          </cell>
          <cell r="V73">
            <v>4</v>
          </cell>
          <cell r="W73" t="str">
            <v>C</v>
          </cell>
          <cell r="X73">
            <v>4</v>
          </cell>
          <cell r="Y73" t="str">
            <v>HH</v>
          </cell>
          <cell r="Z73">
            <v>0</v>
          </cell>
          <cell r="AA73">
            <v>0</v>
          </cell>
          <cell r="AB73">
            <v>10</v>
          </cell>
          <cell r="AC73" t="str">
            <v>A</v>
          </cell>
          <cell r="AD73">
            <v>4</v>
          </cell>
          <cell r="AE73" t="str">
            <v>A</v>
          </cell>
          <cell r="AF73">
            <v>4</v>
          </cell>
          <cell r="AG73" t="str">
            <v>A</v>
          </cell>
          <cell r="AH73">
            <v>4</v>
          </cell>
          <cell r="AI73" t="str">
            <v>A</v>
          </cell>
          <cell r="AJ73">
            <v>4</v>
          </cell>
          <cell r="AK73" t="str">
            <v>A</v>
          </cell>
          <cell r="AL73">
            <v>4</v>
          </cell>
          <cell r="AM73" t="str">
            <v>D</v>
          </cell>
          <cell r="AN73">
            <v>0</v>
          </cell>
          <cell r="AO73">
            <v>0</v>
          </cell>
          <cell r="AP73">
            <v>0</v>
          </cell>
          <cell r="AQ73" t="str">
            <v>C</v>
          </cell>
          <cell r="AR73">
            <v>4</v>
          </cell>
          <cell r="AS73" t="str">
            <v>C</v>
          </cell>
          <cell r="AT73">
            <v>4</v>
          </cell>
          <cell r="AU73" t="str">
            <v>C</v>
          </cell>
          <cell r="AV73">
            <v>4</v>
          </cell>
          <cell r="AW73" t="str">
            <v>C</v>
          </cell>
          <cell r="AX73">
            <v>4</v>
          </cell>
          <cell r="AY73" t="str">
            <v>C</v>
          </cell>
          <cell r="AZ73">
            <v>4</v>
          </cell>
          <cell r="BA73" t="str">
            <v>HH</v>
          </cell>
          <cell r="BB73">
            <v>0</v>
          </cell>
          <cell r="BC73">
            <v>0</v>
          </cell>
          <cell r="BD73">
            <v>0</v>
          </cell>
          <cell r="BE73" t="str">
            <v>A</v>
          </cell>
          <cell r="BF73">
            <v>4</v>
          </cell>
          <cell r="BG73" t="str">
            <v>A</v>
          </cell>
          <cell r="BH73">
            <v>4</v>
          </cell>
          <cell r="BI73" t="str">
            <v>A</v>
          </cell>
          <cell r="BJ73">
            <v>4</v>
          </cell>
          <cell r="BK73" t="str">
            <v>A</v>
          </cell>
          <cell r="BL73">
            <v>4</v>
          </cell>
          <cell r="BM73" t="str">
            <v>A</v>
          </cell>
          <cell r="BN73">
            <v>4</v>
          </cell>
          <cell r="BO73" t="str">
            <v>D</v>
          </cell>
          <cell r="BP73">
            <v>0</v>
          </cell>
          <cell r="BQ73">
            <v>11</v>
          </cell>
          <cell r="BR73">
            <v>4</v>
          </cell>
          <cell r="BS73">
            <v>0</v>
          </cell>
          <cell r="BT73">
            <v>10</v>
          </cell>
          <cell r="BU73">
            <v>0</v>
          </cell>
          <cell r="BV73">
            <v>0</v>
          </cell>
          <cell r="BW73">
            <v>2</v>
          </cell>
          <cell r="BX73">
            <v>0</v>
          </cell>
          <cell r="BY73">
            <v>0</v>
          </cell>
          <cell r="BZ73">
            <v>27</v>
          </cell>
          <cell r="CA73">
            <v>86</v>
          </cell>
          <cell r="CB73">
            <v>10</v>
          </cell>
          <cell r="CC73">
            <v>0</v>
          </cell>
          <cell r="CD73">
            <v>2</v>
          </cell>
          <cell r="CE73">
            <v>0</v>
          </cell>
          <cell r="CF73">
            <v>140</v>
          </cell>
          <cell r="CG73">
            <v>1</v>
          </cell>
          <cell r="CH73">
            <v>0</v>
          </cell>
          <cell r="CI73">
            <v>70</v>
          </cell>
        </row>
        <row r="74">
          <cell r="A74" t="str">
            <v>A380</v>
          </cell>
          <cell r="B74" t="str">
            <v>Đỗ Thị Phương</v>
          </cell>
          <cell r="C74" t="str">
            <v>QCE</v>
          </cell>
          <cell r="D74">
            <v>0</v>
          </cell>
          <cell r="E74">
            <v>41379</v>
          </cell>
          <cell r="F74">
            <v>4</v>
          </cell>
          <cell r="G74" t="str">
            <v>D</v>
          </cell>
          <cell r="H74">
            <v>1</v>
          </cell>
          <cell r="I74" t="str">
            <v>D</v>
          </cell>
          <cell r="J74">
            <v>0.5</v>
          </cell>
          <cell r="K74" t="str">
            <v>D</v>
          </cell>
          <cell r="L74">
            <v>0</v>
          </cell>
          <cell r="M74">
            <v>0</v>
          </cell>
          <cell r="N74">
            <v>0</v>
          </cell>
          <cell r="O74" t="str">
            <v>D</v>
          </cell>
          <cell r="P74">
            <v>0</v>
          </cell>
          <cell r="Q74" t="str">
            <v>D</v>
          </cell>
          <cell r="R74">
            <v>0</v>
          </cell>
          <cell r="S74" t="str">
            <v>D</v>
          </cell>
          <cell r="T74">
            <v>2</v>
          </cell>
          <cell r="U74" t="str">
            <v>D</v>
          </cell>
          <cell r="V74">
            <v>0</v>
          </cell>
          <cell r="W74" t="str">
            <v>D</v>
          </cell>
          <cell r="X74">
            <v>0</v>
          </cell>
          <cell r="Y74" t="str">
            <v>D</v>
          </cell>
          <cell r="Z74">
            <v>0</v>
          </cell>
          <cell r="AA74">
            <v>0</v>
          </cell>
          <cell r="AB74">
            <v>0</v>
          </cell>
          <cell r="AC74" t="str">
            <v>D</v>
          </cell>
          <cell r="AD74">
            <v>1</v>
          </cell>
          <cell r="AE74" t="str">
            <v>D</v>
          </cell>
          <cell r="AF74">
            <v>0.5</v>
          </cell>
          <cell r="AG74" t="str">
            <v>D</v>
          </cell>
          <cell r="AH74">
            <v>0.5</v>
          </cell>
          <cell r="AI74" t="str">
            <v>D</v>
          </cell>
          <cell r="AJ74">
            <v>2.5</v>
          </cell>
          <cell r="AK74" t="str">
            <v>D</v>
          </cell>
          <cell r="AL74">
            <v>0.5</v>
          </cell>
          <cell r="AM74" t="str">
            <v>NT7</v>
          </cell>
          <cell r="AN74">
            <v>0</v>
          </cell>
          <cell r="AO74">
            <v>0</v>
          </cell>
          <cell r="AP74">
            <v>0</v>
          </cell>
          <cell r="AQ74" t="str">
            <v>D</v>
          </cell>
          <cell r="AR74">
            <v>0.5</v>
          </cell>
          <cell r="AS74" t="str">
            <v>D</v>
          </cell>
          <cell r="AT74">
            <v>0.5</v>
          </cell>
          <cell r="AU74" t="str">
            <v>D</v>
          </cell>
          <cell r="AV74">
            <v>0</v>
          </cell>
          <cell r="AW74" t="str">
            <v>D</v>
          </cell>
          <cell r="AX74">
            <v>0</v>
          </cell>
          <cell r="AY74" t="str">
            <v>D</v>
          </cell>
          <cell r="AZ74">
            <v>0</v>
          </cell>
          <cell r="BA74" t="str">
            <v>D</v>
          </cell>
          <cell r="BB74">
            <v>1</v>
          </cell>
          <cell r="BC74">
            <v>0</v>
          </cell>
          <cell r="BD74">
            <v>0</v>
          </cell>
          <cell r="BE74" t="str">
            <v>D</v>
          </cell>
          <cell r="BF74">
            <v>0.5</v>
          </cell>
          <cell r="BG74" t="str">
            <v>D</v>
          </cell>
          <cell r="BH74">
            <v>0</v>
          </cell>
          <cell r="BI74" t="str">
            <v>D</v>
          </cell>
          <cell r="BJ74">
            <v>0</v>
          </cell>
          <cell r="BK74" t="str">
            <v>D</v>
          </cell>
          <cell r="BL74">
            <v>0.5</v>
          </cell>
          <cell r="BM74" t="str">
            <v>D</v>
          </cell>
          <cell r="BN74">
            <v>0</v>
          </cell>
          <cell r="BO74" t="str">
            <v>D</v>
          </cell>
          <cell r="BP74">
            <v>2</v>
          </cell>
          <cell r="BQ74">
            <v>0</v>
          </cell>
          <cell r="BR74">
            <v>26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1</v>
          </cell>
          <cell r="BY74">
            <v>0</v>
          </cell>
          <cell r="BZ74">
            <v>27</v>
          </cell>
          <cell r="CA74">
            <v>13.5</v>
          </cell>
          <cell r="CB74">
            <v>0</v>
          </cell>
          <cell r="CC74">
            <v>0</v>
          </cell>
          <cell r="CD74">
            <v>1</v>
          </cell>
          <cell r="CE74">
            <v>0</v>
          </cell>
          <cell r="CF74">
            <v>150</v>
          </cell>
          <cell r="CG74">
            <v>5</v>
          </cell>
          <cell r="CH74">
            <v>0</v>
          </cell>
          <cell r="CI74">
            <v>150</v>
          </cell>
        </row>
        <row r="75">
          <cell r="A75" t="str">
            <v>A416</v>
          </cell>
          <cell r="B75" t="str">
            <v>Huỳnh Ngọc Tịnh</v>
          </cell>
          <cell r="C75" t="str">
            <v>CI.1</v>
          </cell>
          <cell r="D75">
            <v>0</v>
          </cell>
          <cell r="E75">
            <v>41487</v>
          </cell>
          <cell r="F75">
            <v>0</v>
          </cell>
          <cell r="G75" t="str">
            <v>A</v>
          </cell>
          <cell r="H75">
            <v>4</v>
          </cell>
          <cell r="I75" t="str">
            <v>A</v>
          </cell>
          <cell r="J75">
            <v>4</v>
          </cell>
          <cell r="K75" t="str">
            <v>A</v>
          </cell>
          <cell r="L75">
            <v>4</v>
          </cell>
          <cell r="M75">
            <v>0</v>
          </cell>
          <cell r="N75">
            <v>8</v>
          </cell>
          <cell r="O75" t="str">
            <v>C</v>
          </cell>
          <cell r="P75">
            <v>4</v>
          </cell>
          <cell r="Q75" t="str">
            <v>C</v>
          </cell>
          <cell r="R75">
            <v>4</v>
          </cell>
          <cell r="S75" t="str">
            <v>C</v>
          </cell>
          <cell r="T75">
            <v>4</v>
          </cell>
          <cell r="U75" t="str">
            <v>C</v>
          </cell>
          <cell r="V75">
            <v>4</v>
          </cell>
          <cell r="W75" t="str">
            <v>C</v>
          </cell>
          <cell r="X75">
            <v>4</v>
          </cell>
          <cell r="Y75" t="str">
            <v>C</v>
          </cell>
          <cell r="Z75">
            <v>4</v>
          </cell>
          <cell r="AA75">
            <v>0</v>
          </cell>
          <cell r="AB75">
            <v>0</v>
          </cell>
          <cell r="AC75" t="str">
            <v>D</v>
          </cell>
          <cell r="AD75">
            <v>0</v>
          </cell>
          <cell r="AE75" t="str">
            <v>A</v>
          </cell>
          <cell r="AF75">
            <v>4</v>
          </cell>
          <cell r="AG75" t="str">
            <v>A</v>
          </cell>
          <cell r="AH75">
            <v>4</v>
          </cell>
          <cell r="AI75" t="str">
            <v>NT7</v>
          </cell>
          <cell r="AJ75">
            <v>0</v>
          </cell>
          <cell r="AK75" t="str">
            <v>A</v>
          </cell>
          <cell r="AL75">
            <v>4</v>
          </cell>
          <cell r="AM75" t="str">
            <v>A</v>
          </cell>
          <cell r="AN75">
            <v>4</v>
          </cell>
          <cell r="AO75">
            <v>0</v>
          </cell>
          <cell r="AP75">
            <v>0</v>
          </cell>
          <cell r="AQ75" t="str">
            <v>HH</v>
          </cell>
          <cell r="AR75">
            <v>0</v>
          </cell>
          <cell r="AS75" t="str">
            <v>HH</v>
          </cell>
          <cell r="AT75">
            <v>0</v>
          </cell>
          <cell r="AU75" t="str">
            <v>C</v>
          </cell>
          <cell r="AV75">
            <v>4</v>
          </cell>
          <cell r="AW75" t="str">
            <v>C</v>
          </cell>
          <cell r="AX75">
            <v>4</v>
          </cell>
          <cell r="AY75" t="str">
            <v>C</v>
          </cell>
          <cell r="AZ75">
            <v>4</v>
          </cell>
          <cell r="BA75" t="str">
            <v>NT7</v>
          </cell>
          <cell r="BB75">
            <v>0</v>
          </cell>
          <cell r="BC75">
            <v>0</v>
          </cell>
          <cell r="BD75">
            <v>8</v>
          </cell>
          <cell r="BE75" t="str">
            <v>A</v>
          </cell>
          <cell r="BF75">
            <v>4</v>
          </cell>
          <cell r="BG75" t="str">
            <v>A</v>
          </cell>
          <cell r="BH75">
            <v>4</v>
          </cell>
          <cell r="BI75" t="str">
            <v>A</v>
          </cell>
          <cell r="BJ75">
            <v>4</v>
          </cell>
          <cell r="BK75" t="str">
            <v>A</v>
          </cell>
          <cell r="BL75">
            <v>4</v>
          </cell>
          <cell r="BM75" t="str">
            <v>A</v>
          </cell>
          <cell r="BN75">
            <v>4</v>
          </cell>
          <cell r="BO75" t="str">
            <v>D</v>
          </cell>
          <cell r="BP75">
            <v>0</v>
          </cell>
          <cell r="BQ75">
            <v>12</v>
          </cell>
          <cell r="BR75">
            <v>2</v>
          </cell>
          <cell r="BS75">
            <v>0</v>
          </cell>
          <cell r="BT75">
            <v>9</v>
          </cell>
          <cell r="BU75">
            <v>0</v>
          </cell>
          <cell r="BV75">
            <v>0</v>
          </cell>
          <cell r="BW75">
            <v>2</v>
          </cell>
          <cell r="BX75">
            <v>2</v>
          </cell>
          <cell r="BY75">
            <v>0</v>
          </cell>
          <cell r="BZ75">
            <v>27</v>
          </cell>
          <cell r="CA75">
            <v>84</v>
          </cell>
          <cell r="CB75">
            <v>16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1</v>
          </cell>
          <cell r="CH75">
            <v>0</v>
          </cell>
          <cell r="CI75">
            <v>70</v>
          </cell>
        </row>
        <row r="76">
          <cell r="A76" t="str">
            <v>A417</v>
          </cell>
          <cell r="B76" t="str">
            <v>Lê Thanh Tùng</v>
          </cell>
          <cell r="C76" t="str">
            <v>EN</v>
          </cell>
          <cell r="D76">
            <v>0</v>
          </cell>
          <cell r="E76">
            <v>41494</v>
          </cell>
          <cell r="F76">
            <v>2</v>
          </cell>
          <cell r="G76" t="str">
            <v>C</v>
          </cell>
          <cell r="H76">
            <v>4</v>
          </cell>
          <cell r="I76" t="str">
            <v>C</v>
          </cell>
          <cell r="J76">
            <v>4</v>
          </cell>
          <cell r="K76" t="str">
            <v>C</v>
          </cell>
          <cell r="L76">
            <v>4</v>
          </cell>
          <cell r="M76">
            <v>0</v>
          </cell>
          <cell r="N76">
            <v>0</v>
          </cell>
          <cell r="O76" t="str">
            <v>A</v>
          </cell>
          <cell r="P76">
            <v>4</v>
          </cell>
          <cell r="Q76" t="str">
            <v>A</v>
          </cell>
          <cell r="R76">
            <v>4</v>
          </cell>
          <cell r="S76" t="str">
            <v>A</v>
          </cell>
          <cell r="T76">
            <v>4</v>
          </cell>
          <cell r="U76" t="str">
            <v>A</v>
          </cell>
          <cell r="V76">
            <v>4</v>
          </cell>
          <cell r="W76" t="str">
            <v>A</v>
          </cell>
          <cell r="X76">
            <v>4</v>
          </cell>
          <cell r="Y76" t="str">
            <v>A</v>
          </cell>
          <cell r="Z76">
            <v>4</v>
          </cell>
          <cell r="AA76">
            <v>0</v>
          </cell>
          <cell r="AB76">
            <v>0</v>
          </cell>
          <cell r="AC76" t="str">
            <v>C</v>
          </cell>
          <cell r="AD76">
            <v>4</v>
          </cell>
          <cell r="AE76" t="str">
            <v>C</v>
          </cell>
          <cell r="AF76">
            <v>4</v>
          </cell>
          <cell r="AG76" t="str">
            <v>C</v>
          </cell>
          <cell r="AH76">
            <v>4</v>
          </cell>
          <cell r="AI76" t="str">
            <v>C</v>
          </cell>
          <cell r="AJ76">
            <v>4</v>
          </cell>
          <cell r="AK76" t="str">
            <v>C</v>
          </cell>
          <cell r="AL76">
            <v>4</v>
          </cell>
          <cell r="AM76" t="str">
            <v>C</v>
          </cell>
          <cell r="AN76">
            <v>4</v>
          </cell>
          <cell r="AO76">
            <v>0</v>
          </cell>
          <cell r="AP76">
            <v>0</v>
          </cell>
          <cell r="AQ76" t="str">
            <v>A</v>
          </cell>
          <cell r="AR76">
            <v>7</v>
          </cell>
          <cell r="AS76" t="str">
            <v>A</v>
          </cell>
          <cell r="AT76">
            <v>4</v>
          </cell>
          <cell r="AU76" t="str">
            <v>A</v>
          </cell>
          <cell r="AV76">
            <v>4</v>
          </cell>
          <cell r="AW76" t="str">
            <v>A</v>
          </cell>
          <cell r="AX76">
            <v>4</v>
          </cell>
          <cell r="AY76" t="str">
            <v>A</v>
          </cell>
          <cell r="AZ76">
            <v>4</v>
          </cell>
          <cell r="BA76" t="str">
            <v>A</v>
          </cell>
          <cell r="BB76">
            <v>4</v>
          </cell>
          <cell r="BC76">
            <v>0</v>
          </cell>
          <cell r="BD76">
            <v>0</v>
          </cell>
          <cell r="BE76" t="str">
            <v>C</v>
          </cell>
          <cell r="BF76">
            <v>4</v>
          </cell>
          <cell r="BG76" t="str">
            <v>C</v>
          </cell>
          <cell r="BH76">
            <v>4</v>
          </cell>
          <cell r="BI76" t="str">
            <v>C</v>
          </cell>
          <cell r="BJ76">
            <v>4</v>
          </cell>
          <cell r="BK76" t="str">
            <v>C</v>
          </cell>
          <cell r="BL76">
            <v>4</v>
          </cell>
          <cell r="BM76" t="str">
            <v>C</v>
          </cell>
          <cell r="BN76">
            <v>4</v>
          </cell>
          <cell r="BO76" t="str">
            <v>C</v>
          </cell>
          <cell r="BP76">
            <v>4</v>
          </cell>
          <cell r="BQ76">
            <v>12</v>
          </cell>
          <cell r="BR76">
            <v>0</v>
          </cell>
          <cell r="BS76">
            <v>0</v>
          </cell>
          <cell r="BT76">
            <v>15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27</v>
          </cell>
          <cell r="CA76">
            <v>111</v>
          </cell>
          <cell r="CB76">
            <v>0</v>
          </cell>
          <cell r="CC76">
            <v>0</v>
          </cell>
          <cell r="CD76">
            <v>2</v>
          </cell>
          <cell r="CE76">
            <v>0</v>
          </cell>
          <cell r="CF76">
            <v>140</v>
          </cell>
          <cell r="CG76">
            <v>3</v>
          </cell>
          <cell r="CH76">
            <v>0</v>
          </cell>
          <cell r="CI76">
            <v>70</v>
          </cell>
        </row>
        <row r="77">
          <cell r="A77" t="str">
            <v>A424</v>
          </cell>
          <cell r="B77" t="str">
            <v>Nguyễn Văn Song</v>
          </cell>
          <cell r="C77" t="str">
            <v>CD</v>
          </cell>
          <cell r="D77">
            <v>0</v>
          </cell>
          <cell r="E77">
            <v>41522</v>
          </cell>
          <cell r="F77">
            <v>1</v>
          </cell>
          <cell r="G77" t="str">
            <v>A</v>
          </cell>
          <cell r="H77">
            <v>4</v>
          </cell>
          <cell r="I77" t="str">
            <v>A</v>
          </cell>
          <cell r="J77">
            <v>4.5</v>
          </cell>
          <cell r="K77" t="str">
            <v>A</v>
          </cell>
          <cell r="L77">
            <v>4</v>
          </cell>
          <cell r="M77">
            <v>0</v>
          </cell>
          <cell r="N77">
            <v>10</v>
          </cell>
          <cell r="O77" t="str">
            <v>A</v>
          </cell>
          <cell r="P77">
            <v>4</v>
          </cell>
          <cell r="Q77" t="str">
            <v>A</v>
          </cell>
          <cell r="R77">
            <v>4</v>
          </cell>
          <cell r="S77" t="str">
            <v>A</v>
          </cell>
          <cell r="T77">
            <v>4</v>
          </cell>
          <cell r="U77" t="str">
            <v>A</v>
          </cell>
          <cell r="V77">
            <v>4</v>
          </cell>
          <cell r="W77" t="str">
            <v>A</v>
          </cell>
          <cell r="X77">
            <v>4</v>
          </cell>
          <cell r="Y77" t="str">
            <v>A</v>
          </cell>
          <cell r="Z77">
            <v>4</v>
          </cell>
          <cell r="AA77">
            <v>0</v>
          </cell>
          <cell r="AB77">
            <v>0</v>
          </cell>
          <cell r="AC77" t="str">
            <v>C</v>
          </cell>
          <cell r="AD77">
            <v>4</v>
          </cell>
          <cell r="AE77" t="str">
            <v>C</v>
          </cell>
          <cell r="AF77">
            <v>4</v>
          </cell>
          <cell r="AG77" t="str">
            <v>C</v>
          </cell>
          <cell r="AH77">
            <v>4</v>
          </cell>
          <cell r="AI77" t="str">
            <v>C</v>
          </cell>
          <cell r="AJ77">
            <v>4</v>
          </cell>
          <cell r="AK77" t="str">
            <v>C</v>
          </cell>
          <cell r="AL77">
            <v>4</v>
          </cell>
          <cell r="AM77" t="str">
            <v>C</v>
          </cell>
          <cell r="AN77">
            <v>4</v>
          </cell>
          <cell r="AO77">
            <v>0</v>
          </cell>
          <cell r="AP77">
            <v>0</v>
          </cell>
          <cell r="AQ77" t="str">
            <v>A</v>
          </cell>
          <cell r="AR77">
            <v>4</v>
          </cell>
          <cell r="AS77" t="str">
            <v>D</v>
          </cell>
          <cell r="AT77">
            <v>0</v>
          </cell>
          <cell r="AU77" t="str">
            <v>NT7</v>
          </cell>
          <cell r="AV77">
            <v>0</v>
          </cell>
          <cell r="AW77" t="str">
            <v>A</v>
          </cell>
          <cell r="AX77">
            <v>4</v>
          </cell>
          <cell r="AY77" t="str">
            <v>A</v>
          </cell>
          <cell r="AZ77">
            <v>4</v>
          </cell>
          <cell r="BA77" t="str">
            <v>D</v>
          </cell>
          <cell r="BB77">
            <v>2</v>
          </cell>
          <cell r="BC77">
            <v>0</v>
          </cell>
          <cell r="BD77">
            <v>0</v>
          </cell>
          <cell r="BE77" t="str">
            <v>A</v>
          </cell>
          <cell r="BF77">
            <v>4</v>
          </cell>
          <cell r="BG77" t="str">
            <v>A</v>
          </cell>
          <cell r="BH77">
            <v>4</v>
          </cell>
          <cell r="BI77" t="str">
            <v>A</v>
          </cell>
          <cell r="BJ77">
            <v>4</v>
          </cell>
          <cell r="BK77" t="str">
            <v>A</v>
          </cell>
          <cell r="BL77">
            <v>4</v>
          </cell>
          <cell r="BM77" t="str">
            <v>A</v>
          </cell>
          <cell r="BN77">
            <v>4</v>
          </cell>
          <cell r="BO77" t="str">
            <v>D</v>
          </cell>
          <cell r="BP77">
            <v>2.5</v>
          </cell>
          <cell r="BQ77">
            <v>17</v>
          </cell>
          <cell r="BR77">
            <v>3</v>
          </cell>
          <cell r="BS77">
            <v>0</v>
          </cell>
          <cell r="BT77">
            <v>6</v>
          </cell>
          <cell r="BU77">
            <v>0</v>
          </cell>
          <cell r="BV77">
            <v>0</v>
          </cell>
          <cell r="BW77">
            <v>0</v>
          </cell>
          <cell r="BX77">
            <v>1</v>
          </cell>
          <cell r="BY77">
            <v>0</v>
          </cell>
          <cell r="BZ77">
            <v>27</v>
          </cell>
          <cell r="CA77">
            <v>97</v>
          </cell>
          <cell r="CB77">
            <v>10</v>
          </cell>
          <cell r="CC77">
            <v>0</v>
          </cell>
          <cell r="CD77">
            <v>1</v>
          </cell>
          <cell r="CE77">
            <v>0</v>
          </cell>
          <cell r="CF77">
            <v>150</v>
          </cell>
          <cell r="CG77">
            <v>2</v>
          </cell>
          <cell r="CH77">
            <v>0</v>
          </cell>
          <cell r="CI77">
            <v>150</v>
          </cell>
        </row>
        <row r="78">
          <cell r="A78" t="str">
            <v>A428</v>
          </cell>
          <cell r="B78" t="str">
            <v>Nguyễn Hồng Nhật</v>
          </cell>
          <cell r="C78" t="str">
            <v>TXBVTV</v>
          </cell>
          <cell r="D78">
            <v>0</v>
          </cell>
          <cell r="E78">
            <v>41564</v>
          </cell>
          <cell r="F78">
            <v>9</v>
          </cell>
          <cell r="G78" t="str">
            <v>A</v>
          </cell>
          <cell r="H78">
            <v>5</v>
          </cell>
          <cell r="I78" t="str">
            <v>A</v>
          </cell>
          <cell r="J78">
            <v>4.5</v>
          </cell>
          <cell r="K78" t="str">
            <v>A</v>
          </cell>
          <cell r="L78">
            <v>4</v>
          </cell>
          <cell r="M78">
            <v>0</v>
          </cell>
          <cell r="N78">
            <v>0</v>
          </cell>
          <cell r="O78" t="str">
            <v>A</v>
          </cell>
          <cell r="P78">
            <v>5</v>
          </cell>
          <cell r="Q78" t="str">
            <v>A</v>
          </cell>
          <cell r="R78">
            <v>4.5</v>
          </cell>
          <cell r="S78" t="str">
            <v>A</v>
          </cell>
          <cell r="T78">
            <v>5</v>
          </cell>
          <cell r="U78" t="str">
            <v>A</v>
          </cell>
          <cell r="V78">
            <v>7</v>
          </cell>
          <cell r="W78" t="str">
            <v>A</v>
          </cell>
          <cell r="X78">
            <v>4.5</v>
          </cell>
          <cell r="Y78" t="str">
            <v>D</v>
          </cell>
          <cell r="Z78">
            <v>3</v>
          </cell>
          <cell r="AA78">
            <v>0</v>
          </cell>
          <cell r="AB78">
            <v>10</v>
          </cell>
          <cell r="AC78" t="str">
            <v>A</v>
          </cell>
          <cell r="AD78">
            <v>7.5</v>
          </cell>
          <cell r="AE78" t="str">
            <v>A</v>
          </cell>
          <cell r="AF78">
            <v>4.5</v>
          </cell>
          <cell r="AG78" t="str">
            <v>A</v>
          </cell>
          <cell r="AH78">
            <v>5</v>
          </cell>
          <cell r="AI78" t="str">
            <v>A</v>
          </cell>
          <cell r="AJ78">
            <v>5</v>
          </cell>
          <cell r="AK78" t="str">
            <v>A</v>
          </cell>
          <cell r="AL78">
            <v>4.5</v>
          </cell>
          <cell r="AM78" t="str">
            <v>A</v>
          </cell>
          <cell r="AN78">
            <v>4.5</v>
          </cell>
          <cell r="AO78">
            <v>0</v>
          </cell>
          <cell r="AP78">
            <v>0</v>
          </cell>
          <cell r="AQ78" t="str">
            <v>A</v>
          </cell>
          <cell r="AR78">
            <v>4.5</v>
          </cell>
          <cell r="AS78" t="str">
            <v>A</v>
          </cell>
          <cell r="AT78">
            <v>5</v>
          </cell>
          <cell r="AU78" t="str">
            <v>A</v>
          </cell>
          <cell r="AV78">
            <v>4.5</v>
          </cell>
          <cell r="AW78" t="str">
            <v>A</v>
          </cell>
          <cell r="AX78">
            <v>4.5</v>
          </cell>
          <cell r="AY78" t="str">
            <v>A</v>
          </cell>
          <cell r="AZ78">
            <v>5</v>
          </cell>
          <cell r="BA78" t="str">
            <v>A</v>
          </cell>
          <cell r="BB78">
            <v>3</v>
          </cell>
          <cell r="BC78">
            <v>0</v>
          </cell>
          <cell r="BD78">
            <v>0</v>
          </cell>
          <cell r="BE78" t="str">
            <v>A</v>
          </cell>
          <cell r="BF78">
            <v>4.5</v>
          </cell>
          <cell r="BG78" t="str">
            <v>A</v>
          </cell>
          <cell r="BH78">
            <v>5</v>
          </cell>
          <cell r="BI78" t="str">
            <v>A</v>
          </cell>
          <cell r="BJ78">
            <v>4.5</v>
          </cell>
          <cell r="BK78" t="str">
            <v>A</v>
          </cell>
          <cell r="BL78">
            <v>5</v>
          </cell>
          <cell r="BM78" t="str">
            <v>A</v>
          </cell>
          <cell r="BN78">
            <v>4.5</v>
          </cell>
          <cell r="BO78" t="str">
            <v>A</v>
          </cell>
          <cell r="BP78">
            <v>3</v>
          </cell>
          <cell r="BQ78">
            <v>26</v>
          </cell>
          <cell r="BR78">
            <v>1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27</v>
          </cell>
          <cell r="CA78">
            <v>126.5</v>
          </cell>
          <cell r="CB78">
            <v>10</v>
          </cell>
          <cell r="CC78">
            <v>0</v>
          </cell>
          <cell r="CD78">
            <v>2</v>
          </cell>
          <cell r="CE78">
            <v>0</v>
          </cell>
          <cell r="CF78">
            <v>140</v>
          </cell>
          <cell r="CG78">
            <v>10</v>
          </cell>
          <cell r="CH78">
            <v>0</v>
          </cell>
          <cell r="CI78">
            <v>70</v>
          </cell>
        </row>
        <row r="79">
          <cell r="A79" t="str">
            <v>A432</v>
          </cell>
          <cell r="B79" t="str">
            <v>Đặng Văn Việt</v>
          </cell>
          <cell r="C79" t="str">
            <v>GA</v>
          </cell>
          <cell r="D79">
            <v>0</v>
          </cell>
          <cell r="E79">
            <v>41592</v>
          </cell>
          <cell r="F79">
            <v>1</v>
          </cell>
          <cell r="G79" t="str">
            <v>A</v>
          </cell>
          <cell r="H79">
            <v>4</v>
          </cell>
          <cell r="I79" t="str">
            <v>D</v>
          </cell>
          <cell r="J79">
            <v>3</v>
          </cell>
          <cell r="K79" t="str">
            <v>NT7</v>
          </cell>
          <cell r="L79">
            <v>0</v>
          </cell>
          <cell r="M79">
            <v>0</v>
          </cell>
          <cell r="N79">
            <v>0</v>
          </cell>
          <cell r="O79" t="str">
            <v>A</v>
          </cell>
          <cell r="P79">
            <v>4</v>
          </cell>
          <cell r="Q79" t="str">
            <v>A</v>
          </cell>
          <cell r="R79">
            <v>4</v>
          </cell>
          <cell r="S79" t="str">
            <v>NT7</v>
          </cell>
          <cell r="T79">
            <v>0</v>
          </cell>
          <cell r="U79" t="str">
            <v>D</v>
          </cell>
          <cell r="V79">
            <v>0</v>
          </cell>
          <cell r="W79" t="str">
            <v>P</v>
          </cell>
          <cell r="X79">
            <v>0</v>
          </cell>
          <cell r="Y79" t="str">
            <v>A</v>
          </cell>
          <cell r="Z79">
            <v>4</v>
          </cell>
          <cell r="AA79">
            <v>0</v>
          </cell>
          <cell r="AB79">
            <v>0</v>
          </cell>
          <cell r="AC79" t="str">
            <v>A</v>
          </cell>
          <cell r="AD79">
            <v>4</v>
          </cell>
          <cell r="AE79" t="str">
            <v>A</v>
          </cell>
          <cell r="AF79">
            <v>4</v>
          </cell>
          <cell r="AG79" t="str">
            <v>A</v>
          </cell>
          <cell r="AH79">
            <v>4</v>
          </cell>
          <cell r="AI79" t="str">
            <v>A</v>
          </cell>
          <cell r="AJ79">
            <v>4</v>
          </cell>
          <cell r="AK79" t="str">
            <v>A</v>
          </cell>
          <cell r="AL79">
            <v>4</v>
          </cell>
          <cell r="AM79" t="str">
            <v>D</v>
          </cell>
          <cell r="AN79">
            <v>0</v>
          </cell>
          <cell r="AO79">
            <v>0</v>
          </cell>
          <cell r="AP79">
            <v>0</v>
          </cell>
          <cell r="AQ79" t="str">
            <v>A</v>
          </cell>
          <cell r="AR79">
            <v>4</v>
          </cell>
          <cell r="AS79" t="str">
            <v>A</v>
          </cell>
          <cell r="AT79">
            <v>4</v>
          </cell>
          <cell r="AU79" t="str">
            <v>A</v>
          </cell>
          <cell r="AV79">
            <v>4</v>
          </cell>
          <cell r="AW79" t="str">
            <v>D</v>
          </cell>
          <cell r="AX79">
            <v>2</v>
          </cell>
          <cell r="AY79" t="str">
            <v>A</v>
          </cell>
          <cell r="AZ79">
            <v>4</v>
          </cell>
          <cell r="BA79" t="str">
            <v>A</v>
          </cell>
          <cell r="BB79">
            <v>4</v>
          </cell>
          <cell r="BC79">
            <v>0</v>
          </cell>
          <cell r="BD79">
            <v>0</v>
          </cell>
          <cell r="BE79" t="str">
            <v>A</v>
          </cell>
          <cell r="BF79">
            <v>4</v>
          </cell>
          <cell r="BG79" t="str">
            <v>A</v>
          </cell>
          <cell r="BH79">
            <v>4</v>
          </cell>
          <cell r="BI79" t="str">
            <v>A</v>
          </cell>
          <cell r="BJ79">
            <v>4</v>
          </cell>
          <cell r="BK79" t="str">
            <v>A</v>
          </cell>
          <cell r="BL79">
            <v>4</v>
          </cell>
          <cell r="BM79" t="str">
            <v>A</v>
          </cell>
          <cell r="BN79">
            <v>4</v>
          </cell>
          <cell r="BO79" t="str">
            <v>D</v>
          </cell>
          <cell r="BP79">
            <v>0</v>
          </cell>
          <cell r="BQ79">
            <v>19</v>
          </cell>
          <cell r="BR79">
            <v>5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2</v>
          </cell>
          <cell r="BY79">
            <v>1</v>
          </cell>
          <cell r="BZ79">
            <v>27</v>
          </cell>
          <cell r="CA79">
            <v>84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1</v>
          </cell>
          <cell r="CH79">
            <v>0</v>
          </cell>
          <cell r="CI79">
            <v>70</v>
          </cell>
        </row>
        <row r="80">
          <cell r="A80" t="str">
            <v>A433</v>
          </cell>
          <cell r="B80" t="str">
            <v>Ngô Văn Thương</v>
          </cell>
          <cell r="C80" t="str">
            <v>PHOI</v>
          </cell>
          <cell r="D80">
            <v>0</v>
          </cell>
          <cell r="E80">
            <v>41633</v>
          </cell>
          <cell r="F80">
            <v>3.5</v>
          </cell>
          <cell r="G80" t="str">
            <v>A</v>
          </cell>
          <cell r="H80">
            <v>7</v>
          </cell>
          <cell r="I80" t="str">
            <v>A</v>
          </cell>
          <cell r="J80">
            <v>4</v>
          </cell>
          <cell r="K80" t="str">
            <v>A</v>
          </cell>
          <cell r="L80">
            <v>7</v>
          </cell>
          <cell r="M80">
            <v>0</v>
          </cell>
          <cell r="N80">
            <v>12</v>
          </cell>
          <cell r="O80" t="str">
            <v>A</v>
          </cell>
          <cell r="P80">
            <v>7</v>
          </cell>
          <cell r="Q80" t="str">
            <v>A</v>
          </cell>
          <cell r="R80">
            <v>7</v>
          </cell>
          <cell r="S80" t="str">
            <v>A</v>
          </cell>
          <cell r="T80">
            <v>7</v>
          </cell>
          <cell r="U80" t="str">
            <v>A</v>
          </cell>
          <cell r="V80">
            <v>7</v>
          </cell>
          <cell r="W80" t="str">
            <v>A</v>
          </cell>
          <cell r="X80">
            <v>7</v>
          </cell>
          <cell r="Y80" t="str">
            <v>A</v>
          </cell>
          <cell r="Z80">
            <v>7</v>
          </cell>
          <cell r="AA80">
            <v>0</v>
          </cell>
          <cell r="AB80">
            <v>0</v>
          </cell>
          <cell r="AC80" t="str">
            <v>A</v>
          </cell>
          <cell r="AD80">
            <v>7</v>
          </cell>
          <cell r="AE80" t="str">
            <v>A</v>
          </cell>
          <cell r="AF80">
            <v>7</v>
          </cell>
          <cell r="AG80" t="str">
            <v>A</v>
          </cell>
          <cell r="AH80">
            <v>7</v>
          </cell>
          <cell r="AI80" t="str">
            <v>A</v>
          </cell>
          <cell r="AJ80">
            <v>7</v>
          </cell>
          <cell r="AK80" t="str">
            <v>A</v>
          </cell>
          <cell r="AL80">
            <v>7</v>
          </cell>
          <cell r="AM80" t="str">
            <v>A</v>
          </cell>
          <cell r="AN80">
            <v>7</v>
          </cell>
          <cell r="AO80">
            <v>0</v>
          </cell>
          <cell r="AP80">
            <v>0</v>
          </cell>
          <cell r="AQ80" t="str">
            <v>A</v>
          </cell>
          <cell r="AR80">
            <v>7</v>
          </cell>
          <cell r="AS80" t="str">
            <v>A</v>
          </cell>
          <cell r="AT80">
            <v>7</v>
          </cell>
          <cell r="AU80" t="str">
            <v>A</v>
          </cell>
          <cell r="AV80">
            <v>7</v>
          </cell>
          <cell r="AW80" t="str">
            <v>A</v>
          </cell>
          <cell r="AX80">
            <v>7</v>
          </cell>
          <cell r="AY80" t="str">
            <v>A</v>
          </cell>
          <cell r="AZ80">
            <v>7</v>
          </cell>
          <cell r="BA80" t="str">
            <v>P5,D5</v>
          </cell>
          <cell r="BB80">
            <v>0</v>
          </cell>
          <cell r="BC80">
            <v>0</v>
          </cell>
          <cell r="BD80">
            <v>0</v>
          </cell>
          <cell r="BE80" t="str">
            <v>A</v>
          </cell>
          <cell r="BF80">
            <v>7</v>
          </cell>
          <cell r="BG80" t="str">
            <v>A</v>
          </cell>
          <cell r="BH80">
            <v>7</v>
          </cell>
          <cell r="BI80" t="str">
            <v>A</v>
          </cell>
          <cell r="BJ80">
            <v>7</v>
          </cell>
          <cell r="BK80" t="str">
            <v>A</v>
          </cell>
          <cell r="BL80">
            <v>7</v>
          </cell>
          <cell r="BM80" t="str">
            <v>A</v>
          </cell>
          <cell r="BN80">
            <v>7</v>
          </cell>
          <cell r="BO80" t="str">
            <v>A</v>
          </cell>
          <cell r="BP80">
            <v>7</v>
          </cell>
          <cell r="BQ80">
            <v>26</v>
          </cell>
          <cell r="BR80">
            <v>0.5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0.5</v>
          </cell>
          <cell r="BZ80">
            <v>27</v>
          </cell>
          <cell r="CA80">
            <v>179</v>
          </cell>
          <cell r="CB80">
            <v>12</v>
          </cell>
          <cell r="CC80">
            <v>0</v>
          </cell>
          <cell r="CD80">
            <v>2</v>
          </cell>
          <cell r="CE80">
            <v>1</v>
          </cell>
          <cell r="CF80">
            <v>140</v>
          </cell>
          <cell r="CG80">
            <v>4</v>
          </cell>
          <cell r="CH80">
            <v>16</v>
          </cell>
          <cell r="CI80">
            <v>70</v>
          </cell>
        </row>
        <row r="81">
          <cell r="A81" t="str">
            <v>A435</v>
          </cell>
          <cell r="B81" t="str">
            <v>Châu Thanh Kiệt</v>
          </cell>
          <cell r="C81" t="str">
            <v>EN</v>
          </cell>
          <cell r="D81">
            <v>0</v>
          </cell>
          <cell r="E81">
            <v>41635</v>
          </cell>
          <cell r="F81">
            <v>0</v>
          </cell>
          <cell r="G81" t="str">
            <v>A</v>
          </cell>
          <cell r="H81">
            <v>7</v>
          </cell>
          <cell r="I81" t="str">
            <v>A</v>
          </cell>
          <cell r="J81">
            <v>7</v>
          </cell>
          <cell r="K81" t="str">
            <v>A</v>
          </cell>
          <cell r="L81">
            <v>7</v>
          </cell>
          <cell r="M81">
            <v>0</v>
          </cell>
          <cell r="N81">
            <v>12</v>
          </cell>
          <cell r="O81" t="str">
            <v>BHXH</v>
          </cell>
          <cell r="P81">
            <v>0</v>
          </cell>
          <cell r="Q81" t="str">
            <v>BHXH</v>
          </cell>
          <cell r="R81">
            <v>0</v>
          </cell>
          <cell r="S81" t="str">
            <v>A</v>
          </cell>
          <cell r="T81">
            <v>7</v>
          </cell>
          <cell r="U81" t="str">
            <v>A</v>
          </cell>
          <cell r="V81">
            <v>4</v>
          </cell>
          <cell r="W81" t="str">
            <v>A</v>
          </cell>
          <cell r="X81">
            <v>7</v>
          </cell>
          <cell r="Y81" t="str">
            <v>A</v>
          </cell>
          <cell r="Z81">
            <v>7</v>
          </cell>
          <cell r="AA81">
            <v>0</v>
          </cell>
          <cell r="AB81">
            <v>0</v>
          </cell>
          <cell r="AC81" t="str">
            <v>A</v>
          </cell>
          <cell r="AD81">
            <v>7</v>
          </cell>
          <cell r="AE81" t="str">
            <v>A</v>
          </cell>
          <cell r="AF81">
            <v>7</v>
          </cell>
          <cell r="AG81" t="str">
            <v>NT7</v>
          </cell>
          <cell r="AH81">
            <v>0</v>
          </cell>
          <cell r="AI81" t="str">
            <v>A</v>
          </cell>
          <cell r="AJ81">
            <v>7</v>
          </cell>
          <cell r="AK81" t="str">
            <v>A</v>
          </cell>
          <cell r="AL81">
            <v>7</v>
          </cell>
          <cell r="AM81" t="str">
            <v>A</v>
          </cell>
          <cell r="AN81">
            <v>7</v>
          </cell>
          <cell r="AO81">
            <v>0</v>
          </cell>
          <cell r="AP81">
            <v>0</v>
          </cell>
          <cell r="AQ81" t="str">
            <v>A</v>
          </cell>
          <cell r="AR81">
            <v>7</v>
          </cell>
          <cell r="AS81" t="str">
            <v>A</v>
          </cell>
          <cell r="AT81">
            <v>7</v>
          </cell>
          <cell r="AU81" t="str">
            <v>A</v>
          </cell>
          <cell r="AV81">
            <v>7</v>
          </cell>
          <cell r="AW81" t="str">
            <v>A</v>
          </cell>
          <cell r="AX81">
            <v>7</v>
          </cell>
          <cell r="AY81" t="str">
            <v>A</v>
          </cell>
          <cell r="AZ81">
            <v>7</v>
          </cell>
          <cell r="BA81" t="str">
            <v>A</v>
          </cell>
          <cell r="BB81">
            <v>7</v>
          </cell>
          <cell r="BC81">
            <v>0</v>
          </cell>
          <cell r="BD81">
            <v>12</v>
          </cell>
          <cell r="BE81" t="str">
            <v>A</v>
          </cell>
          <cell r="BF81">
            <v>7</v>
          </cell>
          <cell r="BG81" t="str">
            <v>A</v>
          </cell>
          <cell r="BH81">
            <v>7</v>
          </cell>
          <cell r="BI81" t="str">
            <v>A</v>
          </cell>
          <cell r="BJ81">
            <v>7</v>
          </cell>
          <cell r="BK81" t="str">
            <v>A</v>
          </cell>
          <cell r="BL81">
            <v>7</v>
          </cell>
          <cell r="BM81" t="str">
            <v>A</v>
          </cell>
          <cell r="BN81">
            <v>7</v>
          </cell>
          <cell r="BO81" t="str">
            <v>A</v>
          </cell>
          <cell r="BP81">
            <v>4</v>
          </cell>
          <cell r="BQ81">
            <v>24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1</v>
          </cell>
          <cell r="BY81">
            <v>0</v>
          </cell>
          <cell r="BZ81">
            <v>25</v>
          </cell>
          <cell r="CA81">
            <v>162</v>
          </cell>
          <cell r="CB81">
            <v>24</v>
          </cell>
          <cell r="CC81">
            <v>0</v>
          </cell>
          <cell r="CD81">
            <v>1</v>
          </cell>
          <cell r="CE81">
            <v>2</v>
          </cell>
          <cell r="CF81">
            <v>150</v>
          </cell>
          <cell r="CG81">
            <v>1</v>
          </cell>
          <cell r="CH81">
            <v>32</v>
          </cell>
          <cell r="CI81">
            <v>150</v>
          </cell>
        </row>
        <row r="82">
          <cell r="A82" t="str">
            <v>A439</v>
          </cell>
          <cell r="B82" t="str">
            <v>Huỳnh Thị Kiều</v>
          </cell>
          <cell r="C82" t="str">
            <v>PHOI</v>
          </cell>
          <cell r="D82">
            <v>0</v>
          </cell>
          <cell r="E82">
            <v>41639</v>
          </cell>
          <cell r="F82">
            <v>5.5</v>
          </cell>
          <cell r="G82" t="str">
            <v>A</v>
          </cell>
          <cell r="H82">
            <v>7</v>
          </cell>
          <cell r="I82" t="str">
            <v>A</v>
          </cell>
          <cell r="J82">
            <v>4</v>
          </cell>
          <cell r="K82" t="str">
            <v>A</v>
          </cell>
          <cell r="L82">
            <v>7</v>
          </cell>
          <cell r="M82">
            <v>0</v>
          </cell>
          <cell r="N82">
            <v>12</v>
          </cell>
          <cell r="O82" t="str">
            <v>A</v>
          </cell>
          <cell r="P82">
            <v>7</v>
          </cell>
          <cell r="Q82" t="str">
            <v>A</v>
          </cell>
          <cell r="R82">
            <v>7</v>
          </cell>
          <cell r="S82" t="str">
            <v>A</v>
          </cell>
          <cell r="T82">
            <v>7</v>
          </cell>
          <cell r="U82" t="str">
            <v>A</v>
          </cell>
          <cell r="V82">
            <v>7</v>
          </cell>
          <cell r="W82" t="str">
            <v>A</v>
          </cell>
          <cell r="X82">
            <v>7</v>
          </cell>
          <cell r="Y82" t="str">
            <v>A</v>
          </cell>
          <cell r="Z82">
            <v>7</v>
          </cell>
          <cell r="AA82">
            <v>0</v>
          </cell>
          <cell r="AB82">
            <v>0</v>
          </cell>
          <cell r="AC82" t="str">
            <v>A</v>
          </cell>
          <cell r="AD82">
            <v>7</v>
          </cell>
          <cell r="AE82" t="str">
            <v>A</v>
          </cell>
          <cell r="AF82">
            <v>7</v>
          </cell>
          <cell r="AG82" t="str">
            <v>A</v>
          </cell>
          <cell r="AH82">
            <v>7</v>
          </cell>
          <cell r="AI82" t="str">
            <v>A</v>
          </cell>
          <cell r="AJ82">
            <v>7</v>
          </cell>
          <cell r="AK82" t="str">
            <v>A</v>
          </cell>
          <cell r="AL82">
            <v>7</v>
          </cell>
          <cell r="AM82" t="str">
            <v>A</v>
          </cell>
          <cell r="AN82">
            <v>7</v>
          </cell>
          <cell r="AO82">
            <v>0</v>
          </cell>
          <cell r="AP82">
            <v>0</v>
          </cell>
          <cell r="AQ82" t="str">
            <v>A</v>
          </cell>
          <cell r="AR82">
            <v>7</v>
          </cell>
          <cell r="AS82" t="str">
            <v>A</v>
          </cell>
          <cell r="AT82">
            <v>7</v>
          </cell>
          <cell r="AU82" t="str">
            <v>A</v>
          </cell>
          <cell r="AV82">
            <v>7</v>
          </cell>
          <cell r="AW82" t="str">
            <v>A</v>
          </cell>
          <cell r="AX82">
            <v>7</v>
          </cell>
          <cell r="AY82" t="str">
            <v>A</v>
          </cell>
          <cell r="AZ82">
            <v>7</v>
          </cell>
          <cell r="BA82" t="str">
            <v>P5,D5</v>
          </cell>
          <cell r="BB82">
            <v>0</v>
          </cell>
          <cell r="BC82">
            <v>0</v>
          </cell>
          <cell r="BD82">
            <v>0</v>
          </cell>
          <cell r="BE82" t="str">
            <v>A</v>
          </cell>
          <cell r="BF82">
            <v>7</v>
          </cell>
          <cell r="BG82" t="str">
            <v>A</v>
          </cell>
          <cell r="BH82">
            <v>7</v>
          </cell>
          <cell r="BI82" t="str">
            <v>A</v>
          </cell>
          <cell r="BJ82">
            <v>7</v>
          </cell>
          <cell r="BK82" t="str">
            <v>A</v>
          </cell>
          <cell r="BL82">
            <v>7</v>
          </cell>
          <cell r="BM82" t="str">
            <v>A</v>
          </cell>
          <cell r="BN82">
            <v>7</v>
          </cell>
          <cell r="BO82" t="str">
            <v>A</v>
          </cell>
          <cell r="BP82">
            <v>7</v>
          </cell>
          <cell r="BQ82">
            <v>26</v>
          </cell>
          <cell r="BR82">
            <v>0.5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0.5</v>
          </cell>
          <cell r="BZ82">
            <v>27</v>
          </cell>
          <cell r="CA82">
            <v>179</v>
          </cell>
          <cell r="CB82">
            <v>12</v>
          </cell>
          <cell r="CC82">
            <v>0</v>
          </cell>
          <cell r="CD82">
            <v>2</v>
          </cell>
          <cell r="CE82">
            <v>1</v>
          </cell>
          <cell r="CF82">
            <v>140</v>
          </cell>
          <cell r="CG82">
            <v>6</v>
          </cell>
          <cell r="CH82">
            <v>16</v>
          </cell>
          <cell r="CI82">
            <v>70</v>
          </cell>
        </row>
        <row r="83">
          <cell r="A83" t="str">
            <v>A440</v>
          </cell>
          <cell r="B83" t="str">
            <v>Lâm Quốc Phong</v>
          </cell>
          <cell r="C83" t="str">
            <v>EN</v>
          </cell>
          <cell r="D83">
            <v>0</v>
          </cell>
          <cell r="E83">
            <v>41646</v>
          </cell>
          <cell r="F83">
            <v>11.5</v>
          </cell>
          <cell r="G83" t="str">
            <v>A</v>
          </cell>
          <cell r="H83">
            <v>6</v>
          </cell>
          <cell r="I83" t="str">
            <v>A</v>
          </cell>
          <cell r="J83">
            <v>6</v>
          </cell>
          <cell r="K83" t="str">
            <v>A</v>
          </cell>
          <cell r="L83">
            <v>4</v>
          </cell>
          <cell r="M83">
            <v>0</v>
          </cell>
          <cell r="N83">
            <v>12</v>
          </cell>
          <cell r="O83" t="str">
            <v>A</v>
          </cell>
          <cell r="P83">
            <v>6</v>
          </cell>
          <cell r="Q83" t="str">
            <v>A</v>
          </cell>
          <cell r="R83">
            <v>6</v>
          </cell>
          <cell r="S83" t="str">
            <v>A</v>
          </cell>
          <cell r="T83">
            <v>6</v>
          </cell>
          <cell r="U83" t="str">
            <v>A</v>
          </cell>
          <cell r="V83">
            <v>4</v>
          </cell>
          <cell r="W83" t="str">
            <v>A</v>
          </cell>
          <cell r="X83">
            <v>6</v>
          </cell>
          <cell r="Y83" t="str">
            <v>A</v>
          </cell>
          <cell r="Z83">
            <v>4</v>
          </cell>
          <cell r="AA83">
            <v>0</v>
          </cell>
          <cell r="AB83">
            <v>12</v>
          </cell>
          <cell r="AC83" t="str">
            <v>A</v>
          </cell>
          <cell r="AD83">
            <v>6</v>
          </cell>
          <cell r="AE83" t="str">
            <v>A</v>
          </cell>
          <cell r="AF83">
            <v>6</v>
          </cell>
          <cell r="AG83" t="str">
            <v>A</v>
          </cell>
          <cell r="AH83">
            <v>6</v>
          </cell>
          <cell r="AI83" t="str">
            <v>A</v>
          </cell>
          <cell r="AJ83">
            <v>6</v>
          </cell>
          <cell r="AK83" t="str">
            <v>A</v>
          </cell>
          <cell r="AL83">
            <v>6</v>
          </cell>
          <cell r="AM83" t="str">
            <v>D</v>
          </cell>
          <cell r="AN83">
            <v>3</v>
          </cell>
          <cell r="AO83">
            <v>0</v>
          </cell>
          <cell r="AP83">
            <v>12</v>
          </cell>
          <cell r="AQ83" t="str">
            <v>A</v>
          </cell>
          <cell r="AR83">
            <v>6</v>
          </cell>
          <cell r="AS83" t="str">
            <v>A</v>
          </cell>
          <cell r="AT83">
            <v>6</v>
          </cell>
          <cell r="AU83" t="str">
            <v>A</v>
          </cell>
          <cell r="AV83">
            <v>6</v>
          </cell>
          <cell r="AW83" t="str">
            <v>A</v>
          </cell>
          <cell r="AX83">
            <v>6</v>
          </cell>
          <cell r="AY83" t="str">
            <v>A</v>
          </cell>
          <cell r="AZ83">
            <v>6</v>
          </cell>
          <cell r="BA83" t="str">
            <v>A</v>
          </cell>
          <cell r="BB83">
            <v>4</v>
          </cell>
          <cell r="BC83">
            <v>0</v>
          </cell>
          <cell r="BD83">
            <v>12</v>
          </cell>
          <cell r="BE83" t="str">
            <v>A</v>
          </cell>
          <cell r="BF83">
            <v>6</v>
          </cell>
          <cell r="BG83" t="str">
            <v>A</v>
          </cell>
          <cell r="BH83">
            <v>6</v>
          </cell>
          <cell r="BI83" t="str">
            <v>A</v>
          </cell>
          <cell r="BJ83">
            <v>6</v>
          </cell>
          <cell r="BK83" t="str">
            <v>A</v>
          </cell>
          <cell r="BL83">
            <v>6</v>
          </cell>
          <cell r="BM83" t="str">
            <v>A</v>
          </cell>
          <cell r="BN83">
            <v>6</v>
          </cell>
          <cell r="BO83" t="str">
            <v>D</v>
          </cell>
          <cell r="BP83">
            <v>3</v>
          </cell>
          <cell r="BQ83">
            <v>25</v>
          </cell>
          <cell r="BR83">
            <v>2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27</v>
          </cell>
          <cell r="CA83">
            <v>148</v>
          </cell>
          <cell r="CB83">
            <v>48</v>
          </cell>
          <cell r="CC83">
            <v>0</v>
          </cell>
          <cell r="CD83">
            <v>2</v>
          </cell>
          <cell r="CE83">
            <v>4</v>
          </cell>
          <cell r="CF83">
            <v>140</v>
          </cell>
          <cell r="CG83">
            <v>12.5</v>
          </cell>
          <cell r="CH83">
            <v>64</v>
          </cell>
          <cell r="CI83">
            <v>70</v>
          </cell>
        </row>
        <row r="84">
          <cell r="A84" t="str">
            <v>A451</v>
          </cell>
          <cell r="B84" t="str">
            <v>Lê Thị Quế</v>
          </cell>
          <cell r="C84" t="str">
            <v>Gián tiếp</v>
          </cell>
          <cell r="D84">
            <v>0</v>
          </cell>
          <cell r="E84">
            <v>41699</v>
          </cell>
          <cell r="F84">
            <v>5</v>
          </cell>
          <cell r="G84" t="str">
            <v>D</v>
          </cell>
          <cell r="H84">
            <v>0</v>
          </cell>
          <cell r="I84" t="str">
            <v>D</v>
          </cell>
          <cell r="J84">
            <v>0</v>
          </cell>
          <cell r="K84" t="str">
            <v>D</v>
          </cell>
          <cell r="L84">
            <v>0</v>
          </cell>
          <cell r="M84">
            <v>0</v>
          </cell>
          <cell r="N84">
            <v>0</v>
          </cell>
          <cell r="O84" t="str">
            <v>D</v>
          </cell>
          <cell r="P84">
            <v>0</v>
          </cell>
          <cell r="Q84" t="str">
            <v>D</v>
          </cell>
          <cell r="R84">
            <v>0</v>
          </cell>
          <cell r="S84" t="str">
            <v>D</v>
          </cell>
          <cell r="T84">
            <v>0</v>
          </cell>
          <cell r="U84" t="str">
            <v>P5,D5</v>
          </cell>
          <cell r="V84">
            <v>0</v>
          </cell>
          <cell r="W84" t="str">
            <v>D</v>
          </cell>
          <cell r="X84">
            <v>0</v>
          </cell>
          <cell r="Y84" t="str">
            <v>NT7</v>
          </cell>
          <cell r="Z84">
            <v>0</v>
          </cell>
          <cell r="AA84">
            <v>0</v>
          </cell>
          <cell r="AB84">
            <v>0</v>
          </cell>
          <cell r="AC84" t="str">
            <v>D</v>
          </cell>
          <cell r="AD84">
            <v>0</v>
          </cell>
          <cell r="AE84" t="str">
            <v>P5,D5</v>
          </cell>
          <cell r="AF84">
            <v>0</v>
          </cell>
          <cell r="AG84" t="str">
            <v>D</v>
          </cell>
          <cell r="AH84">
            <v>0</v>
          </cell>
          <cell r="AI84" t="str">
            <v>D</v>
          </cell>
          <cell r="AJ84">
            <v>0</v>
          </cell>
          <cell r="AK84" t="str">
            <v>D</v>
          </cell>
          <cell r="AL84">
            <v>0</v>
          </cell>
          <cell r="AM84" t="str">
            <v>D</v>
          </cell>
          <cell r="AN84">
            <v>0</v>
          </cell>
          <cell r="AO84">
            <v>0</v>
          </cell>
          <cell r="AP84">
            <v>0</v>
          </cell>
          <cell r="AQ84" t="str">
            <v>D</v>
          </cell>
          <cell r="AR84">
            <v>0</v>
          </cell>
          <cell r="AS84" t="str">
            <v>D</v>
          </cell>
          <cell r="AT84">
            <v>0</v>
          </cell>
          <cell r="AU84" t="str">
            <v>D</v>
          </cell>
          <cell r="AV84">
            <v>0</v>
          </cell>
          <cell r="AW84" t="str">
            <v>D</v>
          </cell>
          <cell r="AX84">
            <v>0</v>
          </cell>
          <cell r="AY84" t="str">
            <v>D</v>
          </cell>
          <cell r="AZ84">
            <v>0</v>
          </cell>
          <cell r="BA84" t="str">
            <v>NT7</v>
          </cell>
          <cell r="BB84">
            <v>0</v>
          </cell>
          <cell r="BC84">
            <v>0</v>
          </cell>
          <cell r="BD84">
            <v>0</v>
          </cell>
          <cell r="BE84" t="str">
            <v>D</v>
          </cell>
          <cell r="BF84">
            <v>0</v>
          </cell>
          <cell r="BG84" t="str">
            <v>D</v>
          </cell>
          <cell r="BH84">
            <v>0</v>
          </cell>
          <cell r="BI84" t="str">
            <v>D</v>
          </cell>
          <cell r="BJ84">
            <v>0</v>
          </cell>
          <cell r="BK84" t="str">
            <v>D</v>
          </cell>
          <cell r="BL84">
            <v>0</v>
          </cell>
          <cell r="BM84" t="str">
            <v>D</v>
          </cell>
          <cell r="BN84">
            <v>0</v>
          </cell>
          <cell r="BO84" t="str">
            <v>P</v>
          </cell>
          <cell r="BP84">
            <v>0</v>
          </cell>
          <cell r="BQ84">
            <v>0</v>
          </cell>
          <cell r="BR84">
            <v>23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2</v>
          </cell>
          <cell r="BY84">
            <v>2</v>
          </cell>
          <cell r="BZ84">
            <v>27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4</v>
          </cell>
          <cell r="CH84">
            <v>0</v>
          </cell>
          <cell r="CI84">
            <v>150</v>
          </cell>
        </row>
        <row r="85">
          <cell r="A85" t="str">
            <v>A463</v>
          </cell>
          <cell r="B85" t="str">
            <v>Phạm Minh Tuấn</v>
          </cell>
          <cell r="C85" t="str">
            <v>QCX</v>
          </cell>
          <cell r="D85">
            <v>0</v>
          </cell>
          <cell r="E85">
            <v>41716</v>
          </cell>
          <cell r="F85">
            <v>3</v>
          </cell>
          <cell r="G85" t="str">
            <v>A</v>
          </cell>
          <cell r="H85">
            <v>6</v>
          </cell>
          <cell r="I85" t="str">
            <v>A</v>
          </cell>
          <cell r="J85">
            <v>4</v>
          </cell>
          <cell r="K85" t="str">
            <v>A</v>
          </cell>
          <cell r="L85">
            <v>4</v>
          </cell>
          <cell r="M85">
            <v>0</v>
          </cell>
          <cell r="N85">
            <v>0</v>
          </cell>
          <cell r="O85" t="str">
            <v>A</v>
          </cell>
          <cell r="P85">
            <v>4</v>
          </cell>
          <cell r="Q85" t="str">
            <v>A</v>
          </cell>
          <cell r="R85">
            <v>4</v>
          </cell>
          <cell r="S85" t="str">
            <v>NT7</v>
          </cell>
          <cell r="T85">
            <v>0</v>
          </cell>
          <cell r="U85" t="str">
            <v>D</v>
          </cell>
          <cell r="V85">
            <v>2</v>
          </cell>
          <cell r="W85" t="str">
            <v>A</v>
          </cell>
          <cell r="X85">
            <v>4</v>
          </cell>
          <cell r="Y85" t="str">
            <v>D</v>
          </cell>
          <cell r="Z85">
            <v>0</v>
          </cell>
          <cell r="AA85">
            <v>0</v>
          </cell>
          <cell r="AB85">
            <v>0</v>
          </cell>
          <cell r="AC85" t="str">
            <v>C</v>
          </cell>
          <cell r="AD85">
            <v>4</v>
          </cell>
          <cell r="AE85" t="str">
            <v>C</v>
          </cell>
          <cell r="AF85">
            <v>4</v>
          </cell>
          <cell r="AG85" t="str">
            <v>C</v>
          </cell>
          <cell r="AH85">
            <v>4</v>
          </cell>
          <cell r="AI85" t="str">
            <v>C</v>
          </cell>
          <cell r="AJ85">
            <v>4</v>
          </cell>
          <cell r="AK85" t="str">
            <v>P</v>
          </cell>
          <cell r="AL85">
            <v>0</v>
          </cell>
          <cell r="AM85" t="str">
            <v>C</v>
          </cell>
          <cell r="AN85">
            <v>4</v>
          </cell>
          <cell r="AO85">
            <v>0</v>
          </cell>
          <cell r="AP85">
            <v>0</v>
          </cell>
          <cell r="AQ85" t="str">
            <v>NT7</v>
          </cell>
          <cell r="AR85">
            <v>0</v>
          </cell>
          <cell r="AS85" t="str">
            <v>D</v>
          </cell>
          <cell r="AT85">
            <v>0</v>
          </cell>
          <cell r="AU85" t="str">
            <v>D</v>
          </cell>
          <cell r="AV85">
            <v>4</v>
          </cell>
          <cell r="AW85" t="str">
            <v>P</v>
          </cell>
          <cell r="AX85">
            <v>0</v>
          </cell>
          <cell r="AY85" t="str">
            <v>A</v>
          </cell>
          <cell r="AZ85">
            <v>4</v>
          </cell>
          <cell r="BA85" t="str">
            <v>D</v>
          </cell>
          <cell r="BB85">
            <v>2</v>
          </cell>
          <cell r="BC85">
            <v>0</v>
          </cell>
          <cell r="BD85">
            <v>0</v>
          </cell>
          <cell r="BE85" t="str">
            <v>A</v>
          </cell>
          <cell r="BF85">
            <v>4</v>
          </cell>
          <cell r="BG85" t="str">
            <v>D</v>
          </cell>
          <cell r="BH85">
            <v>0</v>
          </cell>
          <cell r="BI85" t="str">
            <v>A</v>
          </cell>
          <cell r="BJ85">
            <v>4</v>
          </cell>
          <cell r="BK85" t="str">
            <v>A</v>
          </cell>
          <cell r="BL85">
            <v>4</v>
          </cell>
          <cell r="BM85" t="str">
            <v>A</v>
          </cell>
          <cell r="BN85">
            <v>4</v>
          </cell>
          <cell r="BO85" t="str">
            <v>P</v>
          </cell>
          <cell r="BP85">
            <v>0</v>
          </cell>
          <cell r="BQ85">
            <v>11</v>
          </cell>
          <cell r="BR85">
            <v>6</v>
          </cell>
          <cell r="BS85">
            <v>0</v>
          </cell>
          <cell r="BT85">
            <v>5</v>
          </cell>
          <cell r="BU85">
            <v>0</v>
          </cell>
          <cell r="BV85">
            <v>0</v>
          </cell>
          <cell r="BW85">
            <v>0</v>
          </cell>
          <cell r="BX85">
            <v>2</v>
          </cell>
          <cell r="BY85">
            <v>3</v>
          </cell>
          <cell r="BZ85">
            <v>27</v>
          </cell>
          <cell r="CA85">
            <v>74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1</v>
          </cell>
          <cell r="CH85">
            <v>0</v>
          </cell>
          <cell r="CI85">
            <v>70</v>
          </cell>
        </row>
        <row r="86">
          <cell r="A86" t="str">
            <v>A471</v>
          </cell>
          <cell r="B86" t="str">
            <v>Trần Duy Lâm</v>
          </cell>
          <cell r="C86" t="str">
            <v>QCX</v>
          </cell>
          <cell r="D86">
            <v>0</v>
          </cell>
          <cell r="E86">
            <v>41754</v>
          </cell>
          <cell r="F86">
            <v>0</v>
          </cell>
          <cell r="G86" t="str">
            <v>A</v>
          </cell>
          <cell r="H86">
            <v>5</v>
          </cell>
          <cell r="I86" t="str">
            <v>A</v>
          </cell>
          <cell r="J86">
            <v>4</v>
          </cell>
          <cell r="K86" t="str">
            <v>A</v>
          </cell>
          <cell r="L86">
            <v>4</v>
          </cell>
          <cell r="M86">
            <v>0</v>
          </cell>
          <cell r="N86">
            <v>12</v>
          </cell>
          <cell r="O86" t="str">
            <v>C</v>
          </cell>
          <cell r="P86">
            <v>4</v>
          </cell>
          <cell r="Q86" t="str">
            <v>C</v>
          </cell>
          <cell r="R86">
            <v>4</v>
          </cell>
          <cell r="S86" t="str">
            <v>C</v>
          </cell>
          <cell r="T86">
            <v>4</v>
          </cell>
          <cell r="U86" t="str">
            <v>NT7</v>
          </cell>
          <cell r="V86">
            <v>0</v>
          </cell>
          <cell r="W86" t="str">
            <v>C</v>
          </cell>
          <cell r="X86">
            <v>4</v>
          </cell>
          <cell r="Y86" t="str">
            <v>C</v>
          </cell>
          <cell r="Z86">
            <v>4</v>
          </cell>
          <cell r="AA86">
            <v>0</v>
          </cell>
          <cell r="AB86">
            <v>0</v>
          </cell>
          <cell r="AC86" t="str">
            <v>NT7</v>
          </cell>
          <cell r="AD86">
            <v>0</v>
          </cell>
          <cell r="AE86" t="str">
            <v>D</v>
          </cell>
          <cell r="AF86">
            <v>2</v>
          </cell>
          <cell r="AG86" t="str">
            <v>D</v>
          </cell>
          <cell r="AH86">
            <v>0</v>
          </cell>
          <cell r="AI86" t="str">
            <v>D</v>
          </cell>
          <cell r="AJ86">
            <v>3</v>
          </cell>
          <cell r="AK86" t="str">
            <v>D</v>
          </cell>
          <cell r="AL86">
            <v>3</v>
          </cell>
          <cell r="AM86" t="str">
            <v>D</v>
          </cell>
          <cell r="AN86">
            <v>3</v>
          </cell>
          <cell r="AO86">
            <v>0</v>
          </cell>
          <cell r="AP86">
            <v>8</v>
          </cell>
          <cell r="AQ86" t="str">
            <v>D</v>
          </cell>
          <cell r="AR86">
            <v>2</v>
          </cell>
          <cell r="AS86" t="str">
            <v>D</v>
          </cell>
          <cell r="AT86">
            <v>6</v>
          </cell>
          <cell r="AU86" t="str">
            <v>D</v>
          </cell>
          <cell r="AV86">
            <v>4</v>
          </cell>
          <cell r="AW86" t="str">
            <v>D</v>
          </cell>
          <cell r="AX86">
            <v>4</v>
          </cell>
          <cell r="AY86" t="str">
            <v>C</v>
          </cell>
          <cell r="AZ86">
            <v>4</v>
          </cell>
          <cell r="BA86" t="str">
            <v>C</v>
          </cell>
          <cell r="BB86">
            <v>4</v>
          </cell>
          <cell r="BC86">
            <v>0</v>
          </cell>
          <cell r="BD86">
            <v>8</v>
          </cell>
          <cell r="BE86" t="str">
            <v>D</v>
          </cell>
          <cell r="BF86">
            <v>5</v>
          </cell>
          <cell r="BG86" t="str">
            <v>D</v>
          </cell>
          <cell r="BH86">
            <v>0</v>
          </cell>
          <cell r="BI86" t="str">
            <v>D</v>
          </cell>
          <cell r="BJ86">
            <v>5</v>
          </cell>
          <cell r="BK86" t="str">
            <v>D</v>
          </cell>
          <cell r="BL86">
            <v>4.5</v>
          </cell>
          <cell r="BM86" t="str">
            <v>D</v>
          </cell>
          <cell r="BN86">
            <v>4.5</v>
          </cell>
          <cell r="BO86" t="str">
            <v>D</v>
          </cell>
          <cell r="BP86">
            <v>0</v>
          </cell>
          <cell r="BQ86">
            <v>3</v>
          </cell>
          <cell r="BR86">
            <v>15</v>
          </cell>
          <cell r="BS86">
            <v>0</v>
          </cell>
          <cell r="BT86">
            <v>7</v>
          </cell>
          <cell r="BU86">
            <v>0</v>
          </cell>
          <cell r="BV86">
            <v>0</v>
          </cell>
          <cell r="BW86">
            <v>0</v>
          </cell>
          <cell r="BX86">
            <v>2</v>
          </cell>
          <cell r="BY86">
            <v>0</v>
          </cell>
          <cell r="BZ86">
            <v>27</v>
          </cell>
          <cell r="CA86">
            <v>87</v>
          </cell>
          <cell r="CB86">
            <v>28</v>
          </cell>
          <cell r="CC86">
            <v>0</v>
          </cell>
          <cell r="CD86">
            <v>0</v>
          </cell>
          <cell r="CE86">
            <v>1</v>
          </cell>
          <cell r="CF86">
            <v>0</v>
          </cell>
          <cell r="CG86">
            <v>1</v>
          </cell>
          <cell r="CH86">
            <v>16</v>
          </cell>
          <cell r="CI86">
            <v>70</v>
          </cell>
        </row>
        <row r="87">
          <cell r="A87" t="str">
            <v>A477</v>
          </cell>
          <cell r="B87" t="str">
            <v>Trần Văn Mến</v>
          </cell>
          <cell r="C87" t="str">
            <v>EN</v>
          </cell>
          <cell r="D87">
            <v>0</v>
          </cell>
          <cell r="E87">
            <v>41755</v>
          </cell>
          <cell r="F87">
            <v>0.5</v>
          </cell>
          <cell r="G87" t="str">
            <v>C</v>
          </cell>
          <cell r="H87">
            <v>4</v>
          </cell>
          <cell r="I87" t="str">
            <v>C</v>
          </cell>
          <cell r="J87">
            <v>4</v>
          </cell>
          <cell r="K87" t="str">
            <v>C</v>
          </cell>
          <cell r="L87">
            <v>4</v>
          </cell>
          <cell r="M87">
            <v>0</v>
          </cell>
          <cell r="N87">
            <v>0</v>
          </cell>
          <cell r="O87" t="str">
            <v>A</v>
          </cell>
          <cell r="P87">
            <v>4</v>
          </cell>
          <cell r="Q87" t="str">
            <v>A</v>
          </cell>
          <cell r="R87">
            <v>4</v>
          </cell>
          <cell r="S87" t="str">
            <v>A</v>
          </cell>
          <cell r="T87">
            <v>4</v>
          </cell>
          <cell r="U87" t="str">
            <v>A</v>
          </cell>
          <cell r="V87">
            <v>4</v>
          </cell>
          <cell r="W87" t="str">
            <v>A</v>
          </cell>
          <cell r="X87">
            <v>4</v>
          </cell>
          <cell r="Y87" t="str">
            <v>A</v>
          </cell>
          <cell r="Z87">
            <v>4</v>
          </cell>
          <cell r="AA87">
            <v>0</v>
          </cell>
          <cell r="AB87">
            <v>0</v>
          </cell>
          <cell r="AC87" t="str">
            <v>C</v>
          </cell>
          <cell r="AD87">
            <v>4</v>
          </cell>
          <cell r="AE87" t="str">
            <v>C</v>
          </cell>
          <cell r="AF87">
            <v>4</v>
          </cell>
          <cell r="AG87" t="str">
            <v>C</v>
          </cell>
          <cell r="AH87">
            <v>4</v>
          </cell>
          <cell r="AI87" t="str">
            <v>C</v>
          </cell>
          <cell r="AJ87">
            <v>4</v>
          </cell>
          <cell r="AK87" t="str">
            <v>C</v>
          </cell>
          <cell r="AL87">
            <v>4</v>
          </cell>
          <cell r="AM87" t="str">
            <v>C</v>
          </cell>
          <cell r="AN87">
            <v>4</v>
          </cell>
          <cell r="AO87">
            <v>0</v>
          </cell>
          <cell r="AP87">
            <v>0</v>
          </cell>
          <cell r="AQ87" t="str">
            <v>A</v>
          </cell>
          <cell r="AR87">
            <v>4</v>
          </cell>
          <cell r="AS87" t="str">
            <v>A</v>
          </cell>
          <cell r="AT87">
            <v>4</v>
          </cell>
          <cell r="AU87" t="str">
            <v>A</v>
          </cell>
          <cell r="AV87">
            <v>4</v>
          </cell>
          <cell r="AW87" t="str">
            <v>A</v>
          </cell>
          <cell r="AX87">
            <v>4</v>
          </cell>
          <cell r="AY87" t="str">
            <v>A</v>
          </cell>
          <cell r="AZ87">
            <v>4</v>
          </cell>
          <cell r="BA87" t="str">
            <v>A</v>
          </cell>
          <cell r="BB87">
            <v>4</v>
          </cell>
          <cell r="BC87">
            <v>0</v>
          </cell>
          <cell r="BD87">
            <v>0</v>
          </cell>
          <cell r="BE87" t="str">
            <v>C</v>
          </cell>
          <cell r="BF87">
            <v>4</v>
          </cell>
          <cell r="BG87" t="str">
            <v>C</v>
          </cell>
          <cell r="BH87">
            <v>4</v>
          </cell>
          <cell r="BI87" t="str">
            <v>C</v>
          </cell>
          <cell r="BJ87">
            <v>4</v>
          </cell>
          <cell r="BK87" t="str">
            <v>C</v>
          </cell>
          <cell r="BL87">
            <v>4</v>
          </cell>
          <cell r="BM87" t="str">
            <v>C</v>
          </cell>
          <cell r="BN87">
            <v>4</v>
          </cell>
          <cell r="BO87" t="str">
            <v>C</v>
          </cell>
          <cell r="BP87">
            <v>4</v>
          </cell>
          <cell r="BQ87">
            <v>12</v>
          </cell>
          <cell r="BR87">
            <v>0</v>
          </cell>
          <cell r="BS87">
            <v>0</v>
          </cell>
          <cell r="BT87">
            <v>15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27</v>
          </cell>
          <cell r="CA87">
            <v>108</v>
          </cell>
          <cell r="CB87">
            <v>0</v>
          </cell>
          <cell r="CC87">
            <v>0</v>
          </cell>
          <cell r="CD87">
            <v>2</v>
          </cell>
          <cell r="CE87">
            <v>0</v>
          </cell>
          <cell r="CF87">
            <v>140</v>
          </cell>
          <cell r="CG87">
            <v>1.5</v>
          </cell>
          <cell r="CH87">
            <v>0</v>
          </cell>
          <cell r="CI87">
            <v>70</v>
          </cell>
        </row>
        <row r="88">
          <cell r="A88" t="str">
            <v>A490</v>
          </cell>
          <cell r="B88" t="str">
            <v>Lâm Huỳnh Lộc</v>
          </cell>
          <cell r="C88" t="str">
            <v>CI.1</v>
          </cell>
          <cell r="D88">
            <v>0</v>
          </cell>
          <cell r="E88">
            <v>41766</v>
          </cell>
          <cell r="F88">
            <v>1</v>
          </cell>
          <cell r="G88" t="str">
            <v>C</v>
          </cell>
          <cell r="H88">
            <v>4</v>
          </cell>
          <cell r="I88" t="str">
            <v>C</v>
          </cell>
          <cell r="J88">
            <v>4</v>
          </cell>
          <cell r="K88" t="str">
            <v>C</v>
          </cell>
          <cell r="L88">
            <v>4</v>
          </cell>
          <cell r="M88">
            <v>0</v>
          </cell>
          <cell r="N88">
            <v>0</v>
          </cell>
          <cell r="O88" t="str">
            <v>B</v>
          </cell>
          <cell r="P88">
            <v>0</v>
          </cell>
          <cell r="Q88" t="str">
            <v>C</v>
          </cell>
          <cell r="R88">
            <v>4</v>
          </cell>
          <cell r="S88" t="str">
            <v>C</v>
          </cell>
          <cell r="T88">
            <v>4</v>
          </cell>
          <cell r="U88" t="str">
            <v>C</v>
          </cell>
          <cell r="V88">
            <v>4</v>
          </cell>
          <cell r="W88" t="str">
            <v>C</v>
          </cell>
          <cell r="X88">
            <v>4</v>
          </cell>
          <cell r="Y88" t="str">
            <v>C</v>
          </cell>
          <cell r="Z88">
            <v>4</v>
          </cell>
          <cell r="AA88">
            <v>0</v>
          </cell>
          <cell r="AB88">
            <v>0</v>
          </cell>
          <cell r="AC88" t="str">
            <v>D</v>
          </cell>
          <cell r="AD88">
            <v>0</v>
          </cell>
          <cell r="AE88" t="str">
            <v>D</v>
          </cell>
          <cell r="AF88">
            <v>3</v>
          </cell>
          <cell r="AG88" t="str">
            <v>P</v>
          </cell>
          <cell r="AH88">
            <v>0</v>
          </cell>
          <cell r="AI88" t="str">
            <v>A</v>
          </cell>
          <cell r="AJ88">
            <v>4.5</v>
          </cell>
          <cell r="AK88" t="str">
            <v>P5,D5</v>
          </cell>
          <cell r="AL88">
            <v>0</v>
          </cell>
          <cell r="AM88" t="str">
            <v>A</v>
          </cell>
          <cell r="AN88">
            <v>4</v>
          </cell>
          <cell r="AO88">
            <v>0</v>
          </cell>
          <cell r="AP88">
            <v>0</v>
          </cell>
          <cell r="AQ88" t="str">
            <v>HH</v>
          </cell>
          <cell r="AR88">
            <v>0</v>
          </cell>
          <cell r="AS88" t="str">
            <v>HH</v>
          </cell>
          <cell r="AT88">
            <v>0</v>
          </cell>
          <cell r="AU88" t="str">
            <v>C</v>
          </cell>
          <cell r="AV88">
            <v>4</v>
          </cell>
          <cell r="AW88" t="str">
            <v>B</v>
          </cell>
          <cell r="AX88">
            <v>0</v>
          </cell>
          <cell r="AY88" t="str">
            <v>C</v>
          </cell>
          <cell r="AZ88">
            <v>4</v>
          </cell>
          <cell r="BA88" t="str">
            <v>C</v>
          </cell>
          <cell r="BB88">
            <v>4</v>
          </cell>
          <cell r="BC88">
            <v>0</v>
          </cell>
          <cell r="BD88">
            <v>8</v>
          </cell>
          <cell r="BE88" t="str">
            <v>A</v>
          </cell>
          <cell r="BF88">
            <v>4</v>
          </cell>
          <cell r="BG88" t="str">
            <v>NT7</v>
          </cell>
          <cell r="BH88">
            <v>0</v>
          </cell>
          <cell r="BI88" t="str">
            <v>NT7</v>
          </cell>
          <cell r="BJ88">
            <v>0</v>
          </cell>
          <cell r="BK88" t="str">
            <v>A</v>
          </cell>
          <cell r="BL88">
            <v>4</v>
          </cell>
          <cell r="BM88" t="str">
            <v>A</v>
          </cell>
          <cell r="BN88">
            <v>4</v>
          </cell>
          <cell r="BO88" t="str">
            <v>D</v>
          </cell>
          <cell r="BP88">
            <v>0</v>
          </cell>
          <cell r="BQ88">
            <v>5</v>
          </cell>
          <cell r="BR88">
            <v>3.5</v>
          </cell>
          <cell r="BS88">
            <v>2</v>
          </cell>
          <cell r="BT88">
            <v>11</v>
          </cell>
          <cell r="BU88">
            <v>0</v>
          </cell>
          <cell r="BV88">
            <v>0</v>
          </cell>
          <cell r="BW88">
            <v>2</v>
          </cell>
          <cell r="BX88">
            <v>2</v>
          </cell>
          <cell r="BY88">
            <v>1.5</v>
          </cell>
          <cell r="BZ88">
            <v>27</v>
          </cell>
          <cell r="CA88">
            <v>67.5</v>
          </cell>
          <cell r="CB88">
            <v>8</v>
          </cell>
          <cell r="CC88">
            <v>0</v>
          </cell>
          <cell r="CD88">
            <v>0</v>
          </cell>
          <cell r="CE88">
            <v>1</v>
          </cell>
          <cell r="CF88">
            <v>0</v>
          </cell>
          <cell r="CG88">
            <v>0.5</v>
          </cell>
          <cell r="CH88">
            <v>16</v>
          </cell>
          <cell r="CI88">
            <v>150</v>
          </cell>
        </row>
        <row r="89">
          <cell r="A89" t="str">
            <v>A495</v>
          </cell>
          <cell r="B89" t="str">
            <v>Phạm Văn Đủ</v>
          </cell>
          <cell r="C89" t="str">
            <v>CD</v>
          </cell>
          <cell r="D89">
            <v>0</v>
          </cell>
          <cell r="E89">
            <v>41768</v>
          </cell>
          <cell r="F89">
            <v>9</v>
          </cell>
          <cell r="G89" t="str">
            <v>A</v>
          </cell>
          <cell r="H89">
            <v>4</v>
          </cell>
          <cell r="I89" t="str">
            <v>A</v>
          </cell>
          <cell r="J89">
            <v>4</v>
          </cell>
          <cell r="K89" t="str">
            <v>D</v>
          </cell>
          <cell r="L89">
            <v>2</v>
          </cell>
          <cell r="M89">
            <v>0</v>
          </cell>
          <cell r="N89">
            <v>11</v>
          </cell>
          <cell r="O89" t="str">
            <v>A</v>
          </cell>
          <cell r="P89">
            <v>4</v>
          </cell>
          <cell r="Q89" t="str">
            <v>A</v>
          </cell>
          <cell r="R89">
            <v>4</v>
          </cell>
          <cell r="S89" t="str">
            <v>A</v>
          </cell>
          <cell r="T89">
            <v>4</v>
          </cell>
          <cell r="U89" t="str">
            <v>A</v>
          </cell>
          <cell r="V89">
            <v>4</v>
          </cell>
          <cell r="W89" t="str">
            <v>NT7</v>
          </cell>
          <cell r="X89">
            <v>0</v>
          </cell>
          <cell r="Y89" t="str">
            <v>A</v>
          </cell>
          <cell r="Z89">
            <v>4</v>
          </cell>
          <cell r="AA89">
            <v>0</v>
          </cell>
          <cell r="AB89">
            <v>9</v>
          </cell>
          <cell r="AC89" t="str">
            <v>A</v>
          </cell>
          <cell r="AD89">
            <v>4</v>
          </cell>
          <cell r="AE89" t="str">
            <v>A</v>
          </cell>
          <cell r="AF89">
            <v>4</v>
          </cell>
          <cell r="AG89" t="str">
            <v>A</v>
          </cell>
          <cell r="AH89">
            <v>4</v>
          </cell>
          <cell r="AI89" t="str">
            <v>NT7</v>
          </cell>
          <cell r="AJ89">
            <v>0</v>
          </cell>
          <cell r="AK89" t="str">
            <v>R0</v>
          </cell>
          <cell r="AL89">
            <v>0</v>
          </cell>
          <cell r="AM89" t="str">
            <v>R0</v>
          </cell>
          <cell r="AN89">
            <v>0</v>
          </cell>
          <cell r="AO89">
            <v>0</v>
          </cell>
          <cell r="AP89">
            <v>0</v>
          </cell>
          <cell r="AQ89" t="str">
            <v>R0</v>
          </cell>
          <cell r="AR89">
            <v>0</v>
          </cell>
          <cell r="AS89" t="str">
            <v>R0</v>
          </cell>
          <cell r="AT89">
            <v>0</v>
          </cell>
          <cell r="AU89" t="str">
            <v>R0</v>
          </cell>
          <cell r="AV89">
            <v>0</v>
          </cell>
          <cell r="AW89" t="str">
            <v>R0</v>
          </cell>
          <cell r="AX89">
            <v>0</v>
          </cell>
          <cell r="AY89" t="str">
            <v>R0</v>
          </cell>
          <cell r="AZ89">
            <v>0</v>
          </cell>
          <cell r="BA89" t="str">
            <v>R0</v>
          </cell>
          <cell r="BB89">
            <v>0</v>
          </cell>
          <cell r="BC89">
            <v>0</v>
          </cell>
          <cell r="BD89">
            <v>0</v>
          </cell>
          <cell r="BE89" t="str">
            <v>R0</v>
          </cell>
          <cell r="BF89">
            <v>0</v>
          </cell>
          <cell r="BG89" t="str">
            <v>R0</v>
          </cell>
          <cell r="BH89">
            <v>0</v>
          </cell>
          <cell r="BI89" t="str">
            <v>R0</v>
          </cell>
          <cell r="BJ89">
            <v>0</v>
          </cell>
          <cell r="BK89" t="str">
            <v>R0</v>
          </cell>
          <cell r="BL89">
            <v>0</v>
          </cell>
          <cell r="BM89" t="str">
            <v>R0</v>
          </cell>
          <cell r="BN89">
            <v>0</v>
          </cell>
          <cell r="BO89" t="str">
            <v>R0</v>
          </cell>
          <cell r="BP89">
            <v>0</v>
          </cell>
          <cell r="BQ89">
            <v>10</v>
          </cell>
          <cell r="BR89">
            <v>1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2</v>
          </cell>
          <cell r="BY89">
            <v>0</v>
          </cell>
          <cell r="BZ89">
            <v>13</v>
          </cell>
          <cell r="CA89">
            <v>42</v>
          </cell>
          <cell r="CB89">
            <v>20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10</v>
          </cell>
          <cell r="CH89">
            <v>0</v>
          </cell>
          <cell r="CI89">
            <v>150</v>
          </cell>
        </row>
        <row r="90">
          <cell r="A90" t="str">
            <v>A501</v>
          </cell>
          <cell r="B90" t="str">
            <v>Phạm Văn Xuyên</v>
          </cell>
          <cell r="C90" t="str">
            <v>EN</v>
          </cell>
          <cell r="D90">
            <v>0</v>
          </cell>
          <cell r="E90">
            <v>41771</v>
          </cell>
          <cell r="F90">
            <v>3</v>
          </cell>
          <cell r="G90" t="str">
            <v>A</v>
          </cell>
          <cell r="H90">
            <v>4</v>
          </cell>
          <cell r="I90" t="str">
            <v>A</v>
          </cell>
          <cell r="J90">
            <v>4</v>
          </cell>
          <cell r="K90" t="str">
            <v>A</v>
          </cell>
          <cell r="L90">
            <v>4</v>
          </cell>
          <cell r="M90">
            <v>0</v>
          </cell>
          <cell r="N90">
            <v>0</v>
          </cell>
          <cell r="O90" t="str">
            <v>C</v>
          </cell>
          <cell r="P90">
            <v>4</v>
          </cell>
          <cell r="Q90" t="str">
            <v>C</v>
          </cell>
          <cell r="R90">
            <v>4</v>
          </cell>
          <cell r="S90" t="str">
            <v>C</v>
          </cell>
          <cell r="T90">
            <v>4</v>
          </cell>
          <cell r="U90" t="str">
            <v>C</v>
          </cell>
          <cell r="V90">
            <v>4</v>
          </cell>
          <cell r="W90" t="str">
            <v>C</v>
          </cell>
          <cell r="X90">
            <v>4</v>
          </cell>
          <cell r="Y90" t="str">
            <v>C</v>
          </cell>
          <cell r="Z90">
            <v>4</v>
          </cell>
          <cell r="AA90">
            <v>0</v>
          </cell>
          <cell r="AB90">
            <v>0</v>
          </cell>
          <cell r="AC90" t="str">
            <v>A</v>
          </cell>
          <cell r="AD90">
            <v>4</v>
          </cell>
          <cell r="AE90" t="str">
            <v>A</v>
          </cell>
          <cell r="AF90">
            <v>4</v>
          </cell>
          <cell r="AG90" t="str">
            <v>A</v>
          </cell>
          <cell r="AH90">
            <v>4</v>
          </cell>
          <cell r="AI90" t="str">
            <v>A</v>
          </cell>
          <cell r="AJ90">
            <v>4</v>
          </cell>
          <cell r="AK90" t="str">
            <v>A</v>
          </cell>
          <cell r="AL90">
            <v>4</v>
          </cell>
          <cell r="AM90" t="str">
            <v>A</v>
          </cell>
          <cell r="AN90">
            <v>4</v>
          </cell>
          <cell r="AO90">
            <v>0</v>
          </cell>
          <cell r="AP90">
            <v>0</v>
          </cell>
          <cell r="AQ90" t="str">
            <v>C</v>
          </cell>
          <cell r="AR90">
            <v>4</v>
          </cell>
          <cell r="AS90" t="str">
            <v>C</v>
          </cell>
          <cell r="AT90">
            <v>4</v>
          </cell>
          <cell r="AU90" t="str">
            <v>C</v>
          </cell>
          <cell r="AV90">
            <v>4</v>
          </cell>
          <cell r="AW90" t="str">
            <v>C</v>
          </cell>
          <cell r="AX90">
            <v>4</v>
          </cell>
          <cell r="AY90" t="str">
            <v>C</v>
          </cell>
          <cell r="AZ90">
            <v>4</v>
          </cell>
          <cell r="BA90" t="str">
            <v>C</v>
          </cell>
          <cell r="BB90">
            <v>4</v>
          </cell>
          <cell r="BC90">
            <v>0</v>
          </cell>
          <cell r="BD90">
            <v>0</v>
          </cell>
          <cell r="BE90" t="str">
            <v>A</v>
          </cell>
          <cell r="BF90">
            <v>4</v>
          </cell>
          <cell r="BG90" t="str">
            <v>A</v>
          </cell>
          <cell r="BH90">
            <v>4</v>
          </cell>
          <cell r="BI90" t="str">
            <v>A</v>
          </cell>
          <cell r="BJ90">
            <v>4</v>
          </cell>
          <cell r="BK90" t="str">
            <v>A</v>
          </cell>
          <cell r="BL90">
            <v>4</v>
          </cell>
          <cell r="BM90" t="str">
            <v>A</v>
          </cell>
          <cell r="BN90">
            <v>2</v>
          </cell>
          <cell r="BO90" t="str">
            <v>A</v>
          </cell>
          <cell r="BP90">
            <v>4</v>
          </cell>
          <cell r="BQ90">
            <v>15</v>
          </cell>
          <cell r="BR90">
            <v>0</v>
          </cell>
          <cell r="BS90">
            <v>0</v>
          </cell>
          <cell r="BT90">
            <v>12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27</v>
          </cell>
          <cell r="CA90">
            <v>106</v>
          </cell>
          <cell r="CB90">
            <v>0</v>
          </cell>
          <cell r="CC90">
            <v>0</v>
          </cell>
          <cell r="CD90">
            <v>2</v>
          </cell>
          <cell r="CE90">
            <v>0</v>
          </cell>
          <cell r="CF90">
            <v>140</v>
          </cell>
          <cell r="CG90">
            <v>4</v>
          </cell>
          <cell r="CH90">
            <v>0</v>
          </cell>
          <cell r="CI90">
            <v>70</v>
          </cell>
        </row>
        <row r="91">
          <cell r="A91" t="str">
            <v>A502</v>
          </cell>
          <cell r="B91" t="str">
            <v>Phạm Thị Ngọc Hân</v>
          </cell>
          <cell r="C91" t="str">
            <v>QCX</v>
          </cell>
          <cell r="D91">
            <v>0</v>
          </cell>
          <cell r="E91">
            <v>41772</v>
          </cell>
          <cell r="F91">
            <v>6</v>
          </cell>
          <cell r="G91" t="str">
            <v>C</v>
          </cell>
          <cell r="H91">
            <v>4</v>
          </cell>
          <cell r="I91" t="str">
            <v>C</v>
          </cell>
          <cell r="J91">
            <v>4</v>
          </cell>
          <cell r="K91" t="str">
            <v>NT7</v>
          </cell>
          <cell r="L91">
            <v>0</v>
          </cell>
          <cell r="M91">
            <v>0</v>
          </cell>
          <cell r="N91">
            <v>12</v>
          </cell>
          <cell r="O91" t="str">
            <v>A</v>
          </cell>
          <cell r="P91">
            <v>4</v>
          </cell>
          <cell r="Q91" t="str">
            <v>A</v>
          </cell>
          <cell r="R91">
            <v>4</v>
          </cell>
          <cell r="S91" t="str">
            <v>A</v>
          </cell>
          <cell r="T91">
            <v>4</v>
          </cell>
          <cell r="U91" t="str">
            <v>D</v>
          </cell>
          <cell r="V91">
            <v>2</v>
          </cell>
          <cell r="W91" t="str">
            <v>A</v>
          </cell>
          <cell r="X91">
            <v>4</v>
          </cell>
          <cell r="Y91" t="str">
            <v>D</v>
          </cell>
          <cell r="Z91">
            <v>0</v>
          </cell>
          <cell r="AA91">
            <v>0</v>
          </cell>
          <cell r="AB91">
            <v>8</v>
          </cell>
          <cell r="AC91" t="str">
            <v>C</v>
          </cell>
          <cell r="AD91">
            <v>4</v>
          </cell>
          <cell r="AE91" t="str">
            <v>C</v>
          </cell>
          <cell r="AF91">
            <v>4</v>
          </cell>
          <cell r="AG91" t="str">
            <v>C</v>
          </cell>
          <cell r="AH91">
            <v>4</v>
          </cell>
          <cell r="AI91" t="str">
            <v>C</v>
          </cell>
          <cell r="AJ91">
            <v>4</v>
          </cell>
          <cell r="AK91" t="str">
            <v>C</v>
          </cell>
          <cell r="AL91">
            <v>4</v>
          </cell>
          <cell r="AM91" t="str">
            <v>P</v>
          </cell>
          <cell r="AN91">
            <v>0</v>
          </cell>
          <cell r="AO91">
            <v>0</v>
          </cell>
          <cell r="AP91">
            <v>0</v>
          </cell>
          <cell r="AQ91" t="str">
            <v>A</v>
          </cell>
          <cell r="AR91">
            <v>4</v>
          </cell>
          <cell r="AS91" t="str">
            <v>A</v>
          </cell>
          <cell r="AT91">
            <v>4</v>
          </cell>
          <cell r="AU91" t="str">
            <v>A</v>
          </cell>
          <cell r="AV91">
            <v>4</v>
          </cell>
          <cell r="AW91" t="str">
            <v>A</v>
          </cell>
          <cell r="AX91">
            <v>4</v>
          </cell>
          <cell r="AY91" t="str">
            <v>A</v>
          </cell>
          <cell r="AZ91">
            <v>4</v>
          </cell>
          <cell r="BA91" t="str">
            <v>D</v>
          </cell>
          <cell r="BB91">
            <v>2</v>
          </cell>
          <cell r="BC91">
            <v>0</v>
          </cell>
          <cell r="BD91">
            <v>0</v>
          </cell>
          <cell r="BE91" t="str">
            <v>C</v>
          </cell>
          <cell r="BF91">
            <v>4</v>
          </cell>
          <cell r="BG91" t="str">
            <v>NT7</v>
          </cell>
          <cell r="BH91">
            <v>0</v>
          </cell>
          <cell r="BI91" t="str">
            <v>C</v>
          </cell>
          <cell r="BJ91">
            <v>4</v>
          </cell>
          <cell r="BK91" t="str">
            <v>C</v>
          </cell>
          <cell r="BL91">
            <v>4</v>
          </cell>
          <cell r="BM91" t="str">
            <v>C</v>
          </cell>
          <cell r="BN91">
            <v>4</v>
          </cell>
          <cell r="BO91" t="str">
            <v>B</v>
          </cell>
          <cell r="BP91">
            <v>0</v>
          </cell>
          <cell r="BQ91">
            <v>9</v>
          </cell>
          <cell r="BR91">
            <v>3</v>
          </cell>
          <cell r="BS91">
            <v>1</v>
          </cell>
          <cell r="BT91">
            <v>11</v>
          </cell>
          <cell r="BU91">
            <v>0</v>
          </cell>
          <cell r="BV91">
            <v>0</v>
          </cell>
          <cell r="BW91">
            <v>0</v>
          </cell>
          <cell r="BX91">
            <v>2</v>
          </cell>
          <cell r="BY91">
            <v>1</v>
          </cell>
          <cell r="BZ91">
            <v>27</v>
          </cell>
          <cell r="CA91">
            <v>84</v>
          </cell>
          <cell r="CB91">
            <v>20</v>
          </cell>
          <cell r="CC91">
            <v>0</v>
          </cell>
          <cell r="CD91">
            <v>0</v>
          </cell>
          <cell r="CE91">
            <v>1</v>
          </cell>
          <cell r="CF91">
            <v>0</v>
          </cell>
          <cell r="CG91">
            <v>6</v>
          </cell>
          <cell r="CH91">
            <v>16</v>
          </cell>
          <cell r="CI91">
            <v>70</v>
          </cell>
        </row>
        <row r="92">
          <cell r="A92" t="str">
            <v>A504</v>
          </cell>
          <cell r="B92" t="str">
            <v>Hồ Quốc Thành</v>
          </cell>
          <cell r="C92" t="str">
            <v>EN</v>
          </cell>
          <cell r="D92">
            <v>0</v>
          </cell>
          <cell r="E92">
            <v>41772</v>
          </cell>
          <cell r="F92">
            <v>5</v>
          </cell>
          <cell r="G92" t="str">
            <v>D</v>
          </cell>
          <cell r="H92">
            <v>3</v>
          </cell>
          <cell r="I92" t="str">
            <v>D</v>
          </cell>
          <cell r="J92">
            <v>1</v>
          </cell>
          <cell r="K92" t="str">
            <v>D</v>
          </cell>
          <cell r="L92">
            <v>2</v>
          </cell>
          <cell r="M92">
            <v>0</v>
          </cell>
          <cell r="N92">
            <v>5.5</v>
          </cell>
          <cell r="O92" t="str">
            <v>A</v>
          </cell>
          <cell r="P92">
            <v>4.5</v>
          </cell>
          <cell r="Q92" t="str">
            <v>A</v>
          </cell>
          <cell r="R92">
            <v>5.5</v>
          </cell>
          <cell r="S92" t="str">
            <v>D</v>
          </cell>
          <cell r="T92">
            <v>2.5</v>
          </cell>
          <cell r="U92" t="str">
            <v>D</v>
          </cell>
          <cell r="V92">
            <v>0</v>
          </cell>
          <cell r="W92" t="str">
            <v>D</v>
          </cell>
          <cell r="X92">
            <v>2</v>
          </cell>
          <cell r="Y92" t="str">
            <v>D</v>
          </cell>
          <cell r="Z92">
            <v>0</v>
          </cell>
          <cell r="AA92">
            <v>0</v>
          </cell>
          <cell r="AB92">
            <v>10</v>
          </cell>
          <cell r="AC92" t="str">
            <v>D</v>
          </cell>
          <cell r="AD92">
            <v>2</v>
          </cell>
          <cell r="AE92" t="str">
            <v>A</v>
          </cell>
          <cell r="AF92">
            <v>5.5</v>
          </cell>
          <cell r="AG92" t="str">
            <v>A</v>
          </cell>
          <cell r="AH92">
            <v>4</v>
          </cell>
          <cell r="AI92" t="str">
            <v>A</v>
          </cell>
          <cell r="AJ92">
            <v>7</v>
          </cell>
          <cell r="AK92" t="str">
            <v>D</v>
          </cell>
          <cell r="AL92">
            <v>0.5</v>
          </cell>
          <cell r="AM92" t="str">
            <v>D</v>
          </cell>
          <cell r="AN92">
            <v>0</v>
          </cell>
          <cell r="AO92">
            <v>0</v>
          </cell>
          <cell r="AP92">
            <v>0</v>
          </cell>
          <cell r="AQ92" t="str">
            <v>D</v>
          </cell>
          <cell r="AR92">
            <v>0</v>
          </cell>
          <cell r="AS92" t="str">
            <v>D</v>
          </cell>
          <cell r="AT92">
            <v>0</v>
          </cell>
          <cell r="AU92" t="str">
            <v>A</v>
          </cell>
          <cell r="AV92">
            <v>5</v>
          </cell>
          <cell r="AW92" t="str">
            <v>D</v>
          </cell>
          <cell r="AX92">
            <v>1</v>
          </cell>
          <cell r="AY92" t="str">
            <v>A</v>
          </cell>
          <cell r="AZ92">
            <v>5.5</v>
          </cell>
          <cell r="BA92" t="str">
            <v>D</v>
          </cell>
          <cell r="BB92">
            <v>2</v>
          </cell>
          <cell r="BC92">
            <v>0</v>
          </cell>
          <cell r="BD92">
            <v>0</v>
          </cell>
          <cell r="BE92" t="str">
            <v>D</v>
          </cell>
          <cell r="BF92">
            <v>2.5</v>
          </cell>
          <cell r="BG92" t="str">
            <v>D</v>
          </cell>
          <cell r="BH92">
            <v>0</v>
          </cell>
          <cell r="BI92" t="str">
            <v>D</v>
          </cell>
          <cell r="BJ92">
            <v>1.5</v>
          </cell>
          <cell r="BK92" t="str">
            <v>D</v>
          </cell>
          <cell r="BL92">
            <v>1.5</v>
          </cell>
          <cell r="BM92" t="str">
            <v>A</v>
          </cell>
          <cell r="BN92">
            <v>5</v>
          </cell>
          <cell r="BO92" t="str">
            <v>D</v>
          </cell>
          <cell r="BP92">
            <v>3</v>
          </cell>
          <cell r="BQ92">
            <v>8</v>
          </cell>
          <cell r="BR92">
            <v>19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27</v>
          </cell>
          <cell r="CA92">
            <v>66.5</v>
          </cell>
          <cell r="CB92">
            <v>15.5</v>
          </cell>
          <cell r="CC92">
            <v>0</v>
          </cell>
          <cell r="CD92">
            <v>2</v>
          </cell>
          <cell r="CE92">
            <v>0</v>
          </cell>
          <cell r="CF92">
            <v>300</v>
          </cell>
          <cell r="CG92">
            <v>6</v>
          </cell>
          <cell r="CH92">
            <v>0</v>
          </cell>
          <cell r="CI92">
            <v>150</v>
          </cell>
        </row>
        <row r="93">
          <cell r="A93" t="str">
            <v>A507</v>
          </cell>
          <cell r="B93" t="str">
            <v>Đào Tấn Trung</v>
          </cell>
          <cell r="C93" t="str">
            <v>QCX</v>
          </cell>
          <cell r="D93">
            <v>0</v>
          </cell>
          <cell r="E93">
            <v>41773</v>
          </cell>
          <cell r="F93">
            <v>1</v>
          </cell>
          <cell r="G93" t="str">
            <v>A</v>
          </cell>
          <cell r="H93">
            <v>4</v>
          </cell>
          <cell r="I93" t="str">
            <v>A</v>
          </cell>
          <cell r="J93">
            <v>4</v>
          </cell>
          <cell r="K93" t="str">
            <v>A</v>
          </cell>
          <cell r="L93">
            <v>4</v>
          </cell>
          <cell r="M93">
            <v>0</v>
          </cell>
          <cell r="N93">
            <v>0</v>
          </cell>
          <cell r="O93" t="str">
            <v>D</v>
          </cell>
          <cell r="P93">
            <v>0</v>
          </cell>
          <cell r="Q93" t="str">
            <v>NT7</v>
          </cell>
          <cell r="R93">
            <v>0</v>
          </cell>
          <cell r="S93" t="str">
            <v>P5,D5</v>
          </cell>
          <cell r="T93">
            <v>0</v>
          </cell>
          <cell r="U93" t="str">
            <v>D</v>
          </cell>
          <cell r="V93">
            <v>4</v>
          </cell>
          <cell r="W93" t="str">
            <v>D</v>
          </cell>
          <cell r="X93">
            <v>4</v>
          </cell>
          <cell r="Y93" t="str">
            <v>D</v>
          </cell>
          <cell r="Z93">
            <v>2</v>
          </cell>
          <cell r="AA93">
            <v>0</v>
          </cell>
          <cell r="AB93">
            <v>0</v>
          </cell>
          <cell r="AC93" t="str">
            <v>NT7</v>
          </cell>
          <cell r="AD93">
            <v>0</v>
          </cell>
          <cell r="AE93" t="str">
            <v>D</v>
          </cell>
          <cell r="AF93">
            <v>0</v>
          </cell>
          <cell r="AG93" t="str">
            <v>D</v>
          </cell>
          <cell r="AH93">
            <v>1.5</v>
          </cell>
          <cell r="AI93" t="str">
            <v>D</v>
          </cell>
          <cell r="AJ93">
            <v>0</v>
          </cell>
          <cell r="AK93" t="str">
            <v>D</v>
          </cell>
          <cell r="AL93">
            <v>2</v>
          </cell>
          <cell r="AM93" t="str">
            <v>D</v>
          </cell>
          <cell r="AN93">
            <v>4</v>
          </cell>
          <cell r="AO93">
            <v>0</v>
          </cell>
          <cell r="AP93">
            <v>6</v>
          </cell>
          <cell r="AQ93" t="str">
            <v>D</v>
          </cell>
          <cell r="AR93">
            <v>2</v>
          </cell>
          <cell r="AS93" t="str">
            <v>D</v>
          </cell>
          <cell r="AT93">
            <v>4</v>
          </cell>
          <cell r="AU93" t="str">
            <v>D</v>
          </cell>
          <cell r="AV93">
            <v>4</v>
          </cell>
          <cell r="AW93" t="str">
            <v>D</v>
          </cell>
          <cell r="AX93">
            <v>4</v>
          </cell>
          <cell r="AY93" t="str">
            <v>D</v>
          </cell>
          <cell r="AZ93">
            <v>0</v>
          </cell>
          <cell r="BA93" t="str">
            <v>D</v>
          </cell>
          <cell r="BB93">
            <v>2</v>
          </cell>
          <cell r="BC93">
            <v>0</v>
          </cell>
          <cell r="BD93">
            <v>0</v>
          </cell>
          <cell r="BE93" t="str">
            <v>D</v>
          </cell>
          <cell r="BF93">
            <v>4</v>
          </cell>
          <cell r="BG93" t="str">
            <v>D</v>
          </cell>
          <cell r="BH93">
            <v>3</v>
          </cell>
          <cell r="BI93" t="str">
            <v>D</v>
          </cell>
          <cell r="BJ93">
            <v>5</v>
          </cell>
          <cell r="BK93" t="str">
            <v>D</v>
          </cell>
          <cell r="BL93">
            <v>4.5</v>
          </cell>
          <cell r="BM93" t="str">
            <v>D</v>
          </cell>
          <cell r="BN93">
            <v>4.5</v>
          </cell>
          <cell r="BO93" t="str">
            <v>D</v>
          </cell>
          <cell r="BP93">
            <v>0</v>
          </cell>
          <cell r="BQ93">
            <v>3</v>
          </cell>
          <cell r="BR93">
            <v>21.5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2</v>
          </cell>
          <cell r="BY93">
            <v>0.5</v>
          </cell>
          <cell r="BZ93">
            <v>27</v>
          </cell>
          <cell r="CA93">
            <v>66.5</v>
          </cell>
          <cell r="CB93">
            <v>6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1.5</v>
          </cell>
          <cell r="CH93">
            <v>0</v>
          </cell>
          <cell r="CI93">
            <v>70</v>
          </cell>
        </row>
        <row r="94">
          <cell r="A94" t="str">
            <v>A508</v>
          </cell>
          <cell r="B94" t="str">
            <v>Đặng Thị Hôn</v>
          </cell>
          <cell r="C94" t="str">
            <v>CII.4</v>
          </cell>
          <cell r="D94">
            <v>0</v>
          </cell>
          <cell r="E94">
            <v>41773</v>
          </cell>
          <cell r="F94">
            <v>3</v>
          </cell>
          <cell r="G94" t="str">
            <v>D</v>
          </cell>
          <cell r="H94">
            <v>0</v>
          </cell>
          <cell r="I94" t="str">
            <v>A</v>
          </cell>
          <cell r="J94">
            <v>4</v>
          </cell>
          <cell r="K94" t="str">
            <v>A</v>
          </cell>
          <cell r="L94">
            <v>4</v>
          </cell>
          <cell r="M94">
            <v>0</v>
          </cell>
          <cell r="N94">
            <v>0</v>
          </cell>
          <cell r="O94" t="str">
            <v>C</v>
          </cell>
          <cell r="P94">
            <v>4</v>
          </cell>
          <cell r="Q94" t="str">
            <v>C</v>
          </cell>
          <cell r="R94">
            <v>4</v>
          </cell>
          <cell r="S94" t="str">
            <v>C</v>
          </cell>
          <cell r="T94">
            <v>4</v>
          </cell>
          <cell r="U94" t="str">
            <v>C</v>
          </cell>
          <cell r="V94">
            <v>4</v>
          </cell>
          <cell r="W94" t="str">
            <v>C</v>
          </cell>
          <cell r="X94">
            <v>4</v>
          </cell>
          <cell r="Y94" t="str">
            <v>C</v>
          </cell>
          <cell r="Z94">
            <v>4</v>
          </cell>
          <cell r="AA94">
            <v>0</v>
          </cell>
          <cell r="AB94">
            <v>0</v>
          </cell>
          <cell r="AC94" t="str">
            <v>A</v>
          </cell>
          <cell r="AD94">
            <v>4</v>
          </cell>
          <cell r="AE94" t="str">
            <v>A</v>
          </cell>
          <cell r="AF94">
            <v>4</v>
          </cell>
          <cell r="AG94" t="str">
            <v>A</v>
          </cell>
          <cell r="AH94">
            <v>4</v>
          </cell>
          <cell r="AI94" t="str">
            <v>A</v>
          </cell>
          <cell r="AJ94">
            <v>4</v>
          </cell>
          <cell r="AK94" t="str">
            <v>A</v>
          </cell>
          <cell r="AL94">
            <v>4</v>
          </cell>
          <cell r="AM94" t="str">
            <v>A</v>
          </cell>
          <cell r="AN94">
            <v>4</v>
          </cell>
          <cell r="AO94">
            <v>0</v>
          </cell>
          <cell r="AP94">
            <v>0</v>
          </cell>
          <cell r="AQ94" t="str">
            <v>C</v>
          </cell>
          <cell r="AR94">
            <v>4</v>
          </cell>
          <cell r="AS94" t="str">
            <v>C</v>
          </cell>
          <cell r="AT94">
            <v>4</v>
          </cell>
          <cell r="AU94" t="str">
            <v>NT7</v>
          </cell>
          <cell r="AV94">
            <v>0</v>
          </cell>
          <cell r="AW94" t="str">
            <v>C</v>
          </cell>
          <cell r="AX94">
            <v>4</v>
          </cell>
          <cell r="AY94" t="str">
            <v>C</v>
          </cell>
          <cell r="AZ94">
            <v>4</v>
          </cell>
          <cell r="BA94" t="str">
            <v>C</v>
          </cell>
          <cell r="BB94">
            <v>4</v>
          </cell>
          <cell r="BC94">
            <v>0</v>
          </cell>
          <cell r="BD94">
            <v>12</v>
          </cell>
          <cell r="BE94" t="str">
            <v>C</v>
          </cell>
          <cell r="BF94">
            <v>4</v>
          </cell>
          <cell r="BG94" t="str">
            <v>C</v>
          </cell>
          <cell r="BH94">
            <v>4</v>
          </cell>
          <cell r="BI94" t="str">
            <v>C</v>
          </cell>
          <cell r="BJ94">
            <v>4</v>
          </cell>
          <cell r="BK94" t="str">
            <v>C</v>
          </cell>
          <cell r="BL94">
            <v>4</v>
          </cell>
          <cell r="BM94" t="str">
            <v>C</v>
          </cell>
          <cell r="BN94">
            <v>4</v>
          </cell>
          <cell r="BO94" t="str">
            <v>NT7</v>
          </cell>
          <cell r="BP94">
            <v>0</v>
          </cell>
          <cell r="BQ94">
            <v>8</v>
          </cell>
          <cell r="BR94">
            <v>1</v>
          </cell>
          <cell r="BS94">
            <v>0</v>
          </cell>
          <cell r="BT94">
            <v>16</v>
          </cell>
          <cell r="BU94">
            <v>0</v>
          </cell>
          <cell r="BV94">
            <v>0</v>
          </cell>
          <cell r="BW94">
            <v>0</v>
          </cell>
          <cell r="BX94">
            <v>2</v>
          </cell>
          <cell r="BY94">
            <v>0</v>
          </cell>
          <cell r="BZ94">
            <v>27</v>
          </cell>
          <cell r="CA94">
            <v>96</v>
          </cell>
          <cell r="CB94">
            <v>12</v>
          </cell>
          <cell r="CC94">
            <v>0</v>
          </cell>
          <cell r="CD94">
            <v>0</v>
          </cell>
          <cell r="CE94">
            <v>2</v>
          </cell>
          <cell r="CF94">
            <v>0</v>
          </cell>
          <cell r="CG94">
            <v>4</v>
          </cell>
          <cell r="CH94">
            <v>32</v>
          </cell>
          <cell r="CI94">
            <v>70</v>
          </cell>
        </row>
        <row r="95">
          <cell r="A95" t="str">
            <v>A510</v>
          </cell>
          <cell r="B95" t="str">
            <v>Nguyễn Ngọc Cần</v>
          </cell>
          <cell r="C95" t="str">
            <v>EN</v>
          </cell>
          <cell r="D95">
            <v>0</v>
          </cell>
          <cell r="E95">
            <v>41773</v>
          </cell>
          <cell r="F95">
            <v>7</v>
          </cell>
          <cell r="G95" t="str">
            <v>A</v>
          </cell>
          <cell r="H95">
            <v>4</v>
          </cell>
          <cell r="I95" t="str">
            <v>A</v>
          </cell>
          <cell r="J95">
            <v>4</v>
          </cell>
          <cell r="K95" t="str">
            <v>A</v>
          </cell>
          <cell r="L95">
            <v>4</v>
          </cell>
          <cell r="M95">
            <v>0</v>
          </cell>
          <cell r="N95">
            <v>18</v>
          </cell>
          <cell r="O95" t="str">
            <v>C</v>
          </cell>
          <cell r="P95">
            <v>4</v>
          </cell>
          <cell r="Q95" t="str">
            <v>C</v>
          </cell>
          <cell r="R95">
            <v>4</v>
          </cell>
          <cell r="S95" t="str">
            <v>C</v>
          </cell>
          <cell r="T95">
            <v>4</v>
          </cell>
          <cell r="U95" t="str">
            <v>C</v>
          </cell>
          <cell r="V95">
            <v>4</v>
          </cell>
          <cell r="W95" t="str">
            <v>C</v>
          </cell>
          <cell r="X95">
            <v>4</v>
          </cell>
          <cell r="Y95" t="str">
            <v>C</v>
          </cell>
          <cell r="Z95">
            <v>4</v>
          </cell>
          <cell r="AA95">
            <v>0</v>
          </cell>
          <cell r="AB95">
            <v>10</v>
          </cell>
          <cell r="AC95" t="str">
            <v>C</v>
          </cell>
          <cell r="AD95">
            <v>4</v>
          </cell>
          <cell r="AE95" t="str">
            <v>C</v>
          </cell>
          <cell r="AF95">
            <v>4</v>
          </cell>
          <cell r="AG95" t="str">
            <v>C</v>
          </cell>
          <cell r="AH95">
            <v>4</v>
          </cell>
          <cell r="AI95" t="str">
            <v>C</v>
          </cell>
          <cell r="AJ95">
            <v>4</v>
          </cell>
          <cell r="AK95" t="str">
            <v>C</v>
          </cell>
          <cell r="AL95">
            <v>4</v>
          </cell>
          <cell r="AM95" t="str">
            <v>C</v>
          </cell>
          <cell r="AN95">
            <v>4</v>
          </cell>
          <cell r="AO95">
            <v>0</v>
          </cell>
          <cell r="AP95">
            <v>8</v>
          </cell>
          <cell r="AQ95" t="str">
            <v>A</v>
          </cell>
          <cell r="AR95">
            <v>4</v>
          </cell>
          <cell r="AS95" t="str">
            <v>A</v>
          </cell>
          <cell r="AT95">
            <v>4</v>
          </cell>
          <cell r="AU95" t="str">
            <v>A</v>
          </cell>
          <cell r="AV95">
            <v>4</v>
          </cell>
          <cell r="AW95" t="str">
            <v>A</v>
          </cell>
          <cell r="AX95">
            <v>4</v>
          </cell>
          <cell r="AY95" t="str">
            <v>A</v>
          </cell>
          <cell r="AZ95">
            <v>4</v>
          </cell>
          <cell r="BA95" t="str">
            <v>A</v>
          </cell>
          <cell r="BB95">
            <v>4</v>
          </cell>
          <cell r="BC95">
            <v>0</v>
          </cell>
          <cell r="BD95">
            <v>16</v>
          </cell>
          <cell r="BE95" t="str">
            <v>C</v>
          </cell>
          <cell r="BF95">
            <v>4</v>
          </cell>
          <cell r="BG95" t="str">
            <v>C</v>
          </cell>
          <cell r="BH95">
            <v>4</v>
          </cell>
          <cell r="BI95" t="str">
            <v>C</v>
          </cell>
          <cell r="BJ95">
            <v>4</v>
          </cell>
          <cell r="BK95" t="str">
            <v>C</v>
          </cell>
          <cell r="BL95">
            <v>4</v>
          </cell>
          <cell r="BM95" t="str">
            <v>C</v>
          </cell>
          <cell r="BN95">
            <v>4</v>
          </cell>
          <cell r="BO95" t="str">
            <v>C</v>
          </cell>
          <cell r="BP95">
            <v>4</v>
          </cell>
          <cell r="BQ95">
            <v>9</v>
          </cell>
          <cell r="BR95">
            <v>0</v>
          </cell>
          <cell r="BS95">
            <v>0</v>
          </cell>
          <cell r="BT95">
            <v>18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27</v>
          </cell>
          <cell r="CA95">
            <v>108</v>
          </cell>
          <cell r="CB95">
            <v>52</v>
          </cell>
          <cell r="CC95">
            <v>0</v>
          </cell>
          <cell r="CD95">
            <v>2</v>
          </cell>
          <cell r="CE95">
            <v>5</v>
          </cell>
          <cell r="CF95">
            <v>300</v>
          </cell>
          <cell r="CG95">
            <v>8</v>
          </cell>
          <cell r="CH95">
            <v>80</v>
          </cell>
          <cell r="CI95">
            <v>150</v>
          </cell>
        </row>
        <row r="96">
          <cell r="A96" t="str">
            <v>A514</v>
          </cell>
          <cell r="B96" t="str">
            <v>Đỗ Thị Kim Pho</v>
          </cell>
          <cell r="C96" t="str">
            <v>PHOI</v>
          </cell>
          <cell r="D96">
            <v>0</v>
          </cell>
          <cell r="E96">
            <v>41774</v>
          </cell>
          <cell r="F96">
            <v>3.5</v>
          </cell>
          <cell r="G96" t="str">
            <v>A</v>
          </cell>
          <cell r="H96">
            <v>6</v>
          </cell>
          <cell r="I96" t="str">
            <v>A</v>
          </cell>
          <cell r="J96">
            <v>6</v>
          </cell>
          <cell r="K96" t="str">
            <v>A</v>
          </cell>
          <cell r="L96">
            <v>4</v>
          </cell>
          <cell r="M96">
            <v>0</v>
          </cell>
          <cell r="N96">
            <v>12</v>
          </cell>
          <cell r="O96" t="str">
            <v>A</v>
          </cell>
          <cell r="P96">
            <v>6</v>
          </cell>
          <cell r="Q96" t="str">
            <v>A</v>
          </cell>
          <cell r="R96">
            <v>4</v>
          </cell>
          <cell r="S96" t="str">
            <v>D</v>
          </cell>
          <cell r="T96">
            <v>2</v>
          </cell>
          <cell r="U96" t="str">
            <v>A</v>
          </cell>
          <cell r="V96">
            <v>4</v>
          </cell>
          <cell r="W96" t="str">
            <v>A</v>
          </cell>
          <cell r="X96">
            <v>6</v>
          </cell>
          <cell r="Y96" t="str">
            <v>A</v>
          </cell>
          <cell r="Z96">
            <v>6</v>
          </cell>
          <cell r="AA96">
            <v>0</v>
          </cell>
          <cell r="AB96">
            <v>0</v>
          </cell>
          <cell r="AC96" t="str">
            <v>A</v>
          </cell>
          <cell r="AD96">
            <v>6</v>
          </cell>
          <cell r="AE96" t="str">
            <v>A</v>
          </cell>
          <cell r="AF96">
            <v>6</v>
          </cell>
          <cell r="AG96" t="str">
            <v>A</v>
          </cell>
          <cell r="AH96">
            <v>6</v>
          </cell>
          <cell r="AI96" t="str">
            <v>A</v>
          </cell>
          <cell r="AJ96">
            <v>6</v>
          </cell>
          <cell r="AK96" t="str">
            <v>A</v>
          </cell>
          <cell r="AL96">
            <v>6</v>
          </cell>
          <cell r="AM96" t="str">
            <v>A</v>
          </cell>
          <cell r="AN96">
            <v>6</v>
          </cell>
          <cell r="AO96">
            <v>0</v>
          </cell>
          <cell r="AP96">
            <v>0</v>
          </cell>
          <cell r="AQ96" t="str">
            <v>D</v>
          </cell>
          <cell r="AR96">
            <v>3</v>
          </cell>
          <cell r="AS96" t="str">
            <v>A</v>
          </cell>
          <cell r="AT96">
            <v>6</v>
          </cell>
          <cell r="AU96" t="str">
            <v>A</v>
          </cell>
          <cell r="AV96">
            <v>6</v>
          </cell>
          <cell r="AW96" t="str">
            <v>A</v>
          </cell>
          <cell r="AX96">
            <v>6</v>
          </cell>
          <cell r="AY96" t="str">
            <v>A</v>
          </cell>
          <cell r="AZ96">
            <v>6</v>
          </cell>
          <cell r="BA96" t="str">
            <v>A</v>
          </cell>
          <cell r="BB96">
            <v>4</v>
          </cell>
          <cell r="BC96">
            <v>0</v>
          </cell>
          <cell r="BD96">
            <v>12</v>
          </cell>
          <cell r="BE96" t="str">
            <v>A</v>
          </cell>
          <cell r="BF96">
            <v>6</v>
          </cell>
          <cell r="BG96" t="str">
            <v>A</v>
          </cell>
          <cell r="BH96">
            <v>4</v>
          </cell>
          <cell r="BI96" t="str">
            <v>A</v>
          </cell>
          <cell r="BJ96">
            <v>6</v>
          </cell>
          <cell r="BK96" t="str">
            <v>A</v>
          </cell>
          <cell r="BL96">
            <v>6</v>
          </cell>
          <cell r="BM96" t="str">
            <v>A</v>
          </cell>
          <cell r="BN96">
            <v>4</v>
          </cell>
          <cell r="BO96" t="str">
            <v>A</v>
          </cell>
          <cell r="BP96">
            <v>4</v>
          </cell>
          <cell r="BQ96">
            <v>25</v>
          </cell>
          <cell r="BR96">
            <v>2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27</v>
          </cell>
          <cell r="CA96">
            <v>141</v>
          </cell>
          <cell r="CB96">
            <v>24</v>
          </cell>
          <cell r="CC96">
            <v>0</v>
          </cell>
          <cell r="CD96">
            <v>2</v>
          </cell>
          <cell r="CE96">
            <v>2</v>
          </cell>
          <cell r="CF96">
            <v>140</v>
          </cell>
          <cell r="CG96">
            <v>4.5</v>
          </cell>
          <cell r="CH96">
            <v>32</v>
          </cell>
          <cell r="CI96">
            <v>70</v>
          </cell>
        </row>
        <row r="97">
          <cell r="A97" t="str">
            <v>A518</v>
          </cell>
          <cell r="B97" t="str">
            <v>Trần Thị Thắm</v>
          </cell>
          <cell r="C97" t="str">
            <v>EN</v>
          </cell>
          <cell r="D97">
            <v>0</v>
          </cell>
          <cell r="E97">
            <v>41781</v>
          </cell>
          <cell r="F97">
            <v>4.5</v>
          </cell>
          <cell r="G97" t="str">
            <v>C</v>
          </cell>
          <cell r="H97">
            <v>4</v>
          </cell>
          <cell r="I97" t="str">
            <v>C</v>
          </cell>
          <cell r="J97">
            <v>4</v>
          </cell>
          <cell r="K97" t="str">
            <v>C</v>
          </cell>
          <cell r="L97">
            <v>4</v>
          </cell>
          <cell r="M97">
            <v>0</v>
          </cell>
          <cell r="N97">
            <v>0</v>
          </cell>
          <cell r="O97" t="str">
            <v>A</v>
          </cell>
          <cell r="P97">
            <v>4</v>
          </cell>
          <cell r="Q97" t="str">
            <v>A</v>
          </cell>
          <cell r="R97">
            <v>4</v>
          </cell>
          <cell r="S97" t="str">
            <v>A</v>
          </cell>
          <cell r="T97">
            <v>4</v>
          </cell>
          <cell r="U97" t="str">
            <v>A</v>
          </cell>
          <cell r="V97">
            <v>4</v>
          </cell>
          <cell r="W97" t="str">
            <v>A</v>
          </cell>
          <cell r="X97">
            <v>4</v>
          </cell>
          <cell r="Y97" t="str">
            <v>A</v>
          </cell>
          <cell r="Z97">
            <v>4</v>
          </cell>
          <cell r="AA97">
            <v>0</v>
          </cell>
          <cell r="AB97">
            <v>8</v>
          </cell>
          <cell r="AC97" t="str">
            <v>C</v>
          </cell>
          <cell r="AD97">
            <v>4</v>
          </cell>
          <cell r="AE97" t="str">
            <v>C</v>
          </cell>
          <cell r="AF97">
            <v>4</v>
          </cell>
          <cell r="AG97" t="str">
            <v>C</v>
          </cell>
          <cell r="AH97">
            <v>4</v>
          </cell>
          <cell r="AI97" t="str">
            <v>C</v>
          </cell>
          <cell r="AJ97">
            <v>4</v>
          </cell>
          <cell r="AK97" t="str">
            <v>C</v>
          </cell>
          <cell r="AL97">
            <v>4</v>
          </cell>
          <cell r="AM97" t="str">
            <v>NT7</v>
          </cell>
          <cell r="AN97">
            <v>0</v>
          </cell>
          <cell r="AO97">
            <v>0</v>
          </cell>
          <cell r="AP97">
            <v>0</v>
          </cell>
          <cell r="AQ97" t="str">
            <v>A</v>
          </cell>
          <cell r="AR97">
            <v>4</v>
          </cell>
          <cell r="AS97" t="str">
            <v>A</v>
          </cell>
          <cell r="AT97">
            <v>4</v>
          </cell>
          <cell r="AU97" t="str">
            <v>A</v>
          </cell>
          <cell r="AV97">
            <v>4</v>
          </cell>
          <cell r="AW97" t="str">
            <v>D</v>
          </cell>
          <cell r="AX97">
            <v>2</v>
          </cell>
          <cell r="AY97" t="str">
            <v>A</v>
          </cell>
          <cell r="AZ97">
            <v>4</v>
          </cell>
          <cell r="BA97" t="str">
            <v>A</v>
          </cell>
          <cell r="BB97">
            <v>4</v>
          </cell>
          <cell r="BC97">
            <v>0</v>
          </cell>
          <cell r="BD97">
            <v>0</v>
          </cell>
          <cell r="BE97" t="str">
            <v>C</v>
          </cell>
          <cell r="BF97">
            <v>4</v>
          </cell>
          <cell r="BG97" t="str">
            <v>C</v>
          </cell>
          <cell r="BH97">
            <v>4</v>
          </cell>
          <cell r="BI97" t="str">
            <v>C</v>
          </cell>
          <cell r="BJ97">
            <v>4</v>
          </cell>
          <cell r="BK97" t="str">
            <v>C</v>
          </cell>
          <cell r="BL97">
            <v>4</v>
          </cell>
          <cell r="BM97" t="str">
            <v>C</v>
          </cell>
          <cell r="BN97">
            <v>4</v>
          </cell>
          <cell r="BO97" t="str">
            <v>C</v>
          </cell>
          <cell r="BP97">
            <v>4</v>
          </cell>
          <cell r="BQ97">
            <v>11</v>
          </cell>
          <cell r="BR97">
            <v>1</v>
          </cell>
          <cell r="BS97">
            <v>0</v>
          </cell>
          <cell r="BT97">
            <v>14</v>
          </cell>
          <cell r="BU97">
            <v>0</v>
          </cell>
          <cell r="BV97">
            <v>0</v>
          </cell>
          <cell r="BW97">
            <v>0</v>
          </cell>
          <cell r="BX97">
            <v>1</v>
          </cell>
          <cell r="BY97">
            <v>0</v>
          </cell>
          <cell r="BZ97">
            <v>27</v>
          </cell>
          <cell r="CA97">
            <v>102</v>
          </cell>
          <cell r="CB97">
            <v>8</v>
          </cell>
          <cell r="CC97">
            <v>0</v>
          </cell>
          <cell r="CD97">
            <v>1</v>
          </cell>
          <cell r="CE97">
            <v>0</v>
          </cell>
          <cell r="CF97">
            <v>150</v>
          </cell>
          <cell r="CG97">
            <v>5.5</v>
          </cell>
          <cell r="CH97">
            <v>0</v>
          </cell>
          <cell r="CI97">
            <v>150</v>
          </cell>
        </row>
        <row r="98">
          <cell r="A98" t="str">
            <v>A524</v>
          </cell>
          <cell r="B98" t="str">
            <v>Phạm Huỳnh Tấn Long</v>
          </cell>
          <cell r="C98" t="str">
            <v>EN</v>
          </cell>
          <cell r="D98">
            <v>0</v>
          </cell>
          <cell r="E98">
            <v>41793</v>
          </cell>
          <cell r="F98">
            <v>5.5</v>
          </cell>
          <cell r="G98" t="str">
            <v>A</v>
          </cell>
          <cell r="H98">
            <v>4</v>
          </cell>
          <cell r="I98" t="str">
            <v>A</v>
          </cell>
          <cell r="J98">
            <v>4</v>
          </cell>
          <cell r="K98" t="str">
            <v>A</v>
          </cell>
          <cell r="L98">
            <v>4</v>
          </cell>
          <cell r="M98">
            <v>0</v>
          </cell>
          <cell r="N98">
            <v>0</v>
          </cell>
          <cell r="O98" t="str">
            <v>C</v>
          </cell>
          <cell r="P98">
            <v>4</v>
          </cell>
          <cell r="Q98" t="str">
            <v>C</v>
          </cell>
          <cell r="R98">
            <v>4</v>
          </cell>
          <cell r="S98" t="str">
            <v>C</v>
          </cell>
          <cell r="T98">
            <v>4</v>
          </cell>
          <cell r="U98" t="str">
            <v>C</v>
          </cell>
          <cell r="V98">
            <v>4</v>
          </cell>
          <cell r="W98" t="str">
            <v>C</v>
          </cell>
          <cell r="X98">
            <v>4</v>
          </cell>
          <cell r="Y98" t="str">
            <v>C</v>
          </cell>
          <cell r="Z98">
            <v>4</v>
          </cell>
          <cell r="AA98">
            <v>0</v>
          </cell>
          <cell r="AB98">
            <v>0</v>
          </cell>
          <cell r="AC98" t="str">
            <v>NT7</v>
          </cell>
          <cell r="AD98">
            <v>0</v>
          </cell>
          <cell r="AE98" t="str">
            <v>A</v>
          </cell>
          <cell r="AF98">
            <v>4</v>
          </cell>
          <cell r="AG98" t="str">
            <v>A</v>
          </cell>
          <cell r="AH98">
            <v>4</v>
          </cell>
          <cell r="AI98" t="str">
            <v>A</v>
          </cell>
          <cell r="AJ98">
            <v>4</v>
          </cell>
          <cell r="AK98" t="str">
            <v>A</v>
          </cell>
          <cell r="AL98">
            <v>4</v>
          </cell>
          <cell r="AM98" t="str">
            <v>A</v>
          </cell>
          <cell r="AN98">
            <v>4</v>
          </cell>
          <cell r="AO98">
            <v>0</v>
          </cell>
          <cell r="AP98">
            <v>0</v>
          </cell>
          <cell r="AQ98" t="str">
            <v>C</v>
          </cell>
          <cell r="AR98">
            <v>4</v>
          </cell>
          <cell r="AS98" t="str">
            <v>C</v>
          </cell>
          <cell r="AT98">
            <v>4</v>
          </cell>
          <cell r="AU98" t="str">
            <v>C</v>
          </cell>
          <cell r="AV98">
            <v>4</v>
          </cell>
          <cell r="AW98" t="str">
            <v>C</v>
          </cell>
          <cell r="AX98">
            <v>4</v>
          </cell>
          <cell r="AY98" t="str">
            <v>C</v>
          </cell>
          <cell r="AZ98">
            <v>4</v>
          </cell>
          <cell r="BA98" t="str">
            <v>C</v>
          </cell>
          <cell r="BB98">
            <v>4</v>
          </cell>
          <cell r="BC98">
            <v>0</v>
          </cell>
          <cell r="BD98">
            <v>0</v>
          </cell>
          <cell r="BE98" t="str">
            <v>D</v>
          </cell>
          <cell r="BF98">
            <v>0</v>
          </cell>
          <cell r="BG98" t="str">
            <v>C</v>
          </cell>
          <cell r="BH98">
            <v>4</v>
          </cell>
          <cell r="BI98" t="str">
            <v>C</v>
          </cell>
          <cell r="BJ98">
            <v>4</v>
          </cell>
          <cell r="BK98" t="str">
            <v>C</v>
          </cell>
          <cell r="BL98">
            <v>4</v>
          </cell>
          <cell r="BM98" t="str">
            <v>C</v>
          </cell>
          <cell r="BN98">
            <v>4</v>
          </cell>
          <cell r="BO98" t="str">
            <v>C</v>
          </cell>
          <cell r="BP98">
            <v>4</v>
          </cell>
          <cell r="BQ98">
            <v>8</v>
          </cell>
          <cell r="BR98">
            <v>1</v>
          </cell>
          <cell r="BS98">
            <v>0</v>
          </cell>
          <cell r="BT98">
            <v>17</v>
          </cell>
          <cell r="BU98">
            <v>0</v>
          </cell>
          <cell r="BV98">
            <v>0</v>
          </cell>
          <cell r="BW98">
            <v>0</v>
          </cell>
          <cell r="BX98">
            <v>1</v>
          </cell>
          <cell r="BY98">
            <v>0</v>
          </cell>
          <cell r="BZ98">
            <v>27</v>
          </cell>
          <cell r="CA98">
            <v>100</v>
          </cell>
          <cell r="CB98">
            <v>0</v>
          </cell>
          <cell r="CC98">
            <v>0</v>
          </cell>
          <cell r="CD98">
            <v>1</v>
          </cell>
          <cell r="CE98">
            <v>0</v>
          </cell>
          <cell r="CF98">
            <v>150</v>
          </cell>
          <cell r="CG98">
            <v>6.5</v>
          </cell>
          <cell r="CH98">
            <v>0</v>
          </cell>
          <cell r="CI98">
            <v>150</v>
          </cell>
        </row>
        <row r="99">
          <cell r="A99" t="str">
            <v>A525</v>
          </cell>
          <cell r="B99" t="str">
            <v>Dương V.V.H. Phong</v>
          </cell>
          <cell r="C99" t="str">
            <v>KHUON</v>
          </cell>
          <cell r="D99">
            <v>0</v>
          </cell>
          <cell r="E99">
            <v>41793</v>
          </cell>
          <cell r="F99">
            <v>0</v>
          </cell>
          <cell r="G99" t="str">
            <v>A</v>
          </cell>
          <cell r="H99">
            <v>6</v>
          </cell>
          <cell r="I99" t="str">
            <v>D</v>
          </cell>
          <cell r="J99">
            <v>3</v>
          </cell>
          <cell r="K99" t="str">
            <v>D</v>
          </cell>
          <cell r="L99">
            <v>2.5</v>
          </cell>
          <cell r="M99">
            <v>0</v>
          </cell>
          <cell r="N99">
            <v>9</v>
          </cell>
          <cell r="O99" t="str">
            <v>A</v>
          </cell>
          <cell r="P99">
            <v>6</v>
          </cell>
          <cell r="Q99" t="str">
            <v>A</v>
          </cell>
          <cell r="R99">
            <v>4</v>
          </cell>
          <cell r="S99" t="str">
            <v>A</v>
          </cell>
          <cell r="T99">
            <v>4</v>
          </cell>
          <cell r="U99" t="str">
            <v>A</v>
          </cell>
          <cell r="V99">
            <v>5</v>
          </cell>
          <cell r="W99" t="str">
            <v>A</v>
          </cell>
          <cell r="X99">
            <v>4</v>
          </cell>
          <cell r="Y99" t="str">
            <v>P5,D5</v>
          </cell>
          <cell r="Z99">
            <v>0</v>
          </cell>
          <cell r="AA99">
            <v>0</v>
          </cell>
          <cell r="AB99">
            <v>6</v>
          </cell>
          <cell r="AC99" t="str">
            <v>A</v>
          </cell>
          <cell r="AD99">
            <v>4</v>
          </cell>
          <cell r="AE99" t="str">
            <v>A</v>
          </cell>
          <cell r="AF99">
            <v>4</v>
          </cell>
          <cell r="AG99" t="str">
            <v>A</v>
          </cell>
          <cell r="AH99">
            <v>4</v>
          </cell>
          <cell r="AI99" t="str">
            <v>A</v>
          </cell>
          <cell r="AJ99">
            <v>4</v>
          </cell>
          <cell r="AK99" t="str">
            <v>A</v>
          </cell>
          <cell r="AL99">
            <v>6</v>
          </cell>
          <cell r="AM99" t="str">
            <v>D</v>
          </cell>
          <cell r="AN99">
            <v>3</v>
          </cell>
          <cell r="AO99">
            <v>0</v>
          </cell>
          <cell r="AP99">
            <v>0</v>
          </cell>
          <cell r="AQ99" t="str">
            <v>A</v>
          </cell>
          <cell r="AR99">
            <v>4</v>
          </cell>
          <cell r="AS99" t="str">
            <v>A</v>
          </cell>
          <cell r="AT99">
            <v>4</v>
          </cell>
          <cell r="AU99" t="str">
            <v>A</v>
          </cell>
          <cell r="AV99">
            <v>4</v>
          </cell>
          <cell r="AW99" t="str">
            <v>P5,D5</v>
          </cell>
          <cell r="AX99">
            <v>0</v>
          </cell>
          <cell r="AY99" t="str">
            <v>D</v>
          </cell>
          <cell r="AZ99">
            <v>2.5</v>
          </cell>
          <cell r="BA99" t="str">
            <v>A</v>
          </cell>
          <cell r="BB99">
            <v>4</v>
          </cell>
          <cell r="BC99">
            <v>0</v>
          </cell>
          <cell r="BD99">
            <v>0</v>
          </cell>
          <cell r="BE99" t="str">
            <v>A</v>
          </cell>
          <cell r="BF99">
            <v>6</v>
          </cell>
          <cell r="BG99" t="str">
            <v>A</v>
          </cell>
          <cell r="BH99">
            <v>4</v>
          </cell>
          <cell r="BI99" t="str">
            <v>NT7</v>
          </cell>
          <cell r="BJ99">
            <v>0</v>
          </cell>
          <cell r="BK99" t="str">
            <v>A</v>
          </cell>
          <cell r="BL99">
            <v>4</v>
          </cell>
          <cell r="BM99" t="str">
            <v>A</v>
          </cell>
          <cell r="BN99">
            <v>4</v>
          </cell>
          <cell r="BO99" t="str">
            <v>A</v>
          </cell>
          <cell r="BP99">
            <v>4</v>
          </cell>
          <cell r="BQ99">
            <v>20</v>
          </cell>
          <cell r="BR99">
            <v>5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1</v>
          </cell>
          <cell r="BY99">
            <v>1</v>
          </cell>
          <cell r="BZ99">
            <v>27</v>
          </cell>
          <cell r="CA99">
            <v>100</v>
          </cell>
          <cell r="CB99">
            <v>15</v>
          </cell>
          <cell r="CC99">
            <v>0</v>
          </cell>
          <cell r="CD99">
            <v>1</v>
          </cell>
          <cell r="CE99">
            <v>0</v>
          </cell>
          <cell r="CF99">
            <v>70</v>
          </cell>
          <cell r="CG99">
            <v>0</v>
          </cell>
          <cell r="CH99">
            <v>0</v>
          </cell>
          <cell r="CI99">
            <v>70</v>
          </cell>
        </row>
        <row r="100">
          <cell r="A100" t="str">
            <v>A529</v>
          </cell>
          <cell r="B100" t="str">
            <v>Võ Minh Tâm</v>
          </cell>
          <cell r="C100" t="str">
            <v>EN</v>
          </cell>
          <cell r="D100">
            <v>0</v>
          </cell>
          <cell r="E100">
            <v>41798</v>
          </cell>
          <cell r="F100">
            <v>7</v>
          </cell>
          <cell r="G100" t="str">
            <v>A</v>
          </cell>
          <cell r="H100">
            <v>4</v>
          </cell>
          <cell r="I100" t="str">
            <v>A</v>
          </cell>
          <cell r="J100">
            <v>4</v>
          </cell>
          <cell r="K100" t="str">
            <v>A</v>
          </cell>
          <cell r="L100">
            <v>4</v>
          </cell>
          <cell r="M100">
            <v>0</v>
          </cell>
          <cell r="N100">
            <v>8</v>
          </cell>
          <cell r="O100" t="str">
            <v>C</v>
          </cell>
          <cell r="P100">
            <v>4</v>
          </cell>
          <cell r="Q100" t="str">
            <v>C</v>
          </cell>
          <cell r="R100">
            <v>4</v>
          </cell>
          <cell r="S100" t="str">
            <v>C</v>
          </cell>
          <cell r="T100">
            <v>4</v>
          </cell>
          <cell r="U100" t="str">
            <v>C</v>
          </cell>
          <cell r="V100">
            <v>4</v>
          </cell>
          <cell r="W100" t="str">
            <v>C</v>
          </cell>
          <cell r="X100">
            <v>4</v>
          </cell>
          <cell r="Y100" t="str">
            <v>C</v>
          </cell>
          <cell r="Z100">
            <v>4</v>
          </cell>
          <cell r="AA100">
            <v>0</v>
          </cell>
          <cell r="AB100">
            <v>0</v>
          </cell>
          <cell r="AC100" t="str">
            <v>A</v>
          </cell>
          <cell r="AD100">
            <v>4</v>
          </cell>
          <cell r="AE100" t="str">
            <v>A</v>
          </cell>
          <cell r="AF100">
            <v>4</v>
          </cell>
          <cell r="AG100" t="str">
            <v>A</v>
          </cell>
          <cell r="AH100">
            <v>4</v>
          </cell>
          <cell r="AI100" t="str">
            <v>A</v>
          </cell>
          <cell r="AJ100">
            <v>4</v>
          </cell>
          <cell r="AK100" t="str">
            <v>A</v>
          </cell>
          <cell r="AL100">
            <v>4</v>
          </cell>
          <cell r="AM100" t="str">
            <v>A</v>
          </cell>
          <cell r="AN100">
            <v>4</v>
          </cell>
          <cell r="AO100">
            <v>0</v>
          </cell>
          <cell r="AP100">
            <v>0</v>
          </cell>
          <cell r="AQ100" t="str">
            <v>C</v>
          </cell>
          <cell r="AR100">
            <v>4</v>
          </cell>
          <cell r="AS100" t="str">
            <v>C</v>
          </cell>
          <cell r="AT100">
            <v>4</v>
          </cell>
          <cell r="AU100" t="str">
            <v>C</v>
          </cell>
          <cell r="AV100">
            <v>4</v>
          </cell>
          <cell r="AW100" t="str">
            <v>C</v>
          </cell>
          <cell r="AX100">
            <v>4</v>
          </cell>
          <cell r="AY100" t="str">
            <v>C</v>
          </cell>
          <cell r="AZ100">
            <v>4</v>
          </cell>
          <cell r="BA100" t="str">
            <v>C</v>
          </cell>
          <cell r="BB100">
            <v>4</v>
          </cell>
          <cell r="BC100">
            <v>0</v>
          </cell>
          <cell r="BD100">
            <v>0</v>
          </cell>
          <cell r="BE100" t="str">
            <v>A</v>
          </cell>
          <cell r="BF100">
            <v>4</v>
          </cell>
          <cell r="BG100" t="str">
            <v>A</v>
          </cell>
          <cell r="BH100">
            <v>4</v>
          </cell>
          <cell r="BI100" t="str">
            <v>A</v>
          </cell>
          <cell r="BJ100">
            <v>4</v>
          </cell>
          <cell r="BK100" t="str">
            <v>A</v>
          </cell>
          <cell r="BL100">
            <v>4</v>
          </cell>
          <cell r="BM100" t="str">
            <v>A</v>
          </cell>
          <cell r="BN100">
            <v>4</v>
          </cell>
          <cell r="BO100" t="str">
            <v>A</v>
          </cell>
          <cell r="BP100">
            <v>4</v>
          </cell>
          <cell r="BQ100">
            <v>15</v>
          </cell>
          <cell r="BR100">
            <v>0</v>
          </cell>
          <cell r="BS100">
            <v>0</v>
          </cell>
          <cell r="BT100">
            <v>12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27</v>
          </cell>
          <cell r="CA100">
            <v>108</v>
          </cell>
          <cell r="CB100">
            <v>8</v>
          </cell>
          <cell r="CC100">
            <v>0</v>
          </cell>
          <cell r="CD100">
            <v>2</v>
          </cell>
          <cell r="CE100">
            <v>0</v>
          </cell>
          <cell r="CF100">
            <v>300</v>
          </cell>
          <cell r="CG100">
            <v>8</v>
          </cell>
          <cell r="CH100">
            <v>0</v>
          </cell>
          <cell r="CI100">
            <v>150</v>
          </cell>
        </row>
        <row r="101">
          <cell r="A101" t="str">
            <v>A538</v>
          </cell>
          <cell r="B101" t="str">
            <v>Lê Bảo Trung</v>
          </cell>
          <cell r="C101" t="str">
            <v>CII.4</v>
          </cell>
          <cell r="D101">
            <v>0</v>
          </cell>
          <cell r="E101">
            <v>41820</v>
          </cell>
          <cell r="F101">
            <v>0</v>
          </cell>
          <cell r="G101" t="str">
            <v>D</v>
          </cell>
          <cell r="H101">
            <v>0</v>
          </cell>
          <cell r="I101" t="str">
            <v>D</v>
          </cell>
          <cell r="J101">
            <v>0</v>
          </cell>
          <cell r="K101" t="str">
            <v>D</v>
          </cell>
          <cell r="L101">
            <v>0</v>
          </cell>
          <cell r="M101">
            <v>0</v>
          </cell>
          <cell r="N101">
            <v>0</v>
          </cell>
          <cell r="O101" t="str">
            <v>D</v>
          </cell>
          <cell r="P101">
            <v>0</v>
          </cell>
          <cell r="Q101" t="str">
            <v>D</v>
          </cell>
          <cell r="R101">
            <v>2</v>
          </cell>
          <cell r="S101" t="str">
            <v>D</v>
          </cell>
          <cell r="T101">
            <v>2</v>
          </cell>
          <cell r="U101" t="str">
            <v>D</v>
          </cell>
          <cell r="V101">
            <v>0</v>
          </cell>
          <cell r="W101" t="str">
            <v>D</v>
          </cell>
          <cell r="X101">
            <v>1</v>
          </cell>
          <cell r="Y101" t="str">
            <v>D</v>
          </cell>
          <cell r="Z101">
            <v>0</v>
          </cell>
          <cell r="AA101">
            <v>0</v>
          </cell>
          <cell r="AB101">
            <v>0</v>
          </cell>
          <cell r="AC101" t="str">
            <v>D</v>
          </cell>
          <cell r="AD101">
            <v>0</v>
          </cell>
          <cell r="AE101" t="str">
            <v>D</v>
          </cell>
          <cell r="AF101">
            <v>2</v>
          </cell>
          <cell r="AG101" t="str">
            <v>A</v>
          </cell>
          <cell r="AH101">
            <v>4</v>
          </cell>
          <cell r="AI101" t="str">
            <v>D</v>
          </cell>
          <cell r="AJ101">
            <v>2</v>
          </cell>
          <cell r="AK101" t="str">
            <v>D</v>
          </cell>
          <cell r="AL101">
            <v>0</v>
          </cell>
          <cell r="AM101" t="str">
            <v>NT7</v>
          </cell>
          <cell r="AN101">
            <v>0</v>
          </cell>
          <cell r="AO101">
            <v>0</v>
          </cell>
          <cell r="AP101">
            <v>0</v>
          </cell>
          <cell r="AQ101" t="str">
            <v>D</v>
          </cell>
          <cell r="AR101">
            <v>0</v>
          </cell>
          <cell r="AS101" t="str">
            <v>D</v>
          </cell>
          <cell r="AT101">
            <v>0</v>
          </cell>
          <cell r="AU101" t="str">
            <v>D</v>
          </cell>
          <cell r="AV101">
            <v>0</v>
          </cell>
          <cell r="AW101" t="str">
            <v>D</v>
          </cell>
          <cell r="AX101">
            <v>0</v>
          </cell>
          <cell r="AY101" t="str">
            <v>D</v>
          </cell>
          <cell r="AZ101">
            <v>0</v>
          </cell>
          <cell r="BA101" t="str">
            <v>D</v>
          </cell>
          <cell r="BB101">
            <v>0</v>
          </cell>
          <cell r="BC101">
            <v>0</v>
          </cell>
          <cell r="BD101">
            <v>8</v>
          </cell>
          <cell r="BE101" t="str">
            <v>D</v>
          </cell>
          <cell r="BF101">
            <v>0</v>
          </cell>
          <cell r="BG101" t="str">
            <v>D</v>
          </cell>
          <cell r="BH101">
            <v>2</v>
          </cell>
          <cell r="BI101" t="str">
            <v>D</v>
          </cell>
          <cell r="BJ101">
            <v>0</v>
          </cell>
          <cell r="BK101" t="str">
            <v>NT7</v>
          </cell>
          <cell r="BL101">
            <v>0</v>
          </cell>
          <cell r="BM101" t="str">
            <v>D</v>
          </cell>
          <cell r="BN101">
            <v>2</v>
          </cell>
          <cell r="BO101" t="str">
            <v>D</v>
          </cell>
          <cell r="BP101">
            <v>0</v>
          </cell>
          <cell r="BQ101">
            <v>1</v>
          </cell>
          <cell r="BR101">
            <v>24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2</v>
          </cell>
          <cell r="BY101">
            <v>0</v>
          </cell>
          <cell r="BZ101">
            <v>27</v>
          </cell>
          <cell r="CA101">
            <v>17</v>
          </cell>
          <cell r="CB101">
            <v>8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1</v>
          </cell>
          <cell r="CH101">
            <v>0</v>
          </cell>
          <cell r="CI101">
            <v>150</v>
          </cell>
        </row>
        <row r="102">
          <cell r="A102" t="str">
            <v>A542</v>
          </cell>
          <cell r="B102" t="str">
            <v>Tăng Mộc Nguyên</v>
          </cell>
          <cell r="C102" t="str">
            <v>EN</v>
          </cell>
          <cell r="D102">
            <v>0</v>
          </cell>
          <cell r="E102">
            <v>41821</v>
          </cell>
          <cell r="F102">
            <v>7</v>
          </cell>
          <cell r="G102" t="str">
            <v>C</v>
          </cell>
          <cell r="H102">
            <v>4</v>
          </cell>
          <cell r="I102" t="str">
            <v>C</v>
          </cell>
          <cell r="J102">
            <v>4</v>
          </cell>
          <cell r="K102" t="str">
            <v>C</v>
          </cell>
          <cell r="L102">
            <v>4</v>
          </cell>
          <cell r="M102">
            <v>0</v>
          </cell>
          <cell r="N102">
            <v>0</v>
          </cell>
          <cell r="O102" t="str">
            <v>A</v>
          </cell>
          <cell r="P102">
            <v>4</v>
          </cell>
          <cell r="Q102" t="str">
            <v>A</v>
          </cell>
          <cell r="R102">
            <v>4</v>
          </cell>
          <cell r="S102" t="str">
            <v>A</v>
          </cell>
          <cell r="T102">
            <v>4</v>
          </cell>
          <cell r="U102" t="str">
            <v>A</v>
          </cell>
          <cell r="V102">
            <v>4</v>
          </cell>
          <cell r="W102" t="str">
            <v>A</v>
          </cell>
          <cell r="X102">
            <v>4</v>
          </cell>
          <cell r="Y102" t="str">
            <v>A</v>
          </cell>
          <cell r="Z102">
            <v>4</v>
          </cell>
          <cell r="AA102">
            <v>0</v>
          </cell>
          <cell r="AB102">
            <v>0</v>
          </cell>
          <cell r="AC102" t="str">
            <v>C</v>
          </cell>
          <cell r="AD102">
            <v>4</v>
          </cell>
          <cell r="AE102" t="str">
            <v>C</v>
          </cell>
          <cell r="AF102">
            <v>4</v>
          </cell>
          <cell r="AG102" t="str">
            <v>C</v>
          </cell>
          <cell r="AH102">
            <v>4</v>
          </cell>
          <cell r="AI102" t="str">
            <v>C</v>
          </cell>
          <cell r="AJ102">
            <v>4</v>
          </cell>
          <cell r="AK102" t="str">
            <v>C</v>
          </cell>
          <cell r="AL102">
            <v>4</v>
          </cell>
          <cell r="AM102" t="str">
            <v>C</v>
          </cell>
          <cell r="AN102">
            <v>4</v>
          </cell>
          <cell r="AO102">
            <v>0</v>
          </cell>
          <cell r="AP102">
            <v>0</v>
          </cell>
          <cell r="AQ102" t="str">
            <v>C</v>
          </cell>
          <cell r="AR102">
            <v>4</v>
          </cell>
          <cell r="AS102" t="str">
            <v>C</v>
          </cell>
          <cell r="AT102">
            <v>4</v>
          </cell>
          <cell r="AU102" t="str">
            <v>C</v>
          </cell>
          <cell r="AV102">
            <v>4</v>
          </cell>
          <cell r="AW102" t="str">
            <v>C</v>
          </cell>
          <cell r="AX102">
            <v>4</v>
          </cell>
          <cell r="AY102" t="str">
            <v>C</v>
          </cell>
          <cell r="AZ102">
            <v>4</v>
          </cell>
          <cell r="BA102" t="str">
            <v>C</v>
          </cell>
          <cell r="BB102">
            <v>4</v>
          </cell>
          <cell r="BC102">
            <v>0</v>
          </cell>
          <cell r="BD102">
            <v>0</v>
          </cell>
          <cell r="BE102" t="str">
            <v>A</v>
          </cell>
          <cell r="BF102">
            <v>4</v>
          </cell>
          <cell r="BG102" t="str">
            <v>A</v>
          </cell>
          <cell r="BH102">
            <v>4</v>
          </cell>
          <cell r="BI102" t="str">
            <v>A</v>
          </cell>
          <cell r="BJ102">
            <v>4</v>
          </cell>
          <cell r="BK102" t="str">
            <v>A</v>
          </cell>
          <cell r="BL102">
            <v>4</v>
          </cell>
          <cell r="BM102" t="str">
            <v>A</v>
          </cell>
          <cell r="BN102">
            <v>4</v>
          </cell>
          <cell r="BO102" t="str">
            <v>A</v>
          </cell>
          <cell r="BP102">
            <v>4</v>
          </cell>
          <cell r="BQ102">
            <v>12</v>
          </cell>
          <cell r="BR102">
            <v>0</v>
          </cell>
          <cell r="BS102">
            <v>0</v>
          </cell>
          <cell r="BT102">
            <v>15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27</v>
          </cell>
          <cell r="CA102">
            <v>108</v>
          </cell>
          <cell r="CB102">
            <v>0</v>
          </cell>
          <cell r="CC102">
            <v>0</v>
          </cell>
          <cell r="CD102">
            <v>2</v>
          </cell>
          <cell r="CE102">
            <v>0</v>
          </cell>
          <cell r="CF102">
            <v>300</v>
          </cell>
          <cell r="CG102">
            <v>8</v>
          </cell>
          <cell r="CH102">
            <v>0</v>
          </cell>
          <cell r="CI102">
            <v>150</v>
          </cell>
        </row>
        <row r="103">
          <cell r="A103" t="str">
            <v>A550</v>
          </cell>
          <cell r="B103" t="str">
            <v>Trần Hữu Phước</v>
          </cell>
          <cell r="C103" t="str">
            <v>SON</v>
          </cell>
          <cell r="D103">
            <v>0</v>
          </cell>
          <cell r="E103">
            <v>41849</v>
          </cell>
          <cell r="F103">
            <v>1</v>
          </cell>
          <cell r="G103" t="str">
            <v>A</v>
          </cell>
          <cell r="H103">
            <v>4</v>
          </cell>
          <cell r="I103" t="str">
            <v>A</v>
          </cell>
          <cell r="J103">
            <v>4</v>
          </cell>
          <cell r="K103" t="str">
            <v>A</v>
          </cell>
          <cell r="L103">
            <v>3</v>
          </cell>
          <cell r="M103">
            <v>0</v>
          </cell>
          <cell r="N103">
            <v>12</v>
          </cell>
          <cell r="O103" t="str">
            <v>D</v>
          </cell>
          <cell r="P103">
            <v>3</v>
          </cell>
          <cell r="Q103" t="str">
            <v>P</v>
          </cell>
          <cell r="R103">
            <v>0</v>
          </cell>
          <cell r="S103" t="str">
            <v>A</v>
          </cell>
          <cell r="T103">
            <v>4</v>
          </cell>
          <cell r="U103" t="str">
            <v>A</v>
          </cell>
          <cell r="V103">
            <v>4</v>
          </cell>
          <cell r="W103" t="str">
            <v>A</v>
          </cell>
          <cell r="X103">
            <v>4</v>
          </cell>
          <cell r="Y103" t="str">
            <v>D</v>
          </cell>
          <cell r="Z103">
            <v>0</v>
          </cell>
          <cell r="AA103">
            <v>0</v>
          </cell>
          <cell r="AB103">
            <v>0</v>
          </cell>
          <cell r="AC103" t="str">
            <v>A</v>
          </cell>
          <cell r="AD103">
            <v>4</v>
          </cell>
          <cell r="AE103" t="str">
            <v>A</v>
          </cell>
          <cell r="AF103">
            <v>4</v>
          </cell>
          <cell r="AG103" t="str">
            <v>A</v>
          </cell>
          <cell r="AH103">
            <v>4</v>
          </cell>
          <cell r="AI103" t="str">
            <v>D</v>
          </cell>
          <cell r="AJ103">
            <v>0</v>
          </cell>
          <cell r="AK103" t="str">
            <v>D</v>
          </cell>
          <cell r="AL103">
            <v>3</v>
          </cell>
          <cell r="AM103" t="str">
            <v>R0,D5</v>
          </cell>
          <cell r="AN103">
            <v>0</v>
          </cell>
          <cell r="AO103">
            <v>0</v>
          </cell>
          <cell r="AP103">
            <v>0</v>
          </cell>
          <cell r="AQ103" t="str">
            <v>D</v>
          </cell>
          <cell r="AR103">
            <v>2</v>
          </cell>
          <cell r="AS103" t="str">
            <v>P5,D5</v>
          </cell>
          <cell r="AT103">
            <v>0</v>
          </cell>
          <cell r="AU103" t="str">
            <v>R0</v>
          </cell>
          <cell r="AV103">
            <v>0</v>
          </cell>
          <cell r="AW103" t="str">
            <v>R0</v>
          </cell>
          <cell r="AX103">
            <v>0</v>
          </cell>
          <cell r="AY103" t="str">
            <v>R0</v>
          </cell>
          <cell r="AZ103">
            <v>0</v>
          </cell>
          <cell r="BA103" t="str">
            <v>R0</v>
          </cell>
          <cell r="BB103">
            <v>0</v>
          </cell>
          <cell r="BC103">
            <v>0</v>
          </cell>
          <cell r="BD103">
            <v>0</v>
          </cell>
          <cell r="BE103" t="str">
            <v>R0</v>
          </cell>
          <cell r="BF103">
            <v>0</v>
          </cell>
          <cell r="BG103" t="str">
            <v>R0</v>
          </cell>
          <cell r="BH103">
            <v>0</v>
          </cell>
          <cell r="BI103" t="str">
            <v>R0</v>
          </cell>
          <cell r="BJ103">
            <v>0</v>
          </cell>
          <cell r="BK103" t="str">
            <v>R0</v>
          </cell>
          <cell r="BL103">
            <v>0</v>
          </cell>
          <cell r="BM103" t="str">
            <v>R0</v>
          </cell>
          <cell r="BN103">
            <v>0</v>
          </cell>
          <cell r="BO103" t="str">
            <v>R0</v>
          </cell>
          <cell r="BP103">
            <v>0</v>
          </cell>
          <cell r="BQ103">
            <v>9</v>
          </cell>
          <cell r="BR103">
            <v>6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1.5</v>
          </cell>
          <cell r="BZ103">
            <v>16.5</v>
          </cell>
          <cell r="CA103">
            <v>43</v>
          </cell>
          <cell r="CB103">
            <v>12</v>
          </cell>
          <cell r="CC103">
            <v>0</v>
          </cell>
          <cell r="CD103">
            <v>2</v>
          </cell>
          <cell r="CE103">
            <v>1</v>
          </cell>
          <cell r="CF103">
            <v>140</v>
          </cell>
          <cell r="CG103">
            <v>0.5</v>
          </cell>
          <cell r="CH103">
            <v>16</v>
          </cell>
          <cell r="CI103">
            <v>70</v>
          </cell>
        </row>
        <row r="104">
          <cell r="A104" t="str">
            <v>A551</v>
          </cell>
          <cell r="B104" t="str">
            <v>Nguyễn Trung Thành</v>
          </cell>
          <cell r="C104" t="str">
            <v>Gián tiếp</v>
          </cell>
          <cell r="D104">
            <v>0</v>
          </cell>
          <cell r="E104">
            <v>41839</v>
          </cell>
          <cell r="F104">
            <v>0</v>
          </cell>
          <cell r="G104" t="str">
            <v>D</v>
          </cell>
          <cell r="H104">
            <v>0</v>
          </cell>
          <cell r="I104" t="str">
            <v>D</v>
          </cell>
          <cell r="J104">
            <v>0</v>
          </cell>
          <cell r="K104" t="str">
            <v>D</v>
          </cell>
          <cell r="L104">
            <v>0</v>
          </cell>
          <cell r="M104">
            <v>0</v>
          </cell>
          <cell r="N104">
            <v>0</v>
          </cell>
          <cell r="O104" t="str">
            <v>D</v>
          </cell>
          <cell r="P104">
            <v>0</v>
          </cell>
          <cell r="Q104" t="str">
            <v>D</v>
          </cell>
          <cell r="R104">
            <v>0</v>
          </cell>
          <cell r="S104" t="str">
            <v>D</v>
          </cell>
          <cell r="T104">
            <v>0</v>
          </cell>
          <cell r="U104" t="str">
            <v>D</v>
          </cell>
          <cell r="V104">
            <v>0</v>
          </cell>
          <cell r="W104" t="str">
            <v>P5,D5</v>
          </cell>
          <cell r="X104">
            <v>0</v>
          </cell>
          <cell r="Y104" t="str">
            <v>NT7</v>
          </cell>
          <cell r="Z104">
            <v>0</v>
          </cell>
          <cell r="AA104">
            <v>0</v>
          </cell>
          <cell r="AB104">
            <v>0</v>
          </cell>
          <cell r="AC104" t="str">
            <v>D</v>
          </cell>
          <cell r="AD104">
            <v>0</v>
          </cell>
          <cell r="AE104" t="str">
            <v>D</v>
          </cell>
          <cell r="AF104">
            <v>0</v>
          </cell>
          <cell r="AG104" t="str">
            <v>D</v>
          </cell>
          <cell r="AH104">
            <v>0</v>
          </cell>
          <cell r="AI104" t="str">
            <v>D</v>
          </cell>
          <cell r="AJ104">
            <v>0</v>
          </cell>
          <cell r="AK104" t="str">
            <v>D</v>
          </cell>
          <cell r="AL104">
            <v>0</v>
          </cell>
          <cell r="AM104" t="str">
            <v>D</v>
          </cell>
          <cell r="AN104">
            <v>0</v>
          </cell>
          <cell r="AO104">
            <v>0</v>
          </cell>
          <cell r="AP104">
            <v>0</v>
          </cell>
          <cell r="AQ104" t="str">
            <v>D</v>
          </cell>
          <cell r="AR104">
            <v>0</v>
          </cell>
          <cell r="AS104" t="str">
            <v>D</v>
          </cell>
          <cell r="AT104">
            <v>0</v>
          </cell>
          <cell r="AU104" t="str">
            <v>P5,D5</v>
          </cell>
          <cell r="AV104">
            <v>0</v>
          </cell>
          <cell r="AW104" t="str">
            <v>D</v>
          </cell>
          <cell r="AX104">
            <v>0</v>
          </cell>
          <cell r="AY104" t="str">
            <v>D</v>
          </cell>
          <cell r="AZ104">
            <v>0</v>
          </cell>
          <cell r="BA104" t="str">
            <v>NT7</v>
          </cell>
          <cell r="BB104">
            <v>0</v>
          </cell>
          <cell r="BC104">
            <v>0</v>
          </cell>
          <cell r="BD104">
            <v>0</v>
          </cell>
          <cell r="BE104" t="str">
            <v>D</v>
          </cell>
          <cell r="BF104">
            <v>0</v>
          </cell>
          <cell r="BG104" t="str">
            <v>D</v>
          </cell>
          <cell r="BH104">
            <v>0</v>
          </cell>
          <cell r="BI104" t="str">
            <v>D</v>
          </cell>
          <cell r="BJ104">
            <v>0</v>
          </cell>
          <cell r="BK104" t="str">
            <v>D</v>
          </cell>
          <cell r="BL104">
            <v>0</v>
          </cell>
          <cell r="BM104" t="str">
            <v>D</v>
          </cell>
          <cell r="BN104">
            <v>0</v>
          </cell>
          <cell r="BO104" t="str">
            <v>R0</v>
          </cell>
          <cell r="BP104">
            <v>0</v>
          </cell>
          <cell r="BQ104">
            <v>0</v>
          </cell>
          <cell r="BR104">
            <v>23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2</v>
          </cell>
          <cell r="BY104">
            <v>1</v>
          </cell>
          <cell r="BZ104">
            <v>26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150</v>
          </cell>
        </row>
        <row r="105">
          <cell r="A105" t="str">
            <v>A567</v>
          </cell>
          <cell r="B105" t="str">
            <v>Lê Thị Kim Cúc</v>
          </cell>
          <cell r="C105" t="str">
            <v>TXBVTV</v>
          </cell>
          <cell r="D105">
            <v>0</v>
          </cell>
          <cell r="E105">
            <v>41871</v>
          </cell>
          <cell r="F105">
            <v>1.5</v>
          </cell>
          <cell r="G105" t="str">
            <v>D</v>
          </cell>
          <cell r="H105">
            <v>2</v>
          </cell>
          <cell r="I105" t="str">
            <v>D</v>
          </cell>
          <cell r="J105">
            <v>4</v>
          </cell>
          <cell r="K105" t="str">
            <v>P</v>
          </cell>
          <cell r="L105">
            <v>0</v>
          </cell>
          <cell r="M105">
            <v>0</v>
          </cell>
          <cell r="N105">
            <v>0</v>
          </cell>
          <cell r="O105" t="str">
            <v>R0,D5</v>
          </cell>
          <cell r="P105">
            <v>0</v>
          </cell>
          <cell r="Q105" t="str">
            <v>P</v>
          </cell>
          <cell r="R105">
            <v>0</v>
          </cell>
          <cell r="S105" t="str">
            <v>NV</v>
          </cell>
          <cell r="T105">
            <v>0</v>
          </cell>
          <cell r="U105" t="str">
            <v>NV</v>
          </cell>
          <cell r="V105">
            <v>0</v>
          </cell>
          <cell r="W105" t="str">
            <v>NV</v>
          </cell>
          <cell r="X105">
            <v>0</v>
          </cell>
          <cell r="Y105" t="str">
            <v>NV</v>
          </cell>
          <cell r="Z105">
            <v>0</v>
          </cell>
          <cell r="AA105">
            <v>0</v>
          </cell>
          <cell r="AB105">
            <v>0</v>
          </cell>
          <cell r="AC105" t="str">
            <v>NV</v>
          </cell>
          <cell r="AD105">
            <v>0</v>
          </cell>
          <cell r="AE105" t="str">
            <v>NV</v>
          </cell>
          <cell r="AF105">
            <v>0</v>
          </cell>
          <cell r="AG105" t="str">
            <v>NV</v>
          </cell>
          <cell r="AH105">
            <v>0</v>
          </cell>
          <cell r="AI105" t="str">
            <v>NV</v>
          </cell>
          <cell r="AJ105">
            <v>0</v>
          </cell>
          <cell r="AK105" t="str">
            <v>NV</v>
          </cell>
          <cell r="AL105">
            <v>0</v>
          </cell>
          <cell r="AM105" t="str">
            <v>NV</v>
          </cell>
          <cell r="AN105">
            <v>0</v>
          </cell>
          <cell r="AO105">
            <v>0</v>
          </cell>
          <cell r="AP105">
            <v>0</v>
          </cell>
          <cell r="AQ105" t="str">
            <v>NV</v>
          </cell>
          <cell r="AR105">
            <v>0</v>
          </cell>
          <cell r="AS105" t="str">
            <v>NV</v>
          </cell>
          <cell r="AT105">
            <v>0</v>
          </cell>
          <cell r="AU105" t="str">
            <v>NV</v>
          </cell>
          <cell r="AV105">
            <v>0</v>
          </cell>
          <cell r="AW105" t="str">
            <v>NV</v>
          </cell>
          <cell r="AX105">
            <v>0</v>
          </cell>
          <cell r="AY105" t="str">
            <v>NV</v>
          </cell>
          <cell r="AZ105">
            <v>0</v>
          </cell>
          <cell r="BA105" t="str">
            <v>NV</v>
          </cell>
          <cell r="BB105">
            <v>0</v>
          </cell>
          <cell r="BC105">
            <v>0</v>
          </cell>
          <cell r="BD105">
            <v>0</v>
          </cell>
          <cell r="BE105" t="str">
            <v>NV</v>
          </cell>
          <cell r="BF105">
            <v>0</v>
          </cell>
          <cell r="BG105" t="str">
            <v>NV</v>
          </cell>
          <cell r="BH105">
            <v>0</v>
          </cell>
          <cell r="BI105" t="str">
            <v>NV</v>
          </cell>
          <cell r="BJ105">
            <v>0</v>
          </cell>
          <cell r="BK105" t="str">
            <v>NV</v>
          </cell>
          <cell r="BL105">
            <v>0</v>
          </cell>
          <cell r="BM105" t="str">
            <v>NV</v>
          </cell>
          <cell r="BN105">
            <v>0</v>
          </cell>
          <cell r="BO105" t="str">
            <v>NV</v>
          </cell>
          <cell r="BP105">
            <v>0</v>
          </cell>
          <cell r="BQ105">
            <v>0</v>
          </cell>
          <cell r="BR105">
            <v>2.5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2</v>
          </cell>
          <cell r="BZ105">
            <v>4.5</v>
          </cell>
          <cell r="CA105">
            <v>6</v>
          </cell>
          <cell r="CB105">
            <v>0</v>
          </cell>
          <cell r="CC105">
            <v>0</v>
          </cell>
          <cell r="CD105">
            <v>2</v>
          </cell>
          <cell r="CE105">
            <v>0</v>
          </cell>
          <cell r="CF105">
            <v>300</v>
          </cell>
          <cell r="CG105">
            <v>0.5</v>
          </cell>
          <cell r="CH105">
            <v>0</v>
          </cell>
          <cell r="CI105">
            <v>150</v>
          </cell>
        </row>
        <row r="106">
          <cell r="A106" t="str">
            <v>A573</v>
          </cell>
          <cell r="B106" t="str">
            <v>Trần Kim Phú</v>
          </cell>
          <cell r="C106" t="str">
            <v>Gián tiếp</v>
          </cell>
          <cell r="D106">
            <v>0</v>
          </cell>
          <cell r="E106">
            <v>41920</v>
          </cell>
          <cell r="F106">
            <v>2</v>
          </cell>
          <cell r="G106" t="str">
            <v>D</v>
          </cell>
          <cell r="H106">
            <v>0</v>
          </cell>
          <cell r="I106" t="str">
            <v>D</v>
          </cell>
          <cell r="J106">
            <v>0</v>
          </cell>
          <cell r="K106" t="str">
            <v>D</v>
          </cell>
          <cell r="L106">
            <v>0</v>
          </cell>
          <cell r="M106">
            <v>0</v>
          </cell>
          <cell r="N106">
            <v>0</v>
          </cell>
          <cell r="O106" t="str">
            <v>D</v>
          </cell>
          <cell r="P106">
            <v>0</v>
          </cell>
          <cell r="Q106" t="str">
            <v>D</v>
          </cell>
          <cell r="R106">
            <v>0</v>
          </cell>
          <cell r="S106" t="str">
            <v>D</v>
          </cell>
          <cell r="T106">
            <v>0</v>
          </cell>
          <cell r="U106" t="str">
            <v>D</v>
          </cell>
          <cell r="V106">
            <v>0</v>
          </cell>
          <cell r="W106" t="str">
            <v>D</v>
          </cell>
          <cell r="X106">
            <v>0</v>
          </cell>
          <cell r="Y106" t="str">
            <v>NT7</v>
          </cell>
          <cell r="Z106">
            <v>0</v>
          </cell>
          <cell r="AA106">
            <v>0</v>
          </cell>
          <cell r="AB106">
            <v>0</v>
          </cell>
          <cell r="AC106" t="str">
            <v>D</v>
          </cell>
          <cell r="AD106">
            <v>0</v>
          </cell>
          <cell r="AE106" t="str">
            <v>D</v>
          </cell>
          <cell r="AF106">
            <v>0</v>
          </cell>
          <cell r="AG106" t="str">
            <v>D</v>
          </cell>
          <cell r="AH106">
            <v>0</v>
          </cell>
          <cell r="AI106" t="str">
            <v>D</v>
          </cell>
          <cell r="AJ106">
            <v>0</v>
          </cell>
          <cell r="AK106" t="str">
            <v>D</v>
          </cell>
          <cell r="AL106">
            <v>0</v>
          </cell>
          <cell r="AM106" t="str">
            <v>D</v>
          </cell>
          <cell r="AN106">
            <v>0</v>
          </cell>
          <cell r="AO106">
            <v>0</v>
          </cell>
          <cell r="AP106">
            <v>0</v>
          </cell>
          <cell r="AQ106" t="str">
            <v>D</v>
          </cell>
          <cell r="AR106">
            <v>0</v>
          </cell>
          <cell r="AS106" t="str">
            <v>D</v>
          </cell>
          <cell r="AT106">
            <v>0</v>
          </cell>
          <cell r="AU106" t="str">
            <v>D</v>
          </cell>
          <cell r="AV106">
            <v>0</v>
          </cell>
          <cell r="AW106" t="str">
            <v>D</v>
          </cell>
          <cell r="AX106">
            <v>0</v>
          </cell>
          <cell r="AY106" t="str">
            <v>D</v>
          </cell>
          <cell r="AZ106">
            <v>0</v>
          </cell>
          <cell r="BA106" t="str">
            <v>NT7</v>
          </cell>
          <cell r="BB106">
            <v>0</v>
          </cell>
          <cell r="BC106">
            <v>0</v>
          </cell>
          <cell r="BD106">
            <v>0</v>
          </cell>
          <cell r="BE106" t="str">
            <v>D</v>
          </cell>
          <cell r="BF106">
            <v>0</v>
          </cell>
          <cell r="BG106" t="str">
            <v>D</v>
          </cell>
          <cell r="BH106">
            <v>0</v>
          </cell>
          <cell r="BI106" t="str">
            <v>D</v>
          </cell>
          <cell r="BJ106">
            <v>0</v>
          </cell>
          <cell r="BK106" t="str">
            <v>D</v>
          </cell>
          <cell r="BL106">
            <v>0</v>
          </cell>
          <cell r="BM106" t="str">
            <v>D</v>
          </cell>
          <cell r="BN106">
            <v>0</v>
          </cell>
          <cell r="BO106" t="str">
            <v>P</v>
          </cell>
          <cell r="BP106">
            <v>0</v>
          </cell>
          <cell r="BQ106">
            <v>0</v>
          </cell>
          <cell r="BR106">
            <v>24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2</v>
          </cell>
          <cell r="BY106">
            <v>1</v>
          </cell>
          <cell r="BZ106">
            <v>27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2</v>
          </cell>
          <cell r="CH106">
            <v>0</v>
          </cell>
          <cell r="CI106">
            <v>0</v>
          </cell>
        </row>
        <row r="107">
          <cell r="A107" t="str">
            <v>A574</v>
          </cell>
          <cell r="B107" t="str">
            <v>Hoàng Văn Linh</v>
          </cell>
          <cell r="C107" t="str">
            <v>Kho</v>
          </cell>
          <cell r="D107">
            <v>0</v>
          </cell>
          <cell r="E107">
            <v>41923</v>
          </cell>
          <cell r="F107">
            <v>4</v>
          </cell>
          <cell r="G107" t="str">
            <v>D</v>
          </cell>
          <cell r="H107">
            <v>0</v>
          </cell>
          <cell r="I107" t="str">
            <v>D</v>
          </cell>
          <cell r="J107">
            <v>0</v>
          </cell>
          <cell r="K107" t="str">
            <v>D</v>
          </cell>
          <cell r="L107">
            <v>0</v>
          </cell>
          <cell r="M107">
            <v>0</v>
          </cell>
          <cell r="N107">
            <v>0</v>
          </cell>
          <cell r="O107" t="str">
            <v>D</v>
          </cell>
          <cell r="P107">
            <v>0</v>
          </cell>
          <cell r="Q107" t="str">
            <v>D</v>
          </cell>
          <cell r="R107">
            <v>0</v>
          </cell>
          <cell r="S107" t="str">
            <v>D</v>
          </cell>
          <cell r="T107">
            <v>0</v>
          </cell>
          <cell r="U107" t="str">
            <v>D</v>
          </cell>
          <cell r="V107">
            <v>0</v>
          </cell>
          <cell r="W107" t="str">
            <v>NT7</v>
          </cell>
          <cell r="X107">
            <v>0</v>
          </cell>
          <cell r="Y107" t="str">
            <v>NT7</v>
          </cell>
          <cell r="Z107">
            <v>0</v>
          </cell>
          <cell r="AA107">
            <v>0</v>
          </cell>
          <cell r="AB107">
            <v>0</v>
          </cell>
          <cell r="AC107" t="str">
            <v>D</v>
          </cell>
          <cell r="AD107">
            <v>0</v>
          </cell>
          <cell r="AE107" t="str">
            <v>D</v>
          </cell>
          <cell r="AF107">
            <v>0</v>
          </cell>
          <cell r="AG107" t="str">
            <v>A</v>
          </cell>
          <cell r="AH107">
            <v>4</v>
          </cell>
          <cell r="AI107" t="str">
            <v>D</v>
          </cell>
          <cell r="AJ107">
            <v>0</v>
          </cell>
          <cell r="AK107" t="str">
            <v>D</v>
          </cell>
          <cell r="AL107">
            <v>0</v>
          </cell>
          <cell r="AM107" t="str">
            <v>D</v>
          </cell>
          <cell r="AN107">
            <v>0</v>
          </cell>
          <cell r="AO107">
            <v>0</v>
          </cell>
          <cell r="AP107">
            <v>0</v>
          </cell>
          <cell r="AQ107" t="str">
            <v>D</v>
          </cell>
          <cell r="AR107">
            <v>0</v>
          </cell>
          <cell r="AS107" t="str">
            <v>A</v>
          </cell>
          <cell r="AT107">
            <v>4</v>
          </cell>
          <cell r="AU107" t="str">
            <v>A</v>
          </cell>
          <cell r="AV107">
            <v>4.5</v>
          </cell>
          <cell r="AW107" t="str">
            <v>A</v>
          </cell>
          <cell r="AX107">
            <v>4</v>
          </cell>
          <cell r="AY107" t="str">
            <v>D</v>
          </cell>
          <cell r="AZ107">
            <v>1</v>
          </cell>
          <cell r="BA107" t="str">
            <v>D</v>
          </cell>
          <cell r="BB107">
            <v>0</v>
          </cell>
          <cell r="BC107">
            <v>0</v>
          </cell>
          <cell r="BD107">
            <v>0</v>
          </cell>
          <cell r="BE107" t="str">
            <v>D</v>
          </cell>
          <cell r="BF107">
            <v>0</v>
          </cell>
          <cell r="BG107" t="str">
            <v>A</v>
          </cell>
          <cell r="BH107">
            <v>4.5</v>
          </cell>
          <cell r="BI107" t="str">
            <v>A</v>
          </cell>
          <cell r="BJ107">
            <v>4.5</v>
          </cell>
          <cell r="BK107" t="str">
            <v>A</v>
          </cell>
          <cell r="BL107">
            <v>4.5</v>
          </cell>
          <cell r="BM107" t="str">
            <v>A</v>
          </cell>
          <cell r="BN107">
            <v>5</v>
          </cell>
          <cell r="BO107" t="str">
            <v>D</v>
          </cell>
          <cell r="BP107">
            <v>0</v>
          </cell>
          <cell r="BQ107">
            <v>8</v>
          </cell>
          <cell r="BR107">
            <v>17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2</v>
          </cell>
          <cell r="BY107">
            <v>0</v>
          </cell>
          <cell r="BZ107">
            <v>27</v>
          </cell>
          <cell r="CA107">
            <v>59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5</v>
          </cell>
          <cell r="CH107">
            <v>0</v>
          </cell>
          <cell r="CI107">
            <v>150</v>
          </cell>
        </row>
        <row r="108">
          <cell r="A108" t="str">
            <v>A583</v>
          </cell>
          <cell r="B108" t="str">
            <v>Trần Quốc Bảo</v>
          </cell>
          <cell r="C108" t="str">
            <v>KHUON</v>
          </cell>
          <cell r="D108">
            <v>0</v>
          </cell>
          <cell r="E108">
            <v>41976</v>
          </cell>
          <cell r="F108">
            <v>2</v>
          </cell>
          <cell r="G108" t="str">
            <v>D</v>
          </cell>
          <cell r="H108">
            <v>0</v>
          </cell>
          <cell r="I108" t="str">
            <v>D</v>
          </cell>
          <cell r="J108">
            <v>0</v>
          </cell>
          <cell r="K108" t="str">
            <v>NT7</v>
          </cell>
          <cell r="L108">
            <v>0</v>
          </cell>
          <cell r="M108">
            <v>0</v>
          </cell>
          <cell r="N108">
            <v>8</v>
          </cell>
          <cell r="O108" t="str">
            <v>D</v>
          </cell>
          <cell r="P108">
            <v>0</v>
          </cell>
          <cell r="Q108" t="str">
            <v>D</v>
          </cell>
          <cell r="R108">
            <v>0</v>
          </cell>
          <cell r="S108" t="str">
            <v>D</v>
          </cell>
          <cell r="T108">
            <v>0</v>
          </cell>
          <cell r="U108" t="str">
            <v>D</v>
          </cell>
          <cell r="V108">
            <v>0</v>
          </cell>
          <cell r="W108" t="str">
            <v>D</v>
          </cell>
          <cell r="X108">
            <v>0</v>
          </cell>
          <cell r="Y108" t="str">
            <v>NT7</v>
          </cell>
          <cell r="Z108">
            <v>0</v>
          </cell>
          <cell r="AA108">
            <v>0</v>
          </cell>
          <cell r="AB108">
            <v>0</v>
          </cell>
          <cell r="AC108" t="str">
            <v>D</v>
          </cell>
          <cell r="AD108">
            <v>0</v>
          </cell>
          <cell r="AE108" t="str">
            <v>P</v>
          </cell>
          <cell r="AF108">
            <v>0</v>
          </cell>
          <cell r="AG108" t="str">
            <v>D</v>
          </cell>
          <cell r="AH108">
            <v>0</v>
          </cell>
          <cell r="AI108" t="str">
            <v>D</v>
          </cell>
          <cell r="AJ108">
            <v>0</v>
          </cell>
          <cell r="AK108" t="str">
            <v>P5,D5</v>
          </cell>
          <cell r="AL108">
            <v>0</v>
          </cell>
          <cell r="AM108" t="str">
            <v>D</v>
          </cell>
          <cell r="AN108">
            <v>0</v>
          </cell>
          <cell r="AO108">
            <v>0</v>
          </cell>
          <cell r="AP108">
            <v>0</v>
          </cell>
          <cell r="AQ108" t="str">
            <v>D</v>
          </cell>
          <cell r="AR108">
            <v>0</v>
          </cell>
          <cell r="AS108" t="str">
            <v>D</v>
          </cell>
          <cell r="AT108">
            <v>0</v>
          </cell>
          <cell r="AU108" t="str">
            <v>D</v>
          </cell>
          <cell r="AV108">
            <v>0</v>
          </cell>
          <cell r="AW108" t="str">
            <v>D</v>
          </cell>
          <cell r="AX108">
            <v>0</v>
          </cell>
          <cell r="AY108" t="str">
            <v>D</v>
          </cell>
          <cell r="AZ108">
            <v>0</v>
          </cell>
          <cell r="BA108" t="str">
            <v>P</v>
          </cell>
          <cell r="BB108">
            <v>0</v>
          </cell>
          <cell r="BC108">
            <v>0</v>
          </cell>
          <cell r="BD108">
            <v>0</v>
          </cell>
          <cell r="BE108" t="str">
            <v>D</v>
          </cell>
          <cell r="BF108">
            <v>0</v>
          </cell>
          <cell r="BG108" t="str">
            <v>D</v>
          </cell>
          <cell r="BH108">
            <v>0</v>
          </cell>
          <cell r="BI108" t="str">
            <v>D</v>
          </cell>
          <cell r="BJ108">
            <v>0</v>
          </cell>
          <cell r="BK108" t="str">
            <v>D</v>
          </cell>
          <cell r="BL108">
            <v>0</v>
          </cell>
          <cell r="BM108" t="str">
            <v>D</v>
          </cell>
          <cell r="BN108">
            <v>0</v>
          </cell>
          <cell r="BO108" t="str">
            <v>D</v>
          </cell>
          <cell r="BP108">
            <v>0</v>
          </cell>
          <cell r="BQ108">
            <v>0</v>
          </cell>
          <cell r="BR108">
            <v>22.5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2</v>
          </cell>
          <cell r="BY108">
            <v>2.5</v>
          </cell>
          <cell r="BZ108">
            <v>27</v>
          </cell>
          <cell r="CA108">
            <v>0</v>
          </cell>
          <cell r="CB108">
            <v>8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0.5</v>
          </cell>
          <cell r="CH108">
            <v>0</v>
          </cell>
          <cell r="CI108">
            <v>150</v>
          </cell>
        </row>
        <row r="109">
          <cell r="A109" t="str">
            <v>A594</v>
          </cell>
          <cell r="B109" t="str">
            <v>Nguyễn Viết Lợi</v>
          </cell>
          <cell r="C109" t="str">
            <v>CD</v>
          </cell>
          <cell r="D109">
            <v>0</v>
          </cell>
          <cell r="E109">
            <v>42082</v>
          </cell>
          <cell r="F109">
            <v>3</v>
          </cell>
          <cell r="G109" t="str">
            <v>D</v>
          </cell>
          <cell r="H109">
            <v>0</v>
          </cell>
          <cell r="I109" t="str">
            <v>D</v>
          </cell>
          <cell r="J109">
            <v>0</v>
          </cell>
          <cell r="K109" t="str">
            <v>D</v>
          </cell>
          <cell r="L109">
            <v>0</v>
          </cell>
          <cell r="M109">
            <v>0</v>
          </cell>
          <cell r="N109">
            <v>0</v>
          </cell>
          <cell r="O109" t="str">
            <v>D</v>
          </cell>
          <cell r="P109">
            <v>0</v>
          </cell>
          <cell r="Q109" t="str">
            <v>D</v>
          </cell>
          <cell r="R109">
            <v>0</v>
          </cell>
          <cell r="S109" t="str">
            <v>D</v>
          </cell>
          <cell r="T109">
            <v>0</v>
          </cell>
          <cell r="U109" t="str">
            <v>D</v>
          </cell>
          <cell r="V109">
            <v>0</v>
          </cell>
          <cell r="W109" t="str">
            <v>D</v>
          </cell>
          <cell r="X109">
            <v>0</v>
          </cell>
          <cell r="Y109" t="str">
            <v>D</v>
          </cell>
          <cell r="Z109">
            <v>0</v>
          </cell>
          <cell r="AA109">
            <v>0</v>
          </cell>
          <cell r="AB109">
            <v>0</v>
          </cell>
          <cell r="AC109" t="str">
            <v>D</v>
          </cell>
          <cell r="AD109">
            <v>0</v>
          </cell>
          <cell r="AE109" t="str">
            <v>D</v>
          </cell>
          <cell r="AF109">
            <v>0</v>
          </cell>
          <cell r="AG109" t="str">
            <v>D</v>
          </cell>
          <cell r="AH109">
            <v>0</v>
          </cell>
          <cell r="AI109" t="str">
            <v>D</v>
          </cell>
          <cell r="AJ109">
            <v>0</v>
          </cell>
          <cell r="AK109" t="str">
            <v>D</v>
          </cell>
          <cell r="AL109">
            <v>0</v>
          </cell>
          <cell r="AM109" t="str">
            <v>D</v>
          </cell>
          <cell r="AN109">
            <v>0</v>
          </cell>
          <cell r="AO109">
            <v>0</v>
          </cell>
          <cell r="AP109">
            <v>0</v>
          </cell>
          <cell r="AQ109" t="str">
            <v>D</v>
          </cell>
          <cell r="AR109">
            <v>0</v>
          </cell>
          <cell r="AS109" t="str">
            <v>D</v>
          </cell>
          <cell r="AT109">
            <v>0</v>
          </cell>
          <cell r="AU109" t="str">
            <v>D</v>
          </cell>
          <cell r="AV109">
            <v>0</v>
          </cell>
          <cell r="AW109" t="str">
            <v>D</v>
          </cell>
          <cell r="AX109">
            <v>0</v>
          </cell>
          <cell r="AY109" t="str">
            <v>D</v>
          </cell>
          <cell r="AZ109">
            <v>0</v>
          </cell>
          <cell r="BA109" t="str">
            <v>NT7</v>
          </cell>
          <cell r="BB109">
            <v>0</v>
          </cell>
          <cell r="BC109">
            <v>0</v>
          </cell>
          <cell r="BD109">
            <v>0</v>
          </cell>
          <cell r="BE109" t="str">
            <v>D</v>
          </cell>
          <cell r="BF109">
            <v>0</v>
          </cell>
          <cell r="BG109" t="str">
            <v>D</v>
          </cell>
          <cell r="BH109">
            <v>0</v>
          </cell>
          <cell r="BI109" t="str">
            <v>D</v>
          </cell>
          <cell r="BJ109">
            <v>0</v>
          </cell>
          <cell r="BK109" t="str">
            <v>D</v>
          </cell>
          <cell r="BL109">
            <v>0</v>
          </cell>
          <cell r="BM109" t="str">
            <v>D</v>
          </cell>
          <cell r="BN109">
            <v>0</v>
          </cell>
          <cell r="BO109" t="str">
            <v>D</v>
          </cell>
          <cell r="BP109">
            <v>0</v>
          </cell>
          <cell r="BQ109">
            <v>0</v>
          </cell>
          <cell r="BR109">
            <v>26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1</v>
          </cell>
          <cell r="BY109">
            <v>0</v>
          </cell>
          <cell r="BZ109">
            <v>27</v>
          </cell>
          <cell r="CA109">
            <v>0</v>
          </cell>
          <cell r="CB109">
            <v>0</v>
          </cell>
          <cell r="CC109">
            <v>0</v>
          </cell>
          <cell r="CD109">
            <v>1</v>
          </cell>
          <cell r="CE109">
            <v>0</v>
          </cell>
          <cell r="CF109">
            <v>150</v>
          </cell>
          <cell r="CG109">
            <v>4</v>
          </cell>
          <cell r="CH109">
            <v>0</v>
          </cell>
          <cell r="CI109">
            <v>150</v>
          </cell>
        </row>
        <row r="110">
          <cell r="A110" t="str">
            <v>A596</v>
          </cell>
          <cell r="B110" t="str">
            <v>Nguyễn Văn Phúc</v>
          </cell>
          <cell r="C110" t="str">
            <v xml:space="preserve">XLN </v>
          </cell>
          <cell r="D110">
            <v>0</v>
          </cell>
          <cell r="E110">
            <v>42088</v>
          </cell>
          <cell r="F110">
            <v>1</v>
          </cell>
          <cell r="G110" t="str">
            <v>A</v>
          </cell>
          <cell r="H110">
            <v>4</v>
          </cell>
          <cell r="I110" t="str">
            <v>A</v>
          </cell>
          <cell r="J110">
            <v>4</v>
          </cell>
          <cell r="K110" t="str">
            <v>A</v>
          </cell>
          <cell r="L110">
            <v>4</v>
          </cell>
          <cell r="M110">
            <v>0</v>
          </cell>
          <cell r="N110">
            <v>0</v>
          </cell>
          <cell r="O110" t="str">
            <v>C</v>
          </cell>
          <cell r="P110">
            <v>4</v>
          </cell>
          <cell r="Q110" t="str">
            <v>C</v>
          </cell>
          <cell r="R110">
            <v>8</v>
          </cell>
          <cell r="S110" t="str">
            <v>C</v>
          </cell>
          <cell r="T110">
            <v>4</v>
          </cell>
          <cell r="U110" t="str">
            <v>C</v>
          </cell>
          <cell r="V110">
            <v>10</v>
          </cell>
          <cell r="W110" t="str">
            <v>C</v>
          </cell>
          <cell r="X110">
            <v>4</v>
          </cell>
          <cell r="Y110" t="str">
            <v>NT7</v>
          </cell>
          <cell r="Z110">
            <v>0</v>
          </cell>
          <cell r="AA110">
            <v>0</v>
          </cell>
          <cell r="AB110">
            <v>0</v>
          </cell>
          <cell r="AC110" t="str">
            <v>A</v>
          </cell>
          <cell r="AD110">
            <v>4</v>
          </cell>
          <cell r="AE110" t="str">
            <v>A</v>
          </cell>
          <cell r="AF110">
            <v>4</v>
          </cell>
          <cell r="AG110" t="str">
            <v>NT7</v>
          </cell>
          <cell r="AH110">
            <v>0</v>
          </cell>
          <cell r="AI110" t="str">
            <v>A</v>
          </cell>
          <cell r="AJ110">
            <v>4</v>
          </cell>
          <cell r="AK110" t="str">
            <v>A</v>
          </cell>
          <cell r="AL110">
            <v>4</v>
          </cell>
          <cell r="AM110" t="str">
            <v>A</v>
          </cell>
          <cell r="AN110">
            <v>4</v>
          </cell>
          <cell r="AO110">
            <v>0</v>
          </cell>
          <cell r="AP110">
            <v>12</v>
          </cell>
          <cell r="AQ110" t="str">
            <v>C</v>
          </cell>
          <cell r="AR110">
            <v>4</v>
          </cell>
          <cell r="AS110" t="str">
            <v>C</v>
          </cell>
          <cell r="AT110">
            <v>4</v>
          </cell>
          <cell r="AU110" t="str">
            <v>C</v>
          </cell>
          <cell r="AV110">
            <v>4</v>
          </cell>
          <cell r="AW110" t="str">
            <v>C</v>
          </cell>
          <cell r="AX110">
            <v>4</v>
          </cell>
          <cell r="AY110" t="str">
            <v>C</v>
          </cell>
          <cell r="AZ110">
            <v>4</v>
          </cell>
          <cell r="BA110" t="str">
            <v>C</v>
          </cell>
          <cell r="BB110">
            <v>4</v>
          </cell>
          <cell r="BC110">
            <v>0</v>
          </cell>
          <cell r="BD110">
            <v>4</v>
          </cell>
          <cell r="BE110" t="str">
            <v>A</v>
          </cell>
          <cell r="BF110">
            <v>4</v>
          </cell>
          <cell r="BG110" t="str">
            <v>A</v>
          </cell>
          <cell r="BH110">
            <v>4</v>
          </cell>
          <cell r="BI110" t="str">
            <v>D</v>
          </cell>
          <cell r="BJ110">
            <v>2</v>
          </cell>
          <cell r="BK110" t="str">
            <v>A</v>
          </cell>
          <cell r="BL110">
            <v>4</v>
          </cell>
          <cell r="BM110" t="str">
            <v>A</v>
          </cell>
          <cell r="BN110">
            <v>4</v>
          </cell>
          <cell r="BO110" t="str">
            <v>A</v>
          </cell>
          <cell r="BP110">
            <v>4</v>
          </cell>
          <cell r="BQ110">
            <v>13</v>
          </cell>
          <cell r="BR110">
            <v>1</v>
          </cell>
          <cell r="BS110">
            <v>0</v>
          </cell>
          <cell r="BT110">
            <v>11</v>
          </cell>
          <cell r="BU110">
            <v>0</v>
          </cell>
          <cell r="BV110">
            <v>0</v>
          </cell>
          <cell r="BW110">
            <v>0</v>
          </cell>
          <cell r="BX110">
            <v>2</v>
          </cell>
          <cell r="BY110">
            <v>0</v>
          </cell>
          <cell r="BZ110">
            <v>27</v>
          </cell>
          <cell r="CA110">
            <v>108</v>
          </cell>
          <cell r="CB110">
            <v>16</v>
          </cell>
          <cell r="CC110">
            <v>0</v>
          </cell>
          <cell r="CD110">
            <v>0</v>
          </cell>
          <cell r="CE110">
            <v>2</v>
          </cell>
          <cell r="CF110">
            <v>0</v>
          </cell>
          <cell r="CG110">
            <v>2</v>
          </cell>
          <cell r="CH110">
            <v>32</v>
          </cell>
          <cell r="CI110">
            <v>70</v>
          </cell>
        </row>
        <row r="111">
          <cell r="A111" t="str">
            <v>A598</v>
          </cell>
          <cell r="B111" t="str">
            <v>Nguyễn Hải Âu</v>
          </cell>
          <cell r="C111" t="str">
            <v>CII.4</v>
          </cell>
          <cell r="D111">
            <v>0</v>
          </cell>
          <cell r="E111">
            <v>42103</v>
          </cell>
          <cell r="F111">
            <v>1</v>
          </cell>
          <cell r="G111" t="str">
            <v>HH</v>
          </cell>
          <cell r="H111">
            <v>0</v>
          </cell>
          <cell r="I111" t="str">
            <v>D</v>
          </cell>
          <cell r="J111">
            <v>0</v>
          </cell>
          <cell r="K111" t="str">
            <v>D</v>
          </cell>
          <cell r="L111">
            <v>0</v>
          </cell>
          <cell r="M111">
            <v>0</v>
          </cell>
          <cell r="N111">
            <v>0</v>
          </cell>
          <cell r="O111" t="str">
            <v>D</v>
          </cell>
          <cell r="P111">
            <v>0</v>
          </cell>
          <cell r="Q111" t="str">
            <v>D</v>
          </cell>
          <cell r="R111">
            <v>2</v>
          </cell>
          <cell r="S111" t="str">
            <v>D</v>
          </cell>
          <cell r="T111">
            <v>0</v>
          </cell>
          <cell r="U111" t="str">
            <v>D</v>
          </cell>
          <cell r="V111">
            <v>0</v>
          </cell>
          <cell r="W111" t="str">
            <v>D</v>
          </cell>
          <cell r="X111">
            <v>1</v>
          </cell>
          <cell r="Y111" t="str">
            <v>D</v>
          </cell>
          <cell r="Z111">
            <v>0</v>
          </cell>
          <cell r="AA111">
            <v>0</v>
          </cell>
          <cell r="AB111">
            <v>0</v>
          </cell>
          <cell r="AC111" t="str">
            <v>D</v>
          </cell>
          <cell r="AD111">
            <v>0</v>
          </cell>
          <cell r="AE111" t="str">
            <v>D</v>
          </cell>
          <cell r="AF111">
            <v>1.5</v>
          </cell>
          <cell r="AG111" t="str">
            <v>D</v>
          </cell>
          <cell r="AH111">
            <v>2</v>
          </cell>
          <cell r="AI111" t="str">
            <v>D</v>
          </cell>
          <cell r="AJ111">
            <v>2</v>
          </cell>
          <cell r="AK111" t="str">
            <v>NT7</v>
          </cell>
          <cell r="AL111">
            <v>0</v>
          </cell>
          <cell r="AM111" t="str">
            <v>NT7</v>
          </cell>
          <cell r="AN111">
            <v>0</v>
          </cell>
          <cell r="AO111">
            <v>0</v>
          </cell>
          <cell r="AP111">
            <v>0</v>
          </cell>
          <cell r="AQ111" t="str">
            <v>D</v>
          </cell>
          <cell r="AR111">
            <v>0</v>
          </cell>
          <cell r="AS111" t="str">
            <v>D</v>
          </cell>
          <cell r="AT111">
            <v>0</v>
          </cell>
          <cell r="AU111" t="str">
            <v>D</v>
          </cell>
          <cell r="AV111">
            <v>2</v>
          </cell>
          <cell r="AW111" t="str">
            <v>D</v>
          </cell>
          <cell r="AX111">
            <v>0</v>
          </cell>
          <cell r="AY111" t="str">
            <v>D</v>
          </cell>
          <cell r="AZ111">
            <v>0</v>
          </cell>
          <cell r="BA111" t="str">
            <v>D</v>
          </cell>
          <cell r="BB111">
            <v>0</v>
          </cell>
          <cell r="BC111">
            <v>0</v>
          </cell>
          <cell r="BD111">
            <v>0</v>
          </cell>
          <cell r="BE111" t="str">
            <v>D</v>
          </cell>
          <cell r="BF111">
            <v>0</v>
          </cell>
          <cell r="BG111" t="str">
            <v>HH</v>
          </cell>
          <cell r="BH111">
            <v>0</v>
          </cell>
          <cell r="BI111" t="str">
            <v>D</v>
          </cell>
          <cell r="BJ111">
            <v>0</v>
          </cell>
          <cell r="BK111" t="str">
            <v>D</v>
          </cell>
          <cell r="BL111">
            <v>0</v>
          </cell>
          <cell r="BM111" t="str">
            <v>D</v>
          </cell>
          <cell r="BN111">
            <v>0</v>
          </cell>
          <cell r="BO111" t="str">
            <v>D</v>
          </cell>
          <cell r="BP111">
            <v>0</v>
          </cell>
          <cell r="BQ111">
            <v>0</v>
          </cell>
          <cell r="BR111">
            <v>23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2</v>
          </cell>
          <cell r="BX111">
            <v>2</v>
          </cell>
          <cell r="BY111">
            <v>0</v>
          </cell>
          <cell r="BZ111">
            <v>27</v>
          </cell>
          <cell r="CA111">
            <v>10.5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2</v>
          </cell>
          <cell r="CH111">
            <v>0</v>
          </cell>
          <cell r="CI111">
            <v>150</v>
          </cell>
        </row>
        <row r="112">
          <cell r="A112" t="str">
            <v>A599</v>
          </cell>
          <cell r="B112" t="str">
            <v>Đỗ Thành Nhân</v>
          </cell>
          <cell r="C112" t="str">
            <v>KHUON</v>
          </cell>
          <cell r="D112">
            <v>0</v>
          </cell>
          <cell r="E112">
            <v>42114</v>
          </cell>
          <cell r="F112">
            <v>0.5</v>
          </cell>
          <cell r="G112" t="str">
            <v>D</v>
          </cell>
          <cell r="H112">
            <v>0</v>
          </cell>
          <cell r="I112" t="str">
            <v>D</v>
          </cell>
          <cell r="J112">
            <v>0</v>
          </cell>
          <cell r="K112" t="str">
            <v>D</v>
          </cell>
          <cell r="L112">
            <v>2</v>
          </cell>
          <cell r="M112">
            <v>0</v>
          </cell>
          <cell r="N112">
            <v>0</v>
          </cell>
          <cell r="O112" t="str">
            <v>D</v>
          </cell>
          <cell r="P112">
            <v>0</v>
          </cell>
          <cell r="Q112" t="str">
            <v>D</v>
          </cell>
          <cell r="R112">
            <v>0</v>
          </cell>
          <cell r="S112" t="str">
            <v>D</v>
          </cell>
          <cell r="T112">
            <v>0</v>
          </cell>
          <cell r="U112" t="str">
            <v>D</v>
          </cell>
          <cell r="V112">
            <v>0</v>
          </cell>
          <cell r="W112" t="str">
            <v>P5,D5</v>
          </cell>
          <cell r="X112">
            <v>0</v>
          </cell>
          <cell r="Y112" t="str">
            <v>NT7</v>
          </cell>
          <cell r="Z112">
            <v>0</v>
          </cell>
          <cell r="AA112">
            <v>0</v>
          </cell>
          <cell r="AB112">
            <v>0</v>
          </cell>
          <cell r="AC112" t="str">
            <v>D</v>
          </cell>
          <cell r="AD112">
            <v>0</v>
          </cell>
          <cell r="AE112" t="str">
            <v>D</v>
          </cell>
          <cell r="AF112">
            <v>0</v>
          </cell>
          <cell r="AG112" t="str">
            <v>D</v>
          </cell>
          <cell r="AH112">
            <v>0</v>
          </cell>
          <cell r="AI112" t="str">
            <v>D</v>
          </cell>
          <cell r="AJ112">
            <v>0</v>
          </cell>
          <cell r="AK112" t="str">
            <v>D</v>
          </cell>
          <cell r="AL112">
            <v>0</v>
          </cell>
          <cell r="AM112" t="str">
            <v>D</v>
          </cell>
          <cell r="AN112">
            <v>0</v>
          </cell>
          <cell r="AO112">
            <v>0</v>
          </cell>
          <cell r="AP112">
            <v>0</v>
          </cell>
          <cell r="AQ112" t="str">
            <v>D</v>
          </cell>
          <cell r="AR112">
            <v>0</v>
          </cell>
          <cell r="AS112" t="str">
            <v>D</v>
          </cell>
          <cell r="AT112">
            <v>0</v>
          </cell>
          <cell r="AU112" t="str">
            <v>D</v>
          </cell>
          <cell r="AV112">
            <v>1.5</v>
          </cell>
          <cell r="AW112" t="str">
            <v>D</v>
          </cell>
          <cell r="AX112">
            <v>0</v>
          </cell>
          <cell r="AY112" t="str">
            <v>D</v>
          </cell>
          <cell r="AZ112">
            <v>2</v>
          </cell>
          <cell r="BA112" t="str">
            <v>NT7</v>
          </cell>
          <cell r="BB112">
            <v>0</v>
          </cell>
          <cell r="BC112">
            <v>0</v>
          </cell>
          <cell r="BD112">
            <v>8.5</v>
          </cell>
          <cell r="BE112" t="str">
            <v>D</v>
          </cell>
          <cell r="BF112">
            <v>0.5</v>
          </cell>
          <cell r="BG112" t="str">
            <v>D</v>
          </cell>
          <cell r="BH112">
            <v>0</v>
          </cell>
          <cell r="BI112" t="str">
            <v>D</v>
          </cell>
          <cell r="BJ112">
            <v>0</v>
          </cell>
          <cell r="BK112" t="str">
            <v>D</v>
          </cell>
          <cell r="BL112">
            <v>0</v>
          </cell>
          <cell r="BM112" t="str">
            <v>D</v>
          </cell>
          <cell r="BN112">
            <v>0</v>
          </cell>
          <cell r="BO112" t="str">
            <v>D</v>
          </cell>
          <cell r="BP112">
            <v>0</v>
          </cell>
          <cell r="BQ112">
            <v>0</v>
          </cell>
          <cell r="BR112">
            <v>24.5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2</v>
          </cell>
          <cell r="BY112">
            <v>0.5</v>
          </cell>
          <cell r="BZ112">
            <v>27</v>
          </cell>
          <cell r="CA112">
            <v>6</v>
          </cell>
          <cell r="CB112">
            <v>8.5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1</v>
          </cell>
          <cell r="CH112">
            <v>0</v>
          </cell>
          <cell r="CI112">
            <v>150</v>
          </cell>
        </row>
        <row r="113">
          <cell r="A113" t="str">
            <v>A600</v>
          </cell>
          <cell r="B113" t="str">
            <v xml:space="preserve">Võ Minh Tuân </v>
          </cell>
          <cell r="C113" t="str">
            <v>KHUON</v>
          </cell>
          <cell r="D113">
            <v>0</v>
          </cell>
          <cell r="E113">
            <v>42116</v>
          </cell>
          <cell r="F113">
            <v>5</v>
          </cell>
          <cell r="G113" t="str">
            <v>A</v>
          </cell>
          <cell r="H113">
            <v>4.5</v>
          </cell>
          <cell r="I113" t="str">
            <v>A</v>
          </cell>
          <cell r="J113">
            <v>4.5</v>
          </cell>
          <cell r="K113" t="str">
            <v>D</v>
          </cell>
          <cell r="L113">
            <v>1</v>
          </cell>
          <cell r="M113">
            <v>0</v>
          </cell>
          <cell r="N113">
            <v>8</v>
          </cell>
          <cell r="O113" t="str">
            <v>A</v>
          </cell>
          <cell r="P113">
            <v>4.5</v>
          </cell>
          <cell r="Q113" t="str">
            <v>A</v>
          </cell>
          <cell r="R113">
            <v>4</v>
          </cell>
          <cell r="S113" t="str">
            <v>A</v>
          </cell>
          <cell r="T113">
            <v>6</v>
          </cell>
          <cell r="U113" t="str">
            <v>A</v>
          </cell>
          <cell r="V113">
            <v>6</v>
          </cell>
          <cell r="W113" t="str">
            <v>A</v>
          </cell>
          <cell r="X113">
            <v>4</v>
          </cell>
          <cell r="Y113" t="str">
            <v>A</v>
          </cell>
          <cell r="Z113">
            <v>4</v>
          </cell>
          <cell r="AA113">
            <v>0</v>
          </cell>
          <cell r="AB113">
            <v>0</v>
          </cell>
          <cell r="AC113" t="str">
            <v>A</v>
          </cell>
          <cell r="AD113">
            <v>4</v>
          </cell>
          <cell r="AE113" t="str">
            <v>A</v>
          </cell>
          <cell r="AF113">
            <v>5.5</v>
          </cell>
          <cell r="AG113" t="str">
            <v>D</v>
          </cell>
          <cell r="AH113">
            <v>0</v>
          </cell>
          <cell r="AI113" t="str">
            <v>A</v>
          </cell>
          <cell r="AJ113">
            <v>6.5</v>
          </cell>
          <cell r="AK113" t="str">
            <v>A</v>
          </cell>
          <cell r="AL113">
            <v>4.5</v>
          </cell>
          <cell r="AM113" t="str">
            <v>D</v>
          </cell>
          <cell r="AN113">
            <v>0</v>
          </cell>
          <cell r="AO113">
            <v>0</v>
          </cell>
          <cell r="AP113">
            <v>8</v>
          </cell>
          <cell r="AQ113" t="str">
            <v>A</v>
          </cell>
          <cell r="AR113">
            <v>4.5</v>
          </cell>
          <cell r="AS113" t="str">
            <v>A</v>
          </cell>
          <cell r="AT113">
            <v>5</v>
          </cell>
          <cell r="AU113" t="str">
            <v>A</v>
          </cell>
          <cell r="AV113">
            <v>4.5</v>
          </cell>
          <cell r="AW113" t="str">
            <v>D</v>
          </cell>
          <cell r="AX113">
            <v>0</v>
          </cell>
          <cell r="AY113" t="str">
            <v>A</v>
          </cell>
          <cell r="AZ113">
            <v>4.5</v>
          </cell>
          <cell r="BA113" t="str">
            <v>D</v>
          </cell>
          <cell r="BB113">
            <v>0</v>
          </cell>
          <cell r="BC113">
            <v>0</v>
          </cell>
          <cell r="BD113">
            <v>0</v>
          </cell>
          <cell r="BE113" t="str">
            <v>A</v>
          </cell>
          <cell r="BF113">
            <v>4.5</v>
          </cell>
          <cell r="BG113" t="str">
            <v>A</v>
          </cell>
          <cell r="BH113">
            <v>4</v>
          </cell>
          <cell r="BI113" t="str">
            <v>D</v>
          </cell>
          <cell r="BJ113">
            <v>0</v>
          </cell>
          <cell r="BK113" t="str">
            <v>A</v>
          </cell>
          <cell r="BL113">
            <v>4.5</v>
          </cell>
          <cell r="BM113" t="str">
            <v>A</v>
          </cell>
          <cell r="BN113">
            <v>4.5</v>
          </cell>
          <cell r="BO113" t="str">
            <v>D</v>
          </cell>
          <cell r="BP113">
            <v>0.5</v>
          </cell>
          <cell r="BQ113">
            <v>20</v>
          </cell>
          <cell r="BR113">
            <v>7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27</v>
          </cell>
          <cell r="CA113">
            <v>95.5</v>
          </cell>
          <cell r="CB113">
            <v>16</v>
          </cell>
          <cell r="CC113">
            <v>0</v>
          </cell>
          <cell r="CD113">
            <v>2</v>
          </cell>
          <cell r="CE113">
            <v>0</v>
          </cell>
          <cell r="CF113">
            <v>300</v>
          </cell>
          <cell r="CG113">
            <v>6</v>
          </cell>
          <cell r="CH113">
            <v>0</v>
          </cell>
          <cell r="CI113">
            <v>150</v>
          </cell>
        </row>
        <row r="114">
          <cell r="A114" t="str">
            <v>A601</v>
          </cell>
          <cell r="B114" t="str">
            <v>Đào Nhã Tâm</v>
          </cell>
          <cell r="C114" t="str">
            <v>Gián tiếp</v>
          </cell>
          <cell r="D114">
            <v>0</v>
          </cell>
          <cell r="E114">
            <v>42128</v>
          </cell>
          <cell r="F114">
            <v>0</v>
          </cell>
          <cell r="G114" t="str">
            <v>D</v>
          </cell>
          <cell r="H114">
            <v>0</v>
          </cell>
          <cell r="I114" t="str">
            <v>D</v>
          </cell>
          <cell r="J114">
            <v>0</v>
          </cell>
          <cell r="K114" t="str">
            <v>NT7</v>
          </cell>
          <cell r="L114">
            <v>0</v>
          </cell>
          <cell r="M114">
            <v>0</v>
          </cell>
          <cell r="N114">
            <v>0</v>
          </cell>
          <cell r="O114" t="str">
            <v>D</v>
          </cell>
          <cell r="P114">
            <v>0</v>
          </cell>
          <cell r="Q114" t="str">
            <v>D</v>
          </cell>
          <cell r="R114">
            <v>0</v>
          </cell>
          <cell r="S114" t="str">
            <v>D</v>
          </cell>
          <cell r="T114">
            <v>0</v>
          </cell>
          <cell r="U114" t="str">
            <v>D</v>
          </cell>
          <cell r="V114">
            <v>0</v>
          </cell>
          <cell r="W114" t="str">
            <v>D</v>
          </cell>
          <cell r="X114">
            <v>0</v>
          </cell>
          <cell r="Y114" t="str">
            <v>R0</v>
          </cell>
          <cell r="Z114">
            <v>0</v>
          </cell>
          <cell r="AA114">
            <v>0</v>
          </cell>
          <cell r="AB114">
            <v>0</v>
          </cell>
          <cell r="AC114" t="str">
            <v>D</v>
          </cell>
          <cell r="AD114">
            <v>0</v>
          </cell>
          <cell r="AE114" t="str">
            <v>D</v>
          </cell>
          <cell r="AF114">
            <v>0</v>
          </cell>
          <cell r="AG114" t="str">
            <v>D</v>
          </cell>
          <cell r="AH114">
            <v>0</v>
          </cell>
          <cell r="AI114" t="str">
            <v>D</v>
          </cell>
          <cell r="AJ114">
            <v>0</v>
          </cell>
          <cell r="AK114" t="str">
            <v>D</v>
          </cell>
          <cell r="AL114">
            <v>0</v>
          </cell>
          <cell r="AM114" t="str">
            <v>NT7</v>
          </cell>
          <cell r="AN114">
            <v>0</v>
          </cell>
          <cell r="AO114">
            <v>0</v>
          </cell>
          <cell r="AP114">
            <v>0</v>
          </cell>
          <cell r="AQ114" t="str">
            <v>D</v>
          </cell>
          <cell r="AR114">
            <v>0</v>
          </cell>
          <cell r="AS114" t="str">
            <v>D</v>
          </cell>
          <cell r="AT114">
            <v>0</v>
          </cell>
          <cell r="AU114" t="str">
            <v>D</v>
          </cell>
          <cell r="AV114">
            <v>0</v>
          </cell>
          <cell r="AW114" t="str">
            <v>D</v>
          </cell>
          <cell r="AX114">
            <v>0</v>
          </cell>
          <cell r="AY114" t="str">
            <v>D</v>
          </cell>
          <cell r="AZ114">
            <v>0</v>
          </cell>
          <cell r="BA114" t="str">
            <v>R0</v>
          </cell>
          <cell r="BB114">
            <v>0</v>
          </cell>
          <cell r="BC114">
            <v>0</v>
          </cell>
          <cell r="BD114">
            <v>0</v>
          </cell>
          <cell r="BE114" t="str">
            <v>D</v>
          </cell>
          <cell r="BF114">
            <v>0</v>
          </cell>
          <cell r="BG114" t="str">
            <v>D</v>
          </cell>
          <cell r="BH114">
            <v>0</v>
          </cell>
          <cell r="BI114" t="str">
            <v>D</v>
          </cell>
          <cell r="BJ114">
            <v>0</v>
          </cell>
          <cell r="BK114" t="str">
            <v>D</v>
          </cell>
          <cell r="BL114">
            <v>0</v>
          </cell>
          <cell r="BM114" t="str">
            <v>D</v>
          </cell>
          <cell r="BN114">
            <v>0</v>
          </cell>
          <cell r="BO114" t="str">
            <v>P</v>
          </cell>
          <cell r="BP114">
            <v>0</v>
          </cell>
          <cell r="BQ114">
            <v>0</v>
          </cell>
          <cell r="BR114">
            <v>22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2</v>
          </cell>
          <cell r="BY114">
            <v>1</v>
          </cell>
          <cell r="BZ114">
            <v>25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</row>
        <row r="115">
          <cell r="A115" t="str">
            <v>A604</v>
          </cell>
          <cell r="B115" t="str">
            <v>Lê Thanh Tòng</v>
          </cell>
          <cell r="C115" t="str">
            <v>TXBVTV</v>
          </cell>
          <cell r="D115">
            <v>0</v>
          </cell>
          <cell r="E115">
            <v>42147</v>
          </cell>
          <cell r="F115">
            <v>3.5</v>
          </cell>
          <cell r="G115" t="str">
            <v>D</v>
          </cell>
          <cell r="H115">
            <v>0</v>
          </cell>
          <cell r="I115" t="str">
            <v>D</v>
          </cell>
          <cell r="J115">
            <v>0</v>
          </cell>
          <cell r="K115" t="str">
            <v>D</v>
          </cell>
          <cell r="L115">
            <v>0</v>
          </cell>
          <cell r="M115" t="str">
            <v>D</v>
          </cell>
          <cell r="N115">
            <v>0</v>
          </cell>
          <cell r="O115" t="str">
            <v>D</v>
          </cell>
          <cell r="P115">
            <v>0</v>
          </cell>
          <cell r="Q115" t="str">
            <v>D</v>
          </cell>
          <cell r="R115">
            <v>0</v>
          </cell>
          <cell r="S115" t="str">
            <v>D</v>
          </cell>
          <cell r="T115">
            <v>0</v>
          </cell>
          <cell r="U115" t="str">
            <v>D</v>
          </cell>
          <cell r="V115">
            <v>0</v>
          </cell>
          <cell r="W115" t="str">
            <v>D</v>
          </cell>
          <cell r="X115">
            <v>0</v>
          </cell>
          <cell r="Y115" t="str">
            <v>D</v>
          </cell>
          <cell r="Z115">
            <v>0</v>
          </cell>
          <cell r="AA115" t="str">
            <v>D</v>
          </cell>
          <cell r="AB115">
            <v>0</v>
          </cell>
          <cell r="AC115" t="str">
            <v>D</v>
          </cell>
          <cell r="AD115">
            <v>0</v>
          </cell>
          <cell r="AE115" t="str">
            <v>D</v>
          </cell>
          <cell r="AF115">
            <v>0</v>
          </cell>
          <cell r="AG115" t="str">
            <v>D</v>
          </cell>
          <cell r="AH115">
            <v>0</v>
          </cell>
          <cell r="AI115" t="str">
            <v>D</v>
          </cell>
          <cell r="AJ115">
            <v>0</v>
          </cell>
          <cell r="AK115" t="str">
            <v>D</v>
          </cell>
          <cell r="AL115">
            <v>0</v>
          </cell>
          <cell r="AM115" t="str">
            <v>D</v>
          </cell>
          <cell r="AN115">
            <v>0</v>
          </cell>
          <cell r="AO115" t="str">
            <v>D</v>
          </cell>
          <cell r="AP115">
            <v>0</v>
          </cell>
          <cell r="AQ115" t="str">
            <v>P</v>
          </cell>
          <cell r="AR115">
            <v>0</v>
          </cell>
          <cell r="AS115" t="str">
            <v>D</v>
          </cell>
          <cell r="AT115">
            <v>0</v>
          </cell>
          <cell r="AU115" t="str">
            <v>D</v>
          </cell>
          <cell r="AV115">
            <v>0</v>
          </cell>
          <cell r="AW115" t="str">
            <v>D</v>
          </cell>
          <cell r="AX115">
            <v>0</v>
          </cell>
          <cell r="AY115" t="str">
            <v>D</v>
          </cell>
          <cell r="AZ115">
            <v>0</v>
          </cell>
          <cell r="BA115" t="str">
            <v>D</v>
          </cell>
          <cell r="BB115">
            <v>0</v>
          </cell>
          <cell r="BC115" t="str">
            <v>D</v>
          </cell>
          <cell r="BD115">
            <v>0</v>
          </cell>
          <cell r="BE115" t="str">
            <v>D</v>
          </cell>
          <cell r="BF115">
            <v>0</v>
          </cell>
          <cell r="BG115" t="str">
            <v>D</v>
          </cell>
          <cell r="BH115">
            <v>0</v>
          </cell>
          <cell r="BI115" t="str">
            <v>D</v>
          </cell>
          <cell r="BJ115">
            <v>0</v>
          </cell>
          <cell r="BK115" t="str">
            <v>D</v>
          </cell>
          <cell r="BL115">
            <v>0</v>
          </cell>
          <cell r="BM115" t="str">
            <v>D</v>
          </cell>
          <cell r="BN115">
            <v>0</v>
          </cell>
          <cell r="BO115" t="str">
            <v>D</v>
          </cell>
          <cell r="BP115">
            <v>0</v>
          </cell>
          <cell r="BQ115">
            <v>0</v>
          </cell>
          <cell r="BR115">
            <v>30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1</v>
          </cell>
          <cell r="BZ115">
            <v>31</v>
          </cell>
          <cell r="CA115">
            <v>0</v>
          </cell>
          <cell r="CB115">
            <v>0</v>
          </cell>
          <cell r="CC115">
            <v>0</v>
          </cell>
          <cell r="CD115">
            <v>2</v>
          </cell>
          <cell r="CE115">
            <v>28</v>
          </cell>
          <cell r="CF115">
            <v>0</v>
          </cell>
          <cell r="CG115">
            <v>3.5</v>
          </cell>
          <cell r="CH115">
            <v>448</v>
          </cell>
          <cell r="CI115">
            <v>0</v>
          </cell>
        </row>
        <row r="116">
          <cell r="A116" t="str">
            <v>A605</v>
          </cell>
          <cell r="B116" t="str">
            <v>Cao Trần Thanh Hòa</v>
          </cell>
          <cell r="C116" t="str">
            <v>Gián tiếp</v>
          </cell>
          <cell r="D116">
            <v>0</v>
          </cell>
          <cell r="E116">
            <v>42147</v>
          </cell>
          <cell r="F116">
            <v>2.5</v>
          </cell>
          <cell r="G116" t="str">
            <v>D</v>
          </cell>
          <cell r="H116">
            <v>0</v>
          </cell>
          <cell r="I116" t="str">
            <v>D</v>
          </cell>
          <cell r="J116">
            <v>0</v>
          </cell>
          <cell r="K116" t="str">
            <v>D</v>
          </cell>
          <cell r="L116">
            <v>0</v>
          </cell>
          <cell r="M116">
            <v>0</v>
          </cell>
          <cell r="N116">
            <v>0</v>
          </cell>
          <cell r="O116" t="str">
            <v>D</v>
          </cell>
          <cell r="P116">
            <v>0</v>
          </cell>
          <cell r="Q116" t="str">
            <v>D</v>
          </cell>
          <cell r="R116">
            <v>0</v>
          </cell>
          <cell r="S116" t="str">
            <v>D</v>
          </cell>
          <cell r="T116">
            <v>0</v>
          </cell>
          <cell r="U116" t="str">
            <v>D</v>
          </cell>
          <cell r="V116">
            <v>0</v>
          </cell>
          <cell r="W116" t="str">
            <v>D</v>
          </cell>
          <cell r="X116">
            <v>0</v>
          </cell>
          <cell r="Y116" t="str">
            <v>NT7</v>
          </cell>
          <cell r="Z116">
            <v>0</v>
          </cell>
          <cell r="AA116">
            <v>0</v>
          </cell>
          <cell r="AB116">
            <v>0</v>
          </cell>
          <cell r="AC116" t="str">
            <v>D</v>
          </cell>
          <cell r="AD116">
            <v>0</v>
          </cell>
          <cell r="AE116" t="str">
            <v>D</v>
          </cell>
          <cell r="AF116">
            <v>0</v>
          </cell>
          <cell r="AG116" t="str">
            <v>D</v>
          </cell>
          <cell r="AH116">
            <v>0</v>
          </cell>
          <cell r="AI116" t="str">
            <v>D</v>
          </cell>
          <cell r="AJ116">
            <v>0</v>
          </cell>
          <cell r="AK116" t="str">
            <v>D</v>
          </cell>
          <cell r="AL116">
            <v>0</v>
          </cell>
          <cell r="AM116" t="str">
            <v>D</v>
          </cell>
          <cell r="AN116">
            <v>0</v>
          </cell>
          <cell r="AO116">
            <v>0</v>
          </cell>
          <cell r="AP116">
            <v>0</v>
          </cell>
          <cell r="AQ116" t="str">
            <v>D</v>
          </cell>
          <cell r="AR116">
            <v>0</v>
          </cell>
          <cell r="AS116" t="str">
            <v>D</v>
          </cell>
          <cell r="AT116">
            <v>0</v>
          </cell>
          <cell r="AU116" t="str">
            <v>D</v>
          </cell>
          <cell r="AV116">
            <v>0</v>
          </cell>
          <cell r="AW116" t="str">
            <v>D</v>
          </cell>
          <cell r="AX116">
            <v>0</v>
          </cell>
          <cell r="AY116" t="str">
            <v>D</v>
          </cell>
          <cell r="AZ116">
            <v>0</v>
          </cell>
          <cell r="BA116" t="str">
            <v>NT7</v>
          </cell>
          <cell r="BB116">
            <v>0</v>
          </cell>
          <cell r="BC116">
            <v>0</v>
          </cell>
          <cell r="BD116">
            <v>0</v>
          </cell>
          <cell r="BE116" t="str">
            <v>D</v>
          </cell>
          <cell r="BF116">
            <v>0</v>
          </cell>
          <cell r="BG116" t="str">
            <v>D</v>
          </cell>
          <cell r="BH116">
            <v>0</v>
          </cell>
          <cell r="BI116" t="str">
            <v>D</v>
          </cell>
          <cell r="BJ116">
            <v>0</v>
          </cell>
          <cell r="BK116" t="str">
            <v>D</v>
          </cell>
          <cell r="BL116">
            <v>0</v>
          </cell>
          <cell r="BM116" t="str">
            <v>D</v>
          </cell>
          <cell r="BN116">
            <v>0</v>
          </cell>
          <cell r="BO116" t="str">
            <v>D</v>
          </cell>
          <cell r="BP116">
            <v>0</v>
          </cell>
          <cell r="BQ116">
            <v>0</v>
          </cell>
          <cell r="BR116">
            <v>25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2</v>
          </cell>
          <cell r="BY116">
            <v>0</v>
          </cell>
          <cell r="BZ116">
            <v>27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3.5</v>
          </cell>
          <cell r="CH116">
            <v>0</v>
          </cell>
          <cell r="CI116">
            <v>150</v>
          </cell>
        </row>
        <row r="117">
          <cell r="A117" t="str">
            <v>A610</v>
          </cell>
          <cell r="B117" t="str">
            <v xml:space="preserve">Nguyễn Hồng Thành Tài </v>
          </cell>
          <cell r="C117" t="str">
            <v>CI.1</v>
          </cell>
          <cell r="D117">
            <v>0</v>
          </cell>
          <cell r="E117">
            <v>42161</v>
          </cell>
          <cell r="F117">
            <v>0</v>
          </cell>
          <cell r="G117" t="str">
            <v>C</v>
          </cell>
          <cell r="H117">
            <v>4</v>
          </cell>
          <cell r="I117" t="str">
            <v>C</v>
          </cell>
          <cell r="J117">
            <v>4</v>
          </cell>
          <cell r="K117" t="str">
            <v>C</v>
          </cell>
          <cell r="L117">
            <v>4</v>
          </cell>
          <cell r="M117">
            <v>0</v>
          </cell>
          <cell r="N117">
            <v>12</v>
          </cell>
          <cell r="O117" t="str">
            <v>C</v>
          </cell>
          <cell r="P117">
            <v>4</v>
          </cell>
          <cell r="Q117" t="str">
            <v>P</v>
          </cell>
          <cell r="R117">
            <v>0</v>
          </cell>
          <cell r="S117" t="str">
            <v>C</v>
          </cell>
          <cell r="T117">
            <v>4</v>
          </cell>
          <cell r="U117" t="str">
            <v>C</v>
          </cell>
          <cell r="V117">
            <v>4</v>
          </cell>
          <cell r="W117" t="str">
            <v>C</v>
          </cell>
          <cell r="X117">
            <v>4</v>
          </cell>
          <cell r="Y117" t="str">
            <v>C</v>
          </cell>
          <cell r="Z117">
            <v>4</v>
          </cell>
          <cell r="AA117">
            <v>0</v>
          </cell>
          <cell r="AB117">
            <v>0</v>
          </cell>
          <cell r="AC117" t="str">
            <v>NT7</v>
          </cell>
          <cell r="AD117">
            <v>0</v>
          </cell>
          <cell r="AE117" t="str">
            <v>A</v>
          </cell>
          <cell r="AF117">
            <v>4</v>
          </cell>
          <cell r="AG117" t="str">
            <v>A</v>
          </cell>
          <cell r="AH117">
            <v>4</v>
          </cell>
          <cell r="AI117" t="str">
            <v>D</v>
          </cell>
          <cell r="AJ117">
            <v>3</v>
          </cell>
          <cell r="AK117" t="str">
            <v>A</v>
          </cell>
          <cell r="AL117">
            <v>4</v>
          </cell>
          <cell r="AM117" t="str">
            <v>A</v>
          </cell>
          <cell r="AN117">
            <v>4</v>
          </cell>
          <cell r="AO117">
            <v>0</v>
          </cell>
          <cell r="AP117">
            <v>0</v>
          </cell>
          <cell r="AQ117" t="str">
            <v>HH</v>
          </cell>
          <cell r="AR117">
            <v>0</v>
          </cell>
          <cell r="AS117" t="str">
            <v>C</v>
          </cell>
          <cell r="AT117">
            <v>4</v>
          </cell>
          <cell r="AU117" t="str">
            <v>C</v>
          </cell>
          <cell r="AV117">
            <v>4</v>
          </cell>
          <cell r="AW117" t="str">
            <v>C</v>
          </cell>
          <cell r="AX117">
            <v>4</v>
          </cell>
          <cell r="AY117" t="str">
            <v>NT7</v>
          </cell>
          <cell r="AZ117">
            <v>0</v>
          </cell>
          <cell r="BA117" t="str">
            <v>C</v>
          </cell>
          <cell r="BB117">
            <v>4</v>
          </cell>
          <cell r="BC117">
            <v>0</v>
          </cell>
          <cell r="BD117">
            <v>8</v>
          </cell>
          <cell r="BE117" t="str">
            <v>A</v>
          </cell>
          <cell r="BF117">
            <v>4</v>
          </cell>
          <cell r="BG117" t="str">
            <v>A</v>
          </cell>
          <cell r="BH117">
            <v>4</v>
          </cell>
          <cell r="BI117" t="str">
            <v>A</v>
          </cell>
          <cell r="BJ117">
            <v>4</v>
          </cell>
          <cell r="BK117" t="str">
            <v>D</v>
          </cell>
          <cell r="BL117">
            <v>2</v>
          </cell>
          <cell r="BM117" t="str">
            <v>A</v>
          </cell>
          <cell r="BN117">
            <v>4</v>
          </cell>
          <cell r="BO117" t="str">
            <v>D</v>
          </cell>
          <cell r="BP117">
            <v>0</v>
          </cell>
          <cell r="BQ117">
            <v>8</v>
          </cell>
          <cell r="BR117">
            <v>3</v>
          </cell>
          <cell r="BS117">
            <v>0</v>
          </cell>
          <cell r="BT117">
            <v>12</v>
          </cell>
          <cell r="BU117">
            <v>0</v>
          </cell>
          <cell r="BV117">
            <v>0</v>
          </cell>
          <cell r="BW117">
            <v>1</v>
          </cell>
          <cell r="BX117">
            <v>2</v>
          </cell>
          <cell r="BY117">
            <v>1</v>
          </cell>
          <cell r="BZ117">
            <v>27</v>
          </cell>
          <cell r="CA117">
            <v>85</v>
          </cell>
          <cell r="CB117">
            <v>20</v>
          </cell>
          <cell r="CC117">
            <v>0</v>
          </cell>
          <cell r="CD117">
            <v>0</v>
          </cell>
          <cell r="CE117">
            <v>3</v>
          </cell>
          <cell r="CF117">
            <v>0</v>
          </cell>
          <cell r="CG117">
            <v>0</v>
          </cell>
          <cell r="CH117">
            <v>48</v>
          </cell>
          <cell r="CI117">
            <v>70</v>
          </cell>
        </row>
        <row r="118">
          <cell r="A118" t="str">
            <v>A612</v>
          </cell>
          <cell r="B118" t="str">
            <v>Trần Văn Minh</v>
          </cell>
          <cell r="C118" t="str">
            <v>TXBVTV</v>
          </cell>
          <cell r="D118">
            <v>0</v>
          </cell>
          <cell r="E118">
            <v>42192</v>
          </cell>
          <cell r="F118">
            <v>6</v>
          </cell>
          <cell r="G118" t="str">
            <v>D</v>
          </cell>
          <cell r="H118">
            <v>0</v>
          </cell>
          <cell r="I118" t="str">
            <v>D</v>
          </cell>
          <cell r="J118">
            <v>0</v>
          </cell>
          <cell r="K118" t="str">
            <v>D</v>
          </cell>
          <cell r="L118">
            <v>0</v>
          </cell>
          <cell r="M118" t="str">
            <v>D</v>
          </cell>
          <cell r="N118">
            <v>0</v>
          </cell>
          <cell r="O118" t="str">
            <v>D</v>
          </cell>
          <cell r="P118">
            <v>0</v>
          </cell>
          <cell r="Q118" t="str">
            <v>D</v>
          </cell>
          <cell r="R118">
            <v>0</v>
          </cell>
          <cell r="S118" t="str">
            <v>D</v>
          </cell>
          <cell r="T118">
            <v>0</v>
          </cell>
          <cell r="U118" t="str">
            <v>D</v>
          </cell>
          <cell r="V118">
            <v>0</v>
          </cell>
          <cell r="W118" t="str">
            <v>D</v>
          </cell>
          <cell r="X118">
            <v>0</v>
          </cell>
          <cell r="Y118" t="str">
            <v>D</v>
          </cell>
          <cell r="Z118">
            <v>0</v>
          </cell>
          <cell r="AA118" t="str">
            <v>D</v>
          </cell>
          <cell r="AB118">
            <v>0</v>
          </cell>
          <cell r="AC118" t="str">
            <v>D</v>
          </cell>
          <cell r="AD118">
            <v>0</v>
          </cell>
          <cell r="AE118" t="str">
            <v>D</v>
          </cell>
          <cell r="AF118">
            <v>0</v>
          </cell>
          <cell r="AG118" t="str">
            <v>D</v>
          </cell>
          <cell r="AH118">
            <v>0</v>
          </cell>
          <cell r="AI118" t="str">
            <v>D</v>
          </cell>
          <cell r="AJ118">
            <v>0</v>
          </cell>
          <cell r="AK118" t="str">
            <v>D</v>
          </cell>
          <cell r="AL118">
            <v>0</v>
          </cell>
          <cell r="AM118" t="str">
            <v>D</v>
          </cell>
          <cell r="AN118">
            <v>0</v>
          </cell>
          <cell r="AO118" t="str">
            <v>D</v>
          </cell>
          <cell r="AP118">
            <v>0</v>
          </cell>
          <cell r="AQ118" t="str">
            <v>D</v>
          </cell>
          <cell r="AR118">
            <v>12</v>
          </cell>
          <cell r="AS118" t="str">
            <v>D</v>
          </cell>
          <cell r="AT118">
            <v>0</v>
          </cell>
          <cell r="AU118" t="str">
            <v>D</v>
          </cell>
          <cell r="AV118">
            <v>0</v>
          </cell>
          <cell r="AW118" t="str">
            <v>D</v>
          </cell>
          <cell r="AX118">
            <v>0</v>
          </cell>
          <cell r="AY118" t="str">
            <v>D</v>
          </cell>
          <cell r="AZ118">
            <v>0</v>
          </cell>
          <cell r="BA118" t="str">
            <v>D</v>
          </cell>
          <cell r="BB118">
            <v>0</v>
          </cell>
          <cell r="BC118" t="str">
            <v>D</v>
          </cell>
          <cell r="BD118">
            <v>0</v>
          </cell>
          <cell r="BE118" t="str">
            <v>D</v>
          </cell>
          <cell r="BF118">
            <v>0</v>
          </cell>
          <cell r="BG118" t="str">
            <v>D</v>
          </cell>
          <cell r="BH118">
            <v>0</v>
          </cell>
          <cell r="BI118" t="str">
            <v>D</v>
          </cell>
          <cell r="BJ118">
            <v>0</v>
          </cell>
          <cell r="BK118" t="str">
            <v>D</v>
          </cell>
          <cell r="BL118">
            <v>0</v>
          </cell>
          <cell r="BM118" t="str">
            <v>D</v>
          </cell>
          <cell r="BN118">
            <v>0</v>
          </cell>
          <cell r="BO118" t="str">
            <v>D</v>
          </cell>
          <cell r="BP118">
            <v>0</v>
          </cell>
          <cell r="BQ118">
            <v>0</v>
          </cell>
          <cell r="BR118">
            <v>31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31</v>
          </cell>
          <cell r="CA118">
            <v>12</v>
          </cell>
          <cell r="CB118">
            <v>0</v>
          </cell>
          <cell r="CC118">
            <v>0</v>
          </cell>
          <cell r="CD118">
            <v>2</v>
          </cell>
          <cell r="CE118">
            <v>21</v>
          </cell>
          <cell r="CF118">
            <v>0</v>
          </cell>
          <cell r="CG118">
            <v>7</v>
          </cell>
          <cell r="CH118">
            <v>336</v>
          </cell>
          <cell r="CI118">
            <v>0</v>
          </cell>
        </row>
        <row r="119">
          <cell r="A119" t="str">
            <v>A613</v>
          </cell>
          <cell r="B119" t="str">
            <v>Mai Thị Tuyết Nhung</v>
          </cell>
          <cell r="C119" t="str">
            <v>Gián tiếp</v>
          </cell>
          <cell r="D119">
            <v>0</v>
          </cell>
          <cell r="E119">
            <v>42194</v>
          </cell>
          <cell r="F119">
            <v>1</v>
          </cell>
          <cell r="G119" t="str">
            <v>D</v>
          </cell>
          <cell r="H119">
            <v>0</v>
          </cell>
          <cell r="I119" t="str">
            <v>D</v>
          </cell>
          <cell r="J119">
            <v>0</v>
          </cell>
          <cell r="K119" t="str">
            <v>D</v>
          </cell>
          <cell r="L119">
            <v>0</v>
          </cell>
          <cell r="M119">
            <v>0</v>
          </cell>
          <cell r="N119">
            <v>0</v>
          </cell>
          <cell r="O119" t="str">
            <v>D</v>
          </cell>
          <cell r="P119">
            <v>0</v>
          </cell>
          <cell r="Q119" t="str">
            <v>D</v>
          </cell>
          <cell r="R119">
            <v>0</v>
          </cell>
          <cell r="S119" t="str">
            <v>D</v>
          </cell>
          <cell r="T119">
            <v>0</v>
          </cell>
          <cell r="U119" t="str">
            <v>D</v>
          </cell>
          <cell r="V119">
            <v>0</v>
          </cell>
          <cell r="W119" t="str">
            <v>D</v>
          </cell>
          <cell r="X119">
            <v>0</v>
          </cell>
          <cell r="Y119" t="str">
            <v>D</v>
          </cell>
          <cell r="Z119">
            <v>0</v>
          </cell>
          <cell r="AA119">
            <v>0</v>
          </cell>
          <cell r="AB119">
            <v>0</v>
          </cell>
          <cell r="AC119" t="str">
            <v>D</v>
          </cell>
          <cell r="AD119">
            <v>0</v>
          </cell>
          <cell r="AE119" t="str">
            <v>D</v>
          </cell>
          <cell r="AF119">
            <v>0</v>
          </cell>
          <cell r="AG119" t="str">
            <v>D</v>
          </cell>
          <cell r="AH119">
            <v>0</v>
          </cell>
          <cell r="AI119" t="str">
            <v>D</v>
          </cell>
          <cell r="AJ119">
            <v>0</v>
          </cell>
          <cell r="AK119" t="str">
            <v>D</v>
          </cell>
          <cell r="AL119">
            <v>0</v>
          </cell>
          <cell r="AM119" t="str">
            <v>D</v>
          </cell>
          <cell r="AN119">
            <v>0</v>
          </cell>
          <cell r="AO119">
            <v>0</v>
          </cell>
          <cell r="AP119">
            <v>0</v>
          </cell>
          <cell r="AQ119" t="str">
            <v>D</v>
          </cell>
          <cell r="AR119">
            <v>0</v>
          </cell>
          <cell r="AS119" t="str">
            <v>D</v>
          </cell>
          <cell r="AT119">
            <v>0</v>
          </cell>
          <cell r="AU119" t="str">
            <v>D</v>
          </cell>
          <cell r="AV119">
            <v>0</v>
          </cell>
          <cell r="AW119" t="str">
            <v>NT7</v>
          </cell>
          <cell r="AX119">
            <v>0</v>
          </cell>
          <cell r="AY119" t="str">
            <v>D</v>
          </cell>
          <cell r="AZ119">
            <v>0</v>
          </cell>
          <cell r="BA119" t="str">
            <v>NT7</v>
          </cell>
          <cell r="BB119">
            <v>0</v>
          </cell>
          <cell r="BC119">
            <v>0</v>
          </cell>
          <cell r="BD119">
            <v>0</v>
          </cell>
          <cell r="BE119" t="str">
            <v>D</v>
          </cell>
          <cell r="BF119">
            <v>0</v>
          </cell>
          <cell r="BG119" t="str">
            <v>D</v>
          </cell>
          <cell r="BH119">
            <v>0</v>
          </cell>
          <cell r="BI119" t="str">
            <v>D</v>
          </cell>
          <cell r="BJ119">
            <v>0</v>
          </cell>
          <cell r="BK119" t="str">
            <v>D</v>
          </cell>
          <cell r="BL119">
            <v>0</v>
          </cell>
          <cell r="BM119" t="str">
            <v>D</v>
          </cell>
          <cell r="BN119">
            <v>0</v>
          </cell>
          <cell r="BO119" t="str">
            <v>D</v>
          </cell>
          <cell r="BP119">
            <v>0</v>
          </cell>
          <cell r="BQ119">
            <v>0</v>
          </cell>
          <cell r="BR119">
            <v>25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2</v>
          </cell>
          <cell r="BY119">
            <v>0</v>
          </cell>
          <cell r="BZ119">
            <v>27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2</v>
          </cell>
          <cell r="CH119">
            <v>0</v>
          </cell>
          <cell r="CI119">
            <v>0</v>
          </cell>
        </row>
        <row r="120">
          <cell r="A120" t="str">
            <v>A617</v>
          </cell>
          <cell r="B120" t="str">
            <v>Dương Văn Kiệm</v>
          </cell>
          <cell r="C120" t="str">
            <v>CII.3</v>
          </cell>
          <cell r="D120">
            <v>0</v>
          </cell>
          <cell r="E120">
            <v>42212</v>
          </cell>
          <cell r="F120">
            <v>3</v>
          </cell>
          <cell r="G120" t="str">
            <v>A</v>
          </cell>
          <cell r="H120">
            <v>4</v>
          </cell>
          <cell r="I120" t="str">
            <v>A</v>
          </cell>
          <cell r="J120">
            <v>4</v>
          </cell>
          <cell r="K120" t="str">
            <v>A</v>
          </cell>
          <cell r="L120">
            <v>4</v>
          </cell>
          <cell r="M120">
            <v>0</v>
          </cell>
          <cell r="N120">
            <v>12</v>
          </cell>
          <cell r="O120" t="str">
            <v>A</v>
          </cell>
          <cell r="P120">
            <v>4</v>
          </cell>
          <cell r="Q120" t="str">
            <v>A</v>
          </cell>
          <cell r="R120">
            <v>4</v>
          </cell>
          <cell r="S120" t="str">
            <v>A</v>
          </cell>
          <cell r="T120">
            <v>4</v>
          </cell>
          <cell r="U120" t="str">
            <v>A</v>
          </cell>
          <cell r="V120">
            <v>4</v>
          </cell>
          <cell r="W120" t="str">
            <v>A</v>
          </cell>
          <cell r="X120">
            <v>4</v>
          </cell>
          <cell r="Y120" t="str">
            <v>A</v>
          </cell>
          <cell r="Z120">
            <v>4</v>
          </cell>
          <cell r="AA120">
            <v>0</v>
          </cell>
          <cell r="AB120">
            <v>12</v>
          </cell>
          <cell r="AC120" t="str">
            <v>A</v>
          </cell>
          <cell r="AD120">
            <v>4</v>
          </cell>
          <cell r="AE120" t="str">
            <v>A</v>
          </cell>
          <cell r="AF120">
            <v>4</v>
          </cell>
          <cell r="AG120" t="str">
            <v>A</v>
          </cell>
          <cell r="AH120">
            <v>4</v>
          </cell>
          <cell r="AI120" t="str">
            <v>A</v>
          </cell>
          <cell r="AJ120">
            <v>4</v>
          </cell>
          <cell r="AK120" t="str">
            <v>A</v>
          </cell>
          <cell r="AL120">
            <v>4</v>
          </cell>
          <cell r="AM120" t="str">
            <v>A</v>
          </cell>
          <cell r="AN120">
            <v>4</v>
          </cell>
          <cell r="AO120">
            <v>0</v>
          </cell>
          <cell r="AP120">
            <v>12</v>
          </cell>
          <cell r="AQ120" t="str">
            <v>A</v>
          </cell>
          <cell r="AR120">
            <v>4</v>
          </cell>
          <cell r="AS120" t="str">
            <v>A</v>
          </cell>
          <cell r="AT120">
            <v>4</v>
          </cell>
          <cell r="AU120" t="str">
            <v>A</v>
          </cell>
          <cell r="AV120">
            <v>4</v>
          </cell>
          <cell r="AW120" t="str">
            <v>A</v>
          </cell>
          <cell r="AX120">
            <v>4</v>
          </cell>
          <cell r="AY120" t="str">
            <v>A</v>
          </cell>
          <cell r="AZ120">
            <v>4</v>
          </cell>
          <cell r="BA120" t="str">
            <v>A</v>
          </cell>
          <cell r="BB120">
            <v>4</v>
          </cell>
          <cell r="BC120">
            <v>0</v>
          </cell>
          <cell r="BD120">
            <v>12</v>
          </cell>
          <cell r="BE120" t="str">
            <v>A</v>
          </cell>
          <cell r="BF120">
            <v>4</v>
          </cell>
          <cell r="BG120" t="str">
            <v>A</v>
          </cell>
          <cell r="BH120">
            <v>4</v>
          </cell>
          <cell r="BI120" t="str">
            <v>A</v>
          </cell>
          <cell r="BJ120">
            <v>4</v>
          </cell>
          <cell r="BK120" t="str">
            <v>A</v>
          </cell>
          <cell r="BL120">
            <v>4</v>
          </cell>
          <cell r="BM120" t="str">
            <v>A</v>
          </cell>
          <cell r="BN120">
            <v>4</v>
          </cell>
          <cell r="BO120" t="str">
            <v>A</v>
          </cell>
          <cell r="BP120">
            <v>4</v>
          </cell>
          <cell r="BQ120">
            <v>27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27</v>
          </cell>
          <cell r="CA120">
            <v>108</v>
          </cell>
          <cell r="CB120">
            <v>48</v>
          </cell>
          <cell r="CC120">
            <v>0</v>
          </cell>
          <cell r="CD120">
            <v>2</v>
          </cell>
          <cell r="CE120">
            <v>4</v>
          </cell>
          <cell r="CF120">
            <v>140</v>
          </cell>
          <cell r="CG120">
            <v>4</v>
          </cell>
          <cell r="CH120">
            <v>64</v>
          </cell>
          <cell r="CI120">
            <v>70</v>
          </cell>
        </row>
        <row r="121">
          <cell r="A121" t="str">
            <v>A625</v>
          </cell>
          <cell r="B121" t="str">
            <v xml:space="preserve"> Huỳnh Thị Mỹ Vân </v>
          </cell>
          <cell r="C121" t="str">
            <v>CII.4</v>
          </cell>
          <cell r="D121">
            <v>0</v>
          </cell>
          <cell r="E121">
            <v>42247</v>
          </cell>
          <cell r="F121">
            <v>5.5</v>
          </cell>
          <cell r="G121" t="str">
            <v>NT7</v>
          </cell>
          <cell r="H121">
            <v>0</v>
          </cell>
          <cell r="I121" t="str">
            <v>C</v>
          </cell>
          <cell r="J121">
            <v>4</v>
          </cell>
          <cell r="K121" t="str">
            <v>C</v>
          </cell>
          <cell r="L121">
            <v>4</v>
          </cell>
          <cell r="M121">
            <v>0</v>
          </cell>
          <cell r="N121">
            <v>0</v>
          </cell>
          <cell r="O121" t="str">
            <v>A</v>
          </cell>
          <cell r="P121">
            <v>4</v>
          </cell>
          <cell r="Q121" t="str">
            <v>P5,D5</v>
          </cell>
          <cell r="R121">
            <v>0</v>
          </cell>
          <cell r="S121" t="str">
            <v>A</v>
          </cell>
          <cell r="T121">
            <v>4</v>
          </cell>
          <cell r="U121" t="str">
            <v>A</v>
          </cell>
          <cell r="V121">
            <v>4</v>
          </cell>
          <cell r="W121" t="str">
            <v>A</v>
          </cell>
          <cell r="X121">
            <v>4</v>
          </cell>
          <cell r="Y121" t="str">
            <v>A</v>
          </cell>
          <cell r="Z121">
            <v>4</v>
          </cell>
          <cell r="AA121">
            <v>0</v>
          </cell>
          <cell r="AB121">
            <v>0</v>
          </cell>
          <cell r="AC121" t="str">
            <v>C</v>
          </cell>
          <cell r="AD121">
            <v>4</v>
          </cell>
          <cell r="AE121" t="str">
            <v>C</v>
          </cell>
          <cell r="AF121">
            <v>4</v>
          </cell>
          <cell r="AG121" t="str">
            <v>C</v>
          </cell>
          <cell r="AH121">
            <v>4</v>
          </cell>
          <cell r="AI121" t="str">
            <v>C</v>
          </cell>
          <cell r="AJ121">
            <v>4</v>
          </cell>
          <cell r="AK121" t="str">
            <v>C</v>
          </cell>
          <cell r="AL121">
            <v>4</v>
          </cell>
          <cell r="AM121" t="str">
            <v>C</v>
          </cell>
          <cell r="AN121">
            <v>4</v>
          </cell>
          <cell r="AO121">
            <v>0</v>
          </cell>
          <cell r="AP121">
            <v>0</v>
          </cell>
          <cell r="AQ121" t="str">
            <v>A</v>
          </cell>
          <cell r="AR121">
            <v>4</v>
          </cell>
          <cell r="AS121" t="str">
            <v>A</v>
          </cell>
          <cell r="AT121">
            <v>4</v>
          </cell>
          <cell r="AU121" t="str">
            <v>P</v>
          </cell>
          <cell r="AV121">
            <v>0</v>
          </cell>
          <cell r="AW121" t="str">
            <v>A</v>
          </cell>
          <cell r="AX121">
            <v>4</v>
          </cell>
          <cell r="AY121" t="str">
            <v>A</v>
          </cell>
          <cell r="AZ121">
            <v>4</v>
          </cell>
          <cell r="BA121" t="str">
            <v>NT7</v>
          </cell>
          <cell r="BB121">
            <v>0</v>
          </cell>
          <cell r="BC121">
            <v>0</v>
          </cell>
          <cell r="BD121">
            <v>12</v>
          </cell>
          <cell r="BE121" t="str">
            <v>A</v>
          </cell>
          <cell r="BF121">
            <v>4</v>
          </cell>
          <cell r="BG121" t="str">
            <v>A</v>
          </cell>
          <cell r="BH121">
            <v>4</v>
          </cell>
          <cell r="BI121" t="str">
            <v>A</v>
          </cell>
          <cell r="BJ121">
            <v>4</v>
          </cell>
          <cell r="BK121" t="str">
            <v>A</v>
          </cell>
          <cell r="BL121">
            <v>4</v>
          </cell>
          <cell r="BM121" t="str">
            <v>A</v>
          </cell>
          <cell r="BN121">
            <v>4</v>
          </cell>
          <cell r="BO121" t="str">
            <v>A</v>
          </cell>
          <cell r="BP121">
            <v>4</v>
          </cell>
          <cell r="BQ121">
            <v>15</v>
          </cell>
          <cell r="BR121">
            <v>0.5</v>
          </cell>
          <cell r="BS121">
            <v>0</v>
          </cell>
          <cell r="BT121">
            <v>8</v>
          </cell>
          <cell r="BU121">
            <v>0</v>
          </cell>
          <cell r="BV121">
            <v>0</v>
          </cell>
          <cell r="BW121">
            <v>0</v>
          </cell>
          <cell r="BX121">
            <v>2</v>
          </cell>
          <cell r="BY121">
            <v>1.5</v>
          </cell>
          <cell r="BZ121">
            <v>27</v>
          </cell>
          <cell r="CA121">
            <v>92</v>
          </cell>
          <cell r="CB121">
            <v>12</v>
          </cell>
          <cell r="CC121">
            <v>0</v>
          </cell>
          <cell r="CD121">
            <v>0</v>
          </cell>
          <cell r="CE121">
            <v>1</v>
          </cell>
          <cell r="CF121">
            <v>0</v>
          </cell>
          <cell r="CG121">
            <v>5</v>
          </cell>
          <cell r="CH121">
            <v>16</v>
          </cell>
          <cell r="CI121">
            <v>70</v>
          </cell>
        </row>
        <row r="122">
          <cell r="A122" t="str">
            <v>A636</v>
          </cell>
          <cell r="B122" t="str">
            <v>Nguyễn Văn Thu</v>
          </cell>
          <cell r="C122" t="str">
            <v>TXBVTV</v>
          </cell>
          <cell r="D122">
            <v>0</v>
          </cell>
          <cell r="E122">
            <v>42262</v>
          </cell>
          <cell r="F122">
            <v>0</v>
          </cell>
          <cell r="G122" t="str">
            <v>D</v>
          </cell>
          <cell r="H122">
            <v>0</v>
          </cell>
          <cell r="I122" t="str">
            <v>D</v>
          </cell>
          <cell r="J122">
            <v>0</v>
          </cell>
          <cell r="K122" t="str">
            <v>D</v>
          </cell>
          <cell r="L122">
            <v>0</v>
          </cell>
          <cell r="M122">
            <v>0</v>
          </cell>
          <cell r="N122">
            <v>0</v>
          </cell>
          <cell r="O122" t="str">
            <v>D</v>
          </cell>
          <cell r="P122">
            <v>0</v>
          </cell>
          <cell r="Q122" t="str">
            <v>D</v>
          </cell>
          <cell r="R122">
            <v>12</v>
          </cell>
          <cell r="S122" t="str">
            <v>D</v>
          </cell>
          <cell r="T122">
            <v>12</v>
          </cell>
          <cell r="U122" t="str">
            <v>D</v>
          </cell>
          <cell r="V122">
            <v>0</v>
          </cell>
          <cell r="W122" t="str">
            <v>D</v>
          </cell>
          <cell r="X122">
            <v>0</v>
          </cell>
          <cell r="Y122" t="str">
            <v>D</v>
          </cell>
          <cell r="Z122">
            <v>0</v>
          </cell>
          <cell r="AA122">
            <v>0</v>
          </cell>
          <cell r="AB122">
            <v>0</v>
          </cell>
          <cell r="AC122" t="str">
            <v>D</v>
          </cell>
          <cell r="AD122">
            <v>0</v>
          </cell>
          <cell r="AE122" t="str">
            <v>D</v>
          </cell>
          <cell r="AF122">
            <v>0</v>
          </cell>
          <cell r="AG122" t="str">
            <v>D</v>
          </cell>
          <cell r="AH122">
            <v>0</v>
          </cell>
          <cell r="AI122" t="str">
            <v>D</v>
          </cell>
          <cell r="AJ122">
            <v>0</v>
          </cell>
          <cell r="AK122" t="str">
            <v>D</v>
          </cell>
          <cell r="AL122">
            <v>0</v>
          </cell>
          <cell r="AM122" t="str">
            <v>D</v>
          </cell>
          <cell r="AN122">
            <v>0</v>
          </cell>
          <cell r="AO122" t="str">
            <v>D</v>
          </cell>
          <cell r="AP122">
            <v>0</v>
          </cell>
          <cell r="AQ122" t="str">
            <v>D</v>
          </cell>
          <cell r="AR122">
            <v>0</v>
          </cell>
          <cell r="AS122" t="str">
            <v>D</v>
          </cell>
          <cell r="AT122">
            <v>0</v>
          </cell>
          <cell r="AU122" t="str">
            <v>D</v>
          </cell>
          <cell r="AV122">
            <v>0</v>
          </cell>
          <cell r="AW122" t="str">
            <v>D</v>
          </cell>
          <cell r="AX122">
            <v>0</v>
          </cell>
          <cell r="AY122" t="str">
            <v>D</v>
          </cell>
          <cell r="AZ122">
            <v>0</v>
          </cell>
          <cell r="BA122" t="str">
            <v>D</v>
          </cell>
          <cell r="BB122">
            <v>0</v>
          </cell>
          <cell r="BC122" t="str">
            <v>D</v>
          </cell>
          <cell r="BD122">
            <v>0</v>
          </cell>
          <cell r="BE122" t="str">
            <v>D</v>
          </cell>
          <cell r="BF122">
            <v>0</v>
          </cell>
          <cell r="BG122" t="str">
            <v>D</v>
          </cell>
          <cell r="BH122">
            <v>0</v>
          </cell>
          <cell r="BI122" t="str">
            <v>D</v>
          </cell>
          <cell r="BJ122">
            <v>0</v>
          </cell>
          <cell r="BK122" t="str">
            <v>D</v>
          </cell>
          <cell r="BL122">
            <v>0</v>
          </cell>
          <cell r="BM122" t="str">
            <v>D</v>
          </cell>
          <cell r="BN122">
            <v>0</v>
          </cell>
          <cell r="BO122" t="str">
            <v>D</v>
          </cell>
          <cell r="BP122">
            <v>0</v>
          </cell>
          <cell r="BQ122">
            <v>0</v>
          </cell>
          <cell r="BR122">
            <v>29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29</v>
          </cell>
          <cell r="CA122">
            <v>24</v>
          </cell>
          <cell r="CB122">
            <v>0</v>
          </cell>
          <cell r="CC122">
            <v>0</v>
          </cell>
          <cell r="CD122">
            <v>2</v>
          </cell>
          <cell r="CE122">
            <v>28</v>
          </cell>
          <cell r="CF122">
            <v>0</v>
          </cell>
          <cell r="CG122">
            <v>1</v>
          </cell>
          <cell r="CH122">
            <v>448</v>
          </cell>
          <cell r="CI122">
            <v>0</v>
          </cell>
        </row>
        <row r="123">
          <cell r="A123" t="str">
            <v>A645</v>
          </cell>
          <cell r="B123" t="str">
            <v>Đỗ Nhật Quan</v>
          </cell>
          <cell r="C123" t="str">
            <v>CI.1</v>
          </cell>
          <cell r="D123">
            <v>0</v>
          </cell>
          <cell r="E123">
            <v>42328</v>
          </cell>
          <cell r="F123">
            <v>2</v>
          </cell>
          <cell r="G123" t="str">
            <v>C</v>
          </cell>
          <cell r="H123">
            <v>4</v>
          </cell>
          <cell r="I123" t="str">
            <v>C</v>
          </cell>
          <cell r="J123">
            <v>4</v>
          </cell>
          <cell r="K123" t="str">
            <v>C</v>
          </cell>
          <cell r="L123">
            <v>4</v>
          </cell>
          <cell r="M123">
            <v>0</v>
          </cell>
          <cell r="N123">
            <v>0</v>
          </cell>
          <cell r="O123" t="str">
            <v>A</v>
          </cell>
          <cell r="P123">
            <v>4</v>
          </cell>
          <cell r="Q123" t="str">
            <v>A</v>
          </cell>
          <cell r="R123">
            <v>4</v>
          </cell>
          <cell r="S123" t="str">
            <v>A</v>
          </cell>
          <cell r="T123">
            <v>4</v>
          </cell>
          <cell r="U123" t="str">
            <v>A</v>
          </cell>
          <cell r="V123">
            <v>4</v>
          </cell>
          <cell r="W123" t="str">
            <v>A</v>
          </cell>
          <cell r="X123">
            <v>4</v>
          </cell>
          <cell r="Y123" t="str">
            <v>A</v>
          </cell>
          <cell r="Z123">
            <v>4</v>
          </cell>
          <cell r="AA123">
            <v>0</v>
          </cell>
          <cell r="AB123">
            <v>0</v>
          </cell>
          <cell r="AC123" t="str">
            <v>HH</v>
          </cell>
          <cell r="AD123">
            <v>0</v>
          </cell>
          <cell r="AE123" t="str">
            <v>C</v>
          </cell>
          <cell r="AF123">
            <v>4</v>
          </cell>
          <cell r="AG123" t="str">
            <v>C</v>
          </cell>
          <cell r="AH123">
            <v>4</v>
          </cell>
          <cell r="AI123" t="str">
            <v>C</v>
          </cell>
          <cell r="AJ123">
            <v>4</v>
          </cell>
          <cell r="AK123" t="str">
            <v>C</v>
          </cell>
          <cell r="AL123">
            <v>4</v>
          </cell>
          <cell r="AM123" t="str">
            <v>C</v>
          </cell>
          <cell r="AN123">
            <v>4</v>
          </cell>
          <cell r="AO123">
            <v>0</v>
          </cell>
          <cell r="AP123">
            <v>0</v>
          </cell>
          <cell r="AQ123" t="str">
            <v>D</v>
          </cell>
          <cell r="AR123">
            <v>1</v>
          </cell>
          <cell r="AS123" t="str">
            <v>NT7</v>
          </cell>
          <cell r="AT123">
            <v>0</v>
          </cell>
          <cell r="AU123" t="str">
            <v>A</v>
          </cell>
          <cell r="AV123">
            <v>4</v>
          </cell>
          <cell r="AW123" t="str">
            <v>D</v>
          </cell>
          <cell r="AX123">
            <v>1</v>
          </cell>
          <cell r="AY123" t="str">
            <v>A</v>
          </cell>
          <cell r="AZ123">
            <v>4</v>
          </cell>
          <cell r="BA123" t="str">
            <v>A</v>
          </cell>
          <cell r="BB123">
            <v>4</v>
          </cell>
          <cell r="BC123">
            <v>0</v>
          </cell>
          <cell r="BD123">
            <v>16</v>
          </cell>
          <cell r="BE123" t="str">
            <v>C</v>
          </cell>
          <cell r="BF123">
            <v>4</v>
          </cell>
          <cell r="BG123" t="str">
            <v>C</v>
          </cell>
          <cell r="BH123">
            <v>4</v>
          </cell>
          <cell r="BI123" t="str">
            <v>C</v>
          </cell>
          <cell r="BJ123">
            <v>4</v>
          </cell>
          <cell r="BK123" t="str">
            <v>C</v>
          </cell>
          <cell r="BL123">
            <v>4</v>
          </cell>
          <cell r="BM123" t="str">
            <v>C</v>
          </cell>
          <cell r="BN123">
            <v>4</v>
          </cell>
          <cell r="BO123" t="str">
            <v>HH</v>
          </cell>
          <cell r="BP123">
            <v>0</v>
          </cell>
          <cell r="BQ123">
            <v>9</v>
          </cell>
          <cell r="BR123">
            <v>2</v>
          </cell>
          <cell r="BS123">
            <v>0</v>
          </cell>
          <cell r="BT123">
            <v>13</v>
          </cell>
          <cell r="BU123">
            <v>0</v>
          </cell>
          <cell r="BV123">
            <v>0</v>
          </cell>
          <cell r="BW123">
            <v>2</v>
          </cell>
          <cell r="BX123">
            <v>1</v>
          </cell>
          <cell r="BY123">
            <v>0</v>
          </cell>
          <cell r="BZ123">
            <v>27</v>
          </cell>
          <cell r="CA123">
            <v>90</v>
          </cell>
          <cell r="CB123">
            <v>16</v>
          </cell>
          <cell r="CC123">
            <v>0</v>
          </cell>
          <cell r="CD123">
            <v>1</v>
          </cell>
          <cell r="CE123">
            <v>1</v>
          </cell>
          <cell r="CF123">
            <v>70</v>
          </cell>
          <cell r="CG123">
            <v>3</v>
          </cell>
          <cell r="CH123">
            <v>16</v>
          </cell>
          <cell r="CI123">
            <v>70</v>
          </cell>
        </row>
        <row r="124">
          <cell r="A124" t="str">
            <v>A648</v>
          </cell>
          <cell r="B124" t="str">
            <v>Bùi Văn Tài</v>
          </cell>
          <cell r="C124" t="str">
            <v>EN</v>
          </cell>
          <cell r="D124">
            <v>0</v>
          </cell>
          <cell r="E124">
            <v>42326</v>
          </cell>
          <cell r="F124">
            <v>0.5</v>
          </cell>
          <cell r="G124" t="str">
            <v>C</v>
          </cell>
          <cell r="H124">
            <v>4</v>
          </cell>
          <cell r="I124" t="str">
            <v>C</v>
          </cell>
          <cell r="J124">
            <v>4</v>
          </cell>
          <cell r="K124" t="str">
            <v>C</v>
          </cell>
          <cell r="L124">
            <v>4</v>
          </cell>
          <cell r="M124">
            <v>0</v>
          </cell>
          <cell r="N124">
            <v>0</v>
          </cell>
          <cell r="O124" t="str">
            <v>C</v>
          </cell>
          <cell r="P124">
            <v>4</v>
          </cell>
          <cell r="Q124" t="str">
            <v>C</v>
          </cell>
          <cell r="R124">
            <v>4</v>
          </cell>
          <cell r="S124" t="str">
            <v>C</v>
          </cell>
          <cell r="T124">
            <v>4</v>
          </cell>
          <cell r="U124" t="str">
            <v>C</v>
          </cell>
          <cell r="V124">
            <v>4</v>
          </cell>
          <cell r="W124" t="str">
            <v>C</v>
          </cell>
          <cell r="X124">
            <v>4</v>
          </cell>
          <cell r="Y124" t="str">
            <v>C</v>
          </cell>
          <cell r="Z124">
            <v>4</v>
          </cell>
          <cell r="AA124">
            <v>0</v>
          </cell>
          <cell r="AB124">
            <v>0</v>
          </cell>
          <cell r="AC124" t="str">
            <v>C</v>
          </cell>
          <cell r="AD124">
            <v>4</v>
          </cell>
          <cell r="AE124" t="str">
            <v>C</v>
          </cell>
          <cell r="AF124">
            <v>4</v>
          </cell>
          <cell r="AG124" t="str">
            <v>C</v>
          </cell>
          <cell r="AH124">
            <v>4</v>
          </cell>
          <cell r="AI124" t="str">
            <v>C</v>
          </cell>
          <cell r="AJ124">
            <v>4</v>
          </cell>
          <cell r="AK124" t="str">
            <v>C</v>
          </cell>
          <cell r="AL124">
            <v>4</v>
          </cell>
          <cell r="AM124" t="str">
            <v>C</v>
          </cell>
          <cell r="AN124">
            <v>4</v>
          </cell>
          <cell r="AO124">
            <v>0</v>
          </cell>
          <cell r="AP124">
            <v>0</v>
          </cell>
          <cell r="AQ124" t="str">
            <v>A</v>
          </cell>
          <cell r="AR124">
            <v>4</v>
          </cell>
          <cell r="AS124" t="str">
            <v>A</v>
          </cell>
          <cell r="AT124">
            <v>4</v>
          </cell>
          <cell r="AU124" t="str">
            <v>A</v>
          </cell>
          <cell r="AV124">
            <v>7</v>
          </cell>
          <cell r="AW124" t="str">
            <v>A</v>
          </cell>
          <cell r="AX124">
            <v>7</v>
          </cell>
          <cell r="AY124" t="str">
            <v>A</v>
          </cell>
          <cell r="AZ124">
            <v>7</v>
          </cell>
          <cell r="BA124" t="str">
            <v>A</v>
          </cell>
          <cell r="BB124">
            <v>4</v>
          </cell>
          <cell r="BC124">
            <v>0</v>
          </cell>
          <cell r="BD124">
            <v>0</v>
          </cell>
          <cell r="BE124" t="str">
            <v>C</v>
          </cell>
          <cell r="BF124">
            <v>4</v>
          </cell>
          <cell r="BG124" t="str">
            <v>C</v>
          </cell>
          <cell r="BH124">
            <v>4</v>
          </cell>
          <cell r="BI124" t="str">
            <v>C</v>
          </cell>
          <cell r="BJ124">
            <v>4</v>
          </cell>
          <cell r="BK124" t="str">
            <v>C</v>
          </cell>
          <cell r="BL124">
            <v>4</v>
          </cell>
          <cell r="BM124" t="str">
            <v>C</v>
          </cell>
          <cell r="BN124">
            <v>4</v>
          </cell>
          <cell r="BO124" t="str">
            <v>C</v>
          </cell>
          <cell r="BP124">
            <v>4</v>
          </cell>
          <cell r="BQ124">
            <v>6</v>
          </cell>
          <cell r="BR124">
            <v>0</v>
          </cell>
          <cell r="BS124">
            <v>0</v>
          </cell>
          <cell r="BT124">
            <v>21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27</v>
          </cell>
          <cell r="CA124">
            <v>117</v>
          </cell>
          <cell r="CB124">
            <v>0</v>
          </cell>
          <cell r="CC124">
            <v>0</v>
          </cell>
          <cell r="CD124">
            <v>2</v>
          </cell>
          <cell r="CE124">
            <v>0</v>
          </cell>
          <cell r="CF124">
            <v>140</v>
          </cell>
          <cell r="CG124">
            <v>1.5</v>
          </cell>
          <cell r="CH124">
            <v>0</v>
          </cell>
          <cell r="CI124">
            <v>70</v>
          </cell>
        </row>
        <row r="125">
          <cell r="A125" t="str">
            <v>A651</v>
          </cell>
          <cell r="B125" t="str">
            <v>Trần Thị Kiều Tiên</v>
          </cell>
          <cell r="C125" t="str">
            <v>CI.1</v>
          </cell>
          <cell r="D125">
            <v>0</v>
          </cell>
          <cell r="E125">
            <v>42870</v>
          </cell>
          <cell r="F125">
            <v>0</v>
          </cell>
          <cell r="G125" t="str">
            <v>B</v>
          </cell>
          <cell r="H125">
            <v>2</v>
          </cell>
          <cell r="I125" t="str">
            <v>C</v>
          </cell>
          <cell r="J125">
            <v>4</v>
          </cell>
          <cell r="K125" t="str">
            <v>C</v>
          </cell>
          <cell r="L125">
            <v>4</v>
          </cell>
          <cell r="M125">
            <v>0</v>
          </cell>
          <cell r="N125">
            <v>0</v>
          </cell>
          <cell r="O125" t="str">
            <v>A</v>
          </cell>
          <cell r="P125">
            <v>4</v>
          </cell>
          <cell r="Q125" t="str">
            <v>A</v>
          </cell>
          <cell r="R125">
            <v>4</v>
          </cell>
          <cell r="S125" t="str">
            <v>P</v>
          </cell>
          <cell r="T125">
            <v>0</v>
          </cell>
          <cell r="U125" t="str">
            <v>A</v>
          </cell>
          <cell r="V125">
            <v>4</v>
          </cell>
          <cell r="W125" t="str">
            <v>A</v>
          </cell>
          <cell r="X125">
            <v>4</v>
          </cell>
          <cell r="Y125" t="str">
            <v>A</v>
          </cell>
          <cell r="Z125">
            <v>4</v>
          </cell>
          <cell r="AA125">
            <v>0</v>
          </cell>
          <cell r="AB125">
            <v>0</v>
          </cell>
          <cell r="AC125" t="str">
            <v>HH</v>
          </cell>
          <cell r="AD125">
            <v>0</v>
          </cell>
          <cell r="AE125" t="str">
            <v>C</v>
          </cell>
          <cell r="AF125">
            <v>4</v>
          </cell>
          <cell r="AG125" t="str">
            <v>C</v>
          </cell>
          <cell r="AH125">
            <v>4</v>
          </cell>
          <cell r="AI125" t="str">
            <v>C</v>
          </cell>
          <cell r="AJ125">
            <v>4</v>
          </cell>
          <cell r="AK125" t="str">
            <v>C</v>
          </cell>
          <cell r="AL125">
            <v>4</v>
          </cell>
          <cell r="AM125" t="str">
            <v>C</v>
          </cell>
          <cell r="AN125">
            <v>4</v>
          </cell>
          <cell r="AO125">
            <v>0</v>
          </cell>
          <cell r="AP125">
            <v>0</v>
          </cell>
          <cell r="AQ125" t="str">
            <v>A</v>
          </cell>
          <cell r="AR125">
            <v>4</v>
          </cell>
          <cell r="AS125" t="str">
            <v>R0</v>
          </cell>
          <cell r="AT125">
            <v>0</v>
          </cell>
          <cell r="AU125" t="str">
            <v>R0</v>
          </cell>
          <cell r="AV125">
            <v>0</v>
          </cell>
          <cell r="AW125" t="str">
            <v>R0</v>
          </cell>
          <cell r="AX125">
            <v>0</v>
          </cell>
          <cell r="AY125" t="str">
            <v>R0</v>
          </cell>
          <cell r="AZ125">
            <v>0</v>
          </cell>
          <cell r="BA125" t="str">
            <v>NT7</v>
          </cell>
          <cell r="BB125">
            <v>0</v>
          </cell>
          <cell r="BC125">
            <v>0</v>
          </cell>
          <cell r="BD125">
            <v>0</v>
          </cell>
          <cell r="BE125" t="str">
            <v>NT7</v>
          </cell>
          <cell r="BF125">
            <v>0</v>
          </cell>
          <cell r="BG125" t="str">
            <v>C</v>
          </cell>
          <cell r="BH125">
            <v>4</v>
          </cell>
          <cell r="BI125" t="str">
            <v>C</v>
          </cell>
          <cell r="BJ125">
            <v>4</v>
          </cell>
          <cell r="BK125" t="str">
            <v>C</v>
          </cell>
          <cell r="BL125">
            <v>4</v>
          </cell>
          <cell r="BM125" t="str">
            <v>C</v>
          </cell>
          <cell r="BN125">
            <v>4</v>
          </cell>
          <cell r="BO125" t="str">
            <v>HH</v>
          </cell>
          <cell r="BP125">
            <v>0</v>
          </cell>
          <cell r="BQ125">
            <v>6</v>
          </cell>
          <cell r="BR125">
            <v>0</v>
          </cell>
          <cell r="BS125">
            <v>1</v>
          </cell>
          <cell r="BT125">
            <v>11</v>
          </cell>
          <cell r="BU125">
            <v>0</v>
          </cell>
          <cell r="BV125">
            <v>0</v>
          </cell>
          <cell r="BW125">
            <v>2</v>
          </cell>
          <cell r="BX125">
            <v>2</v>
          </cell>
          <cell r="BY125">
            <v>1</v>
          </cell>
          <cell r="BZ125">
            <v>23</v>
          </cell>
          <cell r="CA125">
            <v>70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70</v>
          </cell>
        </row>
        <row r="126">
          <cell r="A126" t="str">
            <v>A658</v>
          </cell>
          <cell r="B126" t="str">
            <v>Đặng Ngọc Hân</v>
          </cell>
          <cell r="C126" t="str">
            <v>EN</v>
          </cell>
          <cell r="D126">
            <v>0</v>
          </cell>
          <cell r="E126">
            <v>42345</v>
          </cell>
          <cell r="F126">
            <v>1</v>
          </cell>
          <cell r="G126" t="str">
            <v>C</v>
          </cell>
          <cell r="H126">
            <v>4</v>
          </cell>
          <cell r="I126" t="str">
            <v>C</v>
          </cell>
          <cell r="J126">
            <v>4</v>
          </cell>
          <cell r="K126" t="str">
            <v>C</v>
          </cell>
          <cell r="L126">
            <v>4</v>
          </cell>
          <cell r="M126">
            <v>0</v>
          </cell>
          <cell r="N126">
            <v>0</v>
          </cell>
          <cell r="O126" t="str">
            <v>C</v>
          </cell>
          <cell r="P126">
            <v>4</v>
          </cell>
          <cell r="Q126" t="str">
            <v>C</v>
          </cell>
          <cell r="R126">
            <v>4</v>
          </cell>
          <cell r="S126" t="str">
            <v>C</v>
          </cell>
          <cell r="T126">
            <v>4</v>
          </cell>
          <cell r="U126" t="str">
            <v>C</v>
          </cell>
          <cell r="V126">
            <v>4</v>
          </cell>
          <cell r="W126" t="str">
            <v>C</v>
          </cell>
          <cell r="X126">
            <v>4</v>
          </cell>
          <cell r="Y126" t="str">
            <v>C</v>
          </cell>
          <cell r="Z126">
            <v>4</v>
          </cell>
          <cell r="AA126">
            <v>0</v>
          </cell>
          <cell r="AB126">
            <v>0</v>
          </cell>
          <cell r="AC126" t="str">
            <v>C</v>
          </cell>
          <cell r="AD126">
            <v>4</v>
          </cell>
          <cell r="AE126" t="str">
            <v>C</v>
          </cell>
          <cell r="AF126">
            <v>4</v>
          </cell>
          <cell r="AG126" t="str">
            <v>C</v>
          </cell>
          <cell r="AH126">
            <v>4</v>
          </cell>
          <cell r="AI126" t="str">
            <v>C</v>
          </cell>
          <cell r="AJ126">
            <v>4</v>
          </cell>
          <cell r="AK126" t="str">
            <v>C</v>
          </cell>
          <cell r="AL126">
            <v>4</v>
          </cell>
          <cell r="AM126" t="str">
            <v>C</v>
          </cell>
          <cell r="AN126">
            <v>4</v>
          </cell>
          <cell r="AO126">
            <v>0</v>
          </cell>
          <cell r="AP126">
            <v>0</v>
          </cell>
          <cell r="AQ126" t="str">
            <v>A</v>
          </cell>
          <cell r="AR126">
            <v>4</v>
          </cell>
          <cell r="AS126" t="str">
            <v>A</v>
          </cell>
          <cell r="AT126">
            <v>4</v>
          </cell>
          <cell r="AU126" t="str">
            <v>A</v>
          </cell>
          <cell r="AV126">
            <v>7</v>
          </cell>
          <cell r="AW126" t="str">
            <v>A</v>
          </cell>
          <cell r="AX126">
            <v>7</v>
          </cell>
          <cell r="AY126" t="str">
            <v>A</v>
          </cell>
          <cell r="AZ126">
            <v>7</v>
          </cell>
          <cell r="BA126" t="str">
            <v>A</v>
          </cell>
          <cell r="BB126">
            <v>4</v>
          </cell>
          <cell r="BC126">
            <v>0</v>
          </cell>
          <cell r="BD126">
            <v>0</v>
          </cell>
          <cell r="BE126" t="str">
            <v>C</v>
          </cell>
          <cell r="BF126">
            <v>4</v>
          </cell>
          <cell r="BG126" t="str">
            <v>C</v>
          </cell>
          <cell r="BH126">
            <v>4</v>
          </cell>
          <cell r="BI126" t="str">
            <v>C</v>
          </cell>
          <cell r="BJ126">
            <v>4</v>
          </cell>
          <cell r="BK126" t="str">
            <v>C</v>
          </cell>
          <cell r="BL126">
            <v>4</v>
          </cell>
          <cell r="BM126" t="str">
            <v>C</v>
          </cell>
          <cell r="BN126">
            <v>4</v>
          </cell>
          <cell r="BO126" t="str">
            <v>C</v>
          </cell>
          <cell r="BP126">
            <v>4</v>
          </cell>
          <cell r="BQ126">
            <v>6</v>
          </cell>
          <cell r="BR126">
            <v>0</v>
          </cell>
          <cell r="BS126">
            <v>0</v>
          </cell>
          <cell r="BT126">
            <v>21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27</v>
          </cell>
          <cell r="CA126">
            <v>117</v>
          </cell>
          <cell r="CB126">
            <v>0</v>
          </cell>
          <cell r="CC126">
            <v>0</v>
          </cell>
          <cell r="CD126">
            <v>2</v>
          </cell>
          <cell r="CE126">
            <v>0</v>
          </cell>
          <cell r="CF126">
            <v>140</v>
          </cell>
          <cell r="CG126">
            <v>2</v>
          </cell>
          <cell r="CH126">
            <v>0</v>
          </cell>
          <cell r="CI126">
            <v>70</v>
          </cell>
        </row>
        <row r="127">
          <cell r="A127" t="str">
            <v>A663</v>
          </cell>
          <cell r="B127" t="str">
            <v>Trần Thị Cúc</v>
          </cell>
          <cell r="C127" t="str">
            <v>EN</v>
          </cell>
          <cell r="D127">
            <v>0</v>
          </cell>
          <cell r="E127">
            <v>42346</v>
          </cell>
          <cell r="F127">
            <v>1</v>
          </cell>
          <cell r="G127" t="str">
            <v>A</v>
          </cell>
          <cell r="H127">
            <v>4</v>
          </cell>
          <cell r="I127" t="str">
            <v>A</v>
          </cell>
          <cell r="J127">
            <v>4</v>
          </cell>
          <cell r="K127" t="str">
            <v>A</v>
          </cell>
          <cell r="L127">
            <v>4</v>
          </cell>
          <cell r="M127">
            <v>0</v>
          </cell>
          <cell r="N127">
            <v>12</v>
          </cell>
          <cell r="O127" t="str">
            <v>A</v>
          </cell>
          <cell r="P127">
            <v>4</v>
          </cell>
          <cell r="Q127" t="str">
            <v>A</v>
          </cell>
          <cell r="R127">
            <v>4</v>
          </cell>
          <cell r="S127" t="str">
            <v>A</v>
          </cell>
          <cell r="T127">
            <v>4</v>
          </cell>
          <cell r="U127" t="str">
            <v>A</v>
          </cell>
          <cell r="V127">
            <v>4</v>
          </cell>
          <cell r="W127" t="str">
            <v>A</v>
          </cell>
          <cell r="X127">
            <v>4</v>
          </cell>
          <cell r="Y127" t="str">
            <v>A</v>
          </cell>
          <cell r="Z127">
            <v>4</v>
          </cell>
          <cell r="AA127">
            <v>0</v>
          </cell>
          <cell r="AB127">
            <v>0</v>
          </cell>
          <cell r="AC127" t="str">
            <v>D</v>
          </cell>
          <cell r="AD127">
            <v>2</v>
          </cell>
          <cell r="AE127" t="str">
            <v>A</v>
          </cell>
          <cell r="AF127">
            <v>4</v>
          </cell>
          <cell r="AG127" t="str">
            <v>A</v>
          </cell>
          <cell r="AH127">
            <v>4</v>
          </cell>
          <cell r="AI127" t="str">
            <v>A</v>
          </cell>
          <cell r="AJ127">
            <v>4</v>
          </cell>
          <cell r="AK127" t="str">
            <v>A</v>
          </cell>
          <cell r="AL127">
            <v>4</v>
          </cell>
          <cell r="AM127" t="str">
            <v>A</v>
          </cell>
          <cell r="AN127">
            <v>4</v>
          </cell>
          <cell r="AO127">
            <v>0</v>
          </cell>
          <cell r="AP127">
            <v>0</v>
          </cell>
          <cell r="AQ127" t="str">
            <v>A</v>
          </cell>
          <cell r="AR127">
            <v>4</v>
          </cell>
          <cell r="AS127" t="str">
            <v>NT7</v>
          </cell>
          <cell r="AT127">
            <v>0</v>
          </cell>
          <cell r="AU127" t="str">
            <v>A</v>
          </cell>
          <cell r="AV127">
            <v>4</v>
          </cell>
          <cell r="AW127" t="str">
            <v>A</v>
          </cell>
          <cell r="AX127">
            <v>4</v>
          </cell>
          <cell r="AY127" t="str">
            <v>A</v>
          </cell>
          <cell r="AZ127">
            <v>4</v>
          </cell>
          <cell r="BA127" t="str">
            <v>A</v>
          </cell>
          <cell r="BB127">
            <v>4</v>
          </cell>
          <cell r="BC127">
            <v>0</v>
          </cell>
          <cell r="BD127">
            <v>12</v>
          </cell>
          <cell r="BE127" t="str">
            <v>A</v>
          </cell>
          <cell r="BF127">
            <v>4</v>
          </cell>
          <cell r="BG127" t="str">
            <v>D</v>
          </cell>
          <cell r="BH127">
            <v>2</v>
          </cell>
          <cell r="BI127" t="str">
            <v>A</v>
          </cell>
          <cell r="BJ127">
            <v>4</v>
          </cell>
          <cell r="BK127" t="str">
            <v>A</v>
          </cell>
          <cell r="BL127">
            <v>4</v>
          </cell>
          <cell r="BM127" t="str">
            <v>A</v>
          </cell>
          <cell r="BN127">
            <v>4</v>
          </cell>
          <cell r="BO127" t="str">
            <v>A</v>
          </cell>
          <cell r="BP127">
            <v>4</v>
          </cell>
          <cell r="BQ127">
            <v>24</v>
          </cell>
          <cell r="BR127">
            <v>2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1</v>
          </cell>
          <cell r="BY127">
            <v>0</v>
          </cell>
          <cell r="BZ127">
            <v>27</v>
          </cell>
          <cell r="CA127">
            <v>100</v>
          </cell>
          <cell r="CB127">
            <v>24</v>
          </cell>
          <cell r="CC127">
            <v>0</v>
          </cell>
          <cell r="CD127">
            <v>1</v>
          </cell>
          <cell r="CE127">
            <v>2</v>
          </cell>
          <cell r="CF127">
            <v>0</v>
          </cell>
          <cell r="CG127">
            <v>2</v>
          </cell>
          <cell r="CH127">
            <v>32</v>
          </cell>
          <cell r="CI127">
            <v>0</v>
          </cell>
        </row>
        <row r="128">
          <cell r="A128" t="str">
            <v>A664</v>
          </cell>
          <cell r="B128" t="str">
            <v>Huỳnh Thanh Tâm</v>
          </cell>
          <cell r="C128" t="str">
            <v>EN</v>
          </cell>
          <cell r="D128">
            <v>0</v>
          </cell>
          <cell r="E128">
            <v>42346</v>
          </cell>
          <cell r="F128">
            <v>4</v>
          </cell>
          <cell r="G128" t="str">
            <v>D</v>
          </cell>
          <cell r="H128">
            <v>0.5</v>
          </cell>
          <cell r="I128" t="str">
            <v>D</v>
          </cell>
          <cell r="J128">
            <v>0.5</v>
          </cell>
          <cell r="K128" t="str">
            <v>D</v>
          </cell>
          <cell r="L128">
            <v>0.5</v>
          </cell>
          <cell r="M128">
            <v>0</v>
          </cell>
          <cell r="N128">
            <v>0</v>
          </cell>
          <cell r="O128" t="str">
            <v>D</v>
          </cell>
          <cell r="P128">
            <v>2.5</v>
          </cell>
          <cell r="Q128" t="str">
            <v>D</v>
          </cell>
          <cell r="R128">
            <v>2</v>
          </cell>
          <cell r="S128" t="str">
            <v>D</v>
          </cell>
          <cell r="T128">
            <v>0.5</v>
          </cell>
          <cell r="U128" t="str">
            <v>D</v>
          </cell>
          <cell r="V128">
            <v>2</v>
          </cell>
          <cell r="W128" t="str">
            <v>P5,D5</v>
          </cell>
          <cell r="X128">
            <v>0</v>
          </cell>
          <cell r="Y128" t="str">
            <v>D</v>
          </cell>
          <cell r="Z128">
            <v>0</v>
          </cell>
          <cell r="AA128">
            <v>0</v>
          </cell>
          <cell r="AB128">
            <v>0</v>
          </cell>
          <cell r="AC128" t="str">
            <v>D</v>
          </cell>
          <cell r="AD128">
            <v>1</v>
          </cell>
          <cell r="AE128" t="str">
            <v>NT7</v>
          </cell>
          <cell r="AF128">
            <v>0</v>
          </cell>
          <cell r="AG128" t="str">
            <v>D</v>
          </cell>
          <cell r="AH128">
            <v>2</v>
          </cell>
          <cell r="AI128" t="str">
            <v>D</v>
          </cell>
          <cell r="AJ128">
            <v>2.5</v>
          </cell>
          <cell r="AK128" t="str">
            <v>D</v>
          </cell>
          <cell r="AL128">
            <v>0.5</v>
          </cell>
          <cell r="AM128" t="str">
            <v>D</v>
          </cell>
          <cell r="AN128">
            <v>0</v>
          </cell>
          <cell r="AO128">
            <v>0</v>
          </cell>
          <cell r="AP128">
            <v>0</v>
          </cell>
          <cell r="AQ128" t="str">
            <v>D</v>
          </cell>
          <cell r="AR128">
            <v>1</v>
          </cell>
          <cell r="AS128" t="str">
            <v>D</v>
          </cell>
          <cell r="AT128">
            <v>0</v>
          </cell>
          <cell r="AU128" t="str">
            <v>D</v>
          </cell>
          <cell r="AV128">
            <v>1.5</v>
          </cell>
          <cell r="AW128" t="str">
            <v>D</v>
          </cell>
          <cell r="AX128">
            <v>0.5</v>
          </cell>
          <cell r="AY128" t="str">
            <v>D</v>
          </cell>
          <cell r="AZ128">
            <v>0</v>
          </cell>
          <cell r="BA128" t="str">
            <v>D</v>
          </cell>
          <cell r="BB128">
            <v>2.5</v>
          </cell>
          <cell r="BC128">
            <v>0</v>
          </cell>
          <cell r="BD128">
            <v>0</v>
          </cell>
          <cell r="BE128" t="str">
            <v>D</v>
          </cell>
          <cell r="BF128">
            <v>2</v>
          </cell>
          <cell r="BG128" t="str">
            <v>D</v>
          </cell>
          <cell r="BH128">
            <v>0</v>
          </cell>
          <cell r="BI128" t="str">
            <v>D</v>
          </cell>
          <cell r="BJ128">
            <v>1.5</v>
          </cell>
          <cell r="BK128" t="str">
            <v>D</v>
          </cell>
          <cell r="BL128">
            <v>2</v>
          </cell>
          <cell r="BM128" t="str">
            <v>D</v>
          </cell>
          <cell r="BN128">
            <v>0</v>
          </cell>
          <cell r="BO128" t="str">
            <v>D</v>
          </cell>
          <cell r="BP128">
            <v>0</v>
          </cell>
          <cell r="BQ128">
            <v>0</v>
          </cell>
          <cell r="BR128">
            <v>25.5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1</v>
          </cell>
          <cell r="BY128">
            <v>0.5</v>
          </cell>
          <cell r="BZ128">
            <v>27</v>
          </cell>
          <cell r="CA128">
            <v>25.5</v>
          </cell>
          <cell r="CB128">
            <v>0</v>
          </cell>
          <cell r="CC128">
            <v>0</v>
          </cell>
          <cell r="CD128">
            <v>1</v>
          </cell>
          <cell r="CE128">
            <v>0</v>
          </cell>
          <cell r="CF128">
            <v>150</v>
          </cell>
          <cell r="CG128">
            <v>4.5</v>
          </cell>
          <cell r="CH128">
            <v>0</v>
          </cell>
          <cell r="CI128">
            <v>150</v>
          </cell>
        </row>
        <row r="129">
          <cell r="A129" t="str">
            <v>A666</v>
          </cell>
          <cell r="B129" t="str">
            <v>Trần Thị Ngọc Hạnh</v>
          </cell>
          <cell r="C129" t="str">
            <v>QCX</v>
          </cell>
          <cell r="D129">
            <v>0</v>
          </cell>
          <cell r="E129">
            <v>42348</v>
          </cell>
          <cell r="F129">
            <v>7.5</v>
          </cell>
          <cell r="G129" t="str">
            <v>A</v>
          </cell>
          <cell r="H129">
            <v>4</v>
          </cell>
          <cell r="I129" t="str">
            <v>A</v>
          </cell>
          <cell r="J129">
            <v>4</v>
          </cell>
          <cell r="K129" t="str">
            <v>D</v>
          </cell>
          <cell r="L129">
            <v>2</v>
          </cell>
          <cell r="M129">
            <v>0</v>
          </cell>
          <cell r="N129">
            <v>11</v>
          </cell>
          <cell r="O129" t="str">
            <v>A</v>
          </cell>
          <cell r="P129">
            <v>4</v>
          </cell>
          <cell r="Q129" t="str">
            <v>A</v>
          </cell>
          <cell r="R129">
            <v>4</v>
          </cell>
          <cell r="S129" t="str">
            <v>A</v>
          </cell>
          <cell r="T129">
            <v>4</v>
          </cell>
          <cell r="U129" t="str">
            <v>A</v>
          </cell>
          <cell r="V129">
            <v>4</v>
          </cell>
          <cell r="W129" t="str">
            <v>P</v>
          </cell>
          <cell r="X129">
            <v>0</v>
          </cell>
          <cell r="Y129" t="str">
            <v>A</v>
          </cell>
          <cell r="Z129">
            <v>4</v>
          </cell>
          <cell r="AA129">
            <v>0</v>
          </cell>
          <cell r="AB129">
            <v>8</v>
          </cell>
          <cell r="AC129" t="str">
            <v>A</v>
          </cell>
          <cell r="AD129">
            <v>4</v>
          </cell>
          <cell r="AE129" t="str">
            <v>A</v>
          </cell>
          <cell r="AF129">
            <v>4</v>
          </cell>
          <cell r="AG129" t="str">
            <v>NT7</v>
          </cell>
          <cell r="AH129">
            <v>0</v>
          </cell>
          <cell r="AI129" t="str">
            <v>NT7</v>
          </cell>
          <cell r="AJ129">
            <v>0</v>
          </cell>
          <cell r="AK129" t="str">
            <v>P</v>
          </cell>
          <cell r="AL129">
            <v>0</v>
          </cell>
          <cell r="AM129" t="str">
            <v>P</v>
          </cell>
          <cell r="AN129">
            <v>0</v>
          </cell>
          <cell r="AO129">
            <v>0</v>
          </cell>
          <cell r="AP129">
            <v>0</v>
          </cell>
          <cell r="AQ129" t="str">
            <v>P</v>
          </cell>
          <cell r="AR129">
            <v>0</v>
          </cell>
          <cell r="AS129" t="str">
            <v>P</v>
          </cell>
          <cell r="AT129">
            <v>0</v>
          </cell>
          <cell r="AU129" t="str">
            <v>P</v>
          </cell>
          <cell r="AV129">
            <v>0</v>
          </cell>
          <cell r="AW129" t="str">
            <v>D</v>
          </cell>
          <cell r="AX129">
            <v>0</v>
          </cell>
          <cell r="AY129" t="str">
            <v>D</v>
          </cell>
          <cell r="AZ129">
            <v>1</v>
          </cell>
          <cell r="BA129" t="str">
            <v>D</v>
          </cell>
          <cell r="BB129">
            <v>0</v>
          </cell>
          <cell r="BC129">
            <v>0</v>
          </cell>
          <cell r="BD129">
            <v>0</v>
          </cell>
          <cell r="BE129" t="str">
            <v>D</v>
          </cell>
          <cell r="BF129">
            <v>1</v>
          </cell>
          <cell r="BG129" t="str">
            <v>D</v>
          </cell>
          <cell r="BH129">
            <v>1</v>
          </cell>
          <cell r="BI129" t="str">
            <v>D</v>
          </cell>
          <cell r="BJ129">
            <v>1</v>
          </cell>
          <cell r="BK129" t="str">
            <v>D</v>
          </cell>
          <cell r="BL129">
            <v>1</v>
          </cell>
          <cell r="BM129" t="str">
            <v>D</v>
          </cell>
          <cell r="BN129">
            <v>0</v>
          </cell>
          <cell r="BO129" t="str">
            <v>D</v>
          </cell>
          <cell r="BP129">
            <v>0</v>
          </cell>
          <cell r="BQ129">
            <v>9</v>
          </cell>
          <cell r="BR129">
            <v>10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2</v>
          </cell>
          <cell r="BY129">
            <v>6</v>
          </cell>
          <cell r="BZ129">
            <v>27</v>
          </cell>
          <cell r="CA129">
            <v>43</v>
          </cell>
          <cell r="CB129">
            <v>19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2.5</v>
          </cell>
          <cell r="CH129">
            <v>0</v>
          </cell>
          <cell r="CI129">
            <v>70</v>
          </cell>
        </row>
        <row r="130">
          <cell r="A130" t="str">
            <v>A669</v>
          </cell>
          <cell r="B130" t="str">
            <v>Nguyễn Văn Thi</v>
          </cell>
          <cell r="C130" t="str">
            <v>EN</v>
          </cell>
          <cell r="D130">
            <v>0</v>
          </cell>
          <cell r="E130">
            <v>42349</v>
          </cell>
          <cell r="F130">
            <v>5</v>
          </cell>
          <cell r="G130" t="str">
            <v>C</v>
          </cell>
          <cell r="H130">
            <v>4</v>
          </cell>
          <cell r="I130" t="str">
            <v>C</v>
          </cell>
          <cell r="J130">
            <v>4</v>
          </cell>
          <cell r="K130" t="str">
            <v>C</v>
          </cell>
          <cell r="L130">
            <v>4</v>
          </cell>
          <cell r="M130">
            <v>0</v>
          </cell>
          <cell r="N130">
            <v>0</v>
          </cell>
          <cell r="O130" t="str">
            <v>A</v>
          </cell>
          <cell r="P130">
            <v>4</v>
          </cell>
          <cell r="Q130" t="str">
            <v>A</v>
          </cell>
          <cell r="R130">
            <v>4</v>
          </cell>
          <cell r="S130" t="str">
            <v>A</v>
          </cell>
          <cell r="T130">
            <v>4</v>
          </cell>
          <cell r="U130" t="str">
            <v>A</v>
          </cell>
          <cell r="V130">
            <v>4</v>
          </cell>
          <cell r="W130" t="str">
            <v>A</v>
          </cell>
          <cell r="X130">
            <v>4</v>
          </cell>
          <cell r="Y130" t="str">
            <v>A</v>
          </cell>
          <cell r="Z130">
            <v>4</v>
          </cell>
          <cell r="AA130">
            <v>0</v>
          </cell>
          <cell r="AB130">
            <v>0</v>
          </cell>
          <cell r="AC130" t="str">
            <v>C</v>
          </cell>
          <cell r="AD130">
            <v>4</v>
          </cell>
          <cell r="AE130" t="str">
            <v>C</v>
          </cell>
          <cell r="AF130">
            <v>4</v>
          </cell>
          <cell r="AG130" t="str">
            <v>C</v>
          </cell>
          <cell r="AH130">
            <v>4</v>
          </cell>
          <cell r="AI130" t="str">
            <v>C</v>
          </cell>
          <cell r="AJ130">
            <v>4</v>
          </cell>
          <cell r="AK130" t="str">
            <v>C</v>
          </cell>
          <cell r="AL130">
            <v>4</v>
          </cell>
          <cell r="AM130" t="str">
            <v>C</v>
          </cell>
          <cell r="AN130">
            <v>4</v>
          </cell>
          <cell r="AO130">
            <v>0</v>
          </cell>
          <cell r="AP130">
            <v>0</v>
          </cell>
          <cell r="AQ130" t="str">
            <v>A</v>
          </cell>
          <cell r="AR130">
            <v>4</v>
          </cell>
          <cell r="AS130" t="str">
            <v>A</v>
          </cell>
          <cell r="AT130">
            <v>4</v>
          </cell>
          <cell r="AU130" t="str">
            <v>A</v>
          </cell>
          <cell r="AV130">
            <v>4</v>
          </cell>
          <cell r="AW130" t="str">
            <v>A</v>
          </cell>
          <cell r="AX130">
            <v>4</v>
          </cell>
          <cell r="AY130" t="str">
            <v>A</v>
          </cell>
          <cell r="AZ130">
            <v>4</v>
          </cell>
          <cell r="BA130" t="str">
            <v>A</v>
          </cell>
          <cell r="BB130">
            <v>4</v>
          </cell>
          <cell r="BC130">
            <v>0</v>
          </cell>
          <cell r="BD130">
            <v>0</v>
          </cell>
          <cell r="BE130" t="str">
            <v>C</v>
          </cell>
          <cell r="BF130">
            <v>4</v>
          </cell>
          <cell r="BG130" t="str">
            <v>C</v>
          </cell>
          <cell r="BH130">
            <v>4</v>
          </cell>
          <cell r="BI130" t="str">
            <v>C</v>
          </cell>
          <cell r="BJ130">
            <v>4</v>
          </cell>
          <cell r="BK130" t="str">
            <v>C</v>
          </cell>
          <cell r="BL130">
            <v>4</v>
          </cell>
          <cell r="BM130" t="str">
            <v>C</v>
          </cell>
          <cell r="BN130">
            <v>4</v>
          </cell>
          <cell r="BO130" t="str">
            <v>C</v>
          </cell>
          <cell r="BP130">
            <v>4</v>
          </cell>
          <cell r="BQ130">
            <v>12</v>
          </cell>
          <cell r="BR130">
            <v>0</v>
          </cell>
          <cell r="BS130">
            <v>0</v>
          </cell>
          <cell r="BT130">
            <v>15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27</v>
          </cell>
          <cell r="CA130">
            <v>108</v>
          </cell>
          <cell r="CB130">
            <v>0</v>
          </cell>
          <cell r="CC130">
            <v>0</v>
          </cell>
          <cell r="CD130">
            <v>2</v>
          </cell>
          <cell r="CE130">
            <v>0</v>
          </cell>
          <cell r="CF130">
            <v>140</v>
          </cell>
          <cell r="CG130">
            <v>6</v>
          </cell>
          <cell r="CH130">
            <v>0</v>
          </cell>
          <cell r="CI130">
            <v>70</v>
          </cell>
        </row>
        <row r="131">
          <cell r="A131" t="str">
            <v>A673</v>
          </cell>
          <cell r="B131" t="str">
            <v>Phan Trí Cường</v>
          </cell>
          <cell r="C131" t="str">
            <v>EN</v>
          </cell>
          <cell r="D131">
            <v>0</v>
          </cell>
          <cell r="E131">
            <v>42353</v>
          </cell>
          <cell r="F131">
            <v>6</v>
          </cell>
          <cell r="G131" t="str">
            <v>C</v>
          </cell>
          <cell r="H131">
            <v>4</v>
          </cell>
          <cell r="I131" t="str">
            <v>C</v>
          </cell>
          <cell r="J131">
            <v>4</v>
          </cell>
          <cell r="K131" t="str">
            <v>C</v>
          </cell>
          <cell r="L131">
            <v>4</v>
          </cell>
          <cell r="M131">
            <v>0</v>
          </cell>
          <cell r="N131">
            <v>0</v>
          </cell>
          <cell r="O131" t="str">
            <v>A</v>
          </cell>
          <cell r="P131">
            <v>4</v>
          </cell>
          <cell r="Q131" t="str">
            <v>A</v>
          </cell>
          <cell r="R131">
            <v>4</v>
          </cell>
          <cell r="S131" t="str">
            <v>A</v>
          </cell>
          <cell r="T131">
            <v>4</v>
          </cell>
          <cell r="U131" t="str">
            <v>A</v>
          </cell>
          <cell r="V131">
            <v>4</v>
          </cell>
          <cell r="W131" t="str">
            <v>A</v>
          </cell>
          <cell r="X131">
            <v>4</v>
          </cell>
          <cell r="Y131" t="str">
            <v>A</v>
          </cell>
          <cell r="Z131">
            <v>4</v>
          </cell>
          <cell r="AA131">
            <v>0</v>
          </cell>
          <cell r="AB131">
            <v>0</v>
          </cell>
          <cell r="AC131" t="str">
            <v>C</v>
          </cell>
          <cell r="AD131">
            <v>4</v>
          </cell>
          <cell r="AE131" t="str">
            <v>C</v>
          </cell>
          <cell r="AF131">
            <v>4</v>
          </cell>
          <cell r="AG131" t="str">
            <v>NT7</v>
          </cell>
          <cell r="AH131">
            <v>0</v>
          </cell>
          <cell r="AI131" t="str">
            <v>C</v>
          </cell>
          <cell r="AJ131">
            <v>4</v>
          </cell>
          <cell r="AK131" t="str">
            <v>C</v>
          </cell>
          <cell r="AL131">
            <v>4</v>
          </cell>
          <cell r="AM131" t="str">
            <v>C</v>
          </cell>
          <cell r="AN131">
            <v>4</v>
          </cell>
          <cell r="AO131">
            <v>0</v>
          </cell>
          <cell r="AP131">
            <v>0</v>
          </cell>
          <cell r="AQ131" t="str">
            <v>A</v>
          </cell>
          <cell r="AR131">
            <v>4</v>
          </cell>
          <cell r="AS131" t="str">
            <v>A</v>
          </cell>
          <cell r="AT131">
            <v>4</v>
          </cell>
          <cell r="AU131" t="str">
            <v>A</v>
          </cell>
          <cell r="AV131">
            <v>4</v>
          </cell>
          <cell r="AW131" t="str">
            <v>A</v>
          </cell>
          <cell r="AX131">
            <v>4</v>
          </cell>
          <cell r="AY131" t="str">
            <v>A</v>
          </cell>
          <cell r="AZ131">
            <v>4</v>
          </cell>
          <cell r="BA131" t="str">
            <v>A</v>
          </cell>
          <cell r="BB131">
            <v>4</v>
          </cell>
          <cell r="BC131">
            <v>0</v>
          </cell>
          <cell r="BD131">
            <v>0</v>
          </cell>
          <cell r="BE131" t="str">
            <v>C</v>
          </cell>
          <cell r="BF131">
            <v>4</v>
          </cell>
          <cell r="BG131" t="str">
            <v>C</v>
          </cell>
          <cell r="BH131">
            <v>4</v>
          </cell>
          <cell r="BI131" t="str">
            <v>C</v>
          </cell>
          <cell r="BJ131">
            <v>4</v>
          </cell>
          <cell r="BK131" t="str">
            <v>C</v>
          </cell>
          <cell r="BL131">
            <v>4</v>
          </cell>
          <cell r="BM131" t="str">
            <v>C</v>
          </cell>
          <cell r="BN131">
            <v>4</v>
          </cell>
          <cell r="BO131" t="str">
            <v>C</v>
          </cell>
          <cell r="BP131">
            <v>4</v>
          </cell>
          <cell r="BQ131">
            <v>12</v>
          </cell>
          <cell r="BR131">
            <v>0</v>
          </cell>
          <cell r="BS131">
            <v>0</v>
          </cell>
          <cell r="BT131">
            <v>14</v>
          </cell>
          <cell r="BU131">
            <v>0</v>
          </cell>
          <cell r="BV131">
            <v>0</v>
          </cell>
          <cell r="BW131">
            <v>0</v>
          </cell>
          <cell r="BX131">
            <v>1</v>
          </cell>
          <cell r="BY131">
            <v>0</v>
          </cell>
          <cell r="BZ131">
            <v>27</v>
          </cell>
          <cell r="CA131">
            <v>104</v>
          </cell>
          <cell r="CB131">
            <v>0</v>
          </cell>
          <cell r="CC131">
            <v>0</v>
          </cell>
          <cell r="CD131">
            <v>1</v>
          </cell>
          <cell r="CE131">
            <v>0</v>
          </cell>
          <cell r="CF131">
            <v>70</v>
          </cell>
          <cell r="CG131">
            <v>7</v>
          </cell>
          <cell r="CH131">
            <v>0</v>
          </cell>
          <cell r="CI131">
            <v>70</v>
          </cell>
        </row>
        <row r="132">
          <cell r="A132" t="str">
            <v>A681</v>
          </cell>
          <cell r="B132" t="str">
            <v>Lê Thị Kim Tho</v>
          </cell>
          <cell r="C132" t="str">
            <v>QCX</v>
          </cell>
          <cell r="D132">
            <v>0</v>
          </cell>
          <cell r="E132">
            <v>42357</v>
          </cell>
          <cell r="F132">
            <v>3</v>
          </cell>
          <cell r="G132" t="str">
            <v>A</v>
          </cell>
          <cell r="H132">
            <v>4</v>
          </cell>
          <cell r="I132" t="str">
            <v>D</v>
          </cell>
          <cell r="J132">
            <v>0</v>
          </cell>
          <cell r="K132" t="str">
            <v>D</v>
          </cell>
          <cell r="L132">
            <v>2</v>
          </cell>
          <cell r="M132">
            <v>0</v>
          </cell>
          <cell r="N132">
            <v>8</v>
          </cell>
          <cell r="O132" t="str">
            <v>C</v>
          </cell>
          <cell r="P132">
            <v>4</v>
          </cell>
          <cell r="Q132" t="str">
            <v>C</v>
          </cell>
          <cell r="R132">
            <v>4</v>
          </cell>
          <cell r="S132" t="str">
            <v>C</v>
          </cell>
          <cell r="T132">
            <v>4</v>
          </cell>
          <cell r="U132" t="str">
            <v>C</v>
          </cell>
          <cell r="V132">
            <v>4</v>
          </cell>
          <cell r="W132" t="str">
            <v>C</v>
          </cell>
          <cell r="X132">
            <v>4</v>
          </cell>
          <cell r="Y132" t="str">
            <v>NT7</v>
          </cell>
          <cell r="Z132">
            <v>0</v>
          </cell>
          <cell r="AA132">
            <v>0</v>
          </cell>
          <cell r="AB132">
            <v>8</v>
          </cell>
          <cell r="AC132" t="str">
            <v>A</v>
          </cell>
          <cell r="AD132">
            <v>4</v>
          </cell>
          <cell r="AE132" t="str">
            <v>A</v>
          </cell>
          <cell r="AF132">
            <v>4</v>
          </cell>
          <cell r="AG132" t="str">
            <v>A</v>
          </cell>
          <cell r="AH132">
            <v>4</v>
          </cell>
          <cell r="AI132" t="str">
            <v>A</v>
          </cell>
          <cell r="AJ132">
            <v>4</v>
          </cell>
          <cell r="AK132" t="str">
            <v>A</v>
          </cell>
          <cell r="AL132">
            <v>4</v>
          </cell>
          <cell r="AM132" t="str">
            <v>D</v>
          </cell>
          <cell r="AN132">
            <v>0</v>
          </cell>
          <cell r="AO132">
            <v>0</v>
          </cell>
          <cell r="AP132">
            <v>0</v>
          </cell>
          <cell r="AQ132" t="str">
            <v>C</v>
          </cell>
          <cell r="AR132">
            <v>4</v>
          </cell>
          <cell r="AS132" t="str">
            <v>C</v>
          </cell>
          <cell r="AT132">
            <v>4</v>
          </cell>
          <cell r="AU132" t="str">
            <v>C</v>
          </cell>
          <cell r="AV132">
            <v>4</v>
          </cell>
          <cell r="AW132" t="str">
            <v>C</v>
          </cell>
          <cell r="AX132">
            <v>4</v>
          </cell>
          <cell r="AY132" t="str">
            <v>C</v>
          </cell>
          <cell r="AZ132">
            <v>4</v>
          </cell>
          <cell r="BA132" t="str">
            <v>NT7</v>
          </cell>
          <cell r="BB132">
            <v>0</v>
          </cell>
          <cell r="BC132">
            <v>0</v>
          </cell>
          <cell r="BD132">
            <v>0</v>
          </cell>
          <cell r="BE132" t="str">
            <v>A</v>
          </cell>
          <cell r="BF132">
            <v>4</v>
          </cell>
          <cell r="BG132" t="str">
            <v>A</v>
          </cell>
          <cell r="BH132">
            <v>4</v>
          </cell>
          <cell r="BI132" t="str">
            <v>A</v>
          </cell>
          <cell r="BJ132">
            <v>4</v>
          </cell>
          <cell r="BK132" t="str">
            <v>A</v>
          </cell>
          <cell r="BL132">
            <v>4</v>
          </cell>
          <cell r="BM132" t="str">
            <v>A</v>
          </cell>
          <cell r="BN132">
            <v>4</v>
          </cell>
          <cell r="BO132" t="str">
            <v>A</v>
          </cell>
          <cell r="BP132">
            <v>4</v>
          </cell>
          <cell r="BQ132">
            <v>12</v>
          </cell>
          <cell r="BR132">
            <v>3</v>
          </cell>
          <cell r="BS132">
            <v>0</v>
          </cell>
          <cell r="BT132">
            <v>10</v>
          </cell>
          <cell r="BU132">
            <v>0</v>
          </cell>
          <cell r="BV132">
            <v>0</v>
          </cell>
          <cell r="BW132">
            <v>0</v>
          </cell>
          <cell r="BX132">
            <v>2</v>
          </cell>
          <cell r="BY132">
            <v>0</v>
          </cell>
          <cell r="BZ132">
            <v>27</v>
          </cell>
          <cell r="CA132">
            <v>90</v>
          </cell>
          <cell r="CB132">
            <v>16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4</v>
          </cell>
          <cell r="CH132">
            <v>0</v>
          </cell>
          <cell r="CI132">
            <v>70</v>
          </cell>
        </row>
        <row r="133">
          <cell r="A133" t="str">
            <v>A687</v>
          </cell>
          <cell r="B133" t="str">
            <v>Lê Hoàng Trung</v>
          </cell>
          <cell r="C133" t="str">
            <v>GA</v>
          </cell>
          <cell r="D133">
            <v>0</v>
          </cell>
          <cell r="E133">
            <v>42360</v>
          </cell>
          <cell r="F133">
            <v>1.5</v>
          </cell>
          <cell r="G133" t="str">
            <v>A</v>
          </cell>
          <cell r="H133">
            <v>4</v>
          </cell>
          <cell r="I133" t="str">
            <v>D</v>
          </cell>
          <cell r="J133">
            <v>3</v>
          </cell>
          <cell r="K133" t="str">
            <v>D</v>
          </cell>
          <cell r="L133">
            <v>0</v>
          </cell>
          <cell r="M133">
            <v>0</v>
          </cell>
          <cell r="N133">
            <v>0</v>
          </cell>
          <cell r="O133" t="str">
            <v>NT7</v>
          </cell>
          <cell r="P133">
            <v>0</v>
          </cell>
          <cell r="Q133" t="str">
            <v>A</v>
          </cell>
          <cell r="R133">
            <v>4</v>
          </cell>
          <cell r="S133" t="str">
            <v>A</v>
          </cell>
          <cell r="T133">
            <v>4</v>
          </cell>
          <cell r="U133" t="str">
            <v>D</v>
          </cell>
          <cell r="V133">
            <v>0</v>
          </cell>
          <cell r="W133" t="str">
            <v>A</v>
          </cell>
          <cell r="X133">
            <v>4</v>
          </cell>
          <cell r="Y133" t="str">
            <v>D</v>
          </cell>
          <cell r="Z133">
            <v>2</v>
          </cell>
          <cell r="AA133">
            <v>0</v>
          </cell>
          <cell r="AB133">
            <v>8</v>
          </cell>
          <cell r="AC133" t="str">
            <v>A</v>
          </cell>
          <cell r="AD133">
            <v>4</v>
          </cell>
          <cell r="AE133" t="str">
            <v>A</v>
          </cell>
          <cell r="AF133">
            <v>4</v>
          </cell>
          <cell r="AG133" t="str">
            <v>A</v>
          </cell>
          <cell r="AH133">
            <v>4</v>
          </cell>
          <cell r="AI133" t="str">
            <v>A</v>
          </cell>
          <cell r="AJ133">
            <v>4</v>
          </cell>
          <cell r="AK133" t="str">
            <v>A</v>
          </cell>
          <cell r="AL133">
            <v>4</v>
          </cell>
          <cell r="AM133" t="str">
            <v>D</v>
          </cell>
          <cell r="AN133">
            <v>0</v>
          </cell>
          <cell r="AO133">
            <v>0</v>
          </cell>
          <cell r="AP133">
            <v>0</v>
          </cell>
          <cell r="AQ133" t="str">
            <v>A</v>
          </cell>
          <cell r="AR133">
            <v>4</v>
          </cell>
          <cell r="AS133" t="str">
            <v>A</v>
          </cell>
          <cell r="AT133">
            <v>4</v>
          </cell>
          <cell r="AU133" t="str">
            <v>D</v>
          </cell>
          <cell r="AV133">
            <v>0</v>
          </cell>
          <cell r="AW133" t="str">
            <v>D</v>
          </cell>
          <cell r="AX133">
            <v>2</v>
          </cell>
          <cell r="AY133" t="str">
            <v>D</v>
          </cell>
          <cell r="AZ133">
            <v>3</v>
          </cell>
          <cell r="BA133" t="str">
            <v>A</v>
          </cell>
          <cell r="BB133">
            <v>4</v>
          </cell>
          <cell r="BC133">
            <v>0</v>
          </cell>
          <cell r="BD133">
            <v>0</v>
          </cell>
          <cell r="BE133" t="str">
            <v>A</v>
          </cell>
          <cell r="BF133">
            <v>4</v>
          </cell>
          <cell r="BG133" t="str">
            <v>A</v>
          </cell>
          <cell r="BH133">
            <v>4</v>
          </cell>
          <cell r="BI133" t="str">
            <v>A</v>
          </cell>
          <cell r="BJ133">
            <v>4</v>
          </cell>
          <cell r="BK133" t="str">
            <v>A</v>
          </cell>
          <cell r="BL133">
            <v>4</v>
          </cell>
          <cell r="BM133" t="str">
            <v>D</v>
          </cell>
          <cell r="BN133">
            <v>0</v>
          </cell>
          <cell r="BO133" t="str">
            <v>NT7</v>
          </cell>
          <cell r="BP133">
            <v>0</v>
          </cell>
          <cell r="BQ133">
            <v>16</v>
          </cell>
          <cell r="BR133">
            <v>9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2</v>
          </cell>
          <cell r="BY133">
            <v>0</v>
          </cell>
          <cell r="BZ133">
            <v>27</v>
          </cell>
          <cell r="CA133">
            <v>74</v>
          </cell>
          <cell r="CB133">
            <v>8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2.5</v>
          </cell>
          <cell r="CH133">
            <v>0</v>
          </cell>
          <cell r="CI133">
            <v>70</v>
          </cell>
        </row>
        <row r="134">
          <cell r="A134" t="str">
            <v>A697</v>
          </cell>
          <cell r="B134" t="str">
            <v>Lê Thanh Thảo</v>
          </cell>
          <cell r="C134" t="str">
            <v>EN</v>
          </cell>
          <cell r="D134">
            <v>0</v>
          </cell>
          <cell r="E134">
            <v>42369</v>
          </cell>
          <cell r="F134">
            <v>2.5</v>
          </cell>
          <cell r="G134" t="str">
            <v>A</v>
          </cell>
          <cell r="H134">
            <v>7</v>
          </cell>
          <cell r="I134" t="str">
            <v>A</v>
          </cell>
          <cell r="J134">
            <v>7</v>
          </cell>
          <cell r="K134" t="str">
            <v>A</v>
          </cell>
          <cell r="L134">
            <v>7</v>
          </cell>
          <cell r="M134">
            <v>0</v>
          </cell>
          <cell r="N134">
            <v>12</v>
          </cell>
          <cell r="O134" t="str">
            <v>A</v>
          </cell>
          <cell r="P134">
            <v>7</v>
          </cell>
          <cell r="Q134" t="str">
            <v>A</v>
          </cell>
          <cell r="R134">
            <v>7</v>
          </cell>
          <cell r="S134" t="str">
            <v>A</v>
          </cell>
          <cell r="T134">
            <v>7</v>
          </cell>
          <cell r="U134" t="str">
            <v>A</v>
          </cell>
          <cell r="V134">
            <v>7</v>
          </cell>
          <cell r="W134" t="str">
            <v>A</v>
          </cell>
          <cell r="X134">
            <v>7</v>
          </cell>
          <cell r="Y134" t="str">
            <v>A</v>
          </cell>
          <cell r="Z134">
            <v>7</v>
          </cell>
          <cell r="AA134">
            <v>0</v>
          </cell>
          <cell r="AB134">
            <v>12</v>
          </cell>
          <cell r="AC134" t="str">
            <v>A</v>
          </cell>
          <cell r="AD134">
            <v>5</v>
          </cell>
          <cell r="AE134" t="str">
            <v>A</v>
          </cell>
          <cell r="AF134">
            <v>6</v>
          </cell>
          <cell r="AG134" t="str">
            <v>A</v>
          </cell>
          <cell r="AH134">
            <v>5</v>
          </cell>
          <cell r="AI134" t="str">
            <v>A</v>
          </cell>
          <cell r="AJ134">
            <v>7</v>
          </cell>
          <cell r="AK134" t="str">
            <v>A</v>
          </cell>
          <cell r="AL134">
            <v>5</v>
          </cell>
          <cell r="AM134" t="str">
            <v>A</v>
          </cell>
          <cell r="AN134">
            <v>5</v>
          </cell>
          <cell r="AO134">
            <v>0</v>
          </cell>
          <cell r="AP134">
            <v>12</v>
          </cell>
          <cell r="AQ134" t="str">
            <v>NT7</v>
          </cell>
          <cell r="AR134">
            <v>0</v>
          </cell>
          <cell r="AS134" t="str">
            <v>A</v>
          </cell>
          <cell r="AT134">
            <v>7</v>
          </cell>
          <cell r="AU134" t="str">
            <v>A</v>
          </cell>
          <cell r="AV134">
            <v>6</v>
          </cell>
          <cell r="AW134" t="str">
            <v>A</v>
          </cell>
          <cell r="AX134">
            <v>6</v>
          </cell>
          <cell r="AY134" t="str">
            <v>A</v>
          </cell>
          <cell r="AZ134">
            <v>6</v>
          </cell>
          <cell r="BA134" t="str">
            <v>A</v>
          </cell>
          <cell r="BB134">
            <v>6</v>
          </cell>
          <cell r="BC134">
            <v>0</v>
          </cell>
          <cell r="BD134">
            <v>12</v>
          </cell>
          <cell r="BE134" t="str">
            <v>A</v>
          </cell>
          <cell r="BF134">
            <v>7</v>
          </cell>
          <cell r="BG134" t="str">
            <v>A</v>
          </cell>
          <cell r="BH134">
            <v>5</v>
          </cell>
          <cell r="BI134" t="str">
            <v>A</v>
          </cell>
          <cell r="BJ134">
            <v>7</v>
          </cell>
          <cell r="BK134" t="str">
            <v>A</v>
          </cell>
          <cell r="BL134">
            <v>7</v>
          </cell>
          <cell r="BM134" t="str">
            <v>A</v>
          </cell>
          <cell r="BN134">
            <v>7</v>
          </cell>
          <cell r="BO134" t="str">
            <v>A</v>
          </cell>
          <cell r="BP134">
            <v>7</v>
          </cell>
          <cell r="BQ134">
            <v>26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1</v>
          </cell>
          <cell r="BY134">
            <v>0</v>
          </cell>
          <cell r="BZ134">
            <v>27</v>
          </cell>
          <cell r="CA134">
            <v>167</v>
          </cell>
          <cell r="CB134">
            <v>48</v>
          </cell>
          <cell r="CC134">
            <v>0</v>
          </cell>
          <cell r="CD134">
            <v>1</v>
          </cell>
          <cell r="CE134">
            <v>4</v>
          </cell>
          <cell r="CF134">
            <v>70</v>
          </cell>
          <cell r="CG134">
            <v>3.5</v>
          </cell>
          <cell r="CH134">
            <v>64</v>
          </cell>
          <cell r="CI134">
            <v>70</v>
          </cell>
        </row>
        <row r="135">
          <cell r="A135" t="str">
            <v>A698</v>
          </cell>
          <cell r="B135" t="str">
            <v>Tô Thị Mỹ Trang</v>
          </cell>
          <cell r="C135" t="str">
            <v>CI.1</v>
          </cell>
          <cell r="D135">
            <v>0</v>
          </cell>
          <cell r="E135">
            <v>42369</v>
          </cell>
          <cell r="F135">
            <v>3.5</v>
          </cell>
          <cell r="G135" t="str">
            <v>C</v>
          </cell>
          <cell r="H135">
            <v>4</v>
          </cell>
          <cell r="I135" t="str">
            <v>C</v>
          </cell>
          <cell r="J135">
            <v>4</v>
          </cell>
          <cell r="K135" t="str">
            <v>C</v>
          </cell>
          <cell r="L135">
            <v>4</v>
          </cell>
          <cell r="M135">
            <v>0</v>
          </cell>
          <cell r="N135">
            <v>0</v>
          </cell>
          <cell r="O135" t="str">
            <v>A</v>
          </cell>
          <cell r="P135">
            <v>4</v>
          </cell>
          <cell r="Q135" t="str">
            <v>A</v>
          </cell>
          <cell r="R135">
            <v>4</v>
          </cell>
          <cell r="S135" t="str">
            <v>D</v>
          </cell>
          <cell r="T135">
            <v>2</v>
          </cell>
          <cell r="U135" t="str">
            <v>A</v>
          </cell>
          <cell r="V135">
            <v>4</v>
          </cell>
          <cell r="W135" t="str">
            <v>A</v>
          </cell>
          <cell r="X135">
            <v>4</v>
          </cell>
          <cell r="Y135" t="str">
            <v>A</v>
          </cell>
          <cell r="Z135">
            <v>4</v>
          </cell>
          <cell r="AA135">
            <v>0</v>
          </cell>
          <cell r="AB135">
            <v>0</v>
          </cell>
          <cell r="AC135" t="str">
            <v>HH</v>
          </cell>
          <cell r="AD135">
            <v>0</v>
          </cell>
          <cell r="AE135" t="str">
            <v>C</v>
          </cell>
          <cell r="AF135">
            <v>4</v>
          </cell>
          <cell r="AG135" t="str">
            <v>NT7</v>
          </cell>
          <cell r="AH135">
            <v>0</v>
          </cell>
          <cell r="AI135" t="str">
            <v>C</v>
          </cell>
          <cell r="AJ135">
            <v>4</v>
          </cell>
          <cell r="AK135" t="str">
            <v>C</v>
          </cell>
          <cell r="AL135">
            <v>4</v>
          </cell>
          <cell r="AM135" t="str">
            <v>C</v>
          </cell>
          <cell r="AN135">
            <v>4</v>
          </cell>
          <cell r="AO135">
            <v>0</v>
          </cell>
          <cell r="AP135">
            <v>0</v>
          </cell>
          <cell r="AQ135" t="str">
            <v>A</v>
          </cell>
          <cell r="AR135">
            <v>4</v>
          </cell>
          <cell r="AS135" t="str">
            <v>A</v>
          </cell>
          <cell r="AT135">
            <v>4</v>
          </cell>
          <cell r="AU135" t="str">
            <v>A</v>
          </cell>
          <cell r="AV135">
            <v>4</v>
          </cell>
          <cell r="AW135" t="str">
            <v>D</v>
          </cell>
          <cell r="AX135">
            <v>1</v>
          </cell>
          <cell r="AY135" t="str">
            <v>NT7</v>
          </cell>
          <cell r="AZ135">
            <v>0</v>
          </cell>
          <cell r="BA135" t="str">
            <v>D</v>
          </cell>
          <cell r="BB135">
            <v>2</v>
          </cell>
          <cell r="BC135">
            <v>0</v>
          </cell>
          <cell r="BD135">
            <v>16</v>
          </cell>
          <cell r="BE135" t="str">
            <v>C</v>
          </cell>
          <cell r="BF135">
            <v>4</v>
          </cell>
          <cell r="BG135" t="str">
            <v>C</v>
          </cell>
          <cell r="BH135">
            <v>4</v>
          </cell>
          <cell r="BI135" t="str">
            <v>C</v>
          </cell>
          <cell r="BJ135">
            <v>4</v>
          </cell>
          <cell r="BK135" t="str">
            <v>C</v>
          </cell>
          <cell r="BL135">
            <v>4</v>
          </cell>
          <cell r="BM135" t="str">
            <v>C</v>
          </cell>
          <cell r="BN135">
            <v>4</v>
          </cell>
          <cell r="BO135" t="str">
            <v>HH</v>
          </cell>
          <cell r="BP135">
            <v>0</v>
          </cell>
          <cell r="BQ135">
            <v>8</v>
          </cell>
          <cell r="BR135">
            <v>3</v>
          </cell>
          <cell r="BS135">
            <v>0</v>
          </cell>
          <cell r="BT135">
            <v>12</v>
          </cell>
          <cell r="BU135">
            <v>0</v>
          </cell>
          <cell r="BV135">
            <v>0</v>
          </cell>
          <cell r="BW135">
            <v>2</v>
          </cell>
          <cell r="BX135">
            <v>2</v>
          </cell>
          <cell r="BY135">
            <v>0</v>
          </cell>
          <cell r="BZ135">
            <v>27</v>
          </cell>
          <cell r="CA135">
            <v>85</v>
          </cell>
          <cell r="CB135">
            <v>16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4.5</v>
          </cell>
          <cell r="CH135">
            <v>0</v>
          </cell>
          <cell r="CI135">
            <v>70</v>
          </cell>
        </row>
        <row r="136">
          <cell r="A136" t="str">
            <v>A702</v>
          </cell>
          <cell r="B136" t="str">
            <v>Lê Tùng Quân</v>
          </cell>
          <cell r="C136" t="str">
            <v>EN</v>
          </cell>
          <cell r="D136">
            <v>0</v>
          </cell>
          <cell r="E136">
            <v>42376</v>
          </cell>
          <cell r="F136">
            <v>11</v>
          </cell>
          <cell r="G136" t="str">
            <v>A</v>
          </cell>
          <cell r="H136">
            <v>7</v>
          </cell>
          <cell r="I136" t="str">
            <v>A</v>
          </cell>
          <cell r="J136">
            <v>6</v>
          </cell>
          <cell r="K136" t="str">
            <v>A</v>
          </cell>
          <cell r="L136">
            <v>7</v>
          </cell>
          <cell r="M136">
            <v>0</v>
          </cell>
          <cell r="N136">
            <v>0</v>
          </cell>
          <cell r="O136" t="str">
            <v>C</v>
          </cell>
          <cell r="P136">
            <v>4</v>
          </cell>
          <cell r="Q136" t="str">
            <v>C</v>
          </cell>
          <cell r="R136">
            <v>4</v>
          </cell>
          <cell r="S136" t="str">
            <v>C</v>
          </cell>
          <cell r="T136">
            <v>4</v>
          </cell>
          <cell r="U136" t="str">
            <v>C</v>
          </cell>
          <cell r="V136">
            <v>4</v>
          </cell>
          <cell r="W136" t="str">
            <v>C</v>
          </cell>
          <cell r="X136">
            <v>4</v>
          </cell>
          <cell r="Y136" t="str">
            <v>C</v>
          </cell>
          <cell r="Z136">
            <v>8</v>
          </cell>
          <cell r="AA136">
            <v>0</v>
          </cell>
          <cell r="AB136">
            <v>0</v>
          </cell>
          <cell r="AC136" t="str">
            <v>A</v>
          </cell>
          <cell r="AD136">
            <v>4</v>
          </cell>
          <cell r="AE136" t="str">
            <v>A</v>
          </cell>
          <cell r="AF136">
            <v>4</v>
          </cell>
          <cell r="AG136" t="str">
            <v>A</v>
          </cell>
          <cell r="AH136">
            <v>4</v>
          </cell>
          <cell r="AI136" t="str">
            <v>A</v>
          </cell>
          <cell r="AJ136">
            <v>4</v>
          </cell>
          <cell r="AK136" t="str">
            <v>A</v>
          </cell>
          <cell r="AL136">
            <v>7</v>
          </cell>
          <cell r="AM136" t="str">
            <v>A</v>
          </cell>
          <cell r="AN136">
            <v>7</v>
          </cell>
          <cell r="AO136">
            <v>0</v>
          </cell>
          <cell r="AP136">
            <v>0</v>
          </cell>
          <cell r="AQ136" t="str">
            <v>C</v>
          </cell>
          <cell r="AR136">
            <v>7</v>
          </cell>
          <cell r="AS136" t="str">
            <v>C</v>
          </cell>
          <cell r="AT136">
            <v>7</v>
          </cell>
          <cell r="AU136" t="str">
            <v>C</v>
          </cell>
          <cell r="AV136">
            <v>7</v>
          </cell>
          <cell r="AW136" t="str">
            <v>C</v>
          </cell>
          <cell r="AX136">
            <v>7</v>
          </cell>
          <cell r="AY136" t="str">
            <v>C</v>
          </cell>
          <cell r="AZ136">
            <v>7</v>
          </cell>
          <cell r="BA136" t="str">
            <v>C</v>
          </cell>
          <cell r="BB136">
            <v>4</v>
          </cell>
          <cell r="BC136">
            <v>0</v>
          </cell>
          <cell r="BD136">
            <v>0</v>
          </cell>
          <cell r="BE136" t="str">
            <v>A</v>
          </cell>
          <cell r="BF136">
            <v>7</v>
          </cell>
          <cell r="BG136" t="str">
            <v>NT7</v>
          </cell>
          <cell r="BH136">
            <v>0</v>
          </cell>
          <cell r="BI136" t="str">
            <v>A</v>
          </cell>
          <cell r="BJ136">
            <v>7</v>
          </cell>
          <cell r="BK136" t="str">
            <v>A</v>
          </cell>
          <cell r="BL136">
            <v>7</v>
          </cell>
          <cell r="BM136" t="str">
            <v>A</v>
          </cell>
          <cell r="BN136">
            <v>7</v>
          </cell>
          <cell r="BO136" t="str">
            <v>A</v>
          </cell>
          <cell r="BP136">
            <v>7</v>
          </cell>
          <cell r="BQ136">
            <v>14</v>
          </cell>
          <cell r="BR136">
            <v>0</v>
          </cell>
          <cell r="BS136">
            <v>0</v>
          </cell>
          <cell r="BT136">
            <v>12</v>
          </cell>
          <cell r="BU136">
            <v>0</v>
          </cell>
          <cell r="BV136">
            <v>0</v>
          </cell>
          <cell r="BW136">
            <v>0</v>
          </cell>
          <cell r="BX136">
            <v>1</v>
          </cell>
          <cell r="BY136">
            <v>0</v>
          </cell>
          <cell r="BZ136">
            <v>27</v>
          </cell>
          <cell r="CA136">
            <v>152</v>
          </cell>
          <cell r="CB136">
            <v>0</v>
          </cell>
          <cell r="CC136">
            <v>0</v>
          </cell>
          <cell r="CD136">
            <v>1</v>
          </cell>
          <cell r="CE136">
            <v>0</v>
          </cell>
          <cell r="CF136">
            <v>70</v>
          </cell>
          <cell r="CG136">
            <v>12</v>
          </cell>
          <cell r="CH136">
            <v>0</v>
          </cell>
          <cell r="CI136">
            <v>70</v>
          </cell>
        </row>
        <row r="137">
          <cell r="A137" t="str">
            <v>A703</v>
          </cell>
          <cell r="B137" t="str">
            <v>Nguyễn Văn Danh</v>
          </cell>
          <cell r="C137" t="str">
            <v>EN</v>
          </cell>
          <cell r="D137">
            <v>0</v>
          </cell>
          <cell r="E137">
            <v>42376</v>
          </cell>
          <cell r="F137">
            <v>3</v>
          </cell>
          <cell r="G137" t="str">
            <v>C</v>
          </cell>
          <cell r="H137">
            <v>4</v>
          </cell>
          <cell r="I137" t="str">
            <v>C</v>
          </cell>
          <cell r="J137">
            <v>4</v>
          </cell>
          <cell r="K137" t="str">
            <v>C</v>
          </cell>
          <cell r="L137">
            <v>4</v>
          </cell>
          <cell r="M137">
            <v>0</v>
          </cell>
          <cell r="N137">
            <v>0</v>
          </cell>
          <cell r="O137" t="str">
            <v>A</v>
          </cell>
          <cell r="P137">
            <v>4</v>
          </cell>
          <cell r="Q137" t="str">
            <v>A</v>
          </cell>
          <cell r="R137">
            <v>4</v>
          </cell>
          <cell r="S137" t="str">
            <v>A</v>
          </cell>
          <cell r="T137">
            <v>4</v>
          </cell>
          <cell r="U137" t="str">
            <v>A</v>
          </cell>
          <cell r="V137">
            <v>4</v>
          </cell>
          <cell r="W137" t="str">
            <v>A</v>
          </cell>
          <cell r="X137">
            <v>4</v>
          </cell>
          <cell r="Y137" t="str">
            <v>A</v>
          </cell>
          <cell r="Z137">
            <v>4</v>
          </cell>
          <cell r="AA137">
            <v>0</v>
          </cell>
          <cell r="AB137">
            <v>12</v>
          </cell>
          <cell r="AC137" t="str">
            <v>C</v>
          </cell>
          <cell r="AD137">
            <v>4</v>
          </cell>
          <cell r="AE137" t="str">
            <v>C</v>
          </cell>
          <cell r="AF137">
            <v>4</v>
          </cell>
          <cell r="AG137" t="str">
            <v>C</v>
          </cell>
          <cell r="AH137">
            <v>4</v>
          </cell>
          <cell r="AI137" t="str">
            <v>C</v>
          </cell>
          <cell r="AJ137">
            <v>4</v>
          </cell>
          <cell r="AK137" t="str">
            <v>C</v>
          </cell>
          <cell r="AL137">
            <v>4</v>
          </cell>
          <cell r="AM137" t="str">
            <v>C</v>
          </cell>
          <cell r="AN137">
            <v>4</v>
          </cell>
          <cell r="AO137">
            <v>0</v>
          </cell>
          <cell r="AP137">
            <v>0</v>
          </cell>
          <cell r="AQ137" t="str">
            <v>A</v>
          </cell>
          <cell r="AR137">
            <v>7</v>
          </cell>
          <cell r="AS137" t="str">
            <v>A</v>
          </cell>
          <cell r="AT137">
            <v>4</v>
          </cell>
          <cell r="AU137" t="str">
            <v>A</v>
          </cell>
          <cell r="AV137">
            <v>4</v>
          </cell>
          <cell r="AW137" t="str">
            <v>A</v>
          </cell>
          <cell r="AX137">
            <v>4</v>
          </cell>
          <cell r="AY137" t="str">
            <v>A</v>
          </cell>
          <cell r="AZ137">
            <v>4</v>
          </cell>
          <cell r="BA137" t="str">
            <v>A</v>
          </cell>
          <cell r="BB137">
            <v>4</v>
          </cell>
          <cell r="BC137">
            <v>0</v>
          </cell>
          <cell r="BD137">
            <v>0</v>
          </cell>
          <cell r="BE137" t="str">
            <v>C</v>
          </cell>
          <cell r="BF137">
            <v>4</v>
          </cell>
          <cell r="BG137" t="str">
            <v>C</v>
          </cell>
          <cell r="BH137">
            <v>4</v>
          </cell>
          <cell r="BI137" t="str">
            <v>C</v>
          </cell>
          <cell r="BJ137">
            <v>4</v>
          </cell>
          <cell r="BK137" t="str">
            <v>C</v>
          </cell>
          <cell r="BL137">
            <v>4</v>
          </cell>
          <cell r="BM137" t="str">
            <v>NT7</v>
          </cell>
          <cell r="BN137">
            <v>0</v>
          </cell>
          <cell r="BO137" t="str">
            <v>C</v>
          </cell>
          <cell r="BP137">
            <v>4</v>
          </cell>
          <cell r="BQ137">
            <v>12</v>
          </cell>
          <cell r="BR137">
            <v>0</v>
          </cell>
          <cell r="BS137">
            <v>0</v>
          </cell>
          <cell r="BT137">
            <v>14</v>
          </cell>
          <cell r="BU137">
            <v>0</v>
          </cell>
          <cell r="BV137">
            <v>0</v>
          </cell>
          <cell r="BW137">
            <v>0</v>
          </cell>
          <cell r="BX137">
            <v>1</v>
          </cell>
          <cell r="BY137">
            <v>0</v>
          </cell>
          <cell r="BZ137">
            <v>27</v>
          </cell>
          <cell r="CA137">
            <v>107</v>
          </cell>
          <cell r="CB137">
            <v>12</v>
          </cell>
          <cell r="CC137">
            <v>0</v>
          </cell>
          <cell r="CD137">
            <v>1</v>
          </cell>
          <cell r="CE137">
            <v>1</v>
          </cell>
          <cell r="CF137">
            <v>70</v>
          </cell>
          <cell r="CG137">
            <v>4</v>
          </cell>
          <cell r="CH137">
            <v>16</v>
          </cell>
          <cell r="CI137">
            <v>70</v>
          </cell>
        </row>
        <row r="138">
          <cell r="A138" t="str">
            <v>A709</v>
          </cell>
          <cell r="B138" t="str">
            <v>Trần Văn Hoàng</v>
          </cell>
          <cell r="C138" t="str">
            <v>TXBVTV</v>
          </cell>
          <cell r="D138">
            <v>0</v>
          </cell>
          <cell r="E138">
            <v>42387</v>
          </cell>
          <cell r="F138">
            <v>4</v>
          </cell>
          <cell r="G138" t="str">
            <v>D</v>
          </cell>
          <cell r="H138">
            <v>0</v>
          </cell>
          <cell r="I138" t="str">
            <v>D</v>
          </cell>
          <cell r="J138">
            <v>0</v>
          </cell>
          <cell r="K138" t="str">
            <v>D</v>
          </cell>
          <cell r="L138">
            <v>0</v>
          </cell>
          <cell r="M138" t="str">
            <v>D</v>
          </cell>
          <cell r="N138">
            <v>0</v>
          </cell>
          <cell r="O138" t="str">
            <v>D</v>
          </cell>
          <cell r="P138">
            <v>0</v>
          </cell>
          <cell r="Q138" t="str">
            <v>D</v>
          </cell>
          <cell r="R138">
            <v>0</v>
          </cell>
          <cell r="S138" t="str">
            <v>D</v>
          </cell>
          <cell r="T138">
            <v>0</v>
          </cell>
          <cell r="U138" t="str">
            <v>D</v>
          </cell>
          <cell r="V138">
            <v>0</v>
          </cell>
          <cell r="W138" t="str">
            <v>D</v>
          </cell>
          <cell r="X138">
            <v>0</v>
          </cell>
          <cell r="Y138" t="str">
            <v>D</v>
          </cell>
          <cell r="Z138">
            <v>0</v>
          </cell>
          <cell r="AA138" t="str">
            <v>D</v>
          </cell>
          <cell r="AB138">
            <v>0</v>
          </cell>
          <cell r="AC138" t="str">
            <v>P</v>
          </cell>
          <cell r="AD138">
            <v>0</v>
          </cell>
          <cell r="AE138" t="str">
            <v>P</v>
          </cell>
          <cell r="AF138">
            <v>0</v>
          </cell>
          <cell r="AG138" t="str">
            <v>D</v>
          </cell>
          <cell r="AH138">
            <v>0</v>
          </cell>
          <cell r="AI138" t="str">
            <v>D</v>
          </cell>
          <cell r="AJ138">
            <v>0</v>
          </cell>
          <cell r="AK138" t="str">
            <v>D</v>
          </cell>
          <cell r="AL138">
            <v>0</v>
          </cell>
          <cell r="AM138" t="str">
            <v>D</v>
          </cell>
          <cell r="AN138">
            <v>0</v>
          </cell>
          <cell r="AO138" t="str">
            <v>D</v>
          </cell>
          <cell r="AP138">
            <v>0</v>
          </cell>
          <cell r="AQ138" t="str">
            <v>D</v>
          </cell>
          <cell r="AR138">
            <v>0</v>
          </cell>
          <cell r="AS138" t="str">
            <v>D</v>
          </cell>
          <cell r="AT138">
            <v>0</v>
          </cell>
          <cell r="AU138" t="str">
            <v>D</v>
          </cell>
          <cell r="AV138">
            <v>0</v>
          </cell>
          <cell r="AW138" t="str">
            <v>D</v>
          </cell>
          <cell r="AX138">
            <v>0</v>
          </cell>
          <cell r="AY138" t="str">
            <v>D</v>
          </cell>
          <cell r="AZ138">
            <v>0</v>
          </cell>
          <cell r="BA138" t="str">
            <v>D</v>
          </cell>
          <cell r="BB138">
            <v>0</v>
          </cell>
          <cell r="BC138" t="str">
            <v>D</v>
          </cell>
          <cell r="BD138">
            <v>0</v>
          </cell>
          <cell r="BE138" t="str">
            <v>D</v>
          </cell>
          <cell r="BF138">
            <v>0</v>
          </cell>
          <cell r="BG138" t="str">
            <v>D</v>
          </cell>
          <cell r="BH138">
            <v>0</v>
          </cell>
          <cell r="BI138" t="str">
            <v>D</v>
          </cell>
          <cell r="BJ138">
            <v>0</v>
          </cell>
          <cell r="BK138" t="str">
            <v>D</v>
          </cell>
          <cell r="BL138">
            <v>0</v>
          </cell>
          <cell r="BM138" t="str">
            <v>D</v>
          </cell>
          <cell r="BN138">
            <v>0</v>
          </cell>
          <cell r="BO138" t="str">
            <v>D</v>
          </cell>
          <cell r="BP138">
            <v>0</v>
          </cell>
          <cell r="BQ138">
            <v>0</v>
          </cell>
          <cell r="BR138">
            <v>29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2</v>
          </cell>
          <cell r="BZ138">
            <v>31</v>
          </cell>
          <cell r="CA138">
            <v>0</v>
          </cell>
          <cell r="CB138">
            <v>0</v>
          </cell>
          <cell r="CC138">
            <v>0</v>
          </cell>
          <cell r="CD138">
            <v>2</v>
          </cell>
          <cell r="CE138">
            <v>24</v>
          </cell>
          <cell r="CF138">
            <v>140</v>
          </cell>
          <cell r="CG138">
            <v>3</v>
          </cell>
          <cell r="CH138">
            <v>384</v>
          </cell>
          <cell r="CI138">
            <v>70</v>
          </cell>
        </row>
        <row r="139">
          <cell r="A139" t="str">
            <v>A711</v>
          </cell>
          <cell r="B139" t="str">
            <v>Nguyễn Phước Trực</v>
          </cell>
          <cell r="C139" t="str">
            <v>KHUON</v>
          </cell>
          <cell r="D139">
            <v>0</v>
          </cell>
          <cell r="E139">
            <v>42384</v>
          </cell>
          <cell r="F139">
            <v>2</v>
          </cell>
          <cell r="G139" t="str">
            <v>C</v>
          </cell>
          <cell r="H139">
            <v>4</v>
          </cell>
          <cell r="I139" t="str">
            <v>B</v>
          </cell>
          <cell r="J139">
            <v>2</v>
          </cell>
          <cell r="K139" t="str">
            <v>C</v>
          </cell>
          <cell r="L139">
            <v>4</v>
          </cell>
          <cell r="M139">
            <v>0</v>
          </cell>
          <cell r="N139">
            <v>0</v>
          </cell>
          <cell r="O139" t="str">
            <v>C</v>
          </cell>
          <cell r="P139">
            <v>4</v>
          </cell>
          <cell r="Q139" t="str">
            <v>C</v>
          </cell>
          <cell r="R139">
            <v>4</v>
          </cell>
          <cell r="S139" t="str">
            <v>C</v>
          </cell>
          <cell r="T139">
            <v>4</v>
          </cell>
          <cell r="U139" t="str">
            <v>C</v>
          </cell>
          <cell r="V139">
            <v>4</v>
          </cell>
          <cell r="W139" t="str">
            <v>C</v>
          </cell>
          <cell r="X139">
            <v>4</v>
          </cell>
          <cell r="Y139" t="str">
            <v>C</v>
          </cell>
          <cell r="Z139">
            <v>4</v>
          </cell>
          <cell r="AA139">
            <v>0</v>
          </cell>
          <cell r="AB139">
            <v>0</v>
          </cell>
          <cell r="AC139" t="str">
            <v>C</v>
          </cell>
          <cell r="AD139">
            <v>4</v>
          </cell>
          <cell r="AE139" t="str">
            <v>C</v>
          </cell>
          <cell r="AF139">
            <v>4</v>
          </cell>
          <cell r="AG139" t="str">
            <v>C</v>
          </cell>
          <cell r="AH139">
            <v>4</v>
          </cell>
          <cell r="AI139" t="str">
            <v>C</v>
          </cell>
          <cell r="AJ139">
            <v>4</v>
          </cell>
          <cell r="AK139" t="str">
            <v>C</v>
          </cell>
          <cell r="AL139">
            <v>4</v>
          </cell>
          <cell r="AM139" t="str">
            <v>C</v>
          </cell>
          <cell r="AN139">
            <v>4</v>
          </cell>
          <cell r="AO139">
            <v>0</v>
          </cell>
          <cell r="AP139">
            <v>0</v>
          </cell>
          <cell r="AQ139" t="str">
            <v>B</v>
          </cell>
          <cell r="AR139">
            <v>2.5</v>
          </cell>
          <cell r="AS139" t="str">
            <v>C</v>
          </cell>
          <cell r="AT139">
            <v>4</v>
          </cell>
          <cell r="AU139" t="str">
            <v>C</v>
          </cell>
          <cell r="AV139">
            <v>4</v>
          </cell>
          <cell r="AW139" t="str">
            <v>C</v>
          </cell>
          <cell r="AX139">
            <v>4</v>
          </cell>
          <cell r="AY139" t="str">
            <v>C</v>
          </cell>
          <cell r="AZ139">
            <v>4</v>
          </cell>
          <cell r="BA139" t="str">
            <v>C</v>
          </cell>
          <cell r="BB139">
            <v>4</v>
          </cell>
          <cell r="BC139">
            <v>0</v>
          </cell>
          <cell r="BD139">
            <v>0</v>
          </cell>
          <cell r="BE139" t="str">
            <v>A</v>
          </cell>
          <cell r="BF139">
            <v>4</v>
          </cell>
          <cell r="BG139" t="str">
            <v>A</v>
          </cell>
          <cell r="BH139">
            <v>4</v>
          </cell>
          <cell r="BI139" t="str">
            <v>A</v>
          </cell>
          <cell r="BJ139">
            <v>4</v>
          </cell>
          <cell r="BK139" t="str">
            <v>A</v>
          </cell>
          <cell r="BL139">
            <v>4</v>
          </cell>
          <cell r="BM139" t="str">
            <v>C</v>
          </cell>
          <cell r="BN139">
            <v>4</v>
          </cell>
          <cell r="BO139" t="str">
            <v>C</v>
          </cell>
          <cell r="BP139">
            <v>4</v>
          </cell>
          <cell r="BQ139">
            <v>4</v>
          </cell>
          <cell r="BR139">
            <v>0</v>
          </cell>
          <cell r="BS139">
            <v>2</v>
          </cell>
          <cell r="BT139">
            <v>21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27</v>
          </cell>
          <cell r="CA139">
            <v>104.5</v>
          </cell>
          <cell r="CB139">
            <v>0</v>
          </cell>
          <cell r="CC139">
            <v>0</v>
          </cell>
          <cell r="CD139">
            <v>2</v>
          </cell>
          <cell r="CE139">
            <v>0</v>
          </cell>
          <cell r="CF139">
            <v>300</v>
          </cell>
          <cell r="CG139">
            <v>3</v>
          </cell>
          <cell r="CH139">
            <v>0</v>
          </cell>
          <cell r="CI139">
            <v>150</v>
          </cell>
        </row>
        <row r="140">
          <cell r="A140" t="str">
            <v>A713</v>
          </cell>
          <cell r="B140" t="str">
            <v>Lê Văn Quang</v>
          </cell>
          <cell r="C140" t="str">
            <v>TXBVTV</v>
          </cell>
          <cell r="D140">
            <v>0</v>
          </cell>
          <cell r="E140">
            <v>42395</v>
          </cell>
          <cell r="F140">
            <v>9</v>
          </cell>
          <cell r="G140" t="str">
            <v>D</v>
          </cell>
          <cell r="H140">
            <v>0</v>
          </cell>
          <cell r="I140" t="str">
            <v>D</v>
          </cell>
          <cell r="J140">
            <v>0</v>
          </cell>
          <cell r="K140" t="str">
            <v>D</v>
          </cell>
          <cell r="L140">
            <v>0</v>
          </cell>
          <cell r="M140">
            <v>0</v>
          </cell>
          <cell r="N140">
            <v>0</v>
          </cell>
          <cell r="O140" t="str">
            <v>D</v>
          </cell>
          <cell r="P140">
            <v>0</v>
          </cell>
          <cell r="Q140" t="str">
            <v>P</v>
          </cell>
          <cell r="R140">
            <v>0</v>
          </cell>
          <cell r="S140" t="str">
            <v>P</v>
          </cell>
          <cell r="T140">
            <v>0</v>
          </cell>
          <cell r="U140" t="str">
            <v>D</v>
          </cell>
          <cell r="V140">
            <v>0</v>
          </cell>
          <cell r="W140" t="str">
            <v>D</v>
          </cell>
          <cell r="X140">
            <v>0</v>
          </cell>
          <cell r="Y140" t="str">
            <v>D</v>
          </cell>
          <cell r="Z140">
            <v>0</v>
          </cell>
          <cell r="AA140">
            <v>0</v>
          </cell>
          <cell r="AB140">
            <v>0</v>
          </cell>
          <cell r="AC140" t="str">
            <v>D</v>
          </cell>
          <cell r="AD140">
            <v>0</v>
          </cell>
          <cell r="AE140" t="str">
            <v>D</v>
          </cell>
          <cell r="AF140">
            <v>0</v>
          </cell>
          <cell r="AG140" t="str">
            <v>D</v>
          </cell>
          <cell r="AH140">
            <v>0</v>
          </cell>
          <cell r="AI140" t="str">
            <v>D</v>
          </cell>
          <cell r="AJ140">
            <v>0</v>
          </cell>
          <cell r="AK140" t="str">
            <v>D</v>
          </cell>
          <cell r="AL140">
            <v>0</v>
          </cell>
          <cell r="AM140" t="str">
            <v>D</v>
          </cell>
          <cell r="AN140">
            <v>0</v>
          </cell>
          <cell r="AO140" t="str">
            <v>D</v>
          </cell>
          <cell r="AP140">
            <v>0</v>
          </cell>
          <cell r="AQ140" t="str">
            <v>D</v>
          </cell>
          <cell r="AR140">
            <v>0</v>
          </cell>
          <cell r="AS140" t="str">
            <v>D</v>
          </cell>
          <cell r="AT140">
            <v>0</v>
          </cell>
          <cell r="AU140" t="str">
            <v>D</v>
          </cell>
          <cell r="AV140">
            <v>0</v>
          </cell>
          <cell r="AW140" t="str">
            <v>D</v>
          </cell>
          <cell r="AX140">
            <v>0</v>
          </cell>
          <cell r="AY140" t="str">
            <v>D</v>
          </cell>
          <cell r="AZ140">
            <v>0</v>
          </cell>
          <cell r="BA140" t="str">
            <v>D</v>
          </cell>
          <cell r="BB140">
            <v>0</v>
          </cell>
          <cell r="BC140" t="str">
            <v>D</v>
          </cell>
          <cell r="BD140">
            <v>0</v>
          </cell>
          <cell r="BE140" t="str">
            <v>D</v>
          </cell>
          <cell r="BF140">
            <v>0</v>
          </cell>
          <cell r="BG140" t="str">
            <v>D</v>
          </cell>
          <cell r="BH140">
            <v>0</v>
          </cell>
          <cell r="BI140" t="str">
            <v>D</v>
          </cell>
          <cell r="BJ140">
            <v>0</v>
          </cell>
          <cell r="BK140" t="str">
            <v>D</v>
          </cell>
          <cell r="BL140">
            <v>0</v>
          </cell>
          <cell r="BM140" t="str">
            <v>D</v>
          </cell>
          <cell r="BN140">
            <v>0</v>
          </cell>
          <cell r="BO140" t="str">
            <v>D</v>
          </cell>
          <cell r="BP140">
            <v>0</v>
          </cell>
          <cell r="BQ140">
            <v>0</v>
          </cell>
          <cell r="BR140">
            <v>27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2</v>
          </cell>
          <cell r="BZ140">
            <v>29</v>
          </cell>
          <cell r="CA140">
            <v>0</v>
          </cell>
          <cell r="CB140">
            <v>0</v>
          </cell>
          <cell r="CC140">
            <v>0</v>
          </cell>
          <cell r="CD140">
            <v>2</v>
          </cell>
          <cell r="CE140">
            <v>21</v>
          </cell>
          <cell r="CF140">
            <v>140</v>
          </cell>
          <cell r="CG140">
            <v>8</v>
          </cell>
          <cell r="CH140">
            <v>336</v>
          </cell>
          <cell r="CI140">
            <v>70</v>
          </cell>
        </row>
        <row r="141">
          <cell r="A141" t="str">
            <v>A717</v>
          </cell>
          <cell r="B141" t="str">
            <v>Ngô Nhất Linh</v>
          </cell>
          <cell r="C141" t="str">
            <v>Kho</v>
          </cell>
          <cell r="D141">
            <v>0</v>
          </cell>
          <cell r="E141">
            <v>42391</v>
          </cell>
          <cell r="F141">
            <v>7.5</v>
          </cell>
          <cell r="G141" t="str">
            <v>D</v>
          </cell>
          <cell r="H141">
            <v>0</v>
          </cell>
          <cell r="I141" t="str">
            <v>A</v>
          </cell>
          <cell r="J141">
            <v>4</v>
          </cell>
          <cell r="K141" t="str">
            <v>D</v>
          </cell>
          <cell r="L141">
            <v>0</v>
          </cell>
          <cell r="M141">
            <v>0</v>
          </cell>
          <cell r="N141">
            <v>0</v>
          </cell>
          <cell r="O141" t="str">
            <v>A</v>
          </cell>
          <cell r="P141">
            <v>4</v>
          </cell>
          <cell r="Q141" t="str">
            <v>D</v>
          </cell>
          <cell r="R141">
            <v>3</v>
          </cell>
          <cell r="S141" t="str">
            <v>A</v>
          </cell>
          <cell r="T141">
            <v>4</v>
          </cell>
          <cell r="U141" t="str">
            <v>D</v>
          </cell>
          <cell r="V141">
            <v>0</v>
          </cell>
          <cell r="W141" t="str">
            <v>D</v>
          </cell>
          <cell r="X141">
            <v>3</v>
          </cell>
          <cell r="Y141" t="str">
            <v>D</v>
          </cell>
          <cell r="Z141">
            <v>0</v>
          </cell>
          <cell r="AA141">
            <v>0</v>
          </cell>
          <cell r="AB141">
            <v>0</v>
          </cell>
          <cell r="AC141" t="str">
            <v>D</v>
          </cell>
          <cell r="AD141">
            <v>3</v>
          </cell>
          <cell r="AE141" t="str">
            <v>A</v>
          </cell>
          <cell r="AF141">
            <v>4</v>
          </cell>
          <cell r="AG141" t="str">
            <v>D</v>
          </cell>
          <cell r="AH141">
            <v>2.5</v>
          </cell>
          <cell r="AI141" t="str">
            <v>D</v>
          </cell>
          <cell r="AJ141">
            <v>0</v>
          </cell>
          <cell r="AK141" t="str">
            <v>A</v>
          </cell>
          <cell r="AL141">
            <v>4.5</v>
          </cell>
          <cell r="AM141" t="str">
            <v>D</v>
          </cell>
          <cell r="AN141">
            <v>0</v>
          </cell>
          <cell r="AO141">
            <v>0</v>
          </cell>
          <cell r="AP141">
            <v>0</v>
          </cell>
          <cell r="AQ141" t="str">
            <v>A</v>
          </cell>
          <cell r="AR141">
            <v>4</v>
          </cell>
          <cell r="AS141" t="str">
            <v>A</v>
          </cell>
          <cell r="AT141">
            <v>4</v>
          </cell>
          <cell r="AU141" t="str">
            <v>D</v>
          </cell>
          <cell r="AV141">
            <v>1.5</v>
          </cell>
          <cell r="AW141" t="str">
            <v>A</v>
          </cell>
          <cell r="AX141">
            <v>4</v>
          </cell>
          <cell r="AY141" t="str">
            <v>A</v>
          </cell>
          <cell r="AZ141">
            <v>4</v>
          </cell>
          <cell r="BA141" t="str">
            <v>D</v>
          </cell>
          <cell r="BB141">
            <v>0</v>
          </cell>
          <cell r="BC141">
            <v>0</v>
          </cell>
          <cell r="BD141">
            <v>0</v>
          </cell>
          <cell r="BE141" t="str">
            <v>A</v>
          </cell>
          <cell r="BF141">
            <v>4</v>
          </cell>
          <cell r="BG141" t="str">
            <v>A</v>
          </cell>
          <cell r="BH141">
            <v>4</v>
          </cell>
          <cell r="BI141" t="str">
            <v>A</v>
          </cell>
          <cell r="BJ141">
            <v>4.5</v>
          </cell>
          <cell r="BK141" t="str">
            <v>P5,D5</v>
          </cell>
          <cell r="BL141">
            <v>0</v>
          </cell>
          <cell r="BM141" t="str">
            <v>D</v>
          </cell>
          <cell r="BN141">
            <v>1</v>
          </cell>
          <cell r="BO141" t="str">
            <v>NT7</v>
          </cell>
          <cell r="BP141">
            <v>0</v>
          </cell>
          <cell r="BQ141">
            <v>12</v>
          </cell>
          <cell r="BR141">
            <v>13.5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1</v>
          </cell>
          <cell r="BY141">
            <v>0.5</v>
          </cell>
          <cell r="BZ141">
            <v>27</v>
          </cell>
          <cell r="CA141">
            <v>63</v>
          </cell>
          <cell r="CB141">
            <v>0</v>
          </cell>
          <cell r="CC141">
            <v>0</v>
          </cell>
          <cell r="CD141">
            <v>1</v>
          </cell>
          <cell r="CE141">
            <v>0</v>
          </cell>
          <cell r="CF141">
            <v>70</v>
          </cell>
          <cell r="CG141">
            <v>8</v>
          </cell>
          <cell r="CH141">
            <v>0</v>
          </cell>
          <cell r="CI141">
            <v>70</v>
          </cell>
        </row>
        <row r="142">
          <cell r="A142" t="str">
            <v>A719</v>
          </cell>
          <cell r="B142" t="str">
            <v>Trần Văn Tuấn</v>
          </cell>
          <cell r="C142" t="str">
            <v>EN</v>
          </cell>
          <cell r="D142">
            <v>0</v>
          </cell>
          <cell r="E142" t="str">
            <v>18/02/2016</v>
          </cell>
          <cell r="F142">
            <v>0</v>
          </cell>
          <cell r="G142" t="str">
            <v>C</v>
          </cell>
          <cell r="H142">
            <v>4</v>
          </cell>
          <cell r="I142" t="str">
            <v>NT7</v>
          </cell>
          <cell r="J142">
            <v>0</v>
          </cell>
          <cell r="K142" t="str">
            <v>C</v>
          </cell>
          <cell r="L142">
            <v>4</v>
          </cell>
          <cell r="M142">
            <v>0</v>
          </cell>
          <cell r="N142">
            <v>0</v>
          </cell>
          <cell r="O142" t="str">
            <v>A</v>
          </cell>
          <cell r="P142">
            <v>4</v>
          </cell>
          <cell r="Q142" t="str">
            <v>A</v>
          </cell>
          <cell r="R142">
            <v>4</v>
          </cell>
          <cell r="S142" t="str">
            <v>A</v>
          </cell>
          <cell r="T142">
            <v>4</v>
          </cell>
          <cell r="U142" t="str">
            <v>A</v>
          </cell>
          <cell r="V142">
            <v>4</v>
          </cell>
          <cell r="W142" t="str">
            <v>A</v>
          </cell>
          <cell r="X142">
            <v>4</v>
          </cell>
          <cell r="Y142" t="str">
            <v>A</v>
          </cell>
          <cell r="Z142">
            <v>4</v>
          </cell>
          <cell r="AA142">
            <v>0</v>
          </cell>
          <cell r="AB142">
            <v>0</v>
          </cell>
          <cell r="AC142" t="str">
            <v>C</v>
          </cell>
          <cell r="AD142">
            <v>4</v>
          </cell>
          <cell r="AE142" t="str">
            <v>C</v>
          </cell>
          <cell r="AF142">
            <v>4</v>
          </cell>
          <cell r="AG142" t="str">
            <v>C</v>
          </cell>
          <cell r="AH142">
            <v>4</v>
          </cell>
          <cell r="AI142" t="str">
            <v>C</v>
          </cell>
          <cell r="AJ142">
            <v>4</v>
          </cell>
          <cell r="AK142" t="str">
            <v>C</v>
          </cell>
          <cell r="AL142">
            <v>4</v>
          </cell>
          <cell r="AM142" t="str">
            <v>C</v>
          </cell>
          <cell r="AN142">
            <v>4</v>
          </cell>
          <cell r="AO142">
            <v>0</v>
          </cell>
          <cell r="AP142">
            <v>0</v>
          </cell>
          <cell r="AQ142" t="str">
            <v>A</v>
          </cell>
          <cell r="AR142">
            <v>4</v>
          </cell>
          <cell r="AS142" t="str">
            <v>A</v>
          </cell>
          <cell r="AT142">
            <v>4</v>
          </cell>
          <cell r="AU142" t="str">
            <v>A</v>
          </cell>
          <cell r="AV142">
            <v>4</v>
          </cell>
          <cell r="AW142" t="str">
            <v>A</v>
          </cell>
          <cell r="AX142">
            <v>4</v>
          </cell>
          <cell r="AY142" t="str">
            <v>A</v>
          </cell>
          <cell r="AZ142">
            <v>4</v>
          </cell>
          <cell r="BA142" t="str">
            <v>A</v>
          </cell>
          <cell r="BB142">
            <v>4</v>
          </cell>
          <cell r="BC142">
            <v>0</v>
          </cell>
          <cell r="BD142">
            <v>0</v>
          </cell>
          <cell r="BE142" t="str">
            <v>C</v>
          </cell>
          <cell r="BF142">
            <v>4</v>
          </cell>
          <cell r="BG142" t="str">
            <v>C</v>
          </cell>
          <cell r="BH142">
            <v>4</v>
          </cell>
          <cell r="BI142" t="str">
            <v>C</v>
          </cell>
          <cell r="BJ142">
            <v>4</v>
          </cell>
          <cell r="BK142" t="str">
            <v>C</v>
          </cell>
          <cell r="BL142">
            <v>4</v>
          </cell>
          <cell r="BM142" t="str">
            <v>C</v>
          </cell>
          <cell r="BN142">
            <v>4</v>
          </cell>
          <cell r="BO142" t="str">
            <v>C</v>
          </cell>
          <cell r="BP142">
            <v>4</v>
          </cell>
          <cell r="BQ142">
            <v>12</v>
          </cell>
          <cell r="BR142">
            <v>0</v>
          </cell>
          <cell r="BS142">
            <v>0</v>
          </cell>
          <cell r="BT142">
            <v>14</v>
          </cell>
          <cell r="BU142">
            <v>0</v>
          </cell>
          <cell r="BV142">
            <v>0</v>
          </cell>
          <cell r="BW142">
            <v>0</v>
          </cell>
          <cell r="BX142">
            <v>1</v>
          </cell>
          <cell r="BY142">
            <v>0</v>
          </cell>
          <cell r="BZ142">
            <v>27</v>
          </cell>
          <cell r="CA142">
            <v>104</v>
          </cell>
          <cell r="CB142">
            <v>0</v>
          </cell>
          <cell r="CC142">
            <v>0</v>
          </cell>
          <cell r="CD142">
            <v>1</v>
          </cell>
          <cell r="CE142">
            <v>0</v>
          </cell>
          <cell r="CF142">
            <v>70</v>
          </cell>
          <cell r="CG142">
            <v>1</v>
          </cell>
          <cell r="CH142">
            <v>0</v>
          </cell>
          <cell r="CI142">
            <v>70</v>
          </cell>
        </row>
        <row r="143">
          <cell r="A143" t="str">
            <v>A721</v>
          </cell>
          <cell r="B143" t="str">
            <v>Trương Tuấn Vũ</v>
          </cell>
          <cell r="C143" t="str">
            <v xml:space="preserve">XLN </v>
          </cell>
          <cell r="D143">
            <v>0</v>
          </cell>
          <cell r="E143" t="str">
            <v>18/02/2016</v>
          </cell>
          <cell r="F143">
            <v>9</v>
          </cell>
          <cell r="G143" t="str">
            <v>A</v>
          </cell>
          <cell r="H143">
            <v>5</v>
          </cell>
          <cell r="I143" t="str">
            <v>A</v>
          </cell>
          <cell r="J143">
            <v>4</v>
          </cell>
          <cell r="K143" t="str">
            <v>A</v>
          </cell>
          <cell r="L143">
            <v>4</v>
          </cell>
          <cell r="M143">
            <v>0</v>
          </cell>
          <cell r="N143">
            <v>17</v>
          </cell>
          <cell r="O143" t="str">
            <v>A</v>
          </cell>
          <cell r="P143">
            <v>4</v>
          </cell>
          <cell r="Q143" t="str">
            <v>D</v>
          </cell>
          <cell r="R143">
            <v>0</v>
          </cell>
          <cell r="S143" t="str">
            <v>A</v>
          </cell>
          <cell r="T143">
            <v>4</v>
          </cell>
          <cell r="U143" t="str">
            <v>NT7</v>
          </cell>
          <cell r="V143">
            <v>0</v>
          </cell>
          <cell r="W143" t="str">
            <v>A</v>
          </cell>
          <cell r="X143">
            <v>4</v>
          </cell>
          <cell r="Y143" t="str">
            <v>A</v>
          </cell>
          <cell r="Z143">
            <v>4</v>
          </cell>
          <cell r="AA143">
            <v>0</v>
          </cell>
          <cell r="AB143">
            <v>12</v>
          </cell>
          <cell r="AC143" t="str">
            <v>C</v>
          </cell>
          <cell r="AD143">
            <v>4</v>
          </cell>
          <cell r="AE143" t="str">
            <v>C</v>
          </cell>
          <cell r="AF143">
            <v>4</v>
          </cell>
          <cell r="AG143" t="str">
            <v>C</v>
          </cell>
          <cell r="AH143">
            <v>10</v>
          </cell>
          <cell r="AI143" t="str">
            <v>C</v>
          </cell>
          <cell r="AJ143">
            <v>4</v>
          </cell>
          <cell r="AK143" t="str">
            <v>C</v>
          </cell>
          <cell r="AL143">
            <v>4</v>
          </cell>
          <cell r="AM143" t="str">
            <v>B</v>
          </cell>
          <cell r="AN143">
            <v>2.5</v>
          </cell>
          <cell r="AO143">
            <v>0</v>
          </cell>
          <cell r="AP143">
            <v>12</v>
          </cell>
          <cell r="AQ143" t="str">
            <v>NT7</v>
          </cell>
          <cell r="AR143">
            <v>0</v>
          </cell>
          <cell r="AS143" t="str">
            <v>P</v>
          </cell>
          <cell r="AT143">
            <v>0</v>
          </cell>
          <cell r="AU143" t="str">
            <v>A</v>
          </cell>
          <cell r="AV143">
            <v>4</v>
          </cell>
          <cell r="AW143" t="str">
            <v>D</v>
          </cell>
          <cell r="AX143">
            <v>2</v>
          </cell>
          <cell r="AY143" t="str">
            <v>A</v>
          </cell>
          <cell r="AZ143">
            <v>4</v>
          </cell>
          <cell r="BA143" t="str">
            <v>A</v>
          </cell>
          <cell r="BB143">
            <v>4</v>
          </cell>
          <cell r="BC143">
            <v>0</v>
          </cell>
          <cell r="BD143">
            <v>12</v>
          </cell>
          <cell r="BE143" t="str">
            <v>C</v>
          </cell>
          <cell r="BF143">
            <v>4</v>
          </cell>
          <cell r="BG143" t="str">
            <v>C</v>
          </cell>
          <cell r="BH143">
            <v>4</v>
          </cell>
          <cell r="BI143" t="str">
            <v>C</v>
          </cell>
          <cell r="BJ143">
            <v>6</v>
          </cell>
          <cell r="BK143" t="str">
            <v>C</v>
          </cell>
          <cell r="BL143">
            <v>4</v>
          </cell>
          <cell r="BM143" t="str">
            <v>C</v>
          </cell>
          <cell r="BN143">
            <v>4</v>
          </cell>
          <cell r="BO143" t="str">
            <v>B</v>
          </cell>
          <cell r="BP143">
            <v>2</v>
          </cell>
          <cell r="BQ143">
            <v>10</v>
          </cell>
          <cell r="BR143">
            <v>2</v>
          </cell>
          <cell r="BS143">
            <v>2</v>
          </cell>
          <cell r="BT143">
            <v>10</v>
          </cell>
          <cell r="BU143">
            <v>0</v>
          </cell>
          <cell r="BV143">
            <v>0</v>
          </cell>
          <cell r="BW143">
            <v>0</v>
          </cell>
          <cell r="BX143">
            <v>2</v>
          </cell>
          <cell r="BY143">
            <v>1</v>
          </cell>
          <cell r="BZ143">
            <v>27</v>
          </cell>
          <cell r="CA143">
            <v>95.5</v>
          </cell>
          <cell r="CB143">
            <v>53</v>
          </cell>
          <cell r="CC143">
            <v>0</v>
          </cell>
          <cell r="CD143">
            <v>0</v>
          </cell>
          <cell r="CE143">
            <v>5</v>
          </cell>
          <cell r="CF143">
            <v>0</v>
          </cell>
          <cell r="CG143">
            <v>9</v>
          </cell>
          <cell r="CH143">
            <v>80</v>
          </cell>
          <cell r="CI143">
            <v>70</v>
          </cell>
        </row>
        <row r="144">
          <cell r="A144" t="str">
            <v>A722</v>
          </cell>
          <cell r="B144" t="str">
            <v>Vũ Văn Thụ</v>
          </cell>
          <cell r="C144" t="str">
            <v>TXBVTV</v>
          </cell>
          <cell r="D144">
            <v>0</v>
          </cell>
          <cell r="E144" t="str">
            <v>18/02/2016</v>
          </cell>
          <cell r="F144">
            <v>0</v>
          </cell>
          <cell r="G144" t="str">
            <v>D</v>
          </cell>
          <cell r="H144">
            <v>0</v>
          </cell>
          <cell r="I144" t="str">
            <v>D</v>
          </cell>
          <cell r="J144">
            <v>0</v>
          </cell>
          <cell r="K144" t="str">
            <v>D</v>
          </cell>
          <cell r="L144">
            <v>0</v>
          </cell>
          <cell r="M144" t="str">
            <v>D</v>
          </cell>
          <cell r="N144">
            <v>0</v>
          </cell>
          <cell r="O144" t="str">
            <v>D</v>
          </cell>
          <cell r="P144">
            <v>0</v>
          </cell>
          <cell r="Q144" t="str">
            <v>D</v>
          </cell>
          <cell r="R144">
            <v>0</v>
          </cell>
          <cell r="S144" t="str">
            <v>D</v>
          </cell>
          <cell r="T144">
            <v>0</v>
          </cell>
          <cell r="U144" t="str">
            <v>D</v>
          </cell>
          <cell r="V144">
            <v>0</v>
          </cell>
          <cell r="W144" t="str">
            <v>D</v>
          </cell>
          <cell r="X144">
            <v>0</v>
          </cell>
          <cell r="Y144" t="str">
            <v>D</v>
          </cell>
          <cell r="Z144">
            <v>0</v>
          </cell>
          <cell r="AA144" t="str">
            <v>D</v>
          </cell>
          <cell r="AB144">
            <v>0</v>
          </cell>
          <cell r="AC144" t="str">
            <v>D</v>
          </cell>
          <cell r="AD144">
            <v>12</v>
          </cell>
          <cell r="AE144" t="str">
            <v>D</v>
          </cell>
          <cell r="AF144">
            <v>12</v>
          </cell>
          <cell r="AG144" t="str">
            <v>D</v>
          </cell>
          <cell r="AH144">
            <v>0</v>
          </cell>
          <cell r="AI144" t="str">
            <v>D</v>
          </cell>
          <cell r="AJ144">
            <v>0</v>
          </cell>
          <cell r="AK144" t="str">
            <v>D</v>
          </cell>
          <cell r="AL144">
            <v>0</v>
          </cell>
          <cell r="AM144" t="str">
            <v>D</v>
          </cell>
          <cell r="AN144">
            <v>0</v>
          </cell>
          <cell r="AO144" t="str">
            <v>D</v>
          </cell>
          <cell r="AP144">
            <v>0</v>
          </cell>
          <cell r="AQ144" t="str">
            <v>D</v>
          </cell>
          <cell r="AR144">
            <v>0</v>
          </cell>
          <cell r="AS144" t="str">
            <v>D</v>
          </cell>
          <cell r="AT144">
            <v>0</v>
          </cell>
          <cell r="AU144" t="str">
            <v>D</v>
          </cell>
          <cell r="AV144">
            <v>0</v>
          </cell>
          <cell r="AW144" t="str">
            <v>D</v>
          </cell>
          <cell r="AX144">
            <v>0</v>
          </cell>
          <cell r="AY144" t="str">
            <v>D</v>
          </cell>
          <cell r="AZ144">
            <v>0</v>
          </cell>
          <cell r="BA144" t="str">
            <v>D</v>
          </cell>
          <cell r="BB144">
            <v>0</v>
          </cell>
          <cell r="BC144" t="str">
            <v>D</v>
          </cell>
          <cell r="BD144">
            <v>0</v>
          </cell>
          <cell r="BE144" t="str">
            <v>D</v>
          </cell>
          <cell r="BF144">
            <v>0</v>
          </cell>
          <cell r="BG144" t="str">
            <v>D</v>
          </cell>
          <cell r="BH144">
            <v>0</v>
          </cell>
          <cell r="BI144" t="str">
            <v>D</v>
          </cell>
          <cell r="BJ144">
            <v>0</v>
          </cell>
          <cell r="BK144" t="str">
            <v>D</v>
          </cell>
          <cell r="BL144">
            <v>0</v>
          </cell>
          <cell r="BM144" t="str">
            <v>D</v>
          </cell>
          <cell r="BN144">
            <v>0</v>
          </cell>
          <cell r="BO144" t="str">
            <v>D</v>
          </cell>
          <cell r="BP144">
            <v>0</v>
          </cell>
          <cell r="BQ144">
            <v>0</v>
          </cell>
          <cell r="BR144">
            <v>31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31</v>
          </cell>
          <cell r="CA144">
            <v>24</v>
          </cell>
          <cell r="CB144">
            <v>0</v>
          </cell>
          <cell r="CC144">
            <v>0</v>
          </cell>
          <cell r="CD144">
            <v>2</v>
          </cell>
          <cell r="CE144">
            <v>25</v>
          </cell>
          <cell r="CF144">
            <v>140</v>
          </cell>
          <cell r="CG144">
            <v>1</v>
          </cell>
          <cell r="CH144">
            <v>400</v>
          </cell>
          <cell r="CI144">
            <v>70</v>
          </cell>
        </row>
        <row r="145">
          <cell r="A145" t="str">
            <v>A726</v>
          </cell>
          <cell r="B145" t="str">
            <v>Phan Thị Mỹ Trinh</v>
          </cell>
          <cell r="C145" t="str">
            <v>PHOI</v>
          </cell>
          <cell r="D145">
            <v>0</v>
          </cell>
          <cell r="E145" t="str">
            <v>22/02/2016</v>
          </cell>
          <cell r="F145">
            <v>3</v>
          </cell>
          <cell r="G145" t="str">
            <v>A</v>
          </cell>
          <cell r="H145">
            <v>6</v>
          </cell>
          <cell r="I145" t="str">
            <v>A</v>
          </cell>
          <cell r="J145">
            <v>6</v>
          </cell>
          <cell r="K145" t="str">
            <v>A</v>
          </cell>
          <cell r="L145">
            <v>4</v>
          </cell>
          <cell r="M145">
            <v>0</v>
          </cell>
          <cell r="N145">
            <v>9</v>
          </cell>
          <cell r="O145" t="str">
            <v>A</v>
          </cell>
          <cell r="P145">
            <v>6</v>
          </cell>
          <cell r="Q145" t="str">
            <v>A</v>
          </cell>
          <cell r="R145">
            <v>6</v>
          </cell>
          <cell r="S145" t="str">
            <v>A</v>
          </cell>
          <cell r="T145">
            <v>6</v>
          </cell>
          <cell r="U145" t="str">
            <v>A</v>
          </cell>
          <cell r="V145">
            <v>4</v>
          </cell>
          <cell r="W145" t="str">
            <v>A</v>
          </cell>
          <cell r="X145">
            <v>6</v>
          </cell>
          <cell r="Y145" t="str">
            <v>A</v>
          </cell>
          <cell r="Z145">
            <v>4</v>
          </cell>
          <cell r="AA145">
            <v>0</v>
          </cell>
          <cell r="AB145">
            <v>0</v>
          </cell>
          <cell r="AC145" t="str">
            <v>A</v>
          </cell>
          <cell r="AD145">
            <v>5</v>
          </cell>
          <cell r="AE145" t="str">
            <v>A</v>
          </cell>
          <cell r="AF145">
            <v>6</v>
          </cell>
          <cell r="AG145" t="str">
            <v>A</v>
          </cell>
          <cell r="AH145">
            <v>6</v>
          </cell>
          <cell r="AI145" t="str">
            <v>A</v>
          </cell>
          <cell r="AJ145">
            <v>6</v>
          </cell>
          <cell r="AK145" t="str">
            <v>A</v>
          </cell>
          <cell r="AL145">
            <v>6</v>
          </cell>
          <cell r="AM145" t="str">
            <v>A</v>
          </cell>
          <cell r="AN145">
            <v>6</v>
          </cell>
          <cell r="AO145">
            <v>0</v>
          </cell>
          <cell r="AP145">
            <v>0</v>
          </cell>
          <cell r="AQ145" t="str">
            <v>A</v>
          </cell>
          <cell r="AR145">
            <v>6</v>
          </cell>
          <cell r="AS145" t="str">
            <v>A</v>
          </cell>
          <cell r="AT145">
            <v>6</v>
          </cell>
          <cell r="AU145" t="str">
            <v>A</v>
          </cell>
          <cell r="AV145">
            <v>6</v>
          </cell>
          <cell r="AW145" t="str">
            <v>A</v>
          </cell>
          <cell r="AX145">
            <v>5</v>
          </cell>
          <cell r="AY145" t="str">
            <v>A</v>
          </cell>
          <cell r="AZ145">
            <v>6</v>
          </cell>
          <cell r="BA145" t="str">
            <v>A</v>
          </cell>
          <cell r="BB145">
            <v>4</v>
          </cell>
          <cell r="BC145">
            <v>0</v>
          </cell>
          <cell r="BD145">
            <v>4</v>
          </cell>
          <cell r="BE145" t="str">
            <v>A</v>
          </cell>
          <cell r="BF145">
            <v>6</v>
          </cell>
          <cell r="BG145" t="str">
            <v>A</v>
          </cell>
          <cell r="BH145">
            <v>5</v>
          </cell>
          <cell r="BI145" t="str">
            <v>A</v>
          </cell>
          <cell r="BJ145">
            <v>6</v>
          </cell>
          <cell r="BK145" t="str">
            <v>A</v>
          </cell>
          <cell r="BL145">
            <v>6</v>
          </cell>
          <cell r="BM145" t="str">
            <v>A</v>
          </cell>
          <cell r="BN145">
            <v>6</v>
          </cell>
          <cell r="BO145" t="str">
            <v>A</v>
          </cell>
          <cell r="BP145">
            <v>4</v>
          </cell>
          <cell r="BQ145">
            <v>27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27</v>
          </cell>
          <cell r="CA145">
            <v>149</v>
          </cell>
          <cell r="CB145">
            <v>13</v>
          </cell>
          <cell r="CC145">
            <v>0</v>
          </cell>
          <cell r="CD145">
            <v>2</v>
          </cell>
          <cell r="CE145">
            <v>0</v>
          </cell>
          <cell r="CF145">
            <v>140</v>
          </cell>
          <cell r="CG145">
            <v>4</v>
          </cell>
          <cell r="CH145">
            <v>0</v>
          </cell>
          <cell r="CI145">
            <v>70</v>
          </cell>
        </row>
        <row r="146">
          <cell r="A146" t="str">
            <v>A727</v>
          </cell>
          <cell r="B146" t="str">
            <v>Phan Văn Thành</v>
          </cell>
          <cell r="C146" t="str">
            <v>Kho</v>
          </cell>
          <cell r="D146">
            <v>0</v>
          </cell>
          <cell r="E146" t="str">
            <v>22/02/2016</v>
          </cell>
          <cell r="F146">
            <v>1</v>
          </cell>
          <cell r="G146" t="str">
            <v>A</v>
          </cell>
          <cell r="H146">
            <v>4</v>
          </cell>
          <cell r="I146" t="str">
            <v>D</v>
          </cell>
          <cell r="J146">
            <v>2</v>
          </cell>
          <cell r="K146" t="str">
            <v>D</v>
          </cell>
          <cell r="L146">
            <v>1.5</v>
          </cell>
          <cell r="M146">
            <v>0</v>
          </cell>
          <cell r="N146">
            <v>9.5</v>
          </cell>
          <cell r="O146" t="str">
            <v>D</v>
          </cell>
          <cell r="P146">
            <v>2</v>
          </cell>
          <cell r="Q146" t="str">
            <v>D</v>
          </cell>
          <cell r="R146">
            <v>2</v>
          </cell>
          <cell r="S146" t="str">
            <v>D</v>
          </cell>
          <cell r="T146">
            <v>2</v>
          </cell>
          <cell r="U146" t="str">
            <v>D</v>
          </cell>
          <cell r="V146">
            <v>2</v>
          </cell>
          <cell r="W146" t="str">
            <v>D</v>
          </cell>
          <cell r="X146">
            <v>1.5</v>
          </cell>
          <cell r="Y146" t="str">
            <v>D</v>
          </cell>
          <cell r="Z146">
            <v>0</v>
          </cell>
          <cell r="AA146">
            <v>0</v>
          </cell>
          <cell r="AB146">
            <v>0</v>
          </cell>
          <cell r="AC146" t="str">
            <v>D</v>
          </cell>
          <cell r="AD146">
            <v>0</v>
          </cell>
          <cell r="AE146" t="str">
            <v>D</v>
          </cell>
          <cell r="AF146">
            <v>0</v>
          </cell>
          <cell r="AG146" t="str">
            <v>D</v>
          </cell>
          <cell r="AH146">
            <v>2</v>
          </cell>
          <cell r="AI146" t="str">
            <v>D</v>
          </cell>
          <cell r="AJ146">
            <v>2</v>
          </cell>
          <cell r="AK146" t="str">
            <v>A</v>
          </cell>
          <cell r="AL146">
            <v>5.5</v>
          </cell>
          <cell r="AM146" t="str">
            <v>D</v>
          </cell>
          <cell r="AN146">
            <v>1.5</v>
          </cell>
          <cell r="AO146">
            <v>0</v>
          </cell>
          <cell r="AP146">
            <v>7</v>
          </cell>
          <cell r="AQ146" t="str">
            <v>D</v>
          </cell>
          <cell r="AR146">
            <v>0</v>
          </cell>
          <cell r="AS146" t="str">
            <v>NT7</v>
          </cell>
          <cell r="AT146">
            <v>0</v>
          </cell>
          <cell r="AU146" t="str">
            <v>D</v>
          </cell>
          <cell r="AV146">
            <v>2</v>
          </cell>
          <cell r="AW146" t="str">
            <v>D</v>
          </cell>
          <cell r="AX146">
            <v>1</v>
          </cell>
          <cell r="AY146" t="str">
            <v>D</v>
          </cell>
          <cell r="AZ146">
            <v>2</v>
          </cell>
          <cell r="BA146" t="str">
            <v>D</v>
          </cell>
          <cell r="BB146">
            <v>0</v>
          </cell>
          <cell r="BC146">
            <v>0</v>
          </cell>
          <cell r="BD146">
            <v>8</v>
          </cell>
          <cell r="BE146" t="str">
            <v>A</v>
          </cell>
          <cell r="BF146">
            <v>5.5</v>
          </cell>
          <cell r="BG146" t="str">
            <v>A</v>
          </cell>
          <cell r="BH146">
            <v>1.5</v>
          </cell>
          <cell r="BI146" t="str">
            <v>A</v>
          </cell>
          <cell r="BJ146">
            <v>1.5</v>
          </cell>
          <cell r="BK146" t="str">
            <v>A</v>
          </cell>
          <cell r="BL146">
            <v>4</v>
          </cell>
          <cell r="BM146" t="str">
            <v>A</v>
          </cell>
          <cell r="BN146">
            <v>4</v>
          </cell>
          <cell r="BO146" t="str">
            <v>D</v>
          </cell>
          <cell r="BP146">
            <v>0</v>
          </cell>
          <cell r="BQ146">
            <v>7</v>
          </cell>
          <cell r="BR146">
            <v>19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1</v>
          </cell>
          <cell r="BY146">
            <v>0</v>
          </cell>
          <cell r="BZ146">
            <v>27</v>
          </cell>
          <cell r="CA146">
            <v>49.5</v>
          </cell>
          <cell r="CB146">
            <v>24.5</v>
          </cell>
          <cell r="CC146">
            <v>0</v>
          </cell>
          <cell r="CD146">
            <v>1</v>
          </cell>
          <cell r="CE146">
            <v>0</v>
          </cell>
          <cell r="CF146">
            <v>70</v>
          </cell>
          <cell r="CG146">
            <v>2</v>
          </cell>
          <cell r="CH146">
            <v>0</v>
          </cell>
          <cell r="CI146">
            <v>70</v>
          </cell>
        </row>
        <row r="147">
          <cell r="A147" t="str">
            <v>A728</v>
          </cell>
          <cell r="B147" t="str">
            <v>Nguyễn Văn Tuấn Linh</v>
          </cell>
          <cell r="C147" t="str">
            <v>EN</v>
          </cell>
          <cell r="D147">
            <v>0</v>
          </cell>
          <cell r="E147" t="str">
            <v>22/02/2016</v>
          </cell>
          <cell r="F147">
            <v>2</v>
          </cell>
          <cell r="G147" t="str">
            <v>A</v>
          </cell>
          <cell r="H147">
            <v>7</v>
          </cell>
          <cell r="I147" t="str">
            <v>A</v>
          </cell>
          <cell r="J147">
            <v>7</v>
          </cell>
          <cell r="K147" t="str">
            <v>A</v>
          </cell>
          <cell r="L147">
            <v>7</v>
          </cell>
          <cell r="M147">
            <v>0</v>
          </cell>
          <cell r="N147">
            <v>12</v>
          </cell>
          <cell r="O147" t="str">
            <v>C</v>
          </cell>
          <cell r="P147">
            <v>4</v>
          </cell>
          <cell r="Q147" t="str">
            <v>C</v>
          </cell>
          <cell r="R147">
            <v>4</v>
          </cell>
          <cell r="S147" t="str">
            <v>C</v>
          </cell>
          <cell r="T147">
            <v>4</v>
          </cell>
          <cell r="U147" t="str">
            <v>C</v>
          </cell>
          <cell r="V147">
            <v>4</v>
          </cell>
          <cell r="W147" t="str">
            <v>C</v>
          </cell>
          <cell r="X147">
            <v>4</v>
          </cell>
          <cell r="Y147" t="str">
            <v>C</v>
          </cell>
          <cell r="Z147">
            <v>4</v>
          </cell>
          <cell r="AA147">
            <v>0</v>
          </cell>
          <cell r="AB147">
            <v>0</v>
          </cell>
          <cell r="AC147" t="str">
            <v>A</v>
          </cell>
          <cell r="AD147">
            <v>4</v>
          </cell>
          <cell r="AE147" t="str">
            <v>A</v>
          </cell>
          <cell r="AF147">
            <v>4</v>
          </cell>
          <cell r="AG147" t="str">
            <v>A</v>
          </cell>
          <cell r="AH147">
            <v>7</v>
          </cell>
          <cell r="AI147" t="str">
            <v>A</v>
          </cell>
          <cell r="AJ147">
            <v>7</v>
          </cell>
          <cell r="AK147" t="str">
            <v>A</v>
          </cell>
          <cell r="AL147">
            <v>7</v>
          </cell>
          <cell r="AM147" t="str">
            <v>A</v>
          </cell>
          <cell r="AN147">
            <v>7</v>
          </cell>
          <cell r="AO147">
            <v>0</v>
          </cell>
          <cell r="AP147">
            <v>0</v>
          </cell>
          <cell r="AQ147" t="str">
            <v>C</v>
          </cell>
          <cell r="AR147">
            <v>4</v>
          </cell>
          <cell r="AS147" t="str">
            <v>C</v>
          </cell>
          <cell r="AT147">
            <v>4</v>
          </cell>
          <cell r="AU147" t="str">
            <v>C</v>
          </cell>
          <cell r="AV147">
            <v>4</v>
          </cell>
          <cell r="AW147" t="str">
            <v>C</v>
          </cell>
          <cell r="AX147">
            <v>4</v>
          </cell>
          <cell r="AY147" t="str">
            <v>C</v>
          </cell>
          <cell r="AZ147">
            <v>4</v>
          </cell>
          <cell r="BA147" t="str">
            <v>C</v>
          </cell>
          <cell r="BB147">
            <v>4</v>
          </cell>
          <cell r="BC147">
            <v>0</v>
          </cell>
          <cell r="BD147">
            <v>0</v>
          </cell>
          <cell r="BE147" t="str">
            <v>A</v>
          </cell>
          <cell r="BF147">
            <v>7</v>
          </cell>
          <cell r="BG147" t="str">
            <v>A</v>
          </cell>
          <cell r="BH147">
            <v>7</v>
          </cell>
          <cell r="BI147" t="str">
            <v>A</v>
          </cell>
          <cell r="BJ147">
            <v>7</v>
          </cell>
          <cell r="BK147" t="str">
            <v>A</v>
          </cell>
          <cell r="BL147">
            <v>7</v>
          </cell>
          <cell r="BM147" t="str">
            <v>A</v>
          </cell>
          <cell r="BN147">
            <v>7</v>
          </cell>
          <cell r="BO147" t="str">
            <v>A</v>
          </cell>
          <cell r="BP147">
            <v>4</v>
          </cell>
          <cell r="BQ147">
            <v>15</v>
          </cell>
          <cell r="BR147">
            <v>0</v>
          </cell>
          <cell r="BS147">
            <v>0</v>
          </cell>
          <cell r="BT147">
            <v>12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27</v>
          </cell>
          <cell r="CA147">
            <v>144</v>
          </cell>
          <cell r="CB147">
            <v>12</v>
          </cell>
          <cell r="CC147">
            <v>0</v>
          </cell>
          <cell r="CD147">
            <v>2</v>
          </cell>
          <cell r="CE147">
            <v>1</v>
          </cell>
          <cell r="CF147">
            <v>140</v>
          </cell>
          <cell r="CG147">
            <v>3</v>
          </cell>
          <cell r="CH147">
            <v>16</v>
          </cell>
          <cell r="CI147">
            <v>70</v>
          </cell>
        </row>
        <row r="148">
          <cell r="A148" t="str">
            <v>A729</v>
          </cell>
          <cell r="B148" t="str">
            <v>Trương Văn Bé</v>
          </cell>
          <cell r="C148" t="str">
            <v>CII.1</v>
          </cell>
          <cell r="D148">
            <v>0</v>
          </cell>
          <cell r="E148">
            <v>42419</v>
          </cell>
          <cell r="F148">
            <v>0</v>
          </cell>
          <cell r="G148" t="str">
            <v>C</v>
          </cell>
          <cell r="H148">
            <v>4</v>
          </cell>
          <cell r="I148" t="str">
            <v>C</v>
          </cell>
          <cell r="J148">
            <v>4</v>
          </cell>
          <cell r="K148" t="str">
            <v>HH</v>
          </cell>
          <cell r="L148">
            <v>0</v>
          </cell>
          <cell r="M148">
            <v>0</v>
          </cell>
          <cell r="N148">
            <v>11</v>
          </cell>
          <cell r="O148" t="str">
            <v>A</v>
          </cell>
          <cell r="P148">
            <v>4</v>
          </cell>
          <cell r="Q148" t="str">
            <v>A</v>
          </cell>
          <cell r="R148">
            <v>4</v>
          </cell>
          <cell r="S148" t="str">
            <v>A</v>
          </cell>
          <cell r="T148">
            <v>4</v>
          </cell>
          <cell r="U148" t="str">
            <v>A</v>
          </cell>
          <cell r="V148">
            <v>4</v>
          </cell>
          <cell r="W148" t="str">
            <v>A</v>
          </cell>
          <cell r="X148">
            <v>4</v>
          </cell>
          <cell r="Y148" t="str">
            <v>D</v>
          </cell>
          <cell r="Z148">
            <v>0</v>
          </cell>
          <cell r="AA148">
            <v>0</v>
          </cell>
          <cell r="AB148">
            <v>12</v>
          </cell>
          <cell r="AC148" t="str">
            <v>C</v>
          </cell>
          <cell r="AD148">
            <v>4</v>
          </cell>
          <cell r="AE148" t="str">
            <v>C</v>
          </cell>
          <cell r="AF148">
            <v>4</v>
          </cell>
          <cell r="AG148" t="str">
            <v>C</v>
          </cell>
          <cell r="AH148">
            <v>4</v>
          </cell>
          <cell r="AI148" t="str">
            <v>C</v>
          </cell>
          <cell r="AJ148">
            <v>4</v>
          </cell>
          <cell r="AK148" t="str">
            <v>C</v>
          </cell>
          <cell r="AL148">
            <v>4</v>
          </cell>
          <cell r="AM148" t="str">
            <v>NT7</v>
          </cell>
          <cell r="AN148">
            <v>0</v>
          </cell>
          <cell r="AO148">
            <v>0</v>
          </cell>
          <cell r="AP148">
            <v>0</v>
          </cell>
          <cell r="AQ148" t="str">
            <v>A</v>
          </cell>
          <cell r="AR148">
            <v>4</v>
          </cell>
          <cell r="AS148" t="str">
            <v>A</v>
          </cell>
          <cell r="AT148">
            <v>4</v>
          </cell>
          <cell r="AU148" t="str">
            <v>A</v>
          </cell>
          <cell r="AV148">
            <v>4</v>
          </cell>
          <cell r="AW148" t="str">
            <v>D</v>
          </cell>
          <cell r="AX148">
            <v>3</v>
          </cell>
          <cell r="AY148" t="str">
            <v>A</v>
          </cell>
          <cell r="AZ148">
            <v>4</v>
          </cell>
          <cell r="BA148" t="str">
            <v>D</v>
          </cell>
          <cell r="BB148">
            <v>0</v>
          </cell>
          <cell r="BC148">
            <v>0</v>
          </cell>
          <cell r="BD148">
            <v>0</v>
          </cell>
          <cell r="BE148" t="str">
            <v>C</v>
          </cell>
          <cell r="BF148">
            <v>4</v>
          </cell>
          <cell r="BG148" t="str">
            <v>C</v>
          </cell>
          <cell r="BH148">
            <v>4</v>
          </cell>
          <cell r="BI148" t="str">
            <v>C</v>
          </cell>
          <cell r="BJ148">
            <v>4</v>
          </cell>
          <cell r="BK148" t="str">
            <v>C</v>
          </cell>
          <cell r="BL148">
            <v>4</v>
          </cell>
          <cell r="BM148" t="str">
            <v>C</v>
          </cell>
          <cell r="BN148">
            <v>4</v>
          </cell>
          <cell r="BO148" t="str">
            <v>NT7</v>
          </cell>
          <cell r="BP148">
            <v>0</v>
          </cell>
          <cell r="BQ148">
            <v>9</v>
          </cell>
          <cell r="BR148">
            <v>3</v>
          </cell>
          <cell r="BS148">
            <v>0</v>
          </cell>
          <cell r="BT148">
            <v>12</v>
          </cell>
          <cell r="BU148">
            <v>0</v>
          </cell>
          <cell r="BV148">
            <v>0</v>
          </cell>
          <cell r="BW148">
            <v>1</v>
          </cell>
          <cell r="BX148">
            <v>2</v>
          </cell>
          <cell r="BY148">
            <v>0</v>
          </cell>
          <cell r="BZ148">
            <v>27</v>
          </cell>
          <cell r="CA148">
            <v>87</v>
          </cell>
          <cell r="CB148">
            <v>23</v>
          </cell>
          <cell r="CC148">
            <v>0</v>
          </cell>
          <cell r="CD148">
            <v>0</v>
          </cell>
          <cell r="CE148">
            <v>1</v>
          </cell>
          <cell r="CF148">
            <v>0</v>
          </cell>
          <cell r="CG148">
            <v>1</v>
          </cell>
          <cell r="CH148">
            <v>16</v>
          </cell>
          <cell r="CI148">
            <v>70</v>
          </cell>
        </row>
        <row r="149">
          <cell r="A149" t="str">
            <v>A733</v>
          </cell>
          <cell r="B149" t="str">
            <v>Trương Văn Hải</v>
          </cell>
          <cell r="C149" t="str">
            <v>EN</v>
          </cell>
          <cell r="D149">
            <v>0</v>
          </cell>
          <cell r="E149" t="str">
            <v>19/02/2016</v>
          </cell>
          <cell r="F149">
            <v>2.5</v>
          </cell>
          <cell r="G149" t="str">
            <v>A</v>
          </cell>
          <cell r="H149">
            <v>7</v>
          </cell>
          <cell r="I149" t="str">
            <v>A</v>
          </cell>
          <cell r="J149">
            <v>4</v>
          </cell>
          <cell r="K149" t="str">
            <v>A</v>
          </cell>
          <cell r="L149">
            <v>4</v>
          </cell>
          <cell r="M149">
            <v>0</v>
          </cell>
          <cell r="N149">
            <v>0</v>
          </cell>
          <cell r="O149" t="str">
            <v>C</v>
          </cell>
          <cell r="P149">
            <v>4</v>
          </cell>
          <cell r="Q149" t="str">
            <v>C</v>
          </cell>
          <cell r="R149">
            <v>4</v>
          </cell>
          <cell r="S149" t="str">
            <v>C</v>
          </cell>
          <cell r="T149">
            <v>4</v>
          </cell>
          <cell r="U149" t="str">
            <v>C</v>
          </cell>
          <cell r="V149">
            <v>4</v>
          </cell>
          <cell r="W149" t="str">
            <v>C</v>
          </cell>
          <cell r="X149">
            <v>4</v>
          </cell>
          <cell r="Y149" t="str">
            <v>C</v>
          </cell>
          <cell r="Z149">
            <v>4</v>
          </cell>
          <cell r="AA149">
            <v>0</v>
          </cell>
          <cell r="AB149">
            <v>0</v>
          </cell>
          <cell r="AC149" t="str">
            <v>A</v>
          </cell>
          <cell r="AD149">
            <v>4</v>
          </cell>
          <cell r="AE149" t="str">
            <v>A</v>
          </cell>
          <cell r="AF149">
            <v>4</v>
          </cell>
          <cell r="AG149" t="str">
            <v>A</v>
          </cell>
          <cell r="AH149">
            <v>4</v>
          </cell>
          <cell r="AI149" t="str">
            <v>A</v>
          </cell>
          <cell r="AJ149">
            <v>4</v>
          </cell>
          <cell r="AK149" t="str">
            <v>A</v>
          </cell>
          <cell r="AL149">
            <v>4</v>
          </cell>
          <cell r="AM149" t="str">
            <v>A</v>
          </cell>
          <cell r="AN149">
            <v>4</v>
          </cell>
          <cell r="AO149">
            <v>0</v>
          </cell>
          <cell r="AP149">
            <v>16</v>
          </cell>
          <cell r="AQ149" t="str">
            <v>C</v>
          </cell>
          <cell r="AR149">
            <v>4</v>
          </cell>
          <cell r="AS149" t="str">
            <v>C</v>
          </cell>
          <cell r="AT149">
            <v>4</v>
          </cell>
          <cell r="AU149" t="str">
            <v>C</v>
          </cell>
          <cell r="AV149">
            <v>4</v>
          </cell>
          <cell r="AW149" t="str">
            <v>C</v>
          </cell>
          <cell r="AX149">
            <v>4</v>
          </cell>
          <cell r="AY149" t="str">
            <v>C</v>
          </cell>
          <cell r="AZ149">
            <v>4</v>
          </cell>
          <cell r="BA149" t="str">
            <v>C</v>
          </cell>
          <cell r="BB149">
            <v>4</v>
          </cell>
          <cell r="BC149">
            <v>0</v>
          </cell>
          <cell r="BD149">
            <v>0</v>
          </cell>
          <cell r="BE149" t="str">
            <v>A</v>
          </cell>
          <cell r="BF149">
            <v>4</v>
          </cell>
          <cell r="BG149" t="str">
            <v>A</v>
          </cell>
          <cell r="BH149">
            <v>4</v>
          </cell>
          <cell r="BI149" t="str">
            <v>A</v>
          </cell>
          <cell r="BJ149">
            <v>4</v>
          </cell>
          <cell r="BK149" t="str">
            <v>A</v>
          </cell>
          <cell r="BL149">
            <v>4</v>
          </cell>
          <cell r="BM149" t="str">
            <v>A</v>
          </cell>
          <cell r="BN149">
            <v>4</v>
          </cell>
          <cell r="BO149" t="str">
            <v>A</v>
          </cell>
          <cell r="BP149">
            <v>4</v>
          </cell>
          <cell r="BQ149">
            <v>15</v>
          </cell>
          <cell r="BR149">
            <v>0</v>
          </cell>
          <cell r="BS149">
            <v>0</v>
          </cell>
          <cell r="BT149">
            <v>12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27</v>
          </cell>
          <cell r="CA149">
            <v>111</v>
          </cell>
          <cell r="CB149">
            <v>16</v>
          </cell>
          <cell r="CC149">
            <v>0</v>
          </cell>
          <cell r="CD149">
            <v>2</v>
          </cell>
          <cell r="CE149">
            <v>2</v>
          </cell>
          <cell r="CF149">
            <v>140</v>
          </cell>
          <cell r="CG149">
            <v>3.5</v>
          </cell>
          <cell r="CH149">
            <v>32</v>
          </cell>
          <cell r="CI149">
            <v>70</v>
          </cell>
        </row>
        <row r="150">
          <cell r="A150" t="str">
            <v>A734</v>
          </cell>
          <cell r="B150" t="str">
            <v>Trương Chí Tâm</v>
          </cell>
          <cell r="C150" t="str">
            <v>EN</v>
          </cell>
          <cell r="D150">
            <v>0</v>
          </cell>
          <cell r="E150" t="str">
            <v>19/02/2016</v>
          </cell>
          <cell r="F150">
            <v>2</v>
          </cell>
          <cell r="G150" t="str">
            <v>C</v>
          </cell>
          <cell r="H150">
            <v>4</v>
          </cell>
          <cell r="I150" t="str">
            <v>C</v>
          </cell>
          <cell r="J150">
            <v>4</v>
          </cell>
          <cell r="K150" t="str">
            <v>C</v>
          </cell>
          <cell r="L150">
            <v>4</v>
          </cell>
          <cell r="M150">
            <v>0</v>
          </cell>
          <cell r="N150">
            <v>0</v>
          </cell>
          <cell r="O150" t="str">
            <v>A</v>
          </cell>
          <cell r="P150">
            <v>4</v>
          </cell>
          <cell r="Q150" t="str">
            <v>A</v>
          </cell>
          <cell r="R150">
            <v>4</v>
          </cell>
          <cell r="S150" t="str">
            <v>A</v>
          </cell>
          <cell r="T150">
            <v>4</v>
          </cell>
          <cell r="U150" t="str">
            <v>A</v>
          </cell>
          <cell r="V150">
            <v>4</v>
          </cell>
          <cell r="W150" t="str">
            <v>A</v>
          </cell>
          <cell r="X150">
            <v>4</v>
          </cell>
          <cell r="Y150" t="str">
            <v>A</v>
          </cell>
          <cell r="Z150">
            <v>4</v>
          </cell>
          <cell r="AA150">
            <v>0</v>
          </cell>
          <cell r="AB150">
            <v>0</v>
          </cell>
          <cell r="AC150" t="str">
            <v>C</v>
          </cell>
          <cell r="AD150">
            <v>4</v>
          </cell>
          <cell r="AE150" t="str">
            <v>C</v>
          </cell>
          <cell r="AF150">
            <v>4</v>
          </cell>
          <cell r="AG150" t="str">
            <v>C</v>
          </cell>
          <cell r="AH150">
            <v>4</v>
          </cell>
          <cell r="AI150" t="str">
            <v>C</v>
          </cell>
          <cell r="AJ150">
            <v>4</v>
          </cell>
          <cell r="AK150" t="str">
            <v>C</v>
          </cell>
          <cell r="AL150">
            <v>4</v>
          </cell>
          <cell r="AM150" t="str">
            <v>C</v>
          </cell>
          <cell r="AN150">
            <v>4</v>
          </cell>
          <cell r="AO150">
            <v>0</v>
          </cell>
          <cell r="AP150">
            <v>0</v>
          </cell>
          <cell r="AQ150" t="str">
            <v>C</v>
          </cell>
          <cell r="AR150">
            <v>4</v>
          </cell>
          <cell r="AS150" t="str">
            <v>C</v>
          </cell>
          <cell r="AT150">
            <v>4</v>
          </cell>
          <cell r="AU150" t="str">
            <v>C</v>
          </cell>
          <cell r="AV150">
            <v>4</v>
          </cell>
          <cell r="AW150" t="str">
            <v>C</v>
          </cell>
          <cell r="AX150">
            <v>4</v>
          </cell>
          <cell r="AY150" t="str">
            <v>C</v>
          </cell>
          <cell r="AZ150">
            <v>4</v>
          </cell>
          <cell r="BA150" t="str">
            <v>C</v>
          </cell>
          <cell r="BB150">
            <v>4</v>
          </cell>
          <cell r="BC150">
            <v>0</v>
          </cell>
          <cell r="BD150">
            <v>0</v>
          </cell>
          <cell r="BE150" t="str">
            <v>A</v>
          </cell>
          <cell r="BF150">
            <v>4</v>
          </cell>
          <cell r="BG150" t="str">
            <v>A</v>
          </cell>
          <cell r="BH150">
            <v>4</v>
          </cell>
          <cell r="BI150" t="str">
            <v>A</v>
          </cell>
          <cell r="BJ150">
            <v>4</v>
          </cell>
          <cell r="BK150" t="str">
            <v>A</v>
          </cell>
          <cell r="BL150">
            <v>4</v>
          </cell>
          <cell r="BM150" t="str">
            <v>A</v>
          </cell>
          <cell r="BN150">
            <v>4</v>
          </cell>
          <cell r="BO150" t="str">
            <v>A</v>
          </cell>
          <cell r="BP150">
            <v>4</v>
          </cell>
          <cell r="BQ150">
            <v>12</v>
          </cell>
          <cell r="BR150">
            <v>0</v>
          </cell>
          <cell r="BS150">
            <v>0</v>
          </cell>
          <cell r="BT150">
            <v>15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27</v>
          </cell>
          <cell r="CA150">
            <v>108</v>
          </cell>
          <cell r="CB150">
            <v>0</v>
          </cell>
          <cell r="CC150">
            <v>0</v>
          </cell>
          <cell r="CD150">
            <v>2</v>
          </cell>
          <cell r="CE150">
            <v>0</v>
          </cell>
          <cell r="CF150">
            <v>140</v>
          </cell>
          <cell r="CG150">
            <v>3</v>
          </cell>
          <cell r="CH150">
            <v>0</v>
          </cell>
          <cell r="CI150">
            <v>70</v>
          </cell>
        </row>
        <row r="151">
          <cell r="A151" t="str">
            <v>A747</v>
          </cell>
          <cell r="B151" t="str">
            <v>Bùi Minh Tâm</v>
          </cell>
          <cell r="C151" t="str">
            <v>CI.1</v>
          </cell>
          <cell r="D151">
            <v>0</v>
          </cell>
          <cell r="E151">
            <v>42445</v>
          </cell>
          <cell r="F151">
            <v>0</v>
          </cell>
          <cell r="G151" t="str">
            <v>R0</v>
          </cell>
          <cell r="H151">
            <v>0</v>
          </cell>
          <cell r="I151" t="str">
            <v>R0</v>
          </cell>
          <cell r="J151">
            <v>0</v>
          </cell>
          <cell r="K151" t="str">
            <v>R0</v>
          </cell>
          <cell r="L151">
            <v>0</v>
          </cell>
          <cell r="M151">
            <v>0</v>
          </cell>
          <cell r="N151">
            <v>0</v>
          </cell>
          <cell r="O151" t="str">
            <v>R0</v>
          </cell>
          <cell r="P151">
            <v>0</v>
          </cell>
          <cell r="Q151" t="str">
            <v>R0</v>
          </cell>
          <cell r="R151">
            <v>0</v>
          </cell>
          <cell r="S151" t="str">
            <v>R0</v>
          </cell>
          <cell r="T151">
            <v>0</v>
          </cell>
          <cell r="U151" t="str">
            <v>R0</v>
          </cell>
          <cell r="V151">
            <v>0</v>
          </cell>
          <cell r="W151" t="str">
            <v>R0</v>
          </cell>
          <cell r="X151">
            <v>0</v>
          </cell>
          <cell r="Y151" t="str">
            <v>R0</v>
          </cell>
          <cell r="Z151">
            <v>0</v>
          </cell>
          <cell r="AA151">
            <v>0</v>
          </cell>
          <cell r="AB151">
            <v>0</v>
          </cell>
          <cell r="AC151" t="str">
            <v>R0</v>
          </cell>
          <cell r="AD151">
            <v>0</v>
          </cell>
          <cell r="AE151" t="str">
            <v>R0</v>
          </cell>
          <cell r="AF151">
            <v>0</v>
          </cell>
          <cell r="AG151" t="str">
            <v>R0</v>
          </cell>
          <cell r="AH151">
            <v>0</v>
          </cell>
          <cell r="AI151" t="str">
            <v>R0</v>
          </cell>
          <cell r="AJ151">
            <v>0</v>
          </cell>
          <cell r="AK151" t="str">
            <v>R0</v>
          </cell>
          <cell r="AL151">
            <v>0</v>
          </cell>
          <cell r="AM151" t="str">
            <v>NT7</v>
          </cell>
          <cell r="AN151">
            <v>0</v>
          </cell>
          <cell r="AO151">
            <v>0</v>
          </cell>
          <cell r="AP151">
            <v>0</v>
          </cell>
          <cell r="AQ151" t="str">
            <v>R0</v>
          </cell>
          <cell r="AR151">
            <v>0</v>
          </cell>
          <cell r="AS151" t="str">
            <v>R0</v>
          </cell>
          <cell r="AT151">
            <v>0</v>
          </cell>
          <cell r="AU151" t="str">
            <v>R0</v>
          </cell>
          <cell r="AV151">
            <v>0</v>
          </cell>
          <cell r="AW151" t="str">
            <v>R0</v>
          </cell>
          <cell r="AX151">
            <v>0</v>
          </cell>
          <cell r="AY151" t="str">
            <v>R0</v>
          </cell>
          <cell r="AZ151">
            <v>0</v>
          </cell>
          <cell r="BA151" t="str">
            <v>NT7</v>
          </cell>
          <cell r="BB151">
            <v>0</v>
          </cell>
          <cell r="BC151">
            <v>0</v>
          </cell>
          <cell r="BD151">
            <v>0</v>
          </cell>
          <cell r="BE151" t="str">
            <v>R0</v>
          </cell>
          <cell r="BF151">
            <v>0</v>
          </cell>
          <cell r="BG151" t="str">
            <v>D</v>
          </cell>
          <cell r="BH151">
            <v>0</v>
          </cell>
          <cell r="BI151" t="str">
            <v>D</v>
          </cell>
          <cell r="BJ151">
            <v>1</v>
          </cell>
          <cell r="BK151" t="str">
            <v>D</v>
          </cell>
          <cell r="BL151">
            <v>0</v>
          </cell>
          <cell r="BM151" t="str">
            <v>D</v>
          </cell>
          <cell r="BN151">
            <v>0</v>
          </cell>
          <cell r="BO151" t="str">
            <v>D</v>
          </cell>
          <cell r="BP151">
            <v>0</v>
          </cell>
          <cell r="BQ151">
            <v>0</v>
          </cell>
          <cell r="BR151">
            <v>5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2</v>
          </cell>
          <cell r="BY151">
            <v>0</v>
          </cell>
          <cell r="BZ151">
            <v>7</v>
          </cell>
          <cell r="CA151">
            <v>1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1</v>
          </cell>
          <cell r="CH151">
            <v>0</v>
          </cell>
          <cell r="CI151">
            <v>70</v>
          </cell>
        </row>
        <row r="152">
          <cell r="A152" t="str">
            <v>A752</v>
          </cell>
          <cell r="B152" t="str">
            <v>Đặng Hải Hưng</v>
          </cell>
          <cell r="C152" t="str">
            <v>Kho</v>
          </cell>
          <cell r="D152">
            <v>0</v>
          </cell>
          <cell r="E152">
            <v>42464</v>
          </cell>
          <cell r="F152">
            <v>10</v>
          </cell>
          <cell r="G152" t="str">
            <v>D</v>
          </cell>
          <cell r="H152">
            <v>1</v>
          </cell>
          <cell r="I152" t="str">
            <v>A</v>
          </cell>
          <cell r="J152">
            <v>4</v>
          </cell>
          <cell r="K152" t="str">
            <v>NT7</v>
          </cell>
          <cell r="L152">
            <v>0</v>
          </cell>
          <cell r="M152">
            <v>0</v>
          </cell>
          <cell r="N152">
            <v>0</v>
          </cell>
          <cell r="O152" t="str">
            <v>D</v>
          </cell>
          <cell r="P152">
            <v>0</v>
          </cell>
          <cell r="Q152" t="str">
            <v>D</v>
          </cell>
          <cell r="R152">
            <v>1</v>
          </cell>
          <cell r="S152" t="str">
            <v>A</v>
          </cell>
          <cell r="T152">
            <v>5</v>
          </cell>
          <cell r="U152" t="str">
            <v>D</v>
          </cell>
          <cell r="V152">
            <v>0</v>
          </cell>
          <cell r="W152" t="str">
            <v>D</v>
          </cell>
          <cell r="X152">
            <v>0</v>
          </cell>
          <cell r="Y152" t="str">
            <v>D</v>
          </cell>
          <cell r="Z152">
            <v>0</v>
          </cell>
          <cell r="AA152">
            <v>0</v>
          </cell>
          <cell r="AB152">
            <v>0</v>
          </cell>
          <cell r="AC152" t="str">
            <v>D</v>
          </cell>
          <cell r="AD152">
            <v>0</v>
          </cell>
          <cell r="AE152" t="str">
            <v>D</v>
          </cell>
          <cell r="AF152">
            <v>1</v>
          </cell>
          <cell r="AG152" t="str">
            <v>D</v>
          </cell>
          <cell r="AH152">
            <v>0</v>
          </cell>
          <cell r="AI152" t="str">
            <v>D</v>
          </cell>
          <cell r="AJ152">
            <v>0</v>
          </cell>
          <cell r="AK152" t="str">
            <v>A</v>
          </cell>
          <cell r="AL152">
            <v>4.5</v>
          </cell>
          <cell r="AM152" t="str">
            <v>D</v>
          </cell>
          <cell r="AN152">
            <v>1.5</v>
          </cell>
          <cell r="AO152">
            <v>0</v>
          </cell>
          <cell r="AP152">
            <v>0</v>
          </cell>
          <cell r="AQ152" t="str">
            <v>D</v>
          </cell>
          <cell r="AR152">
            <v>0</v>
          </cell>
          <cell r="AS152" t="str">
            <v>D</v>
          </cell>
          <cell r="AT152">
            <v>0</v>
          </cell>
          <cell r="AU152" t="str">
            <v>D</v>
          </cell>
          <cell r="AV152">
            <v>0</v>
          </cell>
          <cell r="AW152" t="str">
            <v>D</v>
          </cell>
          <cell r="AX152">
            <v>0</v>
          </cell>
          <cell r="AY152" t="str">
            <v>D</v>
          </cell>
          <cell r="AZ152">
            <v>1.5</v>
          </cell>
          <cell r="BA152" t="str">
            <v>NT7</v>
          </cell>
          <cell r="BB152">
            <v>0</v>
          </cell>
          <cell r="BC152">
            <v>0</v>
          </cell>
          <cell r="BD152">
            <v>0</v>
          </cell>
          <cell r="BE152" t="str">
            <v>D</v>
          </cell>
          <cell r="BF152">
            <v>0</v>
          </cell>
          <cell r="BG152" t="str">
            <v>D</v>
          </cell>
          <cell r="BH152">
            <v>0</v>
          </cell>
          <cell r="BI152" t="str">
            <v>D</v>
          </cell>
          <cell r="BJ152">
            <v>0</v>
          </cell>
          <cell r="BK152" t="str">
            <v>D</v>
          </cell>
          <cell r="BL152">
            <v>2</v>
          </cell>
          <cell r="BM152" t="str">
            <v>D</v>
          </cell>
          <cell r="BN152">
            <v>0</v>
          </cell>
          <cell r="BO152" t="str">
            <v>D</v>
          </cell>
          <cell r="BP152">
            <v>0</v>
          </cell>
          <cell r="BQ152">
            <v>3</v>
          </cell>
          <cell r="BR152">
            <v>22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2</v>
          </cell>
          <cell r="BY152">
            <v>0</v>
          </cell>
          <cell r="BZ152">
            <v>27</v>
          </cell>
          <cell r="CA152">
            <v>21.5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11</v>
          </cell>
          <cell r="CH152">
            <v>0</v>
          </cell>
          <cell r="CI152">
            <v>70</v>
          </cell>
        </row>
        <row r="153">
          <cell r="A153" t="str">
            <v>A754</v>
          </cell>
          <cell r="B153" t="str">
            <v>Trần Đăng Huy</v>
          </cell>
          <cell r="C153" t="str">
            <v>CD</v>
          </cell>
          <cell r="D153">
            <v>0</v>
          </cell>
          <cell r="E153" t="str">
            <v>04/04/2016</v>
          </cell>
          <cell r="F153">
            <v>0</v>
          </cell>
          <cell r="G153" t="str">
            <v>NT7</v>
          </cell>
          <cell r="H153">
            <v>0</v>
          </cell>
          <cell r="I153" t="str">
            <v>A</v>
          </cell>
          <cell r="J153">
            <v>4</v>
          </cell>
          <cell r="K153" t="str">
            <v>A</v>
          </cell>
          <cell r="L153">
            <v>4</v>
          </cell>
          <cell r="M153">
            <v>0</v>
          </cell>
          <cell r="N153">
            <v>12</v>
          </cell>
          <cell r="O153" t="str">
            <v>A</v>
          </cell>
          <cell r="P153">
            <v>4</v>
          </cell>
          <cell r="Q153" t="str">
            <v>A</v>
          </cell>
          <cell r="R153">
            <v>4</v>
          </cell>
          <cell r="S153" t="str">
            <v>A</v>
          </cell>
          <cell r="T153">
            <v>4</v>
          </cell>
          <cell r="U153" t="str">
            <v>A</v>
          </cell>
          <cell r="V153">
            <v>4</v>
          </cell>
          <cell r="W153" t="str">
            <v>A</v>
          </cell>
          <cell r="X153">
            <v>4</v>
          </cell>
          <cell r="Y153" t="str">
            <v>A</v>
          </cell>
          <cell r="Z153">
            <v>4</v>
          </cell>
          <cell r="AA153">
            <v>0</v>
          </cell>
          <cell r="AB153">
            <v>12</v>
          </cell>
          <cell r="AC153" t="str">
            <v>D</v>
          </cell>
          <cell r="AD153">
            <v>2</v>
          </cell>
          <cell r="AE153" t="str">
            <v>A</v>
          </cell>
          <cell r="AF153">
            <v>4</v>
          </cell>
          <cell r="AG153" t="str">
            <v>A</v>
          </cell>
          <cell r="AH153">
            <v>4</v>
          </cell>
          <cell r="AI153" t="str">
            <v>A</v>
          </cell>
          <cell r="AJ153">
            <v>4</v>
          </cell>
          <cell r="AK153" t="str">
            <v>A</v>
          </cell>
          <cell r="AL153">
            <v>4</v>
          </cell>
          <cell r="AM153" t="str">
            <v>A</v>
          </cell>
          <cell r="AN153">
            <v>4</v>
          </cell>
          <cell r="AO153">
            <v>0</v>
          </cell>
          <cell r="AP153">
            <v>12</v>
          </cell>
          <cell r="AQ153" t="str">
            <v>A</v>
          </cell>
          <cell r="AR153">
            <v>6.5</v>
          </cell>
          <cell r="AS153" t="str">
            <v>A</v>
          </cell>
          <cell r="AT153">
            <v>4</v>
          </cell>
          <cell r="AU153" t="str">
            <v>A</v>
          </cell>
          <cell r="AV153">
            <v>4</v>
          </cell>
          <cell r="AW153" t="str">
            <v>A</v>
          </cell>
          <cell r="AX153">
            <v>4</v>
          </cell>
          <cell r="AY153" t="str">
            <v>D</v>
          </cell>
          <cell r="AZ153">
            <v>2.5</v>
          </cell>
          <cell r="BA153" t="str">
            <v>A</v>
          </cell>
          <cell r="BB153">
            <v>4</v>
          </cell>
          <cell r="BC153">
            <v>0</v>
          </cell>
          <cell r="BD153">
            <v>11</v>
          </cell>
          <cell r="BE153" t="str">
            <v>A</v>
          </cell>
          <cell r="BF153">
            <v>5</v>
          </cell>
          <cell r="BG153" t="str">
            <v>A</v>
          </cell>
          <cell r="BH153">
            <v>5</v>
          </cell>
          <cell r="BI153" t="str">
            <v>A</v>
          </cell>
          <cell r="BJ153">
            <v>6</v>
          </cell>
          <cell r="BK153" t="str">
            <v>A</v>
          </cell>
          <cell r="BL153">
            <v>6</v>
          </cell>
          <cell r="BM153" t="str">
            <v>A</v>
          </cell>
          <cell r="BN153">
            <v>5</v>
          </cell>
          <cell r="BO153" t="str">
            <v>A</v>
          </cell>
          <cell r="BP153">
            <v>5</v>
          </cell>
          <cell r="BQ153">
            <v>24</v>
          </cell>
          <cell r="BR153">
            <v>2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1</v>
          </cell>
          <cell r="BY153">
            <v>0</v>
          </cell>
          <cell r="BZ153">
            <v>27</v>
          </cell>
          <cell r="CA153">
            <v>111</v>
          </cell>
          <cell r="CB153">
            <v>47</v>
          </cell>
          <cell r="CC153">
            <v>0</v>
          </cell>
          <cell r="CD153">
            <v>1</v>
          </cell>
          <cell r="CE153">
            <v>3</v>
          </cell>
          <cell r="CF153">
            <v>150</v>
          </cell>
          <cell r="CG153">
            <v>1</v>
          </cell>
          <cell r="CH153">
            <v>48</v>
          </cell>
          <cell r="CI153">
            <v>150</v>
          </cell>
        </row>
        <row r="154">
          <cell r="A154" t="str">
            <v>A758</v>
          </cell>
          <cell r="B154" t="str">
            <v>Trần Văn Cảm</v>
          </cell>
          <cell r="C154" t="str">
            <v>CII.1</v>
          </cell>
          <cell r="D154">
            <v>0</v>
          </cell>
          <cell r="E154">
            <v>42499</v>
          </cell>
          <cell r="F154">
            <v>0</v>
          </cell>
          <cell r="G154" t="str">
            <v>C</v>
          </cell>
          <cell r="H154">
            <v>4</v>
          </cell>
          <cell r="I154" t="str">
            <v>P</v>
          </cell>
          <cell r="J154">
            <v>0</v>
          </cell>
          <cell r="K154" t="str">
            <v>R0</v>
          </cell>
          <cell r="L154">
            <v>0</v>
          </cell>
          <cell r="M154">
            <v>0</v>
          </cell>
          <cell r="N154">
            <v>0</v>
          </cell>
          <cell r="O154" t="str">
            <v>R0</v>
          </cell>
          <cell r="P154">
            <v>0</v>
          </cell>
          <cell r="Q154" t="str">
            <v>R0</v>
          </cell>
          <cell r="R154">
            <v>0</v>
          </cell>
          <cell r="S154" t="str">
            <v>R0</v>
          </cell>
          <cell r="T154">
            <v>0</v>
          </cell>
          <cell r="U154" t="str">
            <v>R0</v>
          </cell>
          <cell r="V154">
            <v>0</v>
          </cell>
          <cell r="W154" t="str">
            <v>R0</v>
          </cell>
          <cell r="X154">
            <v>0</v>
          </cell>
          <cell r="Y154" t="str">
            <v>R0</v>
          </cell>
          <cell r="Z154">
            <v>0</v>
          </cell>
          <cell r="AA154">
            <v>0</v>
          </cell>
          <cell r="AB154">
            <v>0</v>
          </cell>
          <cell r="AC154" t="str">
            <v>R0</v>
          </cell>
          <cell r="AD154">
            <v>0</v>
          </cell>
          <cell r="AE154" t="str">
            <v>R0</v>
          </cell>
          <cell r="AF154">
            <v>0</v>
          </cell>
          <cell r="AG154" t="str">
            <v>R0</v>
          </cell>
          <cell r="AH154">
            <v>0</v>
          </cell>
          <cell r="AI154" t="str">
            <v>R0</v>
          </cell>
          <cell r="AJ154">
            <v>0</v>
          </cell>
          <cell r="AK154" t="str">
            <v>NV</v>
          </cell>
          <cell r="AL154">
            <v>0</v>
          </cell>
          <cell r="AM154" t="str">
            <v>NV</v>
          </cell>
          <cell r="AN154">
            <v>0</v>
          </cell>
          <cell r="AO154">
            <v>0</v>
          </cell>
          <cell r="AP154">
            <v>0</v>
          </cell>
          <cell r="AQ154" t="str">
            <v>NV</v>
          </cell>
          <cell r="AR154">
            <v>0</v>
          </cell>
          <cell r="AS154" t="str">
            <v>NV</v>
          </cell>
          <cell r="AT154">
            <v>0</v>
          </cell>
          <cell r="AU154" t="str">
            <v>NV</v>
          </cell>
          <cell r="AV154">
            <v>0</v>
          </cell>
          <cell r="AW154" t="str">
            <v>NV</v>
          </cell>
          <cell r="AX154">
            <v>0</v>
          </cell>
          <cell r="AY154" t="str">
            <v>NV</v>
          </cell>
          <cell r="AZ154">
            <v>0</v>
          </cell>
          <cell r="BA154" t="str">
            <v>NV</v>
          </cell>
          <cell r="BB154">
            <v>0</v>
          </cell>
          <cell r="BC154">
            <v>0</v>
          </cell>
          <cell r="BD154">
            <v>0</v>
          </cell>
          <cell r="BE154" t="str">
            <v>NV</v>
          </cell>
          <cell r="BF154">
            <v>0</v>
          </cell>
          <cell r="BG154" t="str">
            <v>NV</v>
          </cell>
          <cell r="BH154">
            <v>0</v>
          </cell>
          <cell r="BI154" t="str">
            <v>NV</v>
          </cell>
          <cell r="BJ154">
            <v>0</v>
          </cell>
          <cell r="BK154" t="str">
            <v>NV</v>
          </cell>
          <cell r="BL154">
            <v>0</v>
          </cell>
          <cell r="BM154" t="str">
            <v>NV</v>
          </cell>
          <cell r="BN154">
            <v>0</v>
          </cell>
          <cell r="BO154" t="str">
            <v>NV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1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1</v>
          </cell>
          <cell r="BZ154">
            <v>2</v>
          </cell>
          <cell r="CA154">
            <v>4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150</v>
          </cell>
        </row>
        <row r="155">
          <cell r="A155" t="str">
            <v>A760</v>
          </cell>
          <cell r="B155" t="str">
            <v>Lại Văn Thắng</v>
          </cell>
          <cell r="C155" t="str">
            <v>CII.4</v>
          </cell>
          <cell r="D155">
            <v>0</v>
          </cell>
          <cell r="E155">
            <v>42513</v>
          </cell>
          <cell r="F155">
            <v>3</v>
          </cell>
          <cell r="G155" t="str">
            <v>D</v>
          </cell>
          <cell r="H155">
            <v>0</v>
          </cell>
          <cell r="I155" t="str">
            <v>A</v>
          </cell>
          <cell r="J155">
            <v>4</v>
          </cell>
          <cell r="K155" t="str">
            <v>A</v>
          </cell>
          <cell r="L155">
            <v>4</v>
          </cell>
          <cell r="M155">
            <v>0</v>
          </cell>
          <cell r="N155">
            <v>12</v>
          </cell>
          <cell r="O155" t="str">
            <v>C</v>
          </cell>
          <cell r="P155">
            <v>4</v>
          </cell>
          <cell r="Q155" t="str">
            <v>C</v>
          </cell>
          <cell r="R155">
            <v>4</v>
          </cell>
          <cell r="S155" t="str">
            <v>C</v>
          </cell>
          <cell r="T155">
            <v>4</v>
          </cell>
          <cell r="U155" t="str">
            <v>C</v>
          </cell>
          <cell r="V155">
            <v>4</v>
          </cell>
          <cell r="W155" t="str">
            <v>C</v>
          </cell>
          <cell r="X155">
            <v>4</v>
          </cell>
          <cell r="Y155" t="str">
            <v>C</v>
          </cell>
          <cell r="Z155">
            <v>4</v>
          </cell>
          <cell r="AA155">
            <v>0</v>
          </cell>
          <cell r="AB155">
            <v>0</v>
          </cell>
          <cell r="AC155" t="str">
            <v>A</v>
          </cell>
          <cell r="AD155">
            <v>4</v>
          </cell>
          <cell r="AE155" t="str">
            <v>A</v>
          </cell>
          <cell r="AF155">
            <v>4</v>
          </cell>
          <cell r="AG155" t="str">
            <v>A</v>
          </cell>
          <cell r="AH155">
            <v>4</v>
          </cell>
          <cell r="AI155" t="str">
            <v>A</v>
          </cell>
          <cell r="AJ155">
            <v>4</v>
          </cell>
          <cell r="AK155" t="str">
            <v>A</v>
          </cell>
          <cell r="AL155">
            <v>4</v>
          </cell>
          <cell r="AM155" t="str">
            <v>A</v>
          </cell>
          <cell r="AN155">
            <v>4</v>
          </cell>
          <cell r="AO155">
            <v>0</v>
          </cell>
          <cell r="AP155">
            <v>20</v>
          </cell>
          <cell r="AQ155" t="str">
            <v>C</v>
          </cell>
          <cell r="AR155">
            <v>4</v>
          </cell>
          <cell r="AS155" t="str">
            <v>C</v>
          </cell>
          <cell r="AT155">
            <v>4</v>
          </cell>
          <cell r="AU155" t="str">
            <v>C</v>
          </cell>
          <cell r="AV155">
            <v>4</v>
          </cell>
          <cell r="AW155" t="str">
            <v>C</v>
          </cell>
          <cell r="AX155">
            <v>4</v>
          </cell>
          <cell r="AY155" t="str">
            <v>C</v>
          </cell>
          <cell r="AZ155">
            <v>4</v>
          </cell>
          <cell r="BA155" t="str">
            <v>C</v>
          </cell>
          <cell r="BB155">
            <v>4</v>
          </cell>
          <cell r="BC155">
            <v>0</v>
          </cell>
          <cell r="BD155">
            <v>12</v>
          </cell>
          <cell r="BE155" t="str">
            <v>C</v>
          </cell>
          <cell r="BF155">
            <v>4</v>
          </cell>
          <cell r="BG155" t="str">
            <v>C</v>
          </cell>
          <cell r="BH155">
            <v>4</v>
          </cell>
          <cell r="BI155" t="str">
            <v>C</v>
          </cell>
          <cell r="BJ155">
            <v>4</v>
          </cell>
          <cell r="BK155" t="str">
            <v>C</v>
          </cell>
          <cell r="BL155">
            <v>4</v>
          </cell>
          <cell r="BM155" t="str">
            <v>C</v>
          </cell>
          <cell r="BN155">
            <v>4</v>
          </cell>
          <cell r="BO155" t="str">
            <v>NT7</v>
          </cell>
          <cell r="BP155">
            <v>0</v>
          </cell>
          <cell r="BQ155">
            <v>8</v>
          </cell>
          <cell r="BR155">
            <v>1</v>
          </cell>
          <cell r="BS155">
            <v>0</v>
          </cell>
          <cell r="BT155">
            <v>17</v>
          </cell>
          <cell r="BU155">
            <v>0</v>
          </cell>
          <cell r="BV155">
            <v>0</v>
          </cell>
          <cell r="BW155">
            <v>0</v>
          </cell>
          <cell r="BX155">
            <v>1</v>
          </cell>
          <cell r="BY155">
            <v>0</v>
          </cell>
          <cell r="BZ155">
            <v>27</v>
          </cell>
          <cell r="CA155">
            <v>100</v>
          </cell>
          <cell r="CB155">
            <v>44</v>
          </cell>
          <cell r="CC155">
            <v>0</v>
          </cell>
          <cell r="CD155">
            <v>1</v>
          </cell>
          <cell r="CE155">
            <v>6</v>
          </cell>
          <cell r="CF155">
            <v>150</v>
          </cell>
          <cell r="CG155">
            <v>4</v>
          </cell>
          <cell r="CH155">
            <v>96</v>
          </cell>
          <cell r="CI155">
            <v>150</v>
          </cell>
        </row>
        <row r="156">
          <cell r="A156" t="str">
            <v>A761</v>
          </cell>
          <cell r="B156" t="str">
            <v>Nguyễn Nhật Trường</v>
          </cell>
          <cell r="C156" t="str">
            <v>EN</v>
          </cell>
          <cell r="D156">
            <v>0</v>
          </cell>
          <cell r="E156">
            <v>42520</v>
          </cell>
          <cell r="F156">
            <v>5</v>
          </cell>
          <cell r="G156" t="str">
            <v>C</v>
          </cell>
          <cell r="H156">
            <v>4</v>
          </cell>
          <cell r="I156" t="str">
            <v>C</v>
          </cell>
          <cell r="J156">
            <v>4</v>
          </cell>
          <cell r="K156" t="str">
            <v>C</v>
          </cell>
          <cell r="L156">
            <v>4</v>
          </cell>
          <cell r="M156">
            <v>0</v>
          </cell>
          <cell r="N156">
            <v>0</v>
          </cell>
          <cell r="O156" t="str">
            <v>C</v>
          </cell>
          <cell r="P156">
            <v>4</v>
          </cell>
          <cell r="Q156" t="str">
            <v>C</v>
          </cell>
          <cell r="R156">
            <v>4</v>
          </cell>
          <cell r="S156" t="str">
            <v>C</v>
          </cell>
          <cell r="T156">
            <v>4</v>
          </cell>
          <cell r="U156" t="str">
            <v>B</v>
          </cell>
          <cell r="V156">
            <v>0</v>
          </cell>
          <cell r="W156" t="str">
            <v>C</v>
          </cell>
          <cell r="X156">
            <v>4</v>
          </cell>
          <cell r="Y156" t="str">
            <v>C</v>
          </cell>
          <cell r="Z156">
            <v>4</v>
          </cell>
          <cell r="AA156">
            <v>0</v>
          </cell>
          <cell r="AB156">
            <v>0</v>
          </cell>
          <cell r="AC156" t="str">
            <v>A</v>
          </cell>
          <cell r="AD156">
            <v>4</v>
          </cell>
          <cell r="AE156" t="str">
            <v>A</v>
          </cell>
          <cell r="AF156">
            <v>4</v>
          </cell>
          <cell r="AG156" t="str">
            <v>A</v>
          </cell>
          <cell r="AH156">
            <v>4</v>
          </cell>
          <cell r="AI156" t="str">
            <v>A</v>
          </cell>
          <cell r="AJ156">
            <v>4</v>
          </cell>
          <cell r="AK156" t="str">
            <v>A</v>
          </cell>
          <cell r="AL156">
            <v>4</v>
          </cell>
          <cell r="AM156" t="str">
            <v>A</v>
          </cell>
          <cell r="AN156">
            <v>4</v>
          </cell>
          <cell r="AO156">
            <v>0</v>
          </cell>
          <cell r="AP156">
            <v>10</v>
          </cell>
          <cell r="AQ156" t="str">
            <v>C</v>
          </cell>
          <cell r="AR156">
            <v>4</v>
          </cell>
          <cell r="AS156" t="str">
            <v>C</v>
          </cell>
          <cell r="AT156">
            <v>4</v>
          </cell>
          <cell r="AU156" t="str">
            <v>C</v>
          </cell>
          <cell r="AV156">
            <v>4</v>
          </cell>
          <cell r="AW156" t="str">
            <v>C</v>
          </cell>
          <cell r="AX156">
            <v>4</v>
          </cell>
          <cell r="AY156" t="str">
            <v>C</v>
          </cell>
          <cell r="AZ156">
            <v>4</v>
          </cell>
          <cell r="BA156" t="str">
            <v>C</v>
          </cell>
          <cell r="BB156">
            <v>4</v>
          </cell>
          <cell r="BC156">
            <v>0</v>
          </cell>
          <cell r="BD156">
            <v>0</v>
          </cell>
          <cell r="BE156" t="str">
            <v>C</v>
          </cell>
          <cell r="BF156">
            <v>4</v>
          </cell>
          <cell r="BG156" t="str">
            <v>C</v>
          </cell>
          <cell r="BH156">
            <v>4</v>
          </cell>
          <cell r="BI156" t="str">
            <v>C</v>
          </cell>
          <cell r="BJ156">
            <v>4</v>
          </cell>
          <cell r="BK156" t="str">
            <v>C</v>
          </cell>
          <cell r="BL156">
            <v>4</v>
          </cell>
          <cell r="BM156" t="str">
            <v>C</v>
          </cell>
          <cell r="BN156">
            <v>4</v>
          </cell>
          <cell r="BO156" t="str">
            <v>C</v>
          </cell>
          <cell r="BP156">
            <v>4</v>
          </cell>
          <cell r="BQ156">
            <v>6</v>
          </cell>
          <cell r="BR156">
            <v>0</v>
          </cell>
          <cell r="BS156">
            <v>1</v>
          </cell>
          <cell r="BT156">
            <v>20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27</v>
          </cell>
          <cell r="CA156">
            <v>104</v>
          </cell>
          <cell r="CB156">
            <v>10</v>
          </cell>
          <cell r="CC156">
            <v>0</v>
          </cell>
          <cell r="CD156">
            <v>2</v>
          </cell>
          <cell r="CE156">
            <v>2</v>
          </cell>
          <cell r="CF156">
            <v>300</v>
          </cell>
          <cell r="CG156">
            <v>6</v>
          </cell>
          <cell r="CH156">
            <v>32</v>
          </cell>
          <cell r="CI156">
            <v>150</v>
          </cell>
        </row>
        <row r="157">
          <cell r="A157" t="str">
            <v>A764</v>
          </cell>
          <cell r="B157" t="str">
            <v>Văn Đình Thành</v>
          </cell>
          <cell r="C157" t="str">
            <v>CD</v>
          </cell>
          <cell r="D157">
            <v>0</v>
          </cell>
          <cell r="E157" t="str">
            <v>06/06/2016</v>
          </cell>
          <cell r="F157">
            <v>1.5</v>
          </cell>
          <cell r="G157" t="str">
            <v>C</v>
          </cell>
          <cell r="H157">
            <v>4</v>
          </cell>
          <cell r="I157" t="str">
            <v>C</v>
          </cell>
          <cell r="J157">
            <v>4</v>
          </cell>
          <cell r="K157" t="str">
            <v>C</v>
          </cell>
          <cell r="L157">
            <v>4</v>
          </cell>
          <cell r="M157">
            <v>0</v>
          </cell>
          <cell r="N157">
            <v>0</v>
          </cell>
          <cell r="O157" t="str">
            <v>NT7</v>
          </cell>
          <cell r="P157">
            <v>0</v>
          </cell>
          <cell r="Q157" t="str">
            <v>D</v>
          </cell>
          <cell r="R157">
            <v>3</v>
          </cell>
          <cell r="S157" t="str">
            <v>D</v>
          </cell>
          <cell r="T157">
            <v>2</v>
          </cell>
          <cell r="U157" t="str">
            <v>D</v>
          </cell>
          <cell r="V157">
            <v>2</v>
          </cell>
          <cell r="W157" t="str">
            <v>D</v>
          </cell>
          <cell r="X157">
            <v>2</v>
          </cell>
          <cell r="Y157" t="str">
            <v>D</v>
          </cell>
          <cell r="Z157">
            <v>2</v>
          </cell>
          <cell r="AA157">
            <v>0</v>
          </cell>
          <cell r="AB157">
            <v>11</v>
          </cell>
          <cell r="AC157" t="str">
            <v>NT7</v>
          </cell>
          <cell r="AD157">
            <v>0</v>
          </cell>
          <cell r="AE157" t="str">
            <v>D</v>
          </cell>
          <cell r="AF157">
            <v>2</v>
          </cell>
          <cell r="AG157" t="str">
            <v>D</v>
          </cell>
          <cell r="AH157">
            <v>3</v>
          </cell>
          <cell r="AI157" t="str">
            <v>D</v>
          </cell>
          <cell r="AJ157">
            <v>3</v>
          </cell>
          <cell r="AK157" t="str">
            <v>D</v>
          </cell>
          <cell r="AL157">
            <v>3</v>
          </cell>
          <cell r="AM157" t="str">
            <v>D</v>
          </cell>
          <cell r="AN157">
            <v>3</v>
          </cell>
          <cell r="AO157">
            <v>0</v>
          </cell>
          <cell r="AP157">
            <v>11</v>
          </cell>
          <cell r="AQ157" t="str">
            <v>D</v>
          </cell>
          <cell r="AR157">
            <v>3</v>
          </cell>
          <cell r="AS157" t="str">
            <v>D</v>
          </cell>
          <cell r="AT157">
            <v>3</v>
          </cell>
          <cell r="AU157" t="str">
            <v>D</v>
          </cell>
          <cell r="AV157">
            <v>3</v>
          </cell>
          <cell r="AW157" t="str">
            <v>D</v>
          </cell>
          <cell r="AX157">
            <v>3</v>
          </cell>
          <cell r="AY157" t="str">
            <v>D</v>
          </cell>
          <cell r="AZ157">
            <v>3</v>
          </cell>
          <cell r="BA157" t="str">
            <v>D</v>
          </cell>
          <cell r="BB157">
            <v>3</v>
          </cell>
          <cell r="BC157">
            <v>0</v>
          </cell>
          <cell r="BD157">
            <v>12</v>
          </cell>
          <cell r="BE157" t="str">
            <v>D</v>
          </cell>
          <cell r="BF157">
            <v>3</v>
          </cell>
          <cell r="BG157" t="str">
            <v>D</v>
          </cell>
          <cell r="BH157">
            <v>2</v>
          </cell>
          <cell r="BI157" t="str">
            <v>D</v>
          </cell>
          <cell r="BJ157">
            <v>2</v>
          </cell>
          <cell r="BK157" t="str">
            <v>D</v>
          </cell>
          <cell r="BL157">
            <v>2</v>
          </cell>
          <cell r="BM157" t="str">
            <v>D</v>
          </cell>
          <cell r="BN157">
            <v>2</v>
          </cell>
          <cell r="BO157" t="str">
            <v>P</v>
          </cell>
          <cell r="BP157">
            <v>0</v>
          </cell>
          <cell r="BQ157">
            <v>0</v>
          </cell>
          <cell r="BR157">
            <v>21</v>
          </cell>
          <cell r="BS157">
            <v>0</v>
          </cell>
          <cell r="BT157">
            <v>3</v>
          </cell>
          <cell r="BU157">
            <v>0</v>
          </cell>
          <cell r="BV157">
            <v>0</v>
          </cell>
          <cell r="BW157">
            <v>0</v>
          </cell>
          <cell r="BX157">
            <v>2</v>
          </cell>
          <cell r="BY157">
            <v>1</v>
          </cell>
          <cell r="BZ157">
            <v>27</v>
          </cell>
          <cell r="CA157">
            <v>66</v>
          </cell>
          <cell r="CB157">
            <v>34</v>
          </cell>
          <cell r="CC157">
            <v>0</v>
          </cell>
          <cell r="CD157">
            <v>0</v>
          </cell>
          <cell r="CE157">
            <v>2</v>
          </cell>
          <cell r="CF157">
            <v>0</v>
          </cell>
          <cell r="CG157">
            <v>1.5</v>
          </cell>
          <cell r="CH157">
            <v>32</v>
          </cell>
          <cell r="CI157">
            <v>150</v>
          </cell>
        </row>
        <row r="158">
          <cell r="A158" t="str">
            <v>A771</v>
          </cell>
          <cell r="B158" t="str">
            <v>Châu Thành An</v>
          </cell>
          <cell r="C158" t="str">
            <v>CI.1</v>
          </cell>
          <cell r="D158">
            <v>0</v>
          </cell>
          <cell r="E158" t="str">
            <v>11/07/2016</v>
          </cell>
          <cell r="F158">
            <v>0</v>
          </cell>
          <cell r="G158" t="str">
            <v>NT7</v>
          </cell>
          <cell r="H158">
            <v>0</v>
          </cell>
          <cell r="I158" t="str">
            <v>D</v>
          </cell>
          <cell r="J158">
            <v>2</v>
          </cell>
          <cell r="K158" t="str">
            <v>A</v>
          </cell>
          <cell r="L158">
            <v>4.5</v>
          </cell>
          <cell r="M158">
            <v>0</v>
          </cell>
          <cell r="N158">
            <v>4</v>
          </cell>
          <cell r="O158" t="str">
            <v>D</v>
          </cell>
          <cell r="P158">
            <v>0</v>
          </cell>
          <cell r="Q158" t="str">
            <v>A</v>
          </cell>
          <cell r="R158">
            <v>4</v>
          </cell>
          <cell r="S158" t="str">
            <v>D</v>
          </cell>
          <cell r="T158">
            <v>3</v>
          </cell>
          <cell r="U158" t="str">
            <v>D</v>
          </cell>
          <cell r="V158">
            <v>3</v>
          </cell>
          <cell r="W158" t="str">
            <v>KH</v>
          </cell>
          <cell r="X158">
            <v>0</v>
          </cell>
          <cell r="Y158" t="str">
            <v>KH</v>
          </cell>
          <cell r="Z158">
            <v>0</v>
          </cell>
          <cell r="AA158">
            <v>0</v>
          </cell>
          <cell r="AB158">
            <v>0</v>
          </cell>
          <cell r="AC158" t="str">
            <v>KH</v>
          </cell>
          <cell r="AD158">
            <v>0</v>
          </cell>
          <cell r="AE158" t="str">
            <v>NT7</v>
          </cell>
          <cell r="AF158">
            <v>0</v>
          </cell>
          <cell r="AG158" t="str">
            <v>P</v>
          </cell>
          <cell r="AH158">
            <v>0</v>
          </cell>
          <cell r="AI158" t="str">
            <v>R0</v>
          </cell>
          <cell r="AJ158">
            <v>0</v>
          </cell>
          <cell r="AK158" t="str">
            <v>R0</v>
          </cell>
          <cell r="AL158">
            <v>0</v>
          </cell>
          <cell r="AM158" t="str">
            <v>R0</v>
          </cell>
          <cell r="AN158">
            <v>0</v>
          </cell>
          <cell r="AO158">
            <v>0</v>
          </cell>
          <cell r="AP158">
            <v>0</v>
          </cell>
          <cell r="AQ158" t="str">
            <v>D</v>
          </cell>
          <cell r="AR158">
            <v>1</v>
          </cell>
          <cell r="AS158" t="str">
            <v>A</v>
          </cell>
          <cell r="AT158">
            <v>4.5</v>
          </cell>
          <cell r="AU158" t="str">
            <v>D</v>
          </cell>
          <cell r="AV158">
            <v>2.5</v>
          </cell>
          <cell r="AW158" t="str">
            <v>D</v>
          </cell>
          <cell r="AX158">
            <v>1</v>
          </cell>
          <cell r="AY158" t="str">
            <v>A</v>
          </cell>
          <cell r="AZ158">
            <v>4</v>
          </cell>
          <cell r="BA158" t="str">
            <v>A</v>
          </cell>
          <cell r="BB158">
            <v>4</v>
          </cell>
          <cell r="BC158">
            <v>0</v>
          </cell>
          <cell r="BD158">
            <v>8</v>
          </cell>
          <cell r="BE158" t="str">
            <v>C</v>
          </cell>
          <cell r="BF158">
            <v>4</v>
          </cell>
          <cell r="BG158" t="str">
            <v>C</v>
          </cell>
          <cell r="BH158">
            <v>4</v>
          </cell>
          <cell r="BI158" t="str">
            <v>B</v>
          </cell>
          <cell r="BJ158">
            <v>0</v>
          </cell>
          <cell r="BK158" t="str">
            <v>C</v>
          </cell>
          <cell r="BL158">
            <v>4</v>
          </cell>
          <cell r="BM158" t="str">
            <v>C</v>
          </cell>
          <cell r="BN158">
            <v>4</v>
          </cell>
          <cell r="BO158" t="str">
            <v>HH</v>
          </cell>
          <cell r="BP158">
            <v>0</v>
          </cell>
          <cell r="BQ158">
            <v>5</v>
          </cell>
          <cell r="BR158">
            <v>7</v>
          </cell>
          <cell r="BS158">
            <v>1</v>
          </cell>
          <cell r="BT158">
            <v>4</v>
          </cell>
          <cell r="BU158">
            <v>3</v>
          </cell>
          <cell r="BV158">
            <v>0</v>
          </cell>
          <cell r="BW158">
            <v>1</v>
          </cell>
          <cell r="BX158">
            <v>2</v>
          </cell>
          <cell r="BY158">
            <v>1</v>
          </cell>
          <cell r="BZ158">
            <v>24</v>
          </cell>
          <cell r="CA158">
            <v>49.5</v>
          </cell>
          <cell r="CB158">
            <v>12</v>
          </cell>
          <cell r="CC158">
            <v>0</v>
          </cell>
          <cell r="CD158">
            <v>0</v>
          </cell>
          <cell r="CE158">
            <v>1</v>
          </cell>
          <cell r="CF158">
            <v>0</v>
          </cell>
          <cell r="CG158">
            <v>0</v>
          </cell>
          <cell r="CH158">
            <v>16</v>
          </cell>
          <cell r="CI158">
            <v>70</v>
          </cell>
        </row>
        <row r="159">
          <cell r="A159" t="str">
            <v>A775</v>
          </cell>
          <cell r="B159" t="str">
            <v>Nguyễn Minh Trường</v>
          </cell>
          <cell r="C159" t="str">
            <v>CII.3</v>
          </cell>
          <cell r="D159">
            <v>0</v>
          </cell>
          <cell r="E159" t="str">
            <v>12/07/2016</v>
          </cell>
          <cell r="F159">
            <v>0.5</v>
          </cell>
          <cell r="G159" t="str">
            <v>D</v>
          </cell>
          <cell r="H159">
            <v>0</v>
          </cell>
          <cell r="I159" t="str">
            <v>A</v>
          </cell>
          <cell r="J159">
            <v>4</v>
          </cell>
          <cell r="K159" t="str">
            <v>A</v>
          </cell>
          <cell r="L159">
            <v>4</v>
          </cell>
          <cell r="M159">
            <v>0</v>
          </cell>
          <cell r="N159">
            <v>0</v>
          </cell>
          <cell r="O159" t="str">
            <v>C</v>
          </cell>
          <cell r="P159">
            <v>4</v>
          </cell>
          <cell r="Q159" t="str">
            <v>C</v>
          </cell>
          <cell r="R159">
            <v>4</v>
          </cell>
          <cell r="S159" t="str">
            <v>C</v>
          </cell>
          <cell r="T159">
            <v>4</v>
          </cell>
          <cell r="U159" t="str">
            <v>C</v>
          </cell>
          <cell r="V159">
            <v>4</v>
          </cell>
          <cell r="W159" t="str">
            <v>C</v>
          </cell>
          <cell r="X159">
            <v>4</v>
          </cell>
          <cell r="Y159" t="str">
            <v>C</v>
          </cell>
          <cell r="Z159">
            <v>4</v>
          </cell>
          <cell r="AA159">
            <v>0</v>
          </cell>
          <cell r="AB159">
            <v>0</v>
          </cell>
          <cell r="AC159" t="str">
            <v>A</v>
          </cell>
          <cell r="AD159">
            <v>4</v>
          </cell>
          <cell r="AE159" t="str">
            <v>A</v>
          </cell>
          <cell r="AF159">
            <v>4</v>
          </cell>
          <cell r="AG159" t="str">
            <v>A</v>
          </cell>
          <cell r="AH159">
            <v>4</v>
          </cell>
          <cell r="AI159" t="str">
            <v>P</v>
          </cell>
          <cell r="AJ159">
            <v>0</v>
          </cell>
          <cell r="AK159" t="str">
            <v>A</v>
          </cell>
          <cell r="AL159">
            <v>4</v>
          </cell>
          <cell r="AM159" t="str">
            <v>A</v>
          </cell>
          <cell r="AN159">
            <v>4</v>
          </cell>
          <cell r="AO159">
            <v>0</v>
          </cell>
          <cell r="AP159">
            <v>8</v>
          </cell>
          <cell r="AQ159" t="str">
            <v>C</v>
          </cell>
          <cell r="AR159">
            <v>4</v>
          </cell>
          <cell r="AS159" t="str">
            <v>C</v>
          </cell>
          <cell r="AT159">
            <v>4</v>
          </cell>
          <cell r="AU159" t="str">
            <v>NT7</v>
          </cell>
          <cell r="AV159">
            <v>0</v>
          </cell>
          <cell r="AW159" t="str">
            <v>C</v>
          </cell>
          <cell r="AX159">
            <v>4</v>
          </cell>
          <cell r="AY159" t="str">
            <v>C</v>
          </cell>
          <cell r="AZ159">
            <v>4</v>
          </cell>
          <cell r="BA159" t="str">
            <v>C</v>
          </cell>
          <cell r="BB159">
            <v>4</v>
          </cell>
          <cell r="BC159">
            <v>0</v>
          </cell>
          <cell r="BD159">
            <v>12</v>
          </cell>
          <cell r="BE159" t="str">
            <v>C</v>
          </cell>
          <cell r="BF159">
            <v>4</v>
          </cell>
          <cell r="BG159" t="str">
            <v>C</v>
          </cell>
          <cell r="BH159">
            <v>4</v>
          </cell>
          <cell r="BI159" t="str">
            <v>C</v>
          </cell>
          <cell r="BJ159">
            <v>4</v>
          </cell>
          <cell r="BK159" t="str">
            <v>C</v>
          </cell>
          <cell r="BL159">
            <v>4</v>
          </cell>
          <cell r="BM159" t="str">
            <v>C</v>
          </cell>
          <cell r="BN159">
            <v>4</v>
          </cell>
          <cell r="BO159" t="str">
            <v>NT7</v>
          </cell>
          <cell r="BP159">
            <v>0</v>
          </cell>
          <cell r="BQ159">
            <v>7</v>
          </cell>
          <cell r="BR159">
            <v>1</v>
          </cell>
          <cell r="BS159">
            <v>0</v>
          </cell>
          <cell r="BT159">
            <v>16</v>
          </cell>
          <cell r="BU159">
            <v>0</v>
          </cell>
          <cell r="BV159">
            <v>0</v>
          </cell>
          <cell r="BW159">
            <v>0</v>
          </cell>
          <cell r="BX159">
            <v>2</v>
          </cell>
          <cell r="BY159">
            <v>1</v>
          </cell>
          <cell r="BZ159">
            <v>27</v>
          </cell>
          <cell r="CA159">
            <v>92</v>
          </cell>
          <cell r="CB159">
            <v>20</v>
          </cell>
          <cell r="CC159">
            <v>0</v>
          </cell>
          <cell r="CD159">
            <v>0</v>
          </cell>
          <cell r="CE159">
            <v>2</v>
          </cell>
          <cell r="CF159">
            <v>0</v>
          </cell>
          <cell r="CG159">
            <v>0.5</v>
          </cell>
          <cell r="CH159">
            <v>32</v>
          </cell>
          <cell r="CI159">
            <v>70</v>
          </cell>
        </row>
        <row r="160">
          <cell r="A160" t="str">
            <v>A776</v>
          </cell>
          <cell r="B160" t="str">
            <v>Nguyễn Tuấn Nhàn</v>
          </cell>
          <cell r="C160" t="str">
            <v>KHUON</v>
          </cell>
          <cell r="D160">
            <v>0</v>
          </cell>
          <cell r="E160" t="str">
            <v>01/07/2016</v>
          </cell>
          <cell r="F160">
            <v>1</v>
          </cell>
          <cell r="G160" t="str">
            <v>A</v>
          </cell>
          <cell r="H160">
            <v>4.5</v>
          </cell>
          <cell r="I160" t="str">
            <v>A</v>
          </cell>
          <cell r="J160">
            <v>4.5</v>
          </cell>
          <cell r="K160" t="str">
            <v>D</v>
          </cell>
          <cell r="L160">
            <v>0</v>
          </cell>
          <cell r="M160">
            <v>0</v>
          </cell>
          <cell r="N160">
            <v>8</v>
          </cell>
          <cell r="O160" t="str">
            <v>A</v>
          </cell>
          <cell r="P160">
            <v>4.5</v>
          </cell>
          <cell r="Q160" t="str">
            <v>A</v>
          </cell>
          <cell r="R160">
            <v>4</v>
          </cell>
          <cell r="S160" t="str">
            <v>NT7</v>
          </cell>
          <cell r="T160">
            <v>0</v>
          </cell>
          <cell r="U160" t="str">
            <v>A</v>
          </cell>
          <cell r="V160">
            <v>4</v>
          </cell>
          <cell r="W160" t="str">
            <v>A</v>
          </cell>
          <cell r="X160">
            <v>4</v>
          </cell>
          <cell r="Y160" t="str">
            <v>A</v>
          </cell>
          <cell r="Z160">
            <v>4</v>
          </cell>
          <cell r="AA160">
            <v>0</v>
          </cell>
          <cell r="AB160">
            <v>7</v>
          </cell>
          <cell r="AC160" t="str">
            <v>A</v>
          </cell>
          <cell r="AD160">
            <v>4</v>
          </cell>
          <cell r="AE160" t="str">
            <v>A</v>
          </cell>
          <cell r="AF160">
            <v>4.5</v>
          </cell>
          <cell r="AG160" t="str">
            <v>D</v>
          </cell>
          <cell r="AH160">
            <v>0</v>
          </cell>
          <cell r="AI160" t="str">
            <v>A</v>
          </cell>
          <cell r="AJ160">
            <v>4.5</v>
          </cell>
          <cell r="AK160" t="str">
            <v>A</v>
          </cell>
          <cell r="AL160">
            <v>4.5</v>
          </cell>
          <cell r="AM160" t="str">
            <v>D</v>
          </cell>
          <cell r="AN160">
            <v>0</v>
          </cell>
          <cell r="AO160">
            <v>0</v>
          </cell>
          <cell r="AP160">
            <v>0</v>
          </cell>
          <cell r="AQ160" t="str">
            <v>A</v>
          </cell>
          <cell r="AR160">
            <v>4.5</v>
          </cell>
          <cell r="AS160" t="str">
            <v>A</v>
          </cell>
          <cell r="AT160">
            <v>4.5</v>
          </cell>
          <cell r="AU160" t="str">
            <v>A</v>
          </cell>
          <cell r="AV160">
            <v>4.5</v>
          </cell>
          <cell r="AW160" t="str">
            <v>D</v>
          </cell>
          <cell r="AX160">
            <v>0</v>
          </cell>
          <cell r="AY160" t="str">
            <v>D</v>
          </cell>
          <cell r="AZ160">
            <v>0</v>
          </cell>
          <cell r="BA160" t="str">
            <v>NT7</v>
          </cell>
          <cell r="BB160">
            <v>0</v>
          </cell>
          <cell r="BC160">
            <v>0</v>
          </cell>
          <cell r="BD160">
            <v>0</v>
          </cell>
          <cell r="BE160" t="str">
            <v>A</v>
          </cell>
          <cell r="BF160">
            <v>4.5</v>
          </cell>
          <cell r="BG160" t="str">
            <v>A</v>
          </cell>
          <cell r="BH160">
            <v>4</v>
          </cell>
          <cell r="BI160" t="str">
            <v>D</v>
          </cell>
          <cell r="BJ160">
            <v>0</v>
          </cell>
          <cell r="BK160" t="str">
            <v>A</v>
          </cell>
          <cell r="BL160">
            <v>4.5</v>
          </cell>
          <cell r="BM160" t="str">
            <v>A</v>
          </cell>
          <cell r="BN160">
            <v>4.5</v>
          </cell>
          <cell r="BO160" t="str">
            <v>D</v>
          </cell>
          <cell r="BP160">
            <v>0</v>
          </cell>
          <cell r="BQ160">
            <v>18</v>
          </cell>
          <cell r="BR160">
            <v>7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2</v>
          </cell>
          <cell r="BY160">
            <v>0</v>
          </cell>
          <cell r="BZ160">
            <v>27</v>
          </cell>
          <cell r="CA160">
            <v>78</v>
          </cell>
          <cell r="CB160">
            <v>15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2</v>
          </cell>
          <cell r="CH160">
            <v>0</v>
          </cell>
          <cell r="CI160">
            <v>70</v>
          </cell>
        </row>
        <row r="161">
          <cell r="A161" t="str">
            <v>A779</v>
          </cell>
          <cell r="B161" t="str">
            <v>Khưu Lọnl</v>
          </cell>
          <cell r="C161" t="str">
            <v xml:space="preserve">XLN </v>
          </cell>
          <cell r="D161">
            <v>0</v>
          </cell>
          <cell r="E161">
            <v>42578</v>
          </cell>
          <cell r="F161">
            <v>5</v>
          </cell>
          <cell r="G161" t="str">
            <v>A</v>
          </cell>
          <cell r="H161">
            <v>4</v>
          </cell>
          <cell r="I161" t="str">
            <v>A</v>
          </cell>
          <cell r="J161">
            <v>4</v>
          </cell>
          <cell r="K161" t="str">
            <v>A</v>
          </cell>
          <cell r="L161">
            <v>4</v>
          </cell>
          <cell r="M161">
            <v>0</v>
          </cell>
          <cell r="N161">
            <v>9</v>
          </cell>
          <cell r="O161" t="str">
            <v>C</v>
          </cell>
          <cell r="P161">
            <v>5</v>
          </cell>
          <cell r="Q161" t="str">
            <v>C</v>
          </cell>
          <cell r="R161">
            <v>4</v>
          </cell>
          <cell r="S161" t="str">
            <v>C</v>
          </cell>
          <cell r="T161">
            <v>4</v>
          </cell>
          <cell r="U161" t="str">
            <v>C</v>
          </cell>
          <cell r="V161">
            <v>4</v>
          </cell>
          <cell r="W161" t="str">
            <v>C</v>
          </cell>
          <cell r="X161">
            <v>4</v>
          </cell>
          <cell r="Y161" t="str">
            <v>C</v>
          </cell>
          <cell r="Z161">
            <v>4</v>
          </cell>
          <cell r="AA161">
            <v>0</v>
          </cell>
          <cell r="AB161">
            <v>12</v>
          </cell>
          <cell r="AC161" t="str">
            <v>C</v>
          </cell>
          <cell r="AD161">
            <v>4</v>
          </cell>
          <cell r="AE161" t="str">
            <v>C</v>
          </cell>
          <cell r="AF161">
            <v>4</v>
          </cell>
          <cell r="AG161" t="str">
            <v>C</v>
          </cell>
          <cell r="AH161">
            <v>4</v>
          </cell>
          <cell r="AI161" t="str">
            <v>C</v>
          </cell>
          <cell r="AJ161">
            <v>4</v>
          </cell>
          <cell r="AK161" t="str">
            <v>C</v>
          </cell>
          <cell r="AL161">
            <v>4</v>
          </cell>
          <cell r="AM161" t="str">
            <v>C</v>
          </cell>
          <cell r="AN161">
            <v>10</v>
          </cell>
          <cell r="AO161">
            <v>0</v>
          </cell>
          <cell r="AP161">
            <v>10</v>
          </cell>
          <cell r="AQ161" t="str">
            <v>A</v>
          </cell>
          <cell r="AR161">
            <v>4</v>
          </cell>
          <cell r="AS161" t="str">
            <v>A</v>
          </cell>
          <cell r="AT161">
            <v>4</v>
          </cell>
          <cell r="AU161" t="str">
            <v>A</v>
          </cell>
          <cell r="AV161">
            <v>4</v>
          </cell>
          <cell r="AW161" t="str">
            <v>A</v>
          </cell>
          <cell r="AX161">
            <v>4</v>
          </cell>
          <cell r="AY161" t="str">
            <v>A</v>
          </cell>
          <cell r="AZ161">
            <v>4</v>
          </cell>
          <cell r="BA161" t="str">
            <v>A</v>
          </cell>
          <cell r="BB161">
            <v>4</v>
          </cell>
          <cell r="BC161">
            <v>0</v>
          </cell>
          <cell r="BD161">
            <v>20</v>
          </cell>
          <cell r="BE161" t="str">
            <v>C</v>
          </cell>
          <cell r="BF161">
            <v>4</v>
          </cell>
          <cell r="BG161" t="str">
            <v>C</v>
          </cell>
          <cell r="BH161">
            <v>4</v>
          </cell>
          <cell r="BI161" t="str">
            <v>C</v>
          </cell>
          <cell r="BJ161">
            <v>4</v>
          </cell>
          <cell r="BK161" t="str">
            <v>C</v>
          </cell>
          <cell r="BL161">
            <v>4</v>
          </cell>
          <cell r="BM161" t="str">
            <v>C</v>
          </cell>
          <cell r="BN161">
            <v>4</v>
          </cell>
          <cell r="BO161" t="str">
            <v>C</v>
          </cell>
          <cell r="BP161">
            <v>4</v>
          </cell>
          <cell r="BQ161">
            <v>9</v>
          </cell>
          <cell r="BR161">
            <v>0</v>
          </cell>
          <cell r="BS161">
            <v>0</v>
          </cell>
          <cell r="BT161">
            <v>18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27</v>
          </cell>
          <cell r="CA161">
            <v>115</v>
          </cell>
          <cell r="CB161">
            <v>51</v>
          </cell>
          <cell r="CC161">
            <v>0</v>
          </cell>
          <cell r="CD161">
            <v>2</v>
          </cell>
          <cell r="CE161">
            <v>6</v>
          </cell>
          <cell r="CF161">
            <v>140</v>
          </cell>
          <cell r="CG161">
            <v>6</v>
          </cell>
          <cell r="CH161">
            <v>96</v>
          </cell>
          <cell r="CI161">
            <v>70</v>
          </cell>
        </row>
        <row r="162">
          <cell r="A162" t="str">
            <v>A784</v>
          </cell>
          <cell r="B162" t="str">
            <v>Nguyễn Ngọc Tươi</v>
          </cell>
          <cell r="C162" t="str">
            <v>KHUON</v>
          </cell>
          <cell r="D162">
            <v>0</v>
          </cell>
          <cell r="E162">
            <v>42583</v>
          </cell>
          <cell r="F162">
            <v>5.5</v>
          </cell>
          <cell r="G162" t="str">
            <v>A</v>
          </cell>
          <cell r="H162">
            <v>4</v>
          </cell>
          <cell r="I162" t="str">
            <v>A</v>
          </cell>
          <cell r="J162">
            <v>4</v>
          </cell>
          <cell r="K162" t="str">
            <v>A</v>
          </cell>
          <cell r="L162">
            <v>4</v>
          </cell>
          <cell r="M162">
            <v>0</v>
          </cell>
          <cell r="N162">
            <v>0</v>
          </cell>
          <cell r="O162" t="str">
            <v>D</v>
          </cell>
          <cell r="P162">
            <v>0</v>
          </cell>
          <cell r="Q162" t="str">
            <v>A</v>
          </cell>
          <cell r="R162">
            <v>4</v>
          </cell>
          <cell r="S162" t="str">
            <v>A</v>
          </cell>
          <cell r="T162">
            <v>4</v>
          </cell>
          <cell r="U162" t="str">
            <v>A</v>
          </cell>
          <cell r="V162">
            <v>4</v>
          </cell>
          <cell r="W162" t="str">
            <v>A</v>
          </cell>
          <cell r="X162">
            <v>4</v>
          </cell>
          <cell r="Y162" t="str">
            <v>D</v>
          </cell>
          <cell r="Z162">
            <v>2.5</v>
          </cell>
          <cell r="AA162">
            <v>0</v>
          </cell>
          <cell r="AB162">
            <v>0</v>
          </cell>
          <cell r="AC162" t="str">
            <v>D</v>
          </cell>
          <cell r="AD162">
            <v>0</v>
          </cell>
          <cell r="AE162" t="str">
            <v>D</v>
          </cell>
          <cell r="AF162">
            <v>0</v>
          </cell>
          <cell r="AG162" t="str">
            <v>A</v>
          </cell>
          <cell r="AH162">
            <v>4</v>
          </cell>
          <cell r="AI162" t="str">
            <v>A</v>
          </cell>
          <cell r="AJ162">
            <v>4</v>
          </cell>
          <cell r="AK162" t="str">
            <v>D</v>
          </cell>
          <cell r="AL162">
            <v>2.5</v>
          </cell>
          <cell r="AM162" t="str">
            <v>D</v>
          </cell>
          <cell r="AN162">
            <v>0</v>
          </cell>
          <cell r="AO162">
            <v>0</v>
          </cell>
          <cell r="AP162">
            <v>0</v>
          </cell>
          <cell r="AQ162" t="str">
            <v>D</v>
          </cell>
          <cell r="AR162">
            <v>0</v>
          </cell>
          <cell r="AS162" t="str">
            <v>D</v>
          </cell>
          <cell r="AT162">
            <v>2.5</v>
          </cell>
          <cell r="AU162" t="str">
            <v>A</v>
          </cell>
          <cell r="AV162">
            <v>4</v>
          </cell>
          <cell r="AW162" t="str">
            <v>D</v>
          </cell>
          <cell r="AX162">
            <v>2.5</v>
          </cell>
          <cell r="AY162" t="str">
            <v>A</v>
          </cell>
          <cell r="AZ162">
            <v>4</v>
          </cell>
          <cell r="BA162" t="str">
            <v>D</v>
          </cell>
          <cell r="BB162">
            <v>0</v>
          </cell>
          <cell r="BC162">
            <v>0</v>
          </cell>
          <cell r="BD162">
            <v>0</v>
          </cell>
          <cell r="BE162" t="str">
            <v>NT7</v>
          </cell>
          <cell r="BF162">
            <v>0</v>
          </cell>
          <cell r="BG162" t="str">
            <v>NT7</v>
          </cell>
          <cell r="BH162">
            <v>0</v>
          </cell>
          <cell r="BI162" t="str">
            <v>P</v>
          </cell>
          <cell r="BJ162">
            <v>0</v>
          </cell>
          <cell r="BK162" t="str">
            <v>D</v>
          </cell>
          <cell r="BL162">
            <v>2</v>
          </cell>
          <cell r="BM162" t="str">
            <v>A</v>
          </cell>
          <cell r="BN162">
            <v>4</v>
          </cell>
          <cell r="BO162" t="str">
            <v>A</v>
          </cell>
          <cell r="BP162">
            <v>4</v>
          </cell>
          <cell r="BQ162">
            <v>13</v>
          </cell>
          <cell r="BR162">
            <v>11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2</v>
          </cell>
          <cell r="BY162">
            <v>1</v>
          </cell>
          <cell r="BZ162">
            <v>27</v>
          </cell>
          <cell r="CA162">
            <v>64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5.5</v>
          </cell>
          <cell r="CH162">
            <v>0</v>
          </cell>
          <cell r="CI162">
            <v>150</v>
          </cell>
        </row>
        <row r="163">
          <cell r="A163" t="str">
            <v>A785</v>
          </cell>
          <cell r="B163" t="str">
            <v>Hoàng Minh Ngọc</v>
          </cell>
          <cell r="C163" t="str">
            <v>KHUON</v>
          </cell>
          <cell r="D163">
            <v>0</v>
          </cell>
          <cell r="E163">
            <v>42592</v>
          </cell>
          <cell r="F163">
            <v>4.5</v>
          </cell>
          <cell r="G163" t="str">
            <v>B</v>
          </cell>
          <cell r="H163">
            <v>1</v>
          </cell>
          <cell r="I163" t="str">
            <v>C</v>
          </cell>
          <cell r="J163">
            <v>4</v>
          </cell>
          <cell r="K163" t="str">
            <v>C</v>
          </cell>
          <cell r="L163">
            <v>4</v>
          </cell>
          <cell r="M163">
            <v>0</v>
          </cell>
          <cell r="N163">
            <v>0</v>
          </cell>
          <cell r="O163" t="str">
            <v>A</v>
          </cell>
          <cell r="P163">
            <v>4</v>
          </cell>
          <cell r="Q163" t="str">
            <v>A</v>
          </cell>
          <cell r="R163">
            <v>4</v>
          </cell>
          <cell r="S163" t="str">
            <v>A</v>
          </cell>
          <cell r="T163">
            <v>4</v>
          </cell>
          <cell r="U163" t="str">
            <v>A</v>
          </cell>
          <cell r="V163">
            <v>4</v>
          </cell>
          <cell r="W163" t="str">
            <v>A</v>
          </cell>
          <cell r="X163">
            <v>4</v>
          </cell>
          <cell r="Y163" t="str">
            <v>A</v>
          </cell>
          <cell r="Z163">
            <v>4</v>
          </cell>
          <cell r="AA163">
            <v>0</v>
          </cell>
          <cell r="AB163">
            <v>0</v>
          </cell>
          <cell r="AC163" t="str">
            <v>C</v>
          </cell>
          <cell r="AD163">
            <v>4</v>
          </cell>
          <cell r="AE163" t="str">
            <v>C</v>
          </cell>
          <cell r="AF163">
            <v>4</v>
          </cell>
          <cell r="AG163" t="str">
            <v>C</v>
          </cell>
          <cell r="AH163">
            <v>4</v>
          </cell>
          <cell r="AI163" t="str">
            <v>B</v>
          </cell>
          <cell r="AJ163">
            <v>2</v>
          </cell>
          <cell r="AK163" t="str">
            <v>C</v>
          </cell>
          <cell r="AL163">
            <v>4</v>
          </cell>
          <cell r="AM163" t="str">
            <v>C</v>
          </cell>
          <cell r="AN163">
            <v>4</v>
          </cell>
          <cell r="AO163">
            <v>0</v>
          </cell>
          <cell r="AP163">
            <v>0</v>
          </cell>
          <cell r="AQ163" t="str">
            <v>A</v>
          </cell>
          <cell r="AR163">
            <v>4</v>
          </cell>
          <cell r="AS163" t="str">
            <v>A</v>
          </cell>
          <cell r="AT163">
            <v>4</v>
          </cell>
          <cell r="AU163" t="str">
            <v>A</v>
          </cell>
          <cell r="AV163">
            <v>4</v>
          </cell>
          <cell r="AW163" t="str">
            <v>D</v>
          </cell>
          <cell r="AX163">
            <v>3</v>
          </cell>
          <cell r="AY163" t="str">
            <v>A</v>
          </cell>
          <cell r="AZ163">
            <v>4</v>
          </cell>
          <cell r="BA163" t="str">
            <v>A</v>
          </cell>
          <cell r="BB163">
            <v>4</v>
          </cell>
          <cell r="BC163">
            <v>0</v>
          </cell>
          <cell r="BD163">
            <v>12</v>
          </cell>
          <cell r="BE163" t="str">
            <v>C</v>
          </cell>
          <cell r="BF163">
            <v>4</v>
          </cell>
          <cell r="BG163" t="str">
            <v>C</v>
          </cell>
          <cell r="BH163">
            <v>4</v>
          </cell>
          <cell r="BI163" t="str">
            <v>C</v>
          </cell>
          <cell r="BJ163">
            <v>4</v>
          </cell>
          <cell r="BK163" t="str">
            <v>C</v>
          </cell>
          <cell r="BL163">
            <v>4</v>
          </cell>
          <cell r="BM163" t="str">
            <v>NT7</v>
          </cell>
          <cell r="BN163">
            <v>0</v>
          </cell>
          <cell r="BO163" t="str">
            <v>NT7</v>
          </cell>
          <cell r="BP163">
            <v>0</v>
          </cell>
          <cell r="BQ163">
            <v>11</v>
          </cell>
          <cell r="BR163">
            <v>1</v>
          </cell>
          <cell r="BS163">
            <v>2</v>
          </cell>
          <cell r="BT163">
            <v>11</v>
          </cell>
          <cell r="BU163">
            <v>0</v>
          </cell>
          <cell r="BV163">
            <v>0</v>
          </cell>
          <cell r="BW163">
            <v>0</v>
          </cell>
          <cell r="BX163">
            <v>2</v>
          </cell>
          <cell r="BY163">
            <v>0</v>
          </cell>
          <cell r="BZ163">
            <v>27</v>
          </cell>
          <cell r="CA163">
            <v>94</v>
          </cell>
          <cell r="CB163">
            <v>12</v>
          </cell>
          <cell r="CC163">
            <v>0</v>
          </cell>
          <cell r="CD163">
            <v>0</v>
          </cell>
          <cell r="CE163">
            <v>1</v>
          </cell>
          <cell r="CF163">
            <v>0</v>
          </cell>
          <cell r="CG163">
            <v>5.5</v>
          </cell>
          <cell r="CH163">
            <v>16</v>
          </cell>
          <cell r="CI163">
            <v>70</v>
          </cell>
        </row>
        <row r="164">
          <cell r="A164" t="str">
            <v>A788</v>
          </cell>
          <cell r="B164" t="str">
            <v>Mai Vũ Khanh</v>
          </cell>
          <cell r="C164" t="str">
            <v>CI.1</v>
          </cell>
          <cell r="D164">
            <v>0</v>
          </cell>
          <cell r="E164">
            <v>42592</v>
          </cell>
          <cell r="F164">
            <v>1</v>
          </cell>
          <cell r="G164" t="str">
            <v>C</v>
          </cell>
          <cell r="H164">
            <v>4</v>
          </cell>
          <cell r="I164" t="str">
            <v>C</v>
          </cell>
          <cell r="J164">
            <v>4</v>
          </cell>
          <cell r="K164" t="str">
            <v>C</v>
          </cell>
          <cell r="L164">
            <v>4</v>
          </cell>
          <cell r="M164">
            <v>0</v>
          </cell>
          <cell r="N164">
            <v>0</v>
          </cell>
          <cell r="O164" t="str">
            <v>A</v>
          </cell>
          <cell r="P164">
            <v>4</v>
          </cell>
          <cell r="Q164" t="str">
            <v>A</v>
          </cell>
          <cell r="R164">
            <v>4</v>
          </cell>
          <cell r="S164" t="str">
            <v>A</v>
          </cell>
          <cell r="T164">
            <v>4</v>
          </cell>
          <cell r="U164" t="str">
            <v>A</v>
          </cell>
          <cell r="V164">
            <v>4</v>
          </cell>
          <cell r="W164" t="str">
            <v>A</v>
          </cell>
          <cell r="X164">
            <v>4</v>
          </cell>
          <cell r="Y164" t="str">
            <v>A</v>
          </cell>
          <cell r="Z164">
            <v>4</v>
          </cell>
          <cell r="AA164">
            <v>0</v>
          </cell>
          <cell r="AB164">
            <v>0</v>
          </cell>
          <cell r="AC164" t="str">
            <v>HH</v>
          </cell>
          <cell r="AD164">
            <v>0</v>
          </cell>
          <cell r="AE164" t="str">
            <v>C</v>
          </cell>
          <cell r="AF164">
            <v>4</v>
          </cell>
          <cell r="AG164" t="str">
            <v>C</v>
          </cell>
          <cell r="AH164">
            <v>4</v>
          </cell>
          <cell r="AI164" t="str">
            <v>C</v>
          </cell>
          <cell r="AJ164">
            <v>4</v>
          </cell>
          <cell r="AK164" t="str">
            <v>C</v>
          </cell>
          <cell r="AL164">
            <v>4</v>
          </cell>
          <cell r="AM164" t="str">
            <v>C</v>
          </cell>
          <cell r="AN164">
            <v>4</v>
          </cell>
          <cell r="AO164">
            <v>0</v>
          </cell>
          <cell r="AP164">
            <v>0</v>
          </cell>
          <cell r="AQ164" t="str">
            <v>NT7</v>
          </cell>
          <cell r="AR164">
            <v>0</v>
          </cell>
          <cell r="AS164" t="str">
            <v>NT7</v>
          </cell>
          <cell r="AT164">
            <v>0</v>
          </cell>
          <cell r="AU164" t="str">
            <v>A</v>
          </cell>
          <cell r="AV164">
            <v>4</v>
          </cell>
          <cell r="AW164" t="str">
            <v>D</v>
          </cell>
          <cell r="AX164">
            <v>1</v>
          </cell>
          <cell r="AY164" t="str">
            <v>A</v>
          </cell>
          <cell r="AZ164">
            <v>4</v>
          </cell>
          <cell r="BA164" t="str">
            <v>A</v>
          </cell>
          <cell r="BB164">
            <v>4</v>
          </cell>
          <cell r="BC164">
            <v>0</v>
          </cell>
          <cell r="BD164">
            <v>8</v>
          </cell>
          <cell r="BE164" t="str">
            <v>C</v>
          </cell>
          <cell r="BF164">
            <v>4</v>
          </cell>
          <cell r="BG164" t="str">
            <v>C</v>
          </cell>
          <cell r="BH164">
            <v>4</v>
          </cell>
          <cell r="BI164" t="str">
            <v>C</v>
          </cell>
          <cell r="BJ164">
            <v>4</v>
          </cell>
          <cell r="BK164" t="str">
            <v>C</v>
          </cell>
          <cell r="BL164">
            <v>4</v>
          </cell>
          <cell r="BM164" t="str">
            <v>C</v>
          </cell>
          <cell r="BN164">
            <v>4</v>
          </cell>
          <cell r="BO164" t="str">
            <v>HH</v>
          </cell>
          <cell r="BP164">
            <v>0</v>
          </cell>
          <cell r="BQ164">
            <v>9</v>
          </cell>
          <cell r="BR164">
            <v>1</v>
          </cell>
          <cell r="BS164">
            <v>0</v>
          </cell>
          <cell r="BT164">
            <v>13</v>
          </cell>
          <cell r="BU164">
            <v>0</v>
          </cell>
          <cell r="BV164">
            <v>0</v>
          </cell>
          <cell r="BW164">
            <v>2</v>
          </cell>
          <cell r="BX164">
            <v>2</v>
          </cell>
          <cell r="BY164">
            <v>0</v>
          </cell>
          <cell r="BZ164">
            <v>27</v>
          </cell>
          <cell r="CA164">
            <v>89</v>
          </cell>
          <cell r="CB164">
            <v>8</v>
          </cell>
          <cell r="CC164">
            <v>0</v>
          </cell>
          <cell r="CD164">
            <v>0</v>
          </cell>
          <cell r="CE164">
            <v>1</v>
          </cell>
          <cell r="CF164">
            <v>0</v>
          </cell>
          <cell r="CG164">
            <v>2</v>
          </cell>
          <cell r="CH164">
            <v>16</v>
          </cell>
          <cell r="CI164">
            <v>70</v>
          </cell>
        </row>
        <row r="165">
          <cell r="A165" t="str">
            <v>A791</v>
          </cell>
          <cell r="B165" t="str">
            <v>Nguyễn Văn Nhân</v>
          </cell>
          <cell r="C165" t="str">
            <v>Kho</v>
          </cell>
          <cell r="D165">
            <v>0</v>
          </cell>
          <cell r="E165">
            <v>42583</v>
          </cell>
          <cell r="F165">
            <v>5.5</v>
          </cell>
          <cell r="G165" t="str">
            <v>A</v>
          </cell>
          <cell r="H165">
            <v>4.5</v>
          </cell>
          <cell r="I165" t="str">
            <v>D</v>
          </cell>
          <cell r="J165">
            <v>2</v>
          </cell>
          <cell r="K165" t="str">
            <v>D</v>
          </cell>
          <cell r="L165">
            <v>1.5</v>
          </cell>
          <cell r="M165">
            <v>0</v>
          </cell>
          <cell r="N165">
            <v>0</v>
          </cell>
          <cell r="O165" t="str">
            <v>D</v>
          </cell>
          <cell r="P165">
            <v>3</v>
          </cell>
          <cell r="Q165" t="str">
            <v>D</v>
          </cell>
          <cell r="R165">
            <v>0.5</v>
          </cell>
          <cell r="S165" t="str">
            <v>A</v>
          </cell>
          <cell r="T165">
            <v>5</v>
          </cell>
          <cell r="U165" t="str">
            <v>D</v>
          </cell>
          <cell r="V165">
            <v>1.5</v>
          </cell>
          <cell r="W165" t="str">
            <v>D</v>
          </cell>
          <cell r="X165">
            <v>0</v>
          </cell>
          <cell r="Y165" t="str">
            <v>D</v>
          </cell>
          <cell r="Z165">
            <v>0.5</v>
          </cell>
          <cell r="AA165">
            <v>0</v>
          </cell>
          <cell r="AB165">
            <v>0</v>
          </cell>
          <cell r="AC165" t="str">
            <v>D</v>
          </cell>
          <cell r="AD165">
            <v>1.5</v>
          </cell>
          <cell r="AE165" t="str">
            <v>D</v>
          </cell>
          <cell r="AF165">
            <v>0</v>
          </cell>
          <cell r="AG165" t="str">
            <v>D</v>
          </cell>
          <cell r="AH165">
            <v>2.5</v>
          </cell>
          <cell r="AI165" t="str">
            <v>D</v>
          </cell>
          <cell r="AJ165">
            <v>1</v>
          </cell>
          <cell r="AK165" t="str">
            <v>A</v>
          </cell>
          <cell r="AL165">
            <v>6.5</v>
          </cell>
          <cell r="AM165" t="str">
            <v>D</v>
          </cell>
          <cell r="AN165">
            <v>1</v>
          </cell>
          <cell r="AO165">
            <v>0</v>
          </cell>
          <cell r="AP165">
            <v>0</v>
          </cell>
          <cell r="AQ165" t="str">
            <v>A</v>
          </cell>
          <cell r="AR165">
            <v>5.5</v>
          </cell>
          <cell r="AS165" t="str">
            <v>A</v>
          </cell>
          <cell r="AT165">
            <v>5.5</v>
          </cell>
          <cell r="AU165" t="str">
            <v>D</v>
          </cell>
          <cell r="AV165">
            <v>0</v>
          </cell>
          <cell r="AW165" t="str">
            <v>D</v>
          </cell>
          <cell r="AX165">
            <v>2</v>
          </cell>
          <cell r="AY165" t="str">
            <v>D</v>
          </cell>
          <cell r="AZ165">
            <v>2</v>
          </cell>
          <cell r="BA165" t="str">
            <v>D</v>
          </cell>
          <cell r="BB165">
            <v>1.5</v>
          </cell>
          <cell r="BC165">
            <v>0</v>
          </cell>
          <cell r="BD165">
            <v>0</v>
          </cell>
          <cell r="BE165" t="str">
            <v>A</v>
          </cell>
          <cell r="BF165">
            <v>4</v>
          </cell>
          <cell r="BG165" t="str">
            <v>A</v>
          </cell>
          <cell r="BH165">
            <v>4</v>
          </cell>
          <cell r="BI165" t="str">
            <v>D</v>
          </cell>
          <cell r="BJ165">
            <v>1</v>
          </cell>
          <cell r="BK165" t="str">
            <v>D</v>
          </cell>
          <cell r="BL165">
            <v>3.5</v>
          </cell>
          <cell r="BM165" t="str">
            <v>D</v>
          </cell>
          <cell r="BN165">
            <v>2.5</v>
          </cell>
          <cell r="BO165" t="str">
            <v>D</v>
          </cell>
          <cell r="BP165">
            <v>1.5</v>
          </cell>
          <cell r="BQ165">
            <v>7</v>
          </cell>
          <cell r="BR165">
            <v>20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27</v>
          </cell>
          <cell r="CA165">
            <v>64</v>
          </cell>
          <cell r="CB165">
            <v>0</v>
          </cell>
          <cell r="CC165">
            <v>0</v>
          </cell>
          <cell r="CD165">
            <v>2</v>
          </cell>
          <cell r="CE165">
            <v>0</v>
          </cell>
          <cell r="CF165">
            <v>140</v>
          </cell>
          <cell r="CG165">
            <v>6.5</v>
          </cell>
          <cell r="CH165">
            <v>0</v>
          </cell>
          <cell r="CI165">
            <v>70</v>
          </cell>
        </row>
        <row r="166">
          <cell r="A166" t="str">
            <v>A793</v>
          </cell>
          <cell r="B166" t="str">
            <v>Nguyễn Thành Ngộ</v>
          </cell>
          <cell r="C166" t="str">
            <v>CD</v>
          </cell>
          <cell r="D166">
            <v>0</v>
          </cell>
          <cell r="E166">
            <v>42611</v>
          </cell>
          <cell r="F166">
            <v>0</v>
          </cell>
          <cell r="G166" t="str">
            <v>D</v>
          </cell>
          <cell r="H166">
            <v>0</v>
          </cell>
          <cell r="I166" t="str">
            <v>D</v>
          </cell>
          <cell r="J166">
            <v>2</v>
          </cell>
          <cell r="K166" t="str">
            <v>D</v>
          </cell>
          <cell r="L166">
            <v>1.5</v>
          </cell>
          <cell r="M166">
            <v>0</v>
          </cell>
          <cell r="N166">
            <v>9</v>
          </cell>
          <cell r="O166" t="str">
            <v>C</v>
          </cell>
          <cell r="P166">
            <v>4</v>
          </cell>
          <cell r="Q166" t="str">
            <v>C</v>
          </cell>
          <cell r="R166">
            <v>4</v>
          </cell>
          <cell r="S166" t="str">
            <v>C</v>
          </cell>
          <cell r="T166">
            <v>4</v>
          </cell>
          <cell r="U166" t="str">
            <v>C</v>
          </cell>
          <cell r="V166">
            <v>4</v>
          </cell>
          <cell r="W166" t="str">
            <v>C</v>
          </cell>
          <cell r="X166">
            <v>4</v>
          </cell>
          <cell r="Y166" t="str">
            <v>C</v>
          </cell>
          <cell r="Z166">
            <v>4</v>
          </cell>
          <cell r="AA166">
            <v>0</v>
          </cell>
          <cell r="AB166">
            <v>0</v>
          </cell>
          <cell r="AC166" t="str">
            <v>C</v>
          </cell>
          <cell r="AD166">
            <v>4</v>
          </cell>
          <cell r="AE166" t="str">
            <v>C</v>
          </cell>
          <cell r="AF166">
            <v>4</v>
          </cell>
          <cell r="AG166" t="str">
            <v>C</v>
          </cell>
          <cell r="AH166">
            <v>4</v>
          </cell>
          <cell r="AI166" t="str">
            <v>C</v>
          </cell>
          <cell r="AJ166">
            <v>4</v>
          </cell>
          <cell r="AK166" t="str">
            <v>C</v>
          </cell>
          <cell r="AL166">
            <v>4</v>
          </cell>
          <cell r="AM166" t="str">
            <v>C</v>
          </cell>
          <cell r="AN166">
            <v>4</v>
          </cell>
          <cell r="AO166">
            <v>0</v>
          </cell>
          <cell r="AP166">
            <v>0</v>
          </cell>
          <cell r="AQ166" t="str">
            <v>C</v>
          </cell>
          <cell r="AR166">
            <v>4</v>
          </cell>
          <cell r="AS166" t="str">
            <v>C</v>
          </cell>
          <cell r="AT166">
            <v>4</v>
          </cell>
          <cell r="AU166" t="str">
            <v>C</v>
          </cell>
          <cell r="AV166">
            <v>4</v>
          </cell>
          <cell r="AW166" t="str">
            <v>C</v>
          </cell>
          <cell r="AX166">
            <v>4</v>
          </cell>
          <cell r="AY166" t="str">
            <v>C</v>
          </cell>
          <cell r="AZ166">
            <v>4</v>
          </cell>
          <cell r="BA166" t="str">
            <v>C</v>
          </cell>
          <cell r="BB166">
            <v>4</v>
          </cell>
          <cell r="BC166">
            <v>0</v>
          </cell>
          <cell r="BD166">
            <v>11</v>
          </cell>
          <cell r="BE166" t="str">
            <v>NT7</v>
          </cell>
          <cell r="BF166">
            <v>0</v>
          </cell>
          <cell r="BG166" t="str">
            <v>A</v>
          </cell>
          <cell r="BH166">
            <v>4</v>
          </cell>
          <cell r="BI166" t="str">
            <v>D</v>
          </cell>
          <cell r="BJ166">
            <v>2</v>
          </cell>
          <cell r="BK166" t="str">
            <v>D</v>
          </cell>
          <cell r="BL166">
            <v>2</v>
          </cell>
          <cell r="BM166" t="str">
            <v>A</v>
          </cell>
          <cell r="BN166">
            <v>4</v>
          </cell>
          <cell r="BO166" t="str">
            <v>D</v>
          </cell>
          <cell r="BP166">
            <v>3</v>
          </cell>
          <cell r="BQ166">
            <v>2</v>
          </cell>
          <cell r="BR166">
            <v>6</v>
          </cell>
          <cell r="BS166">
            <v>0</v>
          </cell>
          <cell r="BT166">
            <v>18</v>
          </cell>
          <cell r="BU166">
            <v>0</v>
          </cell>
          <cell r="BV166">
            <v>0</v>
          </cell>
          <cell r="BW166">
            <v>0</v>
          </cell>
          <cell r="BX166">
            <v>1</v>
          </cell>
          <cell r="BY166">
            <v>0</v>
          </cell>
          <cell r="BZ166">
            <v>27</v>
          </cell>
          <cell r="CA166">
            <v>90.5</v>
          </cell>
          <cell r="CB166">
            <v>20</v>
          </cell>
          <cell r="CC166">
            <v>0</v>
          </cell>
          <cell r="CD166">
            <v>1</v>
          </cell>
          <cell r="CE166">
            <v>0</v>
          </cell>
          <cell r="CF166">
            <v>70</v>
          </cell>
          <cell r="CG166">
            <v>1</v>
          </cell>
          <cell r="CH166">
            <v>0</v>
          </cell>
          <cell r="CI166">
            <v>70</v>
          </cell>
        </row>
        <row r="167">
          <cell r="A167" t="str">
            <v>A797</v>
          </cell>
          <cell r="B167" t="str">
            <v>Trần Quang Phúc</v>
          </cell>
          <cell r="C167" t="str">
            <v>QCX</v>
          </cell>
          <cell r="D167">
            <v>0</v>
          </cell>
          <cell r="E167">
            <v>42598</v>
          </cell>
          <cell r="F167">
            <v>8</v>
          </cell>
          <cell r="G167" t="str">
            <v>A</v>
          </cell>
          <cell r="H167">
            <v>4</v>
          </cell>
          <cell r="I167" t="str">
            <v>A</v>
          </cell>
          <cell r="J167">
            <v>4</v>
          </cell>
          <cell r="K167" t="str">
            <v>NT7</v>
          </cell>
          <cell r="L167">
            <v>0</v>
          </cell>
          <cell r="M167">
            <v>0</v>
          </cell>
          <cell r="N167">
            <v>0</v>
          </cell>
          <cell r="O167" t="str">
            <v>P</v>
          </cell>
          <cell r="P167">
            <v>0</v>
          </cell>
          <cell r="Q167" t="str">
            <v>A</v>
          </cell>
          <cell r="R167">
            <v>4</v>
          </cell>
          <cell r="S167" t="str">
            <v>D</v>
          </cell>
          <cell r="T167">
            <v>2</v>
          </cell>
          <cell r="U167" t="str">
            <v>D</v>
          </cell>
          <cell r="V167">
            <v>2</v>
          </cell>
          <cell r="W167" t="str">
            <v>A</v>
          </cell>
          <cell r="X167">
            <v>4</v>
          </cell>
          <cell r="Y167" t="str">
            <v>D</v>
          </cell>
          <cell r="Z167">
            <v>0</v>
          </cell>
          <cell r="AA167">
            <v>0</v>
          </cell>
          <cell r="AB167">
            <v>0</v>
          </cell>
          <cell r="AC167" t="str">
            <v>A</v>
          </cell>
          <cell r="AD167">
            <v>4</v>
          </cell>
          <cell r="AE167" t="str">
            <v>A</v>
          </cell>
          <cell r="AF167">
            <v>4</v>
          </cell>
          <cell r="AG167" t="str">
            <v>P</v>
          </cell>
          <cell r="AH167">
            <v>0</v>
          </cell>
          <cell r="AI167" t="str">
            <v>A</v>
          </cell>
          <cell r="AJ167">
            <v>4</v>
          </cell>
          <cell r="AK167" t="str">
            <v>A</v>
          </cell>
          <cell r="AL167">
            <v>4</v>
          </cell>
          <cell r="AM167" t="str">
            <v>D</v>
          </cell>
          <cell r="AN167">
            <v>0</v>
          </cell>
          <cell r="AO167">
            <v>0</v>
          </cell>
          <cell r="AP167">
            <v>0</v>
          </cell>
          <cell r="AQ167" t="str">
            <v>NT7</v>
          </cell>
          <cell r="AR167">
            <v>0</v>
          </cell>
          <cell r="AS167" t="str">
            <v>D</v>
          </cell>
          <cell r="AT167">
            <v>0</v>
          </cell>
          <cell r="AU167" t="str">
            <v>A</v>
          </cell>
          <cell r="AV167">
            <v>4</v>
          </cell>
          <cell r="AW167" t="str">
            <v>A</v>
          </cell>
          <cell r="AX167">
            <v>4</v>
          </cell>
          <cell r="AY167" t="str">
            <v>A</v>
          </cell>
          <cell r="AZ167">
            <v>4</v>
          </cell>
          <cell r="BA167" t="str">
            <v>D</v>
          </cell>
          <cell r="BB167">
            <v>2</v>
          </cell>
          <cell r="BC167">
            <v>0</v>
          </cell>
          <cell r="BD167">
            <v>8</v>
          </cell>
          <cell r="BE167" t="str">
            <v>A</v>
          </cell>
          <cell r="BF167">
            <v>4</v>
          </cell>
          <cell r="BG167" t="str">
            <v>A</v>
          </cell>
          <cell r="BH167">
            <v>4</v>
          </cell>
          <cell r="BI167" t="str">
            <v>A</v>
          </cell>
          <cell r="BJ167">
            <v>4</v>
          </cell>
          <cell r="BK167" t="str">
            <v>A</v>
          </cell>
          <cell r="BL167">
            <v>4</v>
          </cell>
          <cell r="BM167" t="str">
            <v>A</v>
          </cell>
          <cell r="BN167">
            <v>4</v>
          </cell>
          <cell r="BO167" t="str">
            <v>A</v>
          </cell>
          <cell r="BP167">
            <v>4</v>
          </cell>
          <cell r="BQ167">
            <v>17</v>
          </cell>
          <cell r="BR167">
            <v>6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2</v>
          </cell>
          <cell r="BY167">
            <v>2</v>
          </cell>
          <cell r="BZ167">
            <v>27</v>
          </cell>
          <cell r="CA167">
            <v>74</v>
          </cell>
          <cell r="CB167">
            <v>8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7</v>
          </cell>
          <cell r="CH167">
            <v>0</v>
          </cell>
          <cell r="CI167">
            <v>70</v>
          </cell>
        </row>
        <row r="168">
          <cell r="A168" t="str">
            <v>A799</v>
          </cell>
          <cell r="B168" t="str">
            <v>Trần Minh Trung</v>
          </cell>
          <cell r="C168" t="str">
            <v>CII.4</v>
          </cell>
          <cell r="D168">
            <v>0</v>
          </cell>
          <cell r="E168">
            <v>42625</v>
          </cell>
          <cell r="F168">
            <v>4.5</v>
          </cell>
          <cell r="G168" t="str">
            <v>HH</v>
          </cell>
          <cell r="H168">
            <v>0</v>
          </cell>
          <cell r="I168" t="str">
            <v>C</v>
          </cell>
          <cell r="J168">
            <v>4</v>
          </cell>
          <cell r="K168" t="str">
            <v>C</v>
          </cell>
          <cell r="L168">
            <v>4</v>
          </cell>
          <cell r="M168">
            <v>0</v>
          </cell>
          <cell r="N168">
            <v>0</v>
          </cell>
          <cell r="O168" t="str">
            <v>NT7</v>
          </cell>
          <cell r="P168">
            <v>0</v>
          </cell>
          <cell r="Q168" t="str">
            <v>A</v>
          </cell>
          <cell r="R168">
            <v>4</v>
          </cell>
          <cell r="S168" t="str">
            <v>A</v>
          </cell>
          <cell r="T168">
            <v>4</v>
          </cell>
          <cell r="U168" t="str">
            <v>A</v>
          </cell>
          <cell r="V168">
            <v>4</v>
          </cell>
          <cell r="W168" t="str">
            <v>A</v>
          </cell>
          <cell r="X168">
            <v>4</v>
          </cell>
          <cell r="Y168" t="str">
            <v>NT7</v>
          </cell>
          <cell r="Z168">
            <v>0</v>
          </cell>
          <cell r="AA168">
            <v>0</v>
          </cell>
          <cell r="AB168">
            <v>12</v>
          </cell>
          <cell r="AC168" t="str">
            <v>C</v>
          </cell>
          <cell r="AD168">
            <v>4</v>
          </cell>
          <cell r="AE168" t="str">
            <v>C</v>
          </cell>
          <cell r="AF168">
            <v>4</v>
          </cell>
          <cell r="AG168" t="str">
            <v>C</v>
          </cell>
          <cell r="AH168">
            <v>4</v>
          </cell>
          <cell r="AI168" t="str">
            <v>C</v>
          </cell>
          <cell r="AJ168">
            <v>4</v>
          </cell>
          <cell r="AK168" t="str">
            <v>C</v>
          </cell>
          <cell r="AL168">
            <v>4</v>
          </cell>
          <cell r="AM168" t="str">
            <v>C</v>
          </cell>
          <cell r="AN168">
            <v>4</v>
          </cell>
          <cell r="AO168">
            <v>0</v>
          </cell>
          <cell r="AP168">
            <v>0</v>
          </cell>
          <cell r="AQ168" t="str">
            <v>A</v>
          </cell>
          <cell r="AR168">
            <v>4</v>
          </cell>
          <cell r="AS168" t="str">
            <v>A</v>
          </cell>
          <cell r="AT168">
            <v>4</v>
          </cell>
          <cell r="AU168" t="str">
            <v>P</v>
          </cell>
          <cell r="AV168">
            <v>0</v>
          </cell>
          <cell r="AW168" t="str">
            <v>A</v>
          </cell>
          <cell r="AX168">
            <v>4</v>
          </cell>
          <cell r="AY168" t="str">
            <v>A</v>
          </cell>
          <cell r="AZ168">
            <v>4</v>
          </cell>
          <cell r="BA168" t="str">
            <v>D</v>
          </cell>
          <cell r="BB168">
            <v>0</v>
          </cell>
          <cell r="BC168">
            <v>0</v>
          </cell>
          <cell r="BD168">
            <v>0</v>
          </cell>
          <cell r="BE168" t="str">
            <v>A</v>
          </cell>
          <cell r="BF168">
            <v>4</v>
          </cell>
          <cell r="BG168" t="str">
            <v>HH</v>
          </cell>
          <cell r="BH168">
            <v>0</v>
          </cell>
          <cell r="BI168" t="str">
            <v>A</v>
          </cell>
          <cell r="BJ168">
            <v>4</v>
          </cell>
          <cell r="BK168" t="str">
            <v>A</v>
          </cell>
          <cell r="BL168">
            <v>4</v>
          </cell>
          <cell r="BM168" t="str">
            <v>A</v>
          </cell>
          <cell r="BN168">
            <v>4</v>
          </cell>
          <cell r="BO168" t="str">
            <v>A</v>
          </cell>
          <cell r="BP168">
            <v>4</v>
          </cell>
          <cell r="BQ168">
            <v>13</v>
          </cell>
          <cell r="BR168">
            <v>1</v>
          </cell>
          <cell r="BS168">
            <v>0</v>
          </cell>
          <cell r="BT168">
            <v>8</v>
          </cell>
          <cell r="BU168">
            <v>0</v>
          </cell>
          <cell r="BV168">
            <v>0</v>
          </cell>
          <cell r="BW168">
            <v>2</v>
          </cell>
          <cell r="BX168">
            <v>2</v>
          </cell>
          <cell r="BY168">
            <v>1</v>
          </cell>
          <cell r="BZ168">
            <v>27</v>
          </cell>
          <cell r="CA168">
            <v>84</v>
          </cell>
          <cell r="CB168">
            <v>12</v>
          </cell>
          <cell r="CC168">
            <v>0</v>
          </cell>
          <cell r="CD168">
            <v>0</v>
          </cell>
          <cell r="CE168">
            <v>2</v>
          </cell>
          <cell r="CF168">
            <v>0</v>
          </cell>
          <cell r="CG168">
            <v>4.5</v>
          </cell>
          <cell r="CH168">
            <v>32</v>
          </cell>
          <cell r="CI168">
            <v>150</v>
          </cell>
        </row>
        <row r="169">
          <cell r="A169" t="str">
            <v>A800</v>
          </cell>
          <cell r="B169" t="str">
            <v>Trần Hoàng Thắng</v>
          </cell>
          <cell r="C169" t="str">
            <v>Gián tiếp</v>
          </cell>
          <cell r="D169">
            <v>0</v>
          </cell>
          <cell r="E169">
            <v>42622</v>
          </cell>
          <cell r="F169">
            <v>2.5</v>
          </cell>
          <cell r="G169" t="str">
            <v>D</v>
          </cell>
          <cell r="H169">
            <v>0</v>
          </cell>
          <cell r="I169" t="str">
            <v>D</v>
          </cell>
          <cell r="J169">
            <v>0</v>
          </cell>
          <cell r="K169" t="str">
            <v>D</v>
          </cell>
          <cell r="L169">
            <v>0</v>
          </cell>
          <cell r="M169">
            <v>0</v>
          </cell>
          <cell r="N169">
            <v>0</v>
          </cell>
          <cell r="O169" t="str">
            <v>D</v>
          </cell>
          <cell r="P169">
            <v>0</v>
          </cell>
          <cell r="Q169" t="str">
            <v>D</v>
          </cell>
          <cell r="R169">
            <v>0</v>
          </cell>
          <cell r="S169" t="str">
            <v>D</v>
          </cell>
          <cell r="T169">
            <v>0</v>
          </cell>
          <cell r="U169" t="str">
            <v>D</v>
          </cell>
          <cell r="V169">
            <v>0</v>
          </cell>
          <cell r="W169" t="str">
            <v>D</v>
          </cell>
          <cell r="X169">
            <v>0</v>
          </cell>
          <cell r="Y169" t="str">
            <v>NT7</v>
          </cell>
          <cell r="Z169">
            <v>0</v>
          </cell>
          <cell r="AA169">
            <v>0</v>
          </cell>
          <cell r="AB169">
            <v>0</v>
          </cell>
          <cell r="AC169" t="str">
            <v>D</v>
          </cell>
          <cell r="AD169">
            <v>0</v>
          </cell>
          <cell r="AE169" t="str">
            <v>D</v>
          </cell>
          <cell r="AF169">
            <v>0</v>
          </cell>
          <cell r="AG169" t="str">
            <v>D</v>
          </cell>
          <cell r="AH169">
            <v>0</v>
          </cell>
          <cell r="AI169" t="str">
            <v>D</v>
          </cell>
          <cell r="AJ169">
            <v>0</v>
          </cell>
          <cell r="AK169" t="str">
            <v>D</v>
          </cell>
          <cell r="AL169">
            <v>0</v>
          </cell>
          <cell r="AM169" t="str">
            <v>D</v>
          </cell>
          <cell r="AN169">
            <v>0</v>
          </cell>
          <cell r="AO169">
            <v>0</v>
          </cell>
          <cell r="AP169">
            <v>0</v>
          </cell>
          <cell r="AQ169" t="str">
            <v>D</v>
          </cell>
          <cell r="AR169">
            <v>0</v>
          </cell>
          <cell r="AS169" t="str">
            <v>D</v>
          </cell>
          <cell r="AT169">
            <v>0</v>
          </cell>
          <cell r="AU169" t="str">
            <v>D</v>
          </cell>
          <cell r="AV169">
            <v>0</v>
          </cell>
          <cell r="AW169" t="str">
            <v>D</v>
          </cell>
          <cell r="AX169">
            <v>0</v>
          </cell>
          <cell r="AY169" t="str">
            <v>D</v>
          </cell>
          <cell r="AZ169">
            <v>0</v>
          </cell>
          <cell r="BA169" t="str">
            <v>NT7</v>
          </cell>
          <cell r="BB169">
            <v>0</v>
          </cell>
          <cell r="BC169">
            <v>0</v>
          </cell>
          <cell r="BD169">
            <v>0</v>
          </cell>
          <cell r="BE169" t="str">
            <v>D</v>
          </cell>
          <cell r="BF169">
            <v>0</v>
          </cell>
          <cell r="BG169" t="str">
            <v>D</v>
          </cell>
          <cell r="BH169">
            <v>0</v>
          </cell>
          <cell r="BI169" t="str">
            <v>D</v>
          </cell>
          <cell r="BJ169">
            <v>0</v>
          </cell>
          <cell r="BK169" t="str">
            <v>D</v>
          </cell>
          <cell r="BL169">
            <v>0</v>
          </cell>
          <cell r="BM169" t="str">
            <v>D</v>
          </cell>
          <cell r="BN169">
            <v>0</v>
          </cell>
          <cell r="BO169" t="str">
            <v>D</v>
          </cell>
          <cell r="BP169">
            <v>0</v>
          </cell>
          <cell r="BQ169">
            <v>0</v>
          </cell>
          <cell r="BR169">
            <v>25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2</v>
          </cell>
          <cell r="BY169">
            <v>0</v>
          </cell>
          <cell r="BZ169">
            <v>27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3.5</v>
          </cell>
          <cell r="CH169">
            <v>0</v>
          </cell>
          <cell r="CI169">
            <v>150</v>
          </cell>
        </row>
        <row r="170">
          <cell r="A170" t="str">
            <v>A801</v>
          </cell>
          <cell r="B170" t="str">
            <v>Trần Sớt</v>
          </cell>
          <cell r="C170" t="str">
            <v>CI.1</v>
          </cell>
          <cell r="D170">
            <v>0</v>
          </cell>
          <cell r="E170">
            <v>42632</v>
          </cell>
          <cell r="F170">
            <v>0</v>
          </cell>
          <cell r="G170" t="str">
            <v>C</v>
          </cell>
          <cell r="H170">
            <v>4</v>
          </cell>
          <cell r="I170" t="str">
            <v>C</v>
          </cell>
          <cell r="J170">
            <v>4</v>
          </cell>
          <cell r="K170" t="str">
            <v>C</v>
          </cell>
          <cell r="L170">
            <v>4</v>
          </cell>
          <cell r="M170">
            <v>0</v>
          </cell>
          <cell r="N170">
            <v>0</v>
          </cell>
          <cell r="O170" t="str">
            <v>C</v>
          </cell>
          <cell r="P170">
            <v>4</v>
          </cell>
          <cell r="Q170" t="str">
            <v>C</v>
          </cell>
          <cell r="R170">
            <v>4</v>
          </cell>
          <cell r="S170" t="str">
            <v>C</v>
          </cell>
          <cell r="T170">
            <v>4</v>
          </cell>
          <cell r="U170" t="str">
            <v>C</v>
          </cell>
          <cell r="V170">
            <v>4</v>
          </cell>
          <cell r="W170" t="str">
            <v>C</v>
          </cell>
          <cell r="X170">
            <v>4</v>
          </cell>
          <cell r="Y170" t="str">
            <v>NT7</v>
          </cell>
          <cell r="Z170">
            <v>0</v>
          </cell>
          <cell r="AA170">
            <v>0</v>
          </cell>
          <cell r="AB170">
            <v>0</v>
          </cell>
          <cell r="AC170" t="str">
            <v>D</v>
          </cell>
          <cell r="AD170">
            <v>2.5</v>
          </cell>
          <cell r="AE170" t="str">
            <v>A</v>
          </cell>
          <cell r="AF170">
            <v>4</v>
          </cell>
          <cell r="AG170" t="str">
            <v>D</v>
          </cell>
          <cell r="AH170">
            <v>2</v>
          </cell>
          <cell r="AI170" t="str">
            <v>A</v>
          </cell>
          <cell r="AJ170">
            <v>4.5</v>
          </cell>
          <cell r="AK170" t="str">
            <v>A</v>
          </cell>
          <cell r="AL170">
            <v>4</v>
          </cell>
          <cell r="AM170" t="str">
            <v>A</v>
          </cell>
          <cell r="AN170">
            <v>4</v>
          </cell>
          <cell r="AO170">
            <v>0</v>
          </cell>
          <cell r="AP170">
            <v>0</v>
          </cell>
          <cell r="AQ170" t="str">
            <v>HH</v>
          </cell>
          <cell r="AR170">
            <v>0</v>
          </cell>
          <cell r="AS170" t="str">
            <v>HH</v>
          </cell>
          <cell r="AT170">
            <v>0</v>
          </cell>
          <cell r="AU170" t="str">
            <v>B</v>
          </cell>
          <cell r="AV170">
            <v>0</v>
          </cell>
          <cell r="AW170" t="str">
            <v>C</v>
          </cell>
          <cell r="AX170">
            <v>4</v>
          </cell>
          <cell r="AY170" t="str">
            <v>C</v>
          </cell>
          <cell r="AZ170">
            <v>4</v>
          </cell>
          <cell r="BA170" t="str">
            <v>C</v>
          </cell>
          <cell r="BB170">
            <v>4</v>
          </cell>
          <cell r="BC170">
            <v>0</v>
          </cell>
          <cell r="BD170">
            <v>8</v>
          </cell>
          <cell r="BE170" t="str">
            <v>D</v>
          </cell>
          <cell r="BF170">
            <v>0</v>
          </cell>
          <cell r="BG170" t="str">
            <v>A</v>
          </cell>
          <cell r="BH170">
            <v>4</v>
          </cell>
          <cell r="BI170" t="str">
            <v>D</v>
          </cell>
          <cell r="BJ170">
            <v>1.5</v>
          </cell>
          <cell r="BK170" t="str">
            <v>A</v>
          </cell>
          <cell r="BL170">
            <v>4</v>
          </cell>
          <cell r="BM170" t="str">
            <v>A</v>
          </cell>
          <cell r="BN170">
            <v>4</v>
          </cell>
          <cell r="BO170" t="str">
            <v>D</v>
          </cell>
          <cell r="BP170">
            <v>0</v>
          </cell>
          <cell r="BQ170">
            <v>7</v>
          </cell>
          <cell r="BR170">
            <v>5</v>
          </cell>
          <cell r="BS170">
            <v>1</v>
          </cell>
          <cell r="BT170">
            <v>11</v>
          </cell>
          <cell r="BU170">
            <v>0</v>
          </cell>
          <cell r="BV170">
            <v>0</v>
          </cell>
          <cell r="BW170">
            <v>2</v>
          </cell>
          <cell r="BX170">
            <v>1</v>
          </cell>
          <cell r="BY170">
            <v>0</v>
          </cell>
          <cell r="BZ170">
            <v>27</v>
          </cell>
          <cell r="CA170">
            <v>78.5</v>
          </cell>
          <cell r="CB170">
            <v>8</v>
          </cell>
          <cell r="CC170">
            <v>0</v>
          </cell>
          <cell r="CD170">
            <v>1</v>
          </cell>
          <cell r="CE170">
            <v>1</v>
          </cell>
          <cell r="CF170">
            <v>70</v>
          </cell>
          <cell r="CG170">
            <v>1</v>
          </cell>
          <cell r="CH170">
            <v>16</v>
          </cell>
          <cell r="CI170">
            <v>70</v>
          </cell>
        </row>
        <row r="171">
          <cell r="A171" t="str">
            <v>A802</v>
          </cell>
          <cell r="B171" t="str">
            <v>Nguyễn Thái Phát</v>
          </cell>
          <cell r="C171" t="str">
            <v>CII.3</v>
          </cell>
          <cell r="D171">
            <v>0</v>
          </cell>
          <cell r="E171">
            <v>42637</v>
          </cell>
          <cell r="F171">
            <v>0</v>
          </cell>
          <cell r="G171" t="str">
            <v>HH</v>
          </cell>
          <cell r="H171">
            <v>0</v>
          </cell>
          <cell r="I171" t="str">
            <v>C</v>
          </cell>
          <cell r="J171">
            <v>4</v>
          </cell>
          <cell r="K171" t="str">
            <v>C</v>
          </cell>
          <cell r="L171">
            <v>4</v>
          </cell>
          <cell r="M171">
            <v>0</v>
          </cell>
          <cell r="N171">
            <v>0</v>
          </cell>
          <cell r="O171" t="str">
            <v>A</v>
          </cell>
          <cell r="P171">
            <v>4</v>
          </cell>
          <cell r="Q171" t="str">
            <v>A</v>
          </cell>
          <cell r="R171">
            <v>4</v>
          </cell>
          <cell r="S171" t="str">
            <v>NT7</v>
          </cell>
          <cell r="T171">
            <v>0</v>
          </cell>
          <cell r="U171" t="str">
            <v>A</v>
          </cell>
          <cell r="V171">
            <v>4</v>
          </cell>
          <cell r="W171" t="str">
            <v>A</v>
          </cell>
          <cell r="X171">
            <v>4</v>
          </cell>
          <cell r="Y171" t="str">
            <v>A</v>
          </cell>
          <cell r="Z171">
            <v>4</v>
          </cell>
          <cell r="AA171">
            <v>0</v>
          </cell>
          <cell r="AB171">
            <v>12</v>
          </cell>
          <cell r="AC171" t="str">
            <v>C</v>
          </cell>
          <cell r="AD171">
            <v>4</v>
          </cell>
          <cell r="AE171" t="str">
            <v>C</v>
          </cell>
          <cell r="AF171">
            <v>4</v>
          </cell>
          <cell r="AG171" t="str">
            <v>C</v>
          </cell>
          <cell r="AH171">
            <v>4</v>
          </cell>
          <cell r="AI171" t="str">
            <v>C</v>
          </cell>
          <cell r="AJ171">
            <v>4</v>
          </cell>
          <cell r="AK171" t="str">
            <v>C</v>
          </cell>
          <cell r="AL171">
            <v>4</v>
          </cell>
          <cell r="AM171" t="str">
            <v>C</v>
          </cell>
          <cell r="AN171">
            <v>4</v>
          </cell>
          <cell r="AO171">
            <v>0</v>
          </cell>
          <cell r="AP171">
            <v>0</v>
          </cell>
          <cell r="AQ171" t="str">
            <v>A</v>
          </cell>
          <cell r="AR171">
            <v>4</v>
          </cell>
          <cell r="AS171" t="str">
            <v>A</v>
          </cell>
          <cell r="AT171">
            <v>4</v>
          </cell>
          <cell r="AU171" t="str">
            <v>NT7</v>
          </cell>
          <cell r="AV171">
            <v>0</v>
          </cell>
          <cell r="AW171" t="str">
            <v>A</v>
          </cell>
          <cell r="AX171">
            <v>4</v>
          </cell>
          <cell r="AY171" t="str">
            <v>A</v>
          </cell>
          <cell r="AZ171">
            <v>4</v>
          </cell>
          <cell r="BA171" t="str">
            <v>A</v>
          </cell>
          <cell r="BB171">
            <v>4</v>
          </cell>
          <cell r="BC171">
            <v>0</v>
          </cell>
          <cell r="BD171">
            <v>12</v>
          </cell>
          <cell r="BE171" t="str">
            <v>A</v>
          </cell>
          <cell r="BF171">
            <v>4</v>
          </cell>
          <cell r="BG171" t="str">
            <v>D</v>
          </cell>
          <cell r="BH171">
            <v>0</v>
          </cell>
          <cell r="BI171" t="str">
            <v>R0</v>
          </cell>
          <cell r="BJ171">
            <v>0</v>
          </cell>
          <cell r="BK171" t="str">
            <v>P</v>
          </cell>
          <cell r="BL171">
            <v>0</v>
          </cell>
          <cell r="BM171" t="str">
            <v>A</v>
          </cell>
          <cell r="BN171">
            <v>4</v>
          </cell>
          <cell r="BO171" t="str">
            <v>A</v>
          </cell>
          <cell r="BP171">
            <v>4</v>
          </cell>
          <cell r="BQ171">
            <v>13</v>
          </cell>
          <cell r="BR171">
            <v>1</v>
          </cell>
          <cell r="BS171">
            <v>0</v>
          </cell>
          <cell r="BT171">
            <v>8</v>
          </cell>
          <cell r="BU171">
            <v>0</v>
          </cell>
          <cell r="BV171">
            <v>0</v>
          </cell>
          <cell r="BW171">
            <v>1</v>
          </cell>
          <cell r="BX171">
            <v>2</v>
          </cell>
          <cell r="BY171">
            <v>1</v>
          </cell>
          <cell r="BZ171">
            <v>26</v>
          </cell>
          <cell r="CA171">
            <v>84</v>
          </cell>
          <cell r="CB171">
            <v>24</v>
          </cell>
          <cell r="CC171">
            <v>0</v>
          </cell>
          <cell r="CD171">
            <v>0</v>
          </cell>
          <cell r="CE171">
            <v>2</v>
          </cell>
          <cell r="CF171">
            <v>0</v>
          </cell>
          <cell r="CG171">
            <v>0</v>
          </cell>
          <cell r="CH171">
            <v>32</v>
          </cell>
          <cell r="CI171">
            <v>70</v>
          </cell>
        </row>
        <row r="172">
          <cell r="A172" t="str">
            <v>A804</v>
          </cell>
          <cell r="B172" t="str">
            <v>Nguyễn Văn Chúc Đang</v>
          </cell>
          <cell r="C172" t="str">
            <v>CII.4</v>
          </cell>
          <cell r="D172">
            <v>0</v>
          </cell>
          <cell r="E172">
            <v>42628</v>
          </cell>
          <cell r="F172">
            <v>0</v>
          </cell>
          <cell r="G172" t="str">
            <v>D</v>
          </cell>
          <cell r="H172">
            <v>0</v>
          </cell>
          <cell r="I172" t="str">
            <v>A</v>
          </cell>
          <cell r="J172">
            <v>4</v>
          </cell>
          <cell r="K172" t="str">
            <v>A</v>
          </cell>
          <cell r="L172">
            <v>4</v>
          </cell>
          <cell r="M172">
            <v>0</v>
          </cell>
          <cell r="N172">
            <v>0</v>
          </cell>
          <cell r="O172" t="str">
            <v>C</v>
          </cell>
          <cell r="P172">
            <v>4</v>
          </cell>
          <cell r="Q172" t="str">
            <v>C</v>
          </cell>
          <cell r="R172">
            <v>4</v>
          </cell>
          <cell r="S172" t="str">
            <v>C</v>
          </cell>
          <cell r="T172">
            <v>4</v>
          </cell>
          <cell r="U172" t="str">
            <v>C</v>
          </cell>
          <cell r="V172">
            <v>4</v>
          </cell>
          <cell r="W172" t="str">
            <v>C</v>
          </cell>
          <cell r="X172">
            <v>4</v>
          </cell>
          <cell r="Y172" t="str">
            <v>C</v>
          </cell>
          <cell r="Z172">
            <v>4</v>
          </cell>
          <cell r="AA172">
            <v>0</v>
          </cell>
          <cell r="AB172">
            <v>0</v>
          </cell>
          <cell r="AC172" t="str">
            <v>A</v>
          </cell>
          <cell r="AD172">
            <v>4</v>
          </cell>
          <cell r="AE172" t="str">
            <v>A</v>
          </cell>
          <cell r="AF172">
            <v>4</v>
          </cell>
          <cell r="AG172" t="str">
            <v>A</v>
          </cell>
          <cell r="AH172">
            <v>4</v>
          </cell>
          <cell r="AI172" t="str">
            <v>A</v>
          </cell>
          <cell r="AJ172">
            <v>4</v>
          </cell>
          <cell r="AK172" t="str">
            <v>A</v>
          </cell>
          <cell r="AL172">
            <v>4</v>
          </cell>
          <cell r="AM172" t="str">
            <v>A</v>
          </cell>
          <cell r="AN172">
            <v>4</v>
          </cell>
          <cell r="AO172">
            <v>0</v>
          </cell>
          <cell r="AP172">
            <v>8</v>
          </cell>
          <cell r="AQ172" t="str">
            <v>C</v>
          </cell>
          <cell r="AR172">
            <v>4</v>
          </cell>
          <cell r="AS172" t="str">
            <v>C</v>
          </cell>
          <cell r="AT172">
            <v>4</v>
          </cell>
          <cell r="AU172" t="str">
            <v>NT7</v>
          </cell>
          <cell r="AV172">
            <v>0</v>
          </cell>
          <cell r="AW172" t="str">
            <v>C</v>
          </cell>
          <cell r="AX172">
            <v>4</v>
          </cell>
          <cell r="AY172" t="str">
            <v>C</v>
          </cell>
          <cell r="AZ172">
            <v>4</v>
          </cell>
          <cell r="BA172" t="str">
            <v>C</v>
          </cell>
          <cell r="BB172">
            <v>4</v>
          </cell>
          <cell r="BC172">
            <v>0</v>
          </cell>
          <cell r="BD172">
            <v>12</v>
          </cell>
          <cell r="BE172" t="str">
            <v>C</v>
          </cell>
          <cell r="BF172">
            <v>4</v>
          </cell>
          <cell r="BG172" t="str">
            <v>C</v>
          </cell>
          <cell r="BH172">
            <v>4</v>
          </cell>
          <cell r="BI172" t="str">
            <v>C</v>
          </cell>
          <cell r="BJ172">
            <v>4</v>
          </cell>
          <cell r="BK172" t="str">
            <v>C</v>
          </cell>
          <cell r="BL172">
            <v>4</v>
          </cell>
          <cell r="BM172" t="str">
            <v>C</v>
          </cell>
          <cell r="BN172">
            <v>4</v>
          </cell>
          <cell r="BO172" t="str">
            <v>NT7</v>
          </cell>
          <cell r="BP172">
            <v>0</v>
          </cell>
          <cell r="BQ172">
            <v>8</v>
          </cell>
          <cell r="BR172">
            <v>1</v>
          </cell>
          <cell r="BS172">
            <v>0</v>
          </cell>
          <cell r="BT172">
            <v>16</v>
          </cell>
          <cell r="BU172">
            <v>0</v>
          </cell>
          <cell r="BV172">
            <v>0</v>
          </cell>
          <cell r="BW172">
            <v>0</v>
          </cell>
          <cell r="BX172">
            <v>2</v>
          </cell>
          <cell r="BY172">
            <v>0</v>
          </cell>
          <cell r="BZ172">
            <v>27</v>
          </cell>
          <cell r="CA172">
            <v>96</v>
          </cell>
          <cell r="CB172">
            <v>20</v>
          </cell>
          <cell r="CC172">
            <v>0</v>
          </cell>
          <cell r="CD172">
            <v>0</v>
          </cell>
          <cell r="CE172">
            <v>2</v>
          </cell>
          <cell r="CF172">
            <v>0</v>
          </cell>
          <cell r="CG172">
            <v>1</v>
          </cell>
          <cell r="CH172">
            <v>32</v>
          </cell>
          <cell r="CI172">
            <v>70</v>
          </cell>
        </row>
        <row r="173">
          <cell r="A173" t="str">
            <v>A806</v>
          </cell>
          <cell r="B173" t="str">
            <v>Trần Nguyễn Thanh Duy</v>
          </cell>
          <cell r="C173" t="str">
            <v>CII.4</v>
          </cell>
          <cell r="D173">
            <v>0</v>
          </cell>
          <cell r="E173">
            <v>42671</v>
          </cell>
          <cell r="F173">
            <v>3</v>
          </cell>
          <cell r="G173" t="str">
            <v>D</v>
          </cell>
          <cell r="H173">
            <v>0</v>
          </cell>
          <cell r="I173" t="str">
            <v>A</v>
          </cell>
          <cell r="J173">
            <v>4</v>
          </cell>
          <cell r="K173" t="str">
            <v>A</v>
          </cell>
          <cell r="L173">
            <v>4</v>
          </cell>
          <cell r="M173">
            <v>0</v>
          </cell>
          <cell r="N173">
            <v>0</v>
          </cell>
          <cell r="O173" t="str">
            <v>C</v>
          </cell>
          <cell r="P173">
            <v>4</v>
          </cell>
          <cell r="Q173" t="str">
            <v>C</v>
          </cell>
          <cell r="R173">
            <v>4</v>
          </cell>
          <cell r="S173" t="str">
            <v>C</v>
          </cell>
          <cell r="T173">
            <v>4</v>
          </cell>
          <cell r="U173" t="str">
            <v>C</v>
          </cell>
          <cell r="V173">
            <v>4</v>
          </cell>
          <cell r="W173" t="str">
            <v>C</v>
          </cell>
          <cell r="X173">
            <v>4</v>
          </cell>
          <cell r="Y173" t="str">
            <v>C</v>
          </cell>
          <cell r="Z173">
            <v>4</v>
          </cell>
          <cell r="AA173">
            <v>0</v>
          </cell>
          <cell r="AB173">
            <v>0</v>
          </cell>
          <cell r="AC173" t="str">
            <v>A</v>
          </cell>
          <cell r="AD173">
            <v>4</v>
          </cell>
          <cell r="AE173" t="str">
            <v>A</v>
          </cell>
          <cell r="AF173">
            <v>4</v>
          </cell>
          <cell r="AG173" t="str">
            <v>A</v>
          </cell>
          <cell r="AH173">
            <v>4</v>
          </cell>
          <cell r="AI173" t="str">
            <v>A</v>
          </cell>
          <cell r="AJ173">
            <v>4</v>
          </cell>
          <cell r="AK173" t="str">
            <v>P</v>
          </cell>
          <cell r="AL173">
            <v>0</v>
          </cell>
          <cell r="AM173" t="str">
            <v>P</v>
          </cell>
          <cell r="AN173">
            <v>0</v>
          </cell>
          <cell r="AO173">
            <v>0</v>
          </cell>
          <cell r="AP173">
            <v>0</v>
          </cell>
          <cell r="AQ173" t="str">
            <v>P</v>
          </cell>
          <cell r="AR173">
            <v>0</v>
          </cell>
          <cell r="AS173" t="str">
            <v>C</v>
          </cell>
          <cell r="AT173">
            <v>4</v>
          </cell>
          <cell r="AU173" t="str">
            <v>NT7</v>
          </cell>
          <cell r="AV173">
            <v>0</v>
          </cell>
          <cell r="AW173" t="str">
            <v>C</v>
          </cell>
          <cell r="AX173">
            <v>4</v>
          </cell>
          <cell r="AY173" t="str">
            <v>C</v>
          </cell>
          <cell r="AZ173">
            <v>4</v>
          </cell>
          <cell r="BA173" t="str">
            <v>C</v>
          </cell>
          <cell r="BB173">
            <v>4</v>
          </cell>
          <cell r="BC173">
            <v>0</v>
          </cell>
          <cell r="BD173">
            <v>12</v>
          </cell>
          <cell r="BE173" t="str">
            <v>C</v>
          </cell>
          <cell r="BF173">
            <v>4</v>
          </cell>
          <cell r="BG173" t="str">
            <v>C</v>
          </cell>
          <cell r="BH173">
            <v>4</v>
          </cell>
          <cell r="BI173" t="str">
            <v>C</v>
          </cell>
          <cell r="BJ173">
            <v>4</v>
          </cell>
          <cell r="BK173" t="str">
            <v>C</v>
          </cell>
          <cell r="BL173">
            <v>4</v>
          </cell>
          <cell r="BM173" t="str">
            <v>C</v>
          </cell>
          <cell r="BN173">
            <v>4</v>
          </cell>
          <cell r="BO173" t="str">
            <v>NT7</v>
          </cell>
          <cell r="BP173">
            <v>0</v>
          </cell>
          <cell r="BQ173">
            <v>6</v>
          </cell>
          <cell r="BR173">
            <v>1</v>
          </cell>
          <cell r="BS173">
            <v>0</v>
          </cell>
          <cell r="BT173">
            <v>15</v>
          </cell>
          <cell r="BU173">
            <v>0</v>
          </cell>
          <cell r="BV173">
            <v>0</v>
          </cell>
          <cell r="BW173">
            <v>0</v>
          </cell>
          <cell r="BX173">
            <v>2</v>
          </cell>
          <cell r="BY173">
            <v>3</v>
          </cell>
          <cell r="BZ173">
            <v>27</v>
          </cell>
          <cell r="CA173">
            <v>84</v>
          </cell>
          <cell r="CB173">
            <v>12</v>
          </cell>
          <cell r="CC173">
            <v>0</v>
          </cell>
          <cell r="CD173">
            <v>0</v>
          </cell>
          <cell r="CE173">
            <v>2</v>
          </cell>
          <cell r="CF173">
            <v>0</v>
          </cell>
          <cell r="CG173">
            <v>1</v>
          </cell>
          <cell r="CH173">
            <v>32</v>
          </cell>
          <cell r="CI173">
            <v>70</v>
          </cell>
        </row>
        <row r="174">
          <cell r="A174" t="str">
            <v>A807</v>
          </cell>
          <cell r="B174" t="str">
            <v>Nguyễn Văn Lơn</v>
          </cell>
          <cell r="C174" t="str">
            <v>CD</v>
          </cell>
          <cell r="D174">
            <v>0</v>
          </cell>
          <cell r="E174">
            <v>42663</v>
          </cell>
          <cell r="F174">
            <v>7</v>
          </cell>
          <cell r="G174" t="str">
            <v>C</v>
          </cell>
          <cell r="H174">
            <v>4</v>
          </cell>
          <cell r="I174" t="str">
            <v>C</v>
          </cell>
          <cell r="J174">
            <v>4</v>
          </cell>
          <cell r="K174" t="str">
            <v>C</v>
          </cell>
          <cell r="L174">
            <v>4</v>
          </cell>
          <cell r="M174">
            <v>0</v>
          </cell>
          <cell r="N174">
            <v>0</v>
          </cell>
          <cell r="O174" t="str">
            <v>C</v>
          </cell>
          <cell r="P174">
            <v>4</v>
          </cell>
          <cell r="Q174" t="str">
            <v>C</v>
          </cell>
          <cell r="R174">
            <v>4</v>
          </cell>
          <cell r="S174" t="str">
            <v>C</v>
          </cell>
          <cell r="T174">
            <v>4</v>
          </cell>
          <cell r="U174" t="str">
            <v>C</v>
          </cell>
          <cell r="V174">
            <v>4</v>
          </cell>
          <cell r="W174" t="str">
            <v>C</v>
          </cell>
          <cell r="X174">
            <v>4</v>
          </cell>
          <cell r="Y174" t="str">
            <v>C</v>
          </cell>
          <cell r="Z174">
            <v>4</v>
          </cell>
          <cell r="AA174">
            <v>0</v>
          </cell>
          <cell r="AB174">
            <v>0</v>
          </cell>
          <cell r="AC174" t="str">
            <v>A</v>
          </cell>
          <cell r="AD174">
            <v>4</v>
          </cell>
          <cell r="AE174" t="str">
            <v>A</v>
          </cell>
          <cell r="AF174">
            <v>4</v>
          </cell>
          <cell r="AG174" t="str">
            <v>A</v>
          </cell>
          <cell r="AH174">
            <v>4</v>
          </cell>
          <cell r="AI174" t="str">
            <v>A</v>
          </cell>
          <cell r="AJ174">
            <v>4</v>
          </cell>
          <cell r="AK174" t="str">
            <v>A</v>
          </cell>
          <cell r="AL174">
            <v>4</v>
          </cell>
          <cell r="AM174" t="str">
            <v>A</v>
          </cell>
          <cell r="AN174">
            <v>4</v>
          </cell>
          <cell r="AO174">
            <v>0</v>
          </cell>
          <cell r="AP174">
            <v>12</v>
          </cell>
          <cell r="AQ174" t="str">
            <v>A</v>
          </cell>
          <cell r="AR174">
            <v>4</v>
          </cell>
          <cell r="AS174" t="str">
            <v>D</v>
          </cell>
          <cell r="AT174">
            <v>2.5</v>
          </cell>
          <cell r="AU174" t="str">
            <v>C</v>
          </cell>
          <cell r="AV174">
            <v>4</v>
          </cell>
          <cell r="AW174" t="str">
            <v>C</v>
          </cell>
          <cell r="AX174">
            <v>4</v>
          </cell>
          <cell r="AY174" t="str">
            <v>C</v>
          </cell>
          <cell r="AZ174">
            <v>4</v>
          </cell>
          <cell r="BA174" t="str">
            <v>C</v>
          </cell>
          <cell r="BB174">
            <v>4</v>
          </cell>
          <cell r="BC174">
            <v>0</v>
          </cell>
          <cell r="BD174">
            <v>8</v>
          </cell>
          <cell r="BE174" t="str">
            <v>C</v>
          </cell>
          <cell r="BF174">
            <v>4</v>
          </cell>
          <cell r="BG174" t="str">
            <v>C</v>
          </cell>
          <cell r="BH174">
            <v>4</v>
          </cell>
          <cell r="BI174" t="str">
            <v>C</v>
          </cell>
          <cell r="BJ174">
            <v>4</v>
          </cell>
          <cell r="BK174" t="str">
            <v>C</v>
          </cell>
          <cell r="BL174">
            <v>4</v>
          </cell>
          <cell r="BM174" t="str">
            <v>C</v>
          </cell>
          <cell r="BN174">
            <v>4</v>
          </cell>
          <cell r="BO174" t="str">
            <v>NT7</v>
          </cell>
          <cell r="BP174">
            <v>0</v>
          </cell>
          <cell r="BQ174">
            <v>7</v>
          </cell>
          <cell r="BR174">
            <v>1</v>
          </cell>
          <cell r="BS174">
            <v>0</v>
          </cell>
          <cell r="BT174">
            <v>18</v>
          </cell>
          <cell r="BU174">
            <v>0</v>
          </cell>
          <cell r="BV174">
            <v>0</v>
          </cell>
          <cell r="BW174">
            <v>0</v>
          </cell>
          <cell r="BX174">
            <v>1</v>
          </cell>
          <cell r="BY174">
            <v>0</v>
          </cell>
          <cell r="BZ174">
            <v>27</v>
          </cell>
          <cell r="CA174">
            <v>102.5</v>
          </cell>
          <cell r="CB174">
            <v>20</v>
          </cell>
          <cell r="CC174">
            <v>0</v>
          </cell>
          <cell r="CD174">
            <v>1</v>
          </cell>
          <cell r="CE174">
            <v>2</v>
          </cell>
          <cell r="CF174">
            <v>70</v>
          </cell>
          <cell r="CG174">
            <v>8</v>
          </cell>
          <cell r="CH174">
            <v>32</v>
          </cell>
          <cell r="CI174">
            <v>70</v>
          </cell>
        </row>
        <row r="175">
          <cell r="A175" t="str">
            <v>A808</v>
          </cell>
          <cell r="B175" t="str">
            <v>Nguyễn Thanh Nam</v>
          </cell>
          <cell r="C175" t="str">
            <v>CII.4</v>
          </cell>
          <cell r="D175">
            <v>0</v>
          </cell>
          <cell r="E175">
            <v>42650</v>
          </cell>
          <cell r="F175">
            <v>10.5</v>
          </cell>
          <cell r="G175" t="str">
            <v>A</v>
          </cell>
          <cell r="H175">
            <v>4</v>
          </cell>
          <cell r="I175" t="str">
            <v>A</v>
          </cell>
          <cell r="J175">
            <v>4</v>
          </cell>
          <cell r="K175" t="str">
            <v>A</v>
          </cell>
          <cell r="L175">
            <v>4</v>
          </cell>
          <cell r="M175">
            <v>0</v>
          </cell>
          <cell r="N175">
            <v>12</v>
          </cell>
          <cell r="O175" t="str">
            <v>A</v>
          </cell>
          <cell r="P175">
            <v>4</v>
          </cell>
          <cell r="Q175" t="str">
            <v>A</v>
          </cell>
          <cell r="R175">
            <v>4</v>
          </cell>
          <cell r="S175" t="str">
            <v>A</v>
          </cell>
          <cell r="T175">
            <v>4</v>
          </cell>
          <cell r="U175" t="str">
            <v>A</v>
          </cell>
          <cell r="V175">
            <v>4</v>
          </cell>
          <cell r="W175" t="str">
            <v>D</v>
          </cell>
          <cell r="X175">
            <v>0</v>
          </cell>
          <cell r="Y175" t="str">
            <v>A</v>
          </cell>
          <cell r="Z175">
            <v>4</v>
          </cell>
          <cell r="AA175">
            <v>0</v>
          </cell>
          <cell r="AB175">
            <v>12</v>
          </cell>
          <cell r="AC175" t="str">
            <v>A</v>
          </cell>
          <cell r="AD175">
            <v>4</v>
          </cell>
          <cell r="AE175" t="str">
            <v>A</v>
          </cell>
          <cell r="AF175">
            <v>4</v>
          </cell>
          <cell r="AG175" t="str">
            <v>A</v>
          </cell>
          <cell r="AH175">
            <v>4</v>
          </cell>
          <cell r="AI175" t="str">
            <v>A</v>
          </cell>
          <cell r="AJ175">
            <v>4</v>
          </cell>
          <cell r="AK175" t="str">
            <v>A</v>
          </cell>
          <cell r="AL175">
            <v>4</v>
          </cell>
          <cell r="AM175" t="str">
            <v>A</v>
          </cell>
          <cell r="AN175">
            <v>4</v>
          </cell>
          <cell r="AO175">
            <v>0</v>
          </cell>
          <cell r="AP175">
            <v>12</v>
          </cell>
          <cell r="AQ175" t="str">
            <v>A</v>
          </cell>
          <cell r="AR175">
            <v>4</v>
          </cell>
          <cell r="AS175" t="str">
            <v>NT7</v>
          </cell>
          <cell r="AT175">
            <v>0</v>
          </cell>
          <cell r="AU175" t="str">
            <v>NT7</v>
          </cell>
          <cell r="AV175">
            <v>0</v>
          </cell>
          <cell r="AW175" t="str">
            <v>P</v>
          </cell>
          <cell r="AX175">
            <v>0</v>
          </cell>
          <cell r="AY175" t="str">
            <v>P</v>
          </cell>
          <cell r="AZ175">
            <v>0</v>
          </cell>
          <cell r="BA175" t="str">
            <v>A</v>
          </cell>
          <cell r="BB175">
            <v>6</v>
          </cell>
          <cell r="BC175">
            <v>0</v>
          </cell>
          <cell r="BD175">
            <v>12</v>
          </cell>
          <cell r="BE175" t="str">
            <v>A</v>
          </cell>
          <cell r="BF175">
            <v>4</v>
          </cell>
          <cell r="BG175" t="str">
            <v>A</v>
          </cell>
          <cell r="BH175">
            <v>6</v>
          </cell>
          <cell r="BI175" t="str">
            <v>A</v>
          </cell>
          <cell r="BJ175">
            <v>6</v>
          </cell>
          <cell r="BK175" t="str">
            <v>A</v>
          </cell>
          <cell r="BL175">
            <v>6</v>
          </cell>
          <cell r="BM175" t="str">
            <v>A</v>
          </cell>
          <cell r="BN175">
            <v>5</v>
          </cell>
          <cell r="BO175" t="str">
            <v>A</v>
          </cell>
          <cell r="BP175">
            <v>4</v>
          </cell>
          <cell r="BQ175">
            <v>22</v>
          </cell>
          <cell r="BR175">
            <v>1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2</v>
          </cell>
          <cell r="BY175">
            <v>2</v>
          </cell>
          <cell r="BZ175">
            <v>27</v>
          </cell>
          <cell r="CA175">
            <v>97</v>
          </cell>
          <cell r="CB175">
            <v>48</v>
          </cell>
          <cell r="CC175">
            <v>0</v>
          </cell>
          <cell r="CD175">
            <v>0</v>
          </cell>
          <cell r="CE175">
            <v>4</v>
          </cell>
          <cell r="CF175">
            <v>0</v>
          </cell>
          <cell r="CG175">
            <v>9.5</v>
          </cell>
          <cell r="CH175">
            <v>64</v>
          </cell>
          <cell r="CI175">
            <v>70</v>
          </cell>
        </row>
        <row r="176">
          <cell r="A176" t="str">
            <v>A809</v>
          </cell>
          <cell r="B176" t="str">
            <v>Phạm Đình Tấn Phát</v>
          </cell>
          <cell r="C176" t="str">
            <v>CII.1</v>
          </cell>
          <cell r="D176">
            <v>0</v>
          </cell>
          <cell r="E176">
            <v>42669</v>
          </cell>
          <cell r="F176">
            <v>0</v>
          </cell>
          <cell r="G176" t="str">
            <v>C</v>
          </cell>
          <cell r="H176">
            <v>4</v>
          </cell>
          <cell r="I176" t="str">
            <v>C</v>
          </cell>
          <cell r="J176">
            <v>4</v>
          </cell>
          <cell r="K176" t="str">
            <v>R0</v>
          </cell>
          <cell r="L176">
            <v>0</v>
          </cell>
          <cell r="M176">
            <v>0</v>
          </cell>
          <cell r="N176">
            <v>0</v>
          </cell>
          <cell r="O176" t="str">
            <v>C</v>
          </cell>
          <cell r="P176">
            <v>4</v>
          </cell>
          <cell r="Q176" t="str">
            <v>C</v>
          </cell>
          <cell r="R176">
            <v>4</v>
          </cell>
          <cell r="S176" t="str">
            <v>C</v>
          </cell>
          <cell r="T176">
            <v>4</v>
          </cell>
          <cell r="U176" t="str">
            <v>NT7</v>
          </cell>
          <cell r="V176">
            <v>0</v>
          </cell>
          <cell r="W176" t="str">
            <v>P</v>
          </cell>
          <cell r="X176">
            <v>0</v>
          </cell>
          <cell r="Y176" t="str">
            <v>HH</v>
          </cell>
          <cell r="Z176">
            <v>0</v>
          </cell>
          <cell r="AA176">
            <v>0</v>
          </cell>
          <cell r="AB176">
            <v>12</v>
          </cell>
          <cell r="AC176" t="str">
            <v>C</v>
          </cell>
          <cell r="AD176">
            <v>4</v>
          </cell>
          <cell r="AE176" t="str">
            <v>B</v>
          </cell>
          <cell r="AF176">
            <v>3</v>
          </cell>
          <cell r="AG176" t="str">
            <v>B</v>
          </cell>
          <cell r="AH176">
            <v>0</v>
          </cell>
          <cell r="AI176" t="str">
            <v>C</v>
          </cell>
          <cell r="AJ176">
            <v>4</v>
          </cell>
          <cell r="AK176" t="str">
            <v>NV</v>
          </cell>
          <cell r="AL176">
            <v>0</v>
          </cell>
          <cell r="AM176" t="str">
            <v>NV</v>
          </cell>
          <cell r="AN176">
            <v>0</v>
          </cell>
          <cell r="AO176">
            <v>0</v>
          </cell>
          <cell r="AP176">
            <v>0</v>
          </cell>
          <cell r="AQ176" t="str">
            <v>NV</v>
          </cell>
          <cell r="AR176">
            <v>0</v>
          </cell>
          <cell r="AS176" t="str">
            <v>NV</v>
          </cell>
          <cell r="AT176">
            <v>0</v>
          </cell>
          <cell r="AU176" t="str">
            <v>NV</v>
          </cell>
          <cell r="AV176">
            <v>0</v>
          </cell>
          <cell r="AW176" t="str">
            <v>NV</v>
          </cell>
          <cell r="AX176">
            <v>0</v>
          </cell>
          <cell r="AY176" t="str">
            <v>NV</v>
          </cell>
          <cell r="AZ176">
            <v>0</v>
          </cell>
          <cell r="BA176" t="str">
            <v>NV</v>
          </cell>
          <cell r="BB176">
            <v>0</v>
          </cell>
          <cell r="BC176">
            <v>0</v>
          </cell>
          <cell r="BD176">
            <v>0</v>
          </cell>
          <cell r="BE176" t="str">
            <v>NV</v>
          </cell>
          <cell r="BF176">
            <v>0</v>
          </cell>
          <cell r="BG176" t="str">
            <v>NV</v>
          </cell>
          <cell r="BH176">
            <v>0</v>
          </cell>
          <cell r="BI176" t="str">
            <v>NV</v>
          </cell>
          <cell r="BJ176">
            <v>0</v>
          </cell>
          <cell r="BK176" t="str">
            <v>NV</v>
          </cell>
          <cell r="BL176">
            <v>0</v>
          </cell>
          <cell r="BM176" t="str">
            <v>NV</v>
          </cell>
          <cell r="BN176">
            <v>0</v>
          </cell>
          <cell r="BO176" t="str">
            <v>NV</v>
          </cell>
          <cell r="BP176">
            <v>0</v>
          </cell>
          <cell r="BQ176">
            <v>0</v>
          </cell>
          <cell r="BR176">
            <v>0</v>
          </cell>
          <cell r="BS176">
            <v>2</v>
          </cell>
          <cell r="BT176">
            <v>7</v>
          </cell>
          <cell r="BU176">
            <v>0</v>
          </cell>
          <cell r="BV176">
            <v>0</v>
          </cell>
          <cell r="BW176">
            <v>1</v>
          </cell>
          <cell r="BX176">
            <v>1</v>
          </cell>
          <cell r="BY176">
            <v>1</v>
          </cell>
          <cell r="BZ176">
            <v>12</v>
          </cell>
          <cell r="CA176">
            <v>31</v>
          </cell>
          <cell r="CB176">
            <v>12</v>
          </cell>
          <cell r="CC176">
            <v>0</v>
          </cell>
          <cell r="CD176">
            <v>0</v>
          </cell>
          <cell r="CE176">
            <v>2</v>
          </cell>
          <cell r="CF176">
            <v>0</v>
          </cell>
          <cell r="CG176">
            <v>0</v>
          </cell>
          <cell r="CH176">
            <v>32</v>
          </cell>
          <cell r="CI176">
            <v>150</v>
          </cell>
        </row>
        <row r="177">
          <cell r="A177" t="str">
            <v>A815</v>
          </cell>
          <cell r="B177" t="str">
            <v>Nguyễn Tấn Vinh</v>
          </cell>
          <cell r="C177" t="str">
            <v>XLN</v>
          </cell>
          <cell r="D177">
            <v>0</v>
          </cell>
          <cell r="E177">
            <v>42670</v>
          </cell>
          <cell r="F177">
            <v>0</v>
          </cell>
          <cell r="G177" t="str">
            <v>D</v>
          </cell>
          <cell r="H177">
            <v>0</v>
          </cell>
          <cell r="I177" t="str">
            <v>D</v>
          </cell>
          <cell r="J177">
            <v>0</v>
          </cell>
          <cell r="K177" t="str">
            <v>D</v>
          </cell>
          <cell r="L177">
            <v>0</v>
          </cell>
          <cell r="M177">
            <v>0</v>
          </cell>
          <cell r="N177">
            <v>0</v>
          </cell>
          <cell r="O177" t="str">
            <v>D</v>
          </cell>
          <cell r="P177">
            <v>0</v>
          </cell>
          <cell r="Q177" t="str">
            <v>D</v>
          </cell>
          <cell r="R177">
            <v>0</v>
          </cell>
          <cell r="S177" t="str">
            <v>D</v>
          </cell>
          <cell r="T177">
            <v>0</v>
          </cell>
          <cell r="U177" t="str">
            <v>D</v>
          </cell>
          <cell r="V177">
            <v>0</v>
          </cell>
          <cell r="W177" t="str">
            <v>D</v>
          </cell>
          <cell r="X177">
            <v>0</v>
          </cell>
          <cell r="Y177" t="str">
            <v>NT7</v>
          </cell>
          <cell r="Z177">
            <v>0</v>
          </cell>
          <cell r="AA177">
            <v>0</v>
          </cell>
          <cell r="AB177">
            <v>0</v>
          </cell>
          <cell r="AC177" t="str">
            <v>NT7</v>
          </cell>
          <cell r="AD177">
            <v>0</v>
          </cell>
          <cell r="AE177" t="str">
            <v>D</v>
          </cell>
          <cell r="AF177">
            <v>0</v>
          </cell>
          <cell r="AG177" t="str">
            <v>D</v>
          </cell>
          <cell r="AH177">
            <v>0</v>
          </cell>
          <cell r="AI177" t="str">
            <v>D</v>
          </cell>
          <cell r="AJ177">
            <v>0</v>
          </cell>
          <cell r="AK177" t="str">
            <v>D</v>
          </cell>
          <cell r="AL177">
            <v>0</v>
          </cell>
          <cell r="AM177" t="str">
            <v>P</v>
          </cell>
          <cell r="AN177">
            <v>0</v>
          </cell>
          <cell r="AO177">
            <v>0</v>
          </cell>
          <cell r="AP177">
            <v>0</v>
          </cell>
          <cell r="AQ177" t="str">
            <v>D</v>
          </cell>
          <cell r="AR177">
            <v>0</v>
          </cell>
          <cell r="AS177" t="str">
            <v>D</v>
          </cell>
          <cell r="AT177">
            <v>0</v>
          </cell>
          <cell r="AU177" t="str">
            <v>D</v>
          </cell>
          <cell r="AV177">
            <v>0</v>
          </cell>
          <cell r="AW177" t="str">
            <v>D</v>
          </cell>
          <cell r="AX177">
            <v>0</v>
          </cell>
          <cell r="AY177" t="str">
            <v>D</v>
          </cell>
          <cell r="AZ177">
            <v>0</v>
          </cell>
          <cell r="BA177" t="str">
            <v>D</v>
          </cell>
          <cell r="BB177">
            <v>0</v>
          </cell>
          <cell r="BC177">
            <v>0</v>
          </cell>
          <cell r="BD177">
            <v>0</v>
          </cell>
          <cell r="BE177" t="str">
            <v>D</v>
          </cell>
          <cell r="BF177">
            <v>0</v>
          </cell>
          <cell r="BG177" t="str">
            <v>D</v>
          </cell>
          <cell r="BH177">
            <v>0</v>
          </cell>
          <cell r="BI177" t="str">
            <v>D</v>
          </cell>
          <cell r="BJ177">
            <v>0</v>
          </cell>
          <cell r="BK177" t="str">
            <v>D</v>
          </cell>
          <cell r="BL177">
            <v>0</v>
          </cell>
          <cell r="BM177" t="str">
            <v>D</v>
          </cell>
          <cell r="BN177">
            <v>0</v>
          </cell>
          <cell r="BO177" t="str">
            <v>D</v>
          </cell>
          <cell r="BP177">
            <v>0</v>
          </cell>
          <cell r="BQ177">
            <v>0</v>
          </cell>
          <cell r="BR177">
            <v>24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2</v>
          </cell>
          <cell r="BY177">
            <v>1</v>
          </cell>
          <cell r="BZ177">
            <v>27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70</v>
          </cell>
        </row>
        <row r="178">
          <cell r="A178" t="str">
            <v>A817</v>
          </cell>
          <cell r="B178" t="str">
            <v>Nguyễn Hùng Ngọc</v>
          </cell>
          <cell r="C178" t="str">
            <v>CII.4</v>
          </cell>
          <cell r="D178">
            <v>0</v>
          </cell>
          <cell r="E178">
            <v>42674</v>
          </cell>
          <cell r="F178">
            <v>1</v>
          </cell>
          <cell r="G178" t="str">
            <v>NT7</v>
          </cell>
          <cell r="H178">
            <v>0</v>
          </cell>
          <cell r="I178" t="str">
            <v>A</v>
          </cell>
          <cell r="J178">
            <v>4</v>
          </cell>
          <cell r="K178" t="str">
            <v>A</v>
          </cell>
          <cell r="L178">
            <v>4</v>
          </cell>
          <cell r="M178">
            <v>0</v>
          </cell>
          <cell r="N178">
            <v>12</v>
          </cell>
          <cell r="O178" t="str">
            <v>D</v>
          </cell>
          <cell r="P178">
            <v>0</v>
          </cell>
          <cell r="Q178" t="str">
            <v>A</v>
          </cell>
          <cell r="R178">
            <v>4</v>
          </cell>
          <cell r="S178" t="str">
            <v>A</v>
          </cell>
          <cell r="T178">
            <v>4</v>
          </cell>
          <cell r="U178" t="str">
            <v>D</v>
          </cell>
          <cell r="V178">
            <v>0</v>
          </cell>
          <cell r="W178" t="str">
            <v>A</v>
          </cell>
          <cell r="X178">
            <v>4</v>
          </cell>
          <cell r="Y178" t="str">
            <v>A</v>
          </cell>
          <cell r="Z178">
            <v>4</v>
          </cell>
          <cell r="AA178">
            <v>0</v>
          </cell>
          <cell r="AB178">
            <v>12</v>
          </cell>
          <cell r="AC178" t="str">
            <v>A</v>
          </cell>
          <cell r="AD178">
            <v>4</v>
          </cell>
          <cell r="AE178" t="str">
            <v>A</v>
          </cell>
          <cell r="AF178">
            <v>4</v>
          </cell>
          <cell r="AG178" t="str">
            <v>A</v>
          </cell>
          <cell r="AH178">
            <v>4</v>
          </cell>
          <cell r="AI178" t="str">
            <v>D</v>
          </cell>
          <cell r="AJ178">
            <v>0</v>
          </cell>
          <cell r="AK178" t="str">
            <v>NT7</v>
          </cell>
          <cell r="AL178">
            <v>0</v>
          </cell>
          <cell r="AM178" t="str">
            <v>A</v>
          </cell>
          <cell r="AN178">
            <v>4</v>
          </cell>
          <cell r="AO178">
            <v>0</v>
          </cell>
          <cell r="AP178">
            <v>9</v>
          </cell>
          <cell r="AQ178" t="str">
            <v>P5,D5</v>
          </cell>
          <cell r="AR178">
            <v>0</v>
          </cell>
          <cell r="AS178" t="str">
            <v>P</v>
          </cell>
          <cell r="AT178">
            <v>0</v>
          </cell>
          <cell r="AU178" t="str">
            <v>A</v>
          </cell>
          <cell r="AV178">
            <v>4</v>
          </cell>
          <cell r="AW178" t="str">
            <v>D</v>
          </cell>
          <cell r="AX178">
            <v>1.5</v>
          </cell>
          <cell r="AY178" t="str">
            <v>R0</v>
          </cell>
          <cell r="AZ178">
            <v>0</v>
          </cell>
          <cell r="BA178" t="str">
            <v>A</v>
          </cell>
          <cell r="BB178">
            <v>4</v>
          </cell>
          <cell r="BC178">
            <v>0</v>
          </cell>
          <cell r="BD178">
            <v>9</v>
          </cell>
          <cell r="BE178" t="str">
            <v>P5,D5</v>
          </cell>
          <cell r="BF178">
            <v>0</v>
          </cell>
          <cell r="BG178" t="str">
            <v>A</v>
          </cell>
          <cell r="BH178">
            <v>6</v>
          </cell>
          <cell r="BI178" t="str">
            <v>A</v>
          </cell>
          <cell r="BJ178">
            <v>6</v>
          </cell>
          <cell r="BK178" t="str">
            <v>A</v>
          </cell>
          <cell r="BL178">
            <v>6</v>
          </cell>
          <cell r="BM178" t="str">
            <v>A</v>
          </cell>
          <cell r="BN178">
            <v>4</v>
          </cell>
          <cell r="BO178" t="str">
            <v>D</v>
          </cell>
          <cell r="BP178">
            <v>0</v>
          </cell>
          <cell r="BQ178">
            <v>16</v>
          </cell>
          <cell r="BR178">
            <v>6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2</v>
          </cell>
          <cell r="BY178">
            <v>2</v>
          </cell>
          <cell r="BZ178">
            <v>26</v>
          </cell>
          <cell r="CA178">
            <v>71.5</v>
          </cell>
          <cell r="CB178">
            <v>42</v>
          </cell>
          <cell r="CC178">
            <v>0</v>
          </cell>
          <cell r="CD178">
            <v>0</v>
          </cell>
          <cell r="CE178">
            <v>2</v>
          </cell>
          <cell r="CF178">
            <v>0</v>
          </cell>
          <cell r="CG178">
            <v>0</v>
          </cell>
          <cell r="CH178">
            <v>32</v>
          </cell>
          <cell r="CI178">
            <v>70</v>
          </cell>
        </row>
        <row r="179">
          <cell r="A179" t="str">
            <v>A821</v>
          </cell>
          <cell r="B179" t="str">
            <v>Nguyễn Tuấn Vũ</v>
          </cell>
          <cell r="C179" t="str">
            <v>KHUON</v>
          </cell>
          <cell r="D179">
            <v>0</v>
          </cell>
          <cell r="E179">
            <v>42682</v>
          </cell>
          <cell r="F179">
            <v>2.5</v>
          </cell>
          <cell r="G179" t="str">
            <v>A</v>
          </cell>
          <cell r="H179">
            <v>4.5</v>
          </cell>
          <cell r="I179" t="str">
            <v>A</v>
          </cell>
          <cell r="J179">
            <v>4.5</v>
          </cell>
          <cell r="K179" t="str">
            <v>D</v>
          </cell>
          <cell r="L179">
            <v>0</v>
          </cell>
          <cell r="M179">
            <v>0</v>
          </cell>
          <cell r="N179">
            <v>9</v>
          </cell>
          <cell r="O179" t="str">
            <v>A</v>
          </cell>
          <cell r="P179">
            <v>4.5</v>
          </cell>
          <cell r="Q179" t="str">
            <v>C</v>
          </cell>
          <cell r="R179">
            <v>4</v>
          </cell>
          <cell r="S179" t="str">
            <v>C</v>
          </cell>
          <cell r="T179">
            <v>4</v>
          </cell>
          <cell r="U179" t="str">
            <v>C</v>
          </cell>
          <cell r="V179">
            <v>4</v>
          </cell>
          <cell r="W179" t="str">
            <v>C</v>
          </cell>
          <cell r="X179">
            <v>4</v>
          </cell>
          <cell r="Y179" t="str">
            <v>NT7</v>
          </cell>
          <cell r="Z179">
            <v>0</v>
          </cell>
          <cell r="AA179">
            <v>0</v>
          </cell>
          <cell r="AB179">
            <v>0</v>
          </cell>
          <cell r="AC179" t="str">
            <v>A</v>
          </cell>
          <cell r="AD179">
            <v>4</v>
          </cell>
          <cell r="AE179" t="str">
            <v>A</v>
          </cell>
          <cell r="AF179">
            <v>4.5</v>
          </cell>
          <cell r="AG179" t="str">
            <v>D</v>
          </cell>
          <cell r="AH179">
            <v>0</v>
          </cell>
          <cell r="AI179" t="str">
            <v>A</v>
          </cell>
          <cell r="AJ179">
            <v>4.5</v>
          </cell>
          <cell r="AK179" t="str">
            <v>A</v>
          </cell>
          <cell r="AL179">
            <v>4.5</v>
          </cell>
          <cell r="AM179" t="str">
            <v>D</v>
          </cell>
          <cell r="AN179">
            <v>0</v>
          </cell>
          <cell r="AO179">
            <v>0</v>
          </cell>
          <cell r="AP179">
            <v>0</v>
          </cell>
          <cell r="AQ179" t="str">
            <v>A</v>
          </cell>
          <cell r="AR179">
            <v>4.5</v>
          </cell>
          <cell r="AS179" t="str">
            <v>A</v>
          </cell>
          <cell r="AT179">
            <v>5</v>
          </cell>
          <cell r="AU179" t="str">
            <v>A</v>
          </cell>
          <cell r="AV179">
            <v>4.5</v>
          </cell>
          <cell r="AW179" t="str">
            <v>D</v>
          </cell>
          <cell r="AX179">
            <v>0</v>
          </cell>
          <cell r="AY179" t="str">
            <v>D</v>
          </cell>
          <cell r="AZ179">
            <v>0</v>
          </cell>
          <cell r="BA179" t="str">
            <v>D</v>
          </cell>
          <cell r="BB179">
            <v>0</v>
          </cell>
          <cell r="BC179">
            <v>0</v>
          </cell>
          <cell r="BD179">
            <v>0</v>
          </cell>
          <cell r="BE179" t="str">
            <v>D</v>
          </cell>
          <cell r="BF179">
            <v>0</v>
          </cell>
          <cell r="BG179" t="str">
            <v>D</v>
          </cell>
          <cell r="BH179">
            <v>0</v>
          </cell>
          <cell r="BI179" t="str">
            <v>D</v>
          </cell>
          <cell r="BJ179">
            <v>0</v>
          </cell>
          <cell r="BK179" t="str">
            <v>D</v>
          </cell>
          <cell r="BL179">
            <v>0</v>
          </cell>
          <cell r="BM179" t="str">
            <v>D</v>
          </cell>
          <cell r="BN179">
            <v>0</v>
          </cell>
          <cell r="BO179" t="str">
            <v>NT7</v>
          </cell>
          <cell r="BP179">
            <v>0</v>
          </cell>
          <cell r="BQ179">
            <v>10</v>
          </cell>
          <cell r="BR179">
            <v>11</v>
          </cell>
          <cell r="BS179">
            <v>0</v>
          </cell>
          <cell r="BT179">
            <v>4</v>
          </cell>
          <cell r="BU179">
            <v>0</v>
          </cell>
          <cell r="BV179">
            <v>0</v>
          </cell>
          <cell r="BW179">
            <v>0</v>
          </cell>
          <cell r="BX179">
            <v>2</v>
          </cell>
          <cell r="BY179">
            <v>0</v>
          </cell>
          <cell r="BZ179">
            <v>27</v>
          </cell>
          <cell r="CA179">
            <v>61</v>
          </cell>
          <cell r="CB179">
            <v>9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3.5</v>
          </cell>
          <cell r="CH179">
            <v>0</v>
          </cell>
          <cell r="CI179">
            <v>150</v>
          </cell>
        </row>
        <row r="180">
          <cell r="A180" t="str">
            <v>A826</v>
          </cell>
          <cell r="B180" t="str">
            <v>Trần Đình Ngọ</v>
          </cell>
          <cell r="C180" t="str">
            <v>Gián tiếp</v>
          </cell>
          <cell r="D180">
            <v>0</v>
          </cell>
          <cell r="E180">
            <v>42772</v>
          </cell>
          <cell r="F180">
            <v>1</v>
          </cell>
          <cell r="G180" t="str">
            <v>D</v>
          </cell>
          <cell r="H180">
            <v>0</v>
          </cell>
          <cell r="I180" t="str">
            <v>D</v>
          </cell>
          <cell r="J180">
            <v>0</v>
          </cell>
          <cell r="K180" t="str">
            <v>D</v>
          </cell>
          <cell r="L180">
            <v>0</v>
          </cell>
          <cell r="M180">
            <v>0</v>
          </cell>
          <cell r="N180">
            <v>0</v>
          </cell>
          <cell r="O180" t="str">
            <v>D</v>
          </cell>
          <cell r="P180">
            <v>0</v>
          </cell>
          <cell r="Q180" t="str">
            <v>D</v>
          </cell>
          <cell r="R180">
            <v>0</v>
          </cell>
          <cell r="S180" t="str">
            <v>D</v>
          </cell>
          <cell r="T180">
            <v>0</v>
          </cell>
          <cell r="U180" t="str">
            <v>D</v>
          </cell>
          <cell r="V180">
            <v>0</v>
          </cell>
          <cell r="W180" t="str">
            <v>D</v>
          </cell>
          <cell r="X180">
            <v>0</v>
          </cell>
          <cell r="Y180" t="str">
            <v>NT7</v>
          </cell>
          <cell r="Z180">
            <v>0</v>
          </cell>
          <cell r="AA180">
            <v>0</v>
          </cell>
          <cell r="AB180">
            <v>0</v>
          </cell>
          <cell r="AC180" t="str">
            <v>D</v>
          </cell>
          <cell r="AD180">
            <v>0</v>
          </cell>
          <cell r="AE180" t="str">
            <v>D</v>
          </cell>
          <cell r="AF180">
            <v>0</v>
          </cell>
          <cell r="AG180" t="str">
            <v>D</v>
          </cell>
          <cell r="AH180">
            <v>0</v>
          </cell>
          <cell r="AI180" t="str">
            <v>D</v>
          </cell>
          <cell r="AJ180">
            <v>0</v>
          </cell>
          <cell r="AK180" t="str">
            <v>D</v>
          </cell>
          <cell r="AL180">
            <v>0</v>
          </cell>
          <cell r="AM180" t="str">
            <v>D</v>
          </cell>
          <cell r="AN180">
            <v>0</v>
          </cell>
          <cell r="AO180">
            <v>0</v>
          </cell>
          <cell r="AP180">
            <v>0</v>
          </cell>
          <cell r="AQ180" t="str">
            <v>NT7</v>
          </cell>
          <cell r="AR180">
            <v>0</v>
          </cell>
          <cell r="AS180" t="str">
            <v>D</v>
          </cell>
          <cell r="AT180">
            <v>0</v>
          </cell>
          <cell r="AU180" t="str">
            <v>D</v>
          </cell>
          <cell r="AV180">
            <v>0</v>
          </cell>
          <cell r="AW180" t="str">
            <v>D</v>
          </cell>
          <cell r="AX180">
            <v>0</v>
          </cell>
          <cell r="AY180" t="str">
            <v>D</v>
          </cell>
          <cell r="AZ180">
            <v>0</v>
          </cell>
          <cell r="BA180" t="str">
            <v>D</v>
          </cell>
          <cell r="BB180">
            <v>0</v>
          </cell>
          <cell r="BC180">
            <v>0</v>
          </cell>
          <cell r="BD180">
            <v>0</v>
          </cell>
          <cell r="BE180" t="str">
            <v>D</v>
          </cell>
          <cell r="BF180">
            <v>0</v>
          </cell>
          <cell r="BG180" t="str">
            <v>D</v>
          </cell>
          <cell r="BH180">
            <v>0</v>
          </cell>
          <cell r="BI180" t="str">
            <v>D</v>
          </cell>
          <cell r="BJ180">
            <v>0</v>
          </cell>
          <cell r="BK180" t="str">
            <v>D</v>
          </cell>
          <cell r="BL180">
            <v>0</v>
          </cell>
          <cell r="BM180" t="str">
            <v>D</v>
          </cell>
          <cell r="BN180">
            <v>0</v>
          </cell>
          <cell r="BO180" t="str">
            <v>D</v>
          </cell>
          <cell r="BP180">
            <v>0</v>
          </cell>
          <cell r="BQ180">
            <v>0</v>
          </cell>
          <cell r="BR180">
            <v>25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2</v>
          </cell>
          <cell r="BY180">
            <v>0</v>
          </cell>
          <cell r="BZ180">
            <v>27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2</v>
          </cell>
          <cell r="CH180">
            <v>0</v>
          </cell>
          <cell r="CI180">
            <v>150</v>
          </cell>
        </row>
        <row r="181">
          <cell r="A181" t="str">
            <v>A828</v>
          </cell>
          <cell r="B181" t="str">
            <v>Hồ Thái Hưng</v>
          </cell>
          <cell r="C181" t="str">
            <v>GA</v>
          </cell>
          <cell r="D181">
            <v>0</v>
          </cell>
          <cell r="E181">
            <v>42780</v>
          </cell>
          <cell r="F181">
            <v>0.5</v>
          </cell>
          <cell r="G181" t="str">
            <v>D</v>
          </cell>
          <cell r="H181">
            <v>2.5</v>
          </cell>
          <cell r="I181" t="str">
            <v>D</v>
          </cell>
          <cell r="J181">
            <v>2.5</v>
          </cell>
          <cell r="K181" t="str">
            <v>D</v>
          </cell>
          <cell r="L181">
            <v>0</v>
          </cell>
          <cell r="M181">
            <v>0</v>
          </cell>
          <cell r="N181">
            <v>0</v>
          </cell>
          <cell r="O181" t="str">
            <v>A</v>
          </cell>
          <cell r="P181">
            <v>4</v>
          </cell>
          <cell r="Q181" t="str">
            <v>D</v>
          </cell>
          <cell r="R181">
            <v>0</v>
          </cell>
          <cell r="S181" t="str">
            <v>NT7</v>
          </cell>
          <cell r="T181">
            <v>0</v>
          </cell>
          <cell r="U181" t="str">
            <v>D</v>
          </cell>
          <cell r="V181">
            <v>0</v>
          </cell>
          <cell r="W181" t="str">
            <v>A</v>
          </cell>
          <cell r="X181">
            <v>4</v>
          </cell>
          <cell r="Y181" t="str">
            <v>A</v>
          </cell>
          <cell r="Z181">
            <v>4</v>
          </cell>
          <cell r="AA181">
            <v>0</v>
          </cell>
          <cell r="AB181">
            <v>0</v>
          </cell>
          <cell r="AC181" t="str">
            <v>A</v>
          </cell>
          <cell r="AD181">
            <v>4</v>
          </cell>
          <cell r="AE181" t="str">
            <v>D</v>
          </cell>
          <cell r="AF181">
            <v>2</v>
          </cell>
          <cell r="AG181" t="str">
            <v>A</v>
          </cell>
          <cell r="AH181">
            <v>4</v>
          </cell>
          <cell r="AI181" t="str">
            <v>A</v>
          </cell>
          <cell r="AJ181">
            <v>4</v>
          </cell>
          <cell r="AK181" t="str">
            <v>D</v>
          </cell>
          <cell r="AL181">
            <v>2.5</v>
          </cell>
          <cell r="AM181" t="str">
            <v>A</v>
          </cell>
          <cell r="AN181">
            <v>4</v>
          </cell>
          <cell r="AO181">
            <v>0</v>
          </cell>
          <cell r="AP181">
            <v>0</v>
          </cell>
          <cell r="AQ181" t="str">
            <v>A</v>
          </cell>
          <cell r="AR181">
            <v>4</v>
          </cell>
          <cell r="AS181" t="str">
            <v>A</v>
          </cell>
          <cell r="AT181">
            <v>4</v>
          </cell>
          <cell r="AU181" t="str">
            <v>D</v>
          </cell>
          <cell r="AV181">
            <v>0</v>
          </cell>
          <cell r="AW181" t="str">
            <v>D</v>
          </cell>
          <cell r="AX181">
            <v>2</v>
          </cell>
          <cell r="AY181" t="str">
            <v>A</v>
          </cell>
          <cell r="AZ181">
            <v>4</v>
          </cell>
          <cell r="BA181" t="str">
            <v>D</v>
          </cell>
          <cell r="BB181">
            <v>2.5</v>
          </cell>
          <cell r="BC181">
            <v>0</v>
          </cell>
          <cell r="BD181">
            <v>8</v>
          </cell>
          <cell r="BE181" t="str">
            <v>D</v>
          </cell>
          <cell r="BF181">
            <v>2</v>
          </cell>
          <cell r="BG181" t="str">
            <v>A</v>
          </cell>
          <cell r="BH181">
            <v>4</v>
          </cell>
          <cell r="BI181" t="str">
            <v>A</v>
          </cell>
          <cell r="BJ181">
            <v>4</v>
          </cell>
          <cell r="BK181" t="str">
            <v>A</v>
          </cell>
          <cell r="BL181">
            <v>4</v>
          </cell>
          <cell r="BM181" t="str">
            <v>D</v>
          </cell>
          <cell r="BN181">
            <v>0</v>
          </cell>
          <cell r="BO181" t="str">
            <v>NT7</v>
          </cell>
          <cell r="BP181">
            <v>0</v>
          </cell>
          <cell r="BQ181">
            <v>13</v>
          </cell>
          <cell r="BR181">
            <v>12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2</v>
          </cell>
          <cell r="BY181">
            <v>0</v>
          </cell>
          <cell r="BZ181">
            <v>27</v>
          </cell>
          <cell r="CA181">
            <v>68</v>
          </cell>
          <cell r="CB181">
            <v>8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1.5</v>
          </cell>
          <cell r="CH181">
            <v>0</v>
          </cell>
          <cell r="CI181">
            <v>70</v>
          </cell>
        </row>
        <row r="182">
          <cell r="A182" t="str">
            <v>A829</v>
          </cell>
          <cell r="B182" t="str">
            <v>Võ Thị Ngọc Giàu</v>
          </cell>
          <cell r="C182" t="str">
            <v>EN</v>
          </cell>
          <cell r="D182">
            <v>0</v>
          </cell>
          <cell r="E182">
            <v>42780</v>
          </cell>
          <cell r="F182">
            <v>4.5</v>
          </cell>
          <cell r="G182" t="str">
            <v>C</v>
          </cell>
          <cell r="H182">
            <v>4</v>
          </cell>
          <cell r="I182" t="str">
            <v>C</v>
          </cell>
          <cell r="J182">
            <v>4</v>
          </cell>
          <cell r="K182" t="str">
            <v>C</v>
          </cell>
          <cell r="L182">
            <v>4</v>
          </cell>
          <cell r="M182">
            <v>0</v>
          </cell>
          <cell r="N182">
            <v>0</v>
          </cell>
          <cell r="O182" t="str">
            <v>A</v>
          </cell>
          <cell r="P182">
            <v>4</v>
          </cell>
          <cell r="Q182" t="str">
            <v>A</v>
          </cell>
          <cell r="R182">
            <v>4</v>
          </cell>
          <cell r="S182" t="str">
            <v>A</v>
          </cell>
          <cell r="T182">
            <v>4</v>
          </cell>
          <cell r="U182" t="str">
            <v>A</v>
          </cell>
          <cell r="V182">
            <v>4</v>
          </cell>
          <cell r="W182" t="str">
            <v>A</v>
          </cell>
          <cell r="X182">
            <v>4</v>
          </cell>
          <cell r="Y182" t="str">
            <v>A</v>
          </cell>
          <cell r="Z182">
            <v>4</v>
          </cell>
          <cell r="AA182">
            <v>0</v>
          </cell>
          <cell r="AB182">
            <v>8</v>
          </cell>
          <cell r="AC182" t="str">
            <v>C</v>
          </cell>
          <cell r="AD182">
            <v>4</v>
          </cell>
          <cell r="AE182" t="str">
            <v>C</v>
          </cell>
          <cell r="AF182">
            <v>4</v>
          </cell>
          <cell r="AG182" t="str">
            <v>C</v>
          </cell>
          <cell r="AH182">
            <v>4</v>
          </cell>
          <cell r="AI182" t="str">
            <v>C</v>
          </cell>
          <cell r="AJ182">
            <v>4</v>
          </cell>
          <cell r="AK182" t="str">
            <v>C</v>
          </cell>
          <cell r="AL182">
            <v>4</v>
          </cell>
          <cell r="AM182" t="str">
            <v>C</v>
          </cell>
          <cell r="AN182">
            <v>4</v>
          </cell>
          <cell r="AO182">
            <v>0</v>
          </cell>
          <cell r="AP182">
            <v>8</v>
          </cell>
          <cell r="AQ182" t="str">
            <v>A</v>
          </cell>
          <cell r="AR182">
            <v>4</v>
          </cell>
          <cell r="AS182" t="str">
            <v>A</v>
          </cell>
          <cell r="AT182">
            <v>4</v>
          </cell>
          <cell r="AU182" t="str">
            <v>A</v>
          </cell>
          <cell r="AV182">
            <v>4</v>
          </cell>
          <cell r="AW182" t="str">
            <v>D</v>
          </cell>
          <cell r="AX182">
            <v>2</v>
          </cell>
          <cell r="AY182" t="str">
            <v>A</v>
          </cell>
          <cell r="AZ182">
            <v>4</v>
          </cell>
          <cell r="BA182" t="str">
            <v>A</v>
          </cell>
          <cell r="BB182">
            <v>4</v>
          </cell>
          <cell r="BC182">
            <v>0</v>
          </cell>
          <cell r="BD182">
            <v>0</v>
          </cell>
          <cell r="BE182" t="str">
            <v>C</v>
          </cell>
          <cell r="BF182">
            <v>4</v>
          </cell>
          <cell r="BG182" t="str">
            <v>C</v>
          </cell>
          <cell r="BH182">
            <v>4</v>
          </cell>
          <cell r="BI182" t="str">
            <v>C</v>
          </cell>
          <cell r="BJ182">
            <v>4</v>
          </cell>
          <cell r="BK182" t="str">
            <v>C</v>
          </cell>
          <cell r="BL182">
            <v>4</v>
          </cell>
          <cell r="BM182" t="str">
            <v>C</v>
          </cell>
          <cell r="BN182">
            <v>4</v>
          </cell>
          <cell r="BO182" t="str">
            <v>C</v>
          </cell>
          <cell r="BP182">
            <v>4</v>
          </cell>
          <cell r="BQ182">
            <v>11</v>
          </cell>
          <cell r="BR182">
            <v>1</v>
          </cell>
          <cell r="BS182">
            <v>0</v>
          </cell>
          <cell r="BT182">
            <v>15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27</v>
          </cell>
          <cell r="CA182">
            <v>106</v>
          </cell>
          <cell r="CB182">
            <v>16</v>
          </cell>
          <cell r="CC182">
            <v>0</v>
          </cell>
          <cell r="CD182">
            <v>2</v>
          </cell>
          <cell r="CE182">
            <v>1</v>
          </cell>
          <cell r="CF182">
            <v>140</v>
          </cell>
          <cell r="CG182">
            <v>5.5</v>
          </cell>
          <cell r="CH182">
            <v>16</v>
          </cell>
          <cell r="CI182">
            <v>70</v>
          </cell>
        </row>
        <row r="183">
          <cell r="A183" t="str">
            <v>A831</v>
          </cell>
          <cell r="B183" t="str">
            <v>Trần Phước Dư</v>
          </cell>
          <cell r="C183" t="str">
            <v>CII.4</v>
          </cell>
          <cell r="D183">
            <v>0</v>
          </cell>
          <cell r="E183" t="str">
            <v>14/2/2017</v>
          </cell>
          <cell r="F183">
            <v>1.5</v>
          </cell>
          <cell r="G183" t="str">
            <v>NT7</v>
          </cell>
          <cell r="H183">
            <v>0</v>
          </cell>
          <cell r="I183" t="str">
            <v>C</v>
          </cell>
          <cell r="J183">
            <v>4</v>
          </cell>
          <cell r="K183" t="str">
            <v>NT7</v>
          </cell>
          <cell r="L183">
            <v>0</v>
          </cell>
          <cell r="M183">
            <v>0</v>
          </cell>
          <cell r="N183">
            <v>0</v>
          </cell>
          <cell r="O183" t="str">
            <v>A</v>
          </cell>
          <cell r="P183">
            <v>4</v>
          </cell>
          <cell r="Q183" t="str">
            <v>A</v>
          </cell>
          <cell r="R183">
            <v>4</v>
          </cell>
          <cell r="S183" t="str">
            <v>A</v>
          </cell>
          <cell r="T183">
            <v>4</v>
          </cell>
          <cell r="U183" t="str">
            <v>A</v>
          </cell>
          <cell r="V183">
            <v>4</v>
          </cell>
          <cell r="W183" t="str">
            <v>A</v>
          </cell>
          <cell r="X183">
            <v>4</v>
          </cell>
          <cell r="Y183" t="str">
            <v>A</v>
          </cell>
          <cell r="Z183">
            <v>4</v>
          </cell>
          <cell r="AA183">
            <v>0</v>
          </cell>
          <cell r="AB183">
            <v>12</v>
          </cell>
          <cell r="AC183" t="str">
            <v>C</v>
          </cell>
          <cell r="AD183">
            <v>4</v>
          </cell>
          <cell r="AE183" t="str">
            <v>C</v>
          </cell>
          <cell r="AF183">
            <v>4</v>
          </cell>
          <cell r="AG183" t="str">
            <v>C</v>
          </cell>
          <cell r="AH183">
            <v>4</v>
          </cell>
          <cell r="AI183" t="str">
            <v>C</v>
          </cell>
          <cell r="AJ183">
            <v>4</v>
          </cell>
          <cell r="AK183" t="str">
            <v>C</v>
          </cell>
          <cell r="AL183">
            <v>4</v>
          </cell>
          <cell r="AM183" t="str">
            <v>C</v>
          </cell>
          <cell r="AN183">
            <v>4</v>
          </cell>
          <cell r="AO183">
            <v>0</v>
          </cell>
          <cell r="AP183">
            <v>0</v>
          </cell>
          <cell r="AQ183" t="str">
            <v>A</v>
          </cell>
          <cell r="AR183">
            <v>4</v>
          </cell>
          <cell r="AS183" t="str">
            <v>A</v>
          </cell>
          <cell r="AT183">
            <v>4</v>
          </cell>
          <cell r="AU183" t="str">
            <v>A</v>
          </cell>
          <cell r="AV183">
            <v>4</v>
          </cell>
          <cell r="AW183" t="str">
            <v>A</v>
          </cell>
          <cell r="AX183">
            <v>4</v>
          </cell>
          <cell r="AY183" t="str">
            <v>A</v>
          </cell>
          <cell r="AZ183">
            <v>4</v>
          </cell>
          <cell r="BA183" t="str">
            <v>A</v>
          </cell>
          <cell r="BB183">
            <v>4</v>
          </cell>
          <cell r="BC183">
            <v>0</v>
          </cell>
          <cell r="BD183">
            <v>12</v>
          </cell>
          <cell r="BE183" t="str">
            <v>A</v>
          </cell>
          <cell r="BF183">
            <v>4</v>
          </cell>
          <cell r="BG183" t="str">
            <v>A</v>
          </cell>
          <cell r="BH183">
            <v>6</v>
          </cell>
          <cell r="BI183" t="str">
            <v>A</v>
          </cell>
          <cell r="BJ183">
            <v>4</v>
          </cell>
          <cell r="BK183" t="str">
            <v>A</v>
          </cell>
          <cell r="BL183">
            <v>4</v>
          </cell>
          <cell r="BM183" t="str">
            <v>A</v>
          </cell>
          <cell r="BN183">
            <v>4</v>
          </cell>
          <cell r="BO183" t="str">
            <v>A</v>
          </cell>
          <cell r="BP183">
            <v>4</v>
          </cell>
          <cell r="BQ183">
            <v>18</v>
          </cell>
          <cell r="BR183">
            <v>0</v>
          </cell>
          <cell r="BS183">
            <v>0</v>
          </cell>
          <cell r="BT183">
            <v>7</v>
          </cell>
          <cell r="BU183">
            <v>0</v>
          </cell>
          <cell r="BV183">
            <v>0</v>
          </cell>
          <cell r="BW183">
            <v>0</v>
          </cell>
          <cell r="BX183">
            <v>2</v>
          </cell>
          <cell r="BY183">
            <v>0</v>
          </cell>
          <cell r="BZ183">
            <v>27</v>
          </cell>
          <cell r="CA183">
            <v>102</v>
          </cell>
          <cell r="CB183">
            <v>24</v>
          </cell>
          <cell r="CC183">
            <v>0</v>
          </cell>
          <cell r="CD183">
            <v>0</v>
          </cell>
          <cell r="CE183">
            <v>2</v>
          </cell>
          <cell r="CF183">
            <v>0</v>
          </cell>
          <cell r="CG183">
            <v>2.5</v>
          </cell>
          <cell r="CH183">
            <v>32</v>
          </cell>
          <cell r="CI183">
            <v>70</v>
          </cell>
        </row>
        <row r="184">
          <cell r="A184" t="str">
            <v>A832</v>
          </cell>
          <cell r="B184" t="str">
            <v>Hoàng Văn Định</v>
          </cell>
          <cell r="C184" t="str">
            <v>CII.4</v>
          </cell>
          <cell r="D184">
            <v>0</v>
          </cell>
          <cell r="E184">
            <v>42782</v>
          </cell>
          <cell r="F184">
            <v>0</v>
          </cell>
          <cell r="G184" t="str">
            <v>NT7</v>
          </cell>
          <cell r="H184">
            <v>0</v>
          </cell>
          <cell r="I184" t="str">
            <v>C</v>
          </cell>
          <cell r="J184">
            <v>4</v>
          </cell>
          <cell r="K184" t="str">
            <v>C</v>
          </cell>
          <cell r="L184">
            <v>4</v>
          </cell>
          <cell r="M184">
            <v>0</v>
          </cell>
          <cell r="N184">
            <v>0</v>
          </cell>
          <cell r="O184" t="str">
            <v>A</v>
          </cell>
          <cell r="P184">
            <v>4</v>
          </cell>
          <cell r="Q184" t="str">
            <v>A</v>
          </cell>
          <cell r="R184">
            <v>4</v>
          </cell>
          <cell r="S184" t="str">
            <v>A</v>
          </cell>
          <cell r="T184">
            <v>4</v>
          </cell>
          <cell r="U184" t="str">
            <v>A</v>
          </cell>
          <cell r="V184">
            <v>4</v>
          </cell>
          <cell r="W184" t="str">
            <v>A</v>
          </cell>
          <cell r="X184">
            <v>4</v>
          </cell>
          <cell r="Y184" t="str">
            <v>A</v>
          </cell>
          <cell r="Z184">
            <v>4</v>
          </cell>
          <cell r="AA184">
            <v>0</v>
          </cell>
          <cell r="AB184">
            <v>11</v>
          </cell>
          <cell r="AC184" t="str">
            <v>C</v>
          </cell>
          <cell r="AD184">
            <v>4</v>
          </cell>
          <cell r="AE184" t="str">
            <v>C</v>
          </cell>
          <cell r="AF184">
            <v>4</v>
          </cell>
          <cell r="AG184" t="str">
            <v>C</v>
          </cell>
          <cell r="AH184">
            <v>4</v>
          </cell>
          <cell r="AI184" t="str">
            <v>C</v>
          </cell>
          <cell r="AJ184">
            <v>4</v>
          </cell>
          <cell r="AK184" t="str">
            <v>C</v>
          </cell>
          <cell r="AL184">
            <v>4</v>
          </cell>
          <cell r="AM184" t="str">
            <v>C</v>
          </cell>
          <cell r="AN184">
            <v>4</v>
          </cell>
          <cell r="AO184">
            <v>0</v>
          </cell>
          <cell r="AP184">
            <v>0</v>
          </cell>
          <cell r="AQ184" t="str">
            <v>A</v>
          </cell>
          <cell r="AR184">
            <v>4</v>
          </cell>
          <cell r="AS184" t="str">
            <v>A</v>
          </cell>
          <cell r="AT184">
            <v>4</v>
          </cell>
          <cell r="AU184" t="str">
            <v>A</v>
          </cell>
          <cell r="AV184">
            <v>4</v>
          </cell>
          <cell r="AW184" t="str">
            <v>A</v>
          </cell>
          <cell r="AX184">
            <v>4</v>
          </cell>
          <cell r="AY184" t="str">
            <v>A</v>
          </cell>
          <cell r="AZ184">
            <v>4</v>
          </cell>
          <cell r="BA184" t="str">
            <v>A</v>
          </cell>
          <cell r="BB184">
            <v>4</v>
          </cell>
          <cell r="BC184">
            <v>0</v>
          </cell>
          <cell r="BD184">
            <v>12</v>
          </cell>
          <cell r="BE184" t="str">
            <v>A</v>
          </cell>
          <cell r="BF184">
            <v>4</v>
          </cell>
          <cell r="BG184" t="str">
            <v>P5,D5</v>
          </cell>
          <cell r="BH184">
            <v>0</v>
          </cell>
          <cell r="BI184" t="str">
            <v>A</v>
          </cell>
          <cell r="BJ184">
            <v>4</v>
          </cell>
          <cell r="BK184" t="str">
            <v>NT7</v>
          </cell>
          <cell r="BL184">
            <v>0</v>
          </cell>
          <cell r="BM184" t="str">
            <v>A</v>
          </cell>
          <cell r="BN184">
            <v>4</v>
          </cell>
          <cell r="BO184" t="str">
            <v>A</v>
          </cell>
          <cell r="BP184">
            <v>4</v>
          </cell>
          <cell r="BQ184">
            <v>16</v>
          </cell>
          <cell r="BR184">
            <v>0.5</v>
          </cell>
          <cell r="BS184">
            <v>0</v>
          </cell>
          <cell r="BT184">
            <v>8</v>
          </cell>
          <cell r="BU184">
            <v>0</v>
          </cell>
          <cell r="BV184">
            <v>0</v>
          </cell>
          <cell r="BW184">
            <v>0</v>
          </cell>
          <cell r="BX184">
            <v>2</v>
          </cell>
          <cell r="BY184">
            <v>0.5</v>
          </cell>
          <cell r="BZ184">
            <v>27</v>
          </cell>
          <cell r="CA184">
            <v>96</v>
          </cell>
          <cell r="CB184">
            <v>23</v>
          </cell>
          <cell r="CC184">
            <v>0</v>
          </cell>
          <cell r="CD184">
            <v>0</v>
          </cell>
          <cell r="CE184">
            <v>1</v>
          </cell>
          <cell r="CF184">
            <v>0</v>
          </cell>
          <cell r="CG184">
            <v>0.5</v>
          </cell>
          <cell r="CH184">
            <v>16</v>
          </cell>
          <cell r="CI184">
            <v>70</v>
          </cell>
        </row>
        <row r="185">
          <cell r="A185" t="str">
            <v>A836</v>
          </cell>
          <cell r="B185" t="str">
            <v>Nguyễn Văn Tuấn</v>
          </cell>
          <cell r="C185" t="str">
            <v>CII.1</v>
          </cell>
          <cell r="D185">
            <v>0</v>
          </cell>
          <cell r="E185" t="str">
            <v>23/2/2017</v>
          </cell>
          <cell r="F185">
            <v>2</v>
          </cell>
          <cell r="G185" t="str">
            <v>P</v>
          </cell>
          <cell r="H185">
            <v>0</v>
          </cell>
          <cell r="I185" t="str">
            <v>C</v>
          </cell>
          <cell r="J185">
            <v>4</v>
          </cell>
          <cell r="K185" t="str">
            <v>HH</v>
          </cell>
          <cell r="L185">
            <v>0</v>
          </cell>
          <cell r="M185">
            <v>0</v>
          </cell>
          <cell r="N185">
            <v>0</v>
          </cell>
          <cell r="O185" t="str">
            <v>A</v>
          </cell>
          <cell r="P185">
            <v>4</v>
          </cell>
          <cell r="Q185" t="str">
            <v>A</v>
          </cell>
          <cell r="R185">
            <v>4</v>
          </cell>
          <cell r="S185" t="str">
            <v>A</v>
          </cell>
          <cell r="T185">
            <v>4</v>
          </cell>
          <cell r="U185" t="str">
            <v>A</v>
          </cell>
          <cell r="V185">
            <v>4</v>
          </cell>
          <cell r="W185" t="str">
            <v>A</v>
          </cell>
          <cell r="X185">
            <v>4</v>
          </cell>
          <cell r="Y185" t="str">
            <v>D</v>
          </cell>
          <cell r="Z185">
            <v>1</v>
          </cell>
          <cell r="AA185">
            <v>0</v>
          </cell>
          <cell r="AB185">
            <v>0</v>
          </cell>
          <cell r="AC185" t="str">
            <v>C</v>
          </cell>
          <cell r="AD185">
            <v>4</v>
          </cell>
          <cell r="AE185" t="str">
            <v>C</v>
          </cell>
          <cell r="AF185">
            <v>4</v>
          </cell>
          <cell r="AG185" t="str">
            <v>C</v>
          </cell>
          <cell r="AH185">
            <v>4</v>
          </cell>
          <cell r="AI185" t="str">
            <v>C</v>
          </cell>
          <cell r="AJ185">
            <v>4</v>
          </cell>
          <cell r="AK185" t="str">
            <v>C</v>
          </cell>
          <cell r="AL185">
            <v>4</v>
          </cell>
          <cell r="AM185" t="str">
            <v>NT7</v>
          </cell>
          <cell r="AN185">
            <v>0</v>
          </cell>
          <cell r="AO185">
            <v>0</v>
          </cell>
          <cell r="AP185">
            <v>0</v>
          </cell>
          <cell r="AQ185" t="str">
            <v>A</v>
          </cell>
          <cell r="AR185">
            <v>4</v>
          </cell>
          <cell r="AS185" t="str">
            <v>A</v>
          </cell>
          <cell r="AT185">
            <v>4</v>
          </cell>
          <cell r="AU185" t="str">
            <v>A</v>
          </cell>
          <cell r="AV185">
            <v>4</v>
          </cell>
          <cell r="AW185" t="str">
            <v>A</v>
          </cell>
          <cell r="AX185">
            <v>4</v>
          </cell>
          <cell r="AY185" t="str">
            <v>A</v>
          </cell>
          <cell r="AZ185">
            <v>4</v>
          </cell>
          <cell r="BA185" t="str">
            <v>D</v>
          </cell>
          <cell r="BB185">
            <v>0</v>
          </cell>
          <cell r="BC185">
            <v>0</v>
          </cell>
          <cell r="BD185">
            <v>0</v>
          </cell>
          <cell r="BE185" t="str">
            <v>C</v>
          </cell>
          <cell r="BF185">
            <v>4</v>
          </cell>
          <cell r="BG185" t="str">
            <v>C</v>
          </cell>
          <cell r="BH185">
            <v>4</v>
          </cell>
          <cell r="BI185" t="str">
            <v>C</v>
          </cell>
          <cell r="BJ185">
            <v>4</v>
          </cell>
          <cell r="BK185" t="str">
            <v>C</v>
          </cell>
          <cell r="BL185">
            <v>4</v>
          </cell>
          <cell r="BM185" t="str">
            <v>C</v>
          </cell>
          <cell r="BN185">
            <v>4</v>
          </cell>
          <cell r="BO185" t="str">
            <v>NT7</v>
          </cell>
          <cell r="BP185">
            <v>0</v>
          </cell>
          <cell r="BQ185">
            <v>10</v>
          </cell>
          <cell r="BR185">
            <v>2</v>
          </cell>
          <cell r="BS185">
            <v>0</v>
          </cell>
          <cell r="BT185">
            <v>11</v>
          </cell>
          <cell r="BU185">
            <v>0</v>
          </cell>
          <cell r="BV185">
            <v>0</v>
          </cell>
          <cell r="BW185">
            <v>1</v>
          </cell>
          <cell r="BX185">
            <v>2</v>
          </cell>
          <cell r="BY185">
            <v>1</v>
          </cell>
          <cell r="BZ185">
            <v>27</v>
          </cell>
          <cell r="CA185">
            <v>85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2</v>
          </cell>
          <cell r="CH185">
            <v>0</v>
          </cell>
          <cell r="CI185">
            <v>70</v>
          </cell>
        </row>
        <row r="186">
          <cell r="A186" t="str">
            <v>A837</v>
          </cell>
          <cell r="B186" t="str">
            <v>Đào Đức Thịnh</v>
          </cell>
          <cell r="C186" t="str">
            <v>Gián tiếp</v>
          </cell>
          <cell r="D186">
            <v>0</v>
          </cell>
          <cell r="E186">
            <v>42795</v>
          </cell>
          <cell r="F186">
            <v>0</v>
          </cell>
          <cell r="G186" t="str">
            <v>D</v>
          </cell>
          <cell r="H186">
            <v>0</v>
          </cell>
          <cell r="I186" t="str">
            <v>D</v>
          </cell>
          <cell r="J186">
            <v>0</v>
          </cell>
          <cell r="K186" t="str">
            <v>P</v>
          </cell>
          <cell r="L186">
            <v>0</v>
          </cell>
          <cell r="M186">
            <v>0</v>
          </cell>
          <cell r="N186">
            <v>0</v>
          </cell>
          <cell r="O186" t="str">
            <v>D</v>
          </cell>
          <cell r="P186">
            <v>0</v>
          </cell>
          <cell r="Q186" t="str">
            <v>D</v>
          </cell>
          <cell r="R186">
            <v>0</v>
          </cell>
          <cell r="S186" t="str">
            <v>D</v>
          </cell>
          <cell r="T186">
            <v>0</v>
          </cell>
          <cell r="U186" t="str">
            <v>D</v>
          </cell>
          <cell r="V186">
            <v>0</v>
          </cell>
          <cell r="W186" t="str">
            <v>D</v>
          </cell>
          <cell r="X186">
            <v>0</v>
          </cell>
          <cell r="Y186" t="str">
            <v>NT7</v>
          </cell>
          <cell r="Z186">
            <v>0</v>
          </cell>
          <cell r="AA186">
            <v>0</v>
          </cell>
          <cell r="AB186">
            <v>0</v>
          </cell>
          <cell r="AC186" t="str">
            <v>D</v>
          </cell>
          <cell r="AD186">
            <v>0</v>
          </cell>
          <cell r="AE186" t="str">
            <v>D</v>
          </cell>
          <cell r="AF186">
            <v>0</v>
          </cell>
          <cell r="AG186" t="str">
            <v>D</v>
          </cell>
          <cell r="AH186">
            <v>0</v>
          </cell>
          <cell r="AI186" t="str">
            <v>D</v>
          </cell>
          <cell r="AJ186">
            <v>0</v>
          </cell>
          <cell r="AK186" t="str">
            <v>D</v>
          </cell>
          <cell r="AL186">
            <v>0</v>
          </cell>
          <cell r="AM186" t="str">
            <v>D</v>
          </cell>
          <cell r="AN186">
            <v>0</v>
          </cell>
          <cell r="AO186">
            <v>0</v>
          </cell>
          <cell r="AP186">
            <v>0</v>
          </cell>
          <cell r="AQ186" t="str">
            <v>D</v>
          </cell>
          <cell r="AR186">
            <v>0</v>
          </cell>
          <cell r="AS186" t="str">
            <v>D</v>
          </cell>
          <cell r="AT186">
            <v>0</v>
          </cell>
          <cell r="AU186" t="str">
            <v>D</v>
          </cell>
          <cell r="AV186">
            <v>0</v>
          </cell>
          <cell r="AW186" t="str">
            <v>D</v>
          </cell>
          <cell r="AX186">
            <v>0</v>
          </cell>
          <cell r="AY186" t="str">
            <v>D</v>
          </cell>
          <cell r="AZ186">
            <v>0</v>
          </cell>
          <cell r="BA186" t="str">
            <v>NT7</v>
          </cell>
          <cell r="BB186">
            <v>0</v>
          </cell>
          <cell r="BC186">
            <v>0</v>
          </cell>
          <cell r="BD186">
            <v>0</v>
          </cell>
          <cell r="BE186" t="str">
            <v>D</v>
          </cell>
          <cell r="BF186">
            <v>0</v>
          </cell>
          <cell r="BG186" t="str">
            <v>D</v>
          </cell>
          <cell r="BH186">
            <v>0</v>
          </cell>
          <cell r="BI186" t="str">
            <v>D</v>
          </cell>
          <cell r="BJ186">
            <v>0</v>
          </cell>
          <cell r="BK186" t="str">
            <v>D</v>
          </cell>
          <cell r="BL186">
            <v>0</v>
          </cell>
          <cell r="BM186" t="str">
            <v>D</v>
          </cell>
          <cell r="BN186">
            <v>0</v>
          </cell>
          <cell r="BO186" t="str">
            <v>D</v>
          </cell>
          <cell r="BP186">
            <v>0</v>
          </cell>
          <cell r="BQ186">
            <v>0</v>
          </cell>
          <cell r="BR186">
            <v>24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2</v>
          </cell>
          <cell r="BY186">
            <v>1</v>
          </cell>
          <cell r="BZ186">
            <v>27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</row>
        <row r="187">
          <cell r="A187" t="str">
            <v>A838</v>
          </cell>
          <cell r="B187" t="str">
            <v>Lê Văn Quý</v>
          </cell>
          <cell r="C187" t="str">
            <v>Gián tiếp</v>
          </cell>
          <cell r="D187">
            <v>0</v>
          </cell>
          <cell r="E187">
            <v>42795</v>
          </cell>
          <cell r="F187">
            <v>4</v>
          </cell>
          <cell r="G187" t="str">
            <v>D</v>
          </cell>
          <cell r="H187">
            <v>0</v>
          </cell>
          <cell r="I187" t="str">
            <v>D</v>
          </cell>
          <cell r="J187">
            <v>0</v>
          </cell>
          <cell r="K187" t="str">
            <v>D</v>
          </cell>
          <cell r="L187">
            <v>0</v>
          </cell>
          <cell r="M187">
            <v>0</v>
          </cell>
          <cell r="N187">
            <v>0</v>
          </cell>
          <cell r="O187" t="str">
            <v>D</v>
          </cell>
          <cell r="P187">
            <v>0</v>
          </cell>
          <cell r="Q187" t="str">
            <v>D</v>
          </cell>
          <cell r="R187">
            <v>0</v>
          </cell>
          <cell r="S187" t="str">
            <v>D</v>
          </cell>
          <cell r="T187">
            <v>0</v>
          </cell>
          <cell r="U187" t="str">
            <v>D</v>
          </cell>
          <cell r="V187">
            <v>0</v>
          </cell>
          <cell r="W187" t="str">
            <v>D</v>
          </cell>
          <cell r="X187">
            <v>0</v>
          </cell>
          <cell r="Y187" t="str">
            <v>NT7</v>
          </cell>
          <cell r="Z187">
            <v>0</v>
          </cell>
          <cell r="AA187">
            <v>0</v>
          </cell>
          <cell r="AB187">
            <v>0</v>
          </cell>
          <cell r="AC187" t="str">
            <v>D</v>
          </cell>
          <cell r="AD187">
            <v>0</v>
          </cell>
          <cell r="AE187" t="str">
            <v>D</v>
          </cell>
          <cell r="AF187">
            <v>0</v>
          </cell>
          <cell r="AG187" t="str">
            <v>D</v>
          </cell>
          <cell r="AH187">
            <v>0</v>
          </cell>
          <cell r="AI187" t="str">
            <v>D</v>
          </cell>
          <cell r="AJ187">
            <v>0</v>
          </cell>
          <cell r="AK187" t="str">
            <v>P</v>
          </cell>
          <cell r="AL187">
            <v>0</v>
          </cell>
          <cell r="AM187" t="str">
            <v>P</v>
          </cell>
          <cell r="AN187">
            <v>0</v>
          </cell>
          <cell r="AO187">
            <v>0</v>
          </cell>
          <cell r="AP187">
            <v>0</v>
          </cell>
          <cell r="AQ187" t="str">
            <v>D</v>
          </cell>
          <cell r="AR187">
            <v>0</v>
          </cell>
          <cell r="AS187" t="str">
            <v>D</v>
          </cell>
          <cell r="AT187">
            <v>0</v>
          </cell>
          <cell r="AU187" t="str">
            <v>D</v>
          </cell>
          <cell r="AV187">
            <v>0</v>
          </cell>
          <cell r="AW187" t="str">
            <v>D</v>
          </cell>
          <cell r="AX187">
            <v>0</v>
          </cell>
          <cell r="AY187" t="str">
            <v>D</v>
          </cell>
          <cell r="AZ187">
            <v>0</v>
          </cell>
          <cell r="BA187" t="str">
            <v>NT7</v>
          </cell>
          <cell r="BB187">
            <v>0</v>
          </cell>
          <cell r="BC187">
            <v>0</v>
          </cell>
          <cell r="BD187">
            <v>0</v>
          </cell>
          <cell r="BE187" t="str">
            <v>D</v>
          </cell>
          <cell r="BF187">
            <v>0</v>
          </cell>
          <cell r="BG187" t="str">
            <v>D</v>
          </cell>
          <cell r="BH187">
            <v>0</v>
          </cell>
          <cell r="BI187" t="str">
            <v>D</v>
          </cell>
          <cell r="BJ187">
            <v>0</v>
          </cell>
          <cell r="BK187" t="str">
            <v>P</v>
          </cell>
          <cell r="BL187">
            <v>0</v>
          </cell>
          <cell r="BM187" t="str">
            <v>D</v>
          </cell>
          <cell r="BN187">
            <v>0</v>
          </cell>
          <cell r="BO187" t="str">
            <v>P</v>
          </cell>
          <cell r="BP187">
            <v>0</v>
          </cell>
          <cell r="BQ187">
            <v>0</v>
          </cell>
          <cell r="BR187">
            <v>21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2</v>
          </cell>
          <cell r="BY187">
            <v>4</v>
          </cell>
          <cell r="BZ187">
            <v>27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1</v>
          </cell>
          <cell r="CH187">
            <v>0</v>
          </cell>
          <cell r="CI187">
            <v>0</v>
          </cell>
        </row>
        <row r="188">
          <cell r="A188" t="str">
            <v>A839</v>
          </cell>
          <cell r="B188" t="str">
            <v>Cao Thị Hoài Nhi</v>
          </cell>
          <cell r="C188" t="str">
            <v>TN</v>
          </cell>
          <cell r="D188">
            <v>0</v>
          </cell>
          <cell r="E188">
            <v>42807</v>
          </cell>
          <cell r="F188">
            <v>3.5</v>
          </cell>
          <cell r="G188" t="str">
            <v>D</v>
          </cell>
          <cell r="H188">
            <v>0.5</v>
          </cell>
          <cell r="I188" t="str">
            <v>D</v>
          </cell>
          <cell r="J188">
            <v>0.5</v>
          </cell>
          <cell r="K188" t="str">
            <v>D</v>
          </cell>
          <cell r="L188">
            <v>0.5</v>
          </cell>
          <cell r="M188">
            <v>0</v>
          </cell>
          <cell r="N188">
            <v>0</v>
          </cell>
          <cell r="O188" t="str">
            <v>D</v>
          </cell>
          <cell r="P188">
            <v>1</v>
          </cell>
          <cell r="Q188" t="str">
            <v>D</v>
          </cell>
          <cell r="R188">
            <v>1</v>
          </cell>
          <cell r="S188" t="str">
            <v>D</v>
          </cell>
          <cell r="T188">
            <v>0.5</v>
          </cell>
          <cell r="U188" t="str">
            <v>D</v>
          </cell>
          <cell r="V188">
            <v>0</v>
          </cell>
          <cell r="W188" t="str">
            <v>D</v>
          </cell>
          <cell r="X188">
            <v>0.5</v>
          </cell>
          <cell r="Y188" t="str">
            <v>D</v>
          </cell>
          <cell r="Z188">
            <v>0</v>
          </cell>
          <cell r="AA188">
            <v>0</v>
          </cell>
          <cell r="AB188">
            <v>0</v>
          </cell>
          <cell r="AC188" t="str">
            <v>D</v>
          </cell>
          <cell r="AD188">
            <v>1</v>
          </cell>
          <cell r="AE188" t="str">
            <v>D</v>
          </cell>
          <cell r="AF188">
            <v>0.5</v>
          </cell>
          <cell r="AG188" t="str">
            <v>D</v>
          </cell>
          <cell r="AH188">
            <v>0.5</v>
          </cell>
          <cell r="AI188" t="str">
            <v>P5,D5</v>
          </cell>
          <cell r="AJ188">
            <v>0</v>
          </cell>
          <cell r="AK188" t="str">
            <v>D</v>
          </cell>
          <cell r="AL188">
            <v>0.5</v>
          </cell>
          <cell r="AM188" t="str">
            <v>D</v>
          </cell>
          <cell r="AN188">
            <v>0</v>
          </cell>
          <cell r="AO188">
            <v>0</v>
          </cell>
          <cell r="AP188">
            <v>0</v>
          </cell>
          <cell r="AQ188" t="str">
            <v>D</v>
          </cell>
          <cell r="AR188">
            <v>0.5</v>
          </cell>
          <cell r="AS188" t="str">
            <v>D</v>
          </cell>
          <cell r="AT188">
            <v>0</v>
          </cell>
          <cell r="AU188" t="str">
            <v>D</v>
          </cell>
          <cell r="AV188">
            <v>0</v>
          </cell>
          <cell r="AW188" t="str">
            <v>D</v>
          </cell>
          <cell r="AX188">
            <v>0</v>
          </cell>
          <cell r="AY188" t="str">
            <v>D</v>
          </cell>
          <cell r="AZ188">
            <v>0</v>
          </cell>
          <cell r="BA188" t="str">
            <v>D</v>
          </cell>
          <cell r="BB188">
            <v>0</v>
          </cell>
          <cell r="BC188">
            <v>0</v>
          </cell>
          <cell r="BD188">
            <v>0</v>
          </cell>
          <cell r="BE188" t="str">
            <v>D</v>
          </cell>
          <cell r="BF188">
            <v>0</v>
          </cell>
          <cell r="BG188" t="str">
            <v>D</v>
          </cell>
          <cell r="BH188">
            <v>0</v>
          </cell>
          <cell r="BI188" t="str">
            <v>D</v>
          </cell>
          <cell r="BJ188">
            <v>0</v>
          </cell>
          <cell r="BK188" t="str">
            <v>D</v>
          </cell>
          <cell r="BL188">
            <v>1</v>
          </cell>
          <cell r="BM188" t="str">
            <v>D</v>
          </cell>
          <cell r="BN188">
            <v>0</v>
          </cell>
          <cell r="BO188" t="str">
            <v>D</v>
          </cell>
          <cell r="BP188">
            <v>0</v>
          </cell>
          <cell r="BQ188">
            <v>0</v>
          </cell>
          <cell r="BR188">
            <v>26.5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0.5</v>
          </cell>
          <cell r="BZ188">
            <v>27</v>
          </cell>
          <cell r="CA188">
            <v>8.5</v>
          </cell>
          <cell r="CB188">
            <v>0</v>
          </cell>
          <cell r="CC188">
            <v>0</v>
          </cell>
          <cell r="CD188">
            <v>2</v>
          </cell>
          <cell r="CE188">
            <v>0</v>
          </cell>
          <cell r="CF188">
            <v>300</v>
          </cell>
          <cell r="CG188">
            <v>4</v>
          </cell>
          <cell r="CH188">
            <v>0</v>
          </cell>
          <cell r="CI188">
            <v>150</v>
          </cell>
        </row>
        <row r="189">
          <cell r="A189" t="str">
            <v>A840</v>
          </cell>
          <cell r="B189" t="str">
            <v>Ngô Trọng Thảo</v>
          </cell>
          <cell r="C189" t="str">
            <v>CD</v>
          </cell>
          <cell r="D189">
            <v>0</v>
          </cell>
          <cell r="E189">
            <v>42814</v>
          </cell>
          <cell r="F189">
            <v>5</v>
          </cell>
          <cell r="G189" t="str">
            <v>A</v>
          </cell>
          <cell r="H189">
            <v>4</v>
          </cell>
          <cell r="I189" t="str">
            <v>A</v>
          </cell>
          <cell r="J189">
            <v>4</v>
          </cell>
          <cell r="K189" t="str">
            <v>D</v>
          </cell>
          <cell r="L189">
            <v>3</v>
          </cell>
          <cell r="M189">
            <v>0</v>
          </cell>
          <cell r="N189">
            <v>12</v>
          </cell>
          <cell r="O189" t="str">
            <v>A</v>
          </cell>
          <cell r="P189">
            <v>4</v>
          </cell>
          <cell r="Q189" t="str">
            <v>D</v>
          </cell>
          <cell r="R189">
            <v>3</v>
          </cell>
          <cell r="S189" t="str">
            <v>A</v>
          </cell>
          <cell r="T189">
            <v>4</v>
          </cell>
          <cell r="U189" t="str">
            <v>A</v>
          </cell>
          <cell r="V189">
            <v>4</v>
          </cell>
          <cell r="W189" t="str">
            <v>A</v>
          </cell>
          <cell r="X189">
            <v>4</v>
          </cell>
          <cell r="Y189" t="str">
            <v>A</v>
          </cell>
          <cell r="Z189">
            <v>4</v>
          </cell>
          <cell r="AA189">
            <v>0</v>
          </cell>
          <cell r="AB189">
            <v>11</v>
          </cell>
          <cell r="AC189" t="str">
            <v>A</v>
          </cell>
          <cell r="AD189">
            <v>4</v>
          </cell>
          <cell r="AE189" t="str">
            <v>A</v>
          </cell>
          <cell r="AF189">
            <v>4</v>
          </cell>
          <cell r="AG189" t="str">
            <v>A</v>
          </cell>
          <cell r="AH189">
            <v>4</v>
          </cell>
          <cell r="AI189" t="str">
            <v>A</v>
          </cell>
          <cell r="AJ189">
            <v>4</v>
          </cell>
          <cell r="AK189" t="str">
            <v>A</v>
          </cell>
          <cell r="AL189">
            <v>4</v>
          </cell>
          <cell r="AM189" t="str">
            <v>A</v>
          </cell>
          <cell r="AN189">
            <v>4</v>
          </cell>
          <cell r="AO189">
            <v>0</v>
          </cell>
          <cell r="AP189">
            <v>9.5</v>
          </cell>
          <cell r="AQ189" t="str">
            <v>A</v>
          </cell>
          <cell r="AR189">
            <v>5</v>
          </cell>
          <cell r="AS189" t="str">
            <v>A</v>
          </cell>
          <cell r="AT189">
            <v>4</v>
          </cell>
          <cell r="AU189" t="str">
            <v>A</v>
          </cell>
          <cell r="AV189">
            <v>4</v>
          </cell>
          <cell r="AW189" t="str">
            <v>A</v>
          </cell>
          <cell r="AX189">
            <v>4</v>
          </cell>
          <cell r="AY189" t="str">
            <v>A</v>
          </cell>
          <cell r="AZ189">
            <v>4</v>
          </cell>
          <cell r="BA189" t="str">
            <v>A</v>
          </cell>
          <cell r="BB189">
            <v>4</v>
          </cell>
          <cell r="BC189">
            <v>0</v>
          </cell>
          <cell r="BD189">
            <v>11</v>
          </cell>
          <cell r="BE189" t="str">
            <v>NT7</v>
          </cell>
          <cell r="BF189">
            <v>0</v>
          </cell>
          <cell r="BG189" t="str">
            <v>A</v>
          </cell>
          <cell r="BH189">
            <v>8</v>
          </cell>
          <cell r="BI189" t="str">
            <v>A</v>
          </cell>
          <cell r="BJ189">
            <v>8</v>
          </cell>
          <cell r="BK189" t="str">
            <v>A</v>
          </cell>
          <cell r="BL189">
            <v>8</v>
          </cell>
          <cell r="BM189" t="str">
            <v>D</v>
          </cell>
          <cell r="BN189">
            <v>2.5</v>
          </cell>
          <cell r="BO189" t="str">
            <v>A</v>
          </cell>
          <cell r="BP189">
            <v>4</v>
          </cell>
          <cell r="BQ189">
            <v>23</v>
          </cell>
          <cell r="BR189">
            <v>3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1</v>
          </cell>
          <cell r="BY189">
            <v>0</v>
          </cell>
          <cell r="BZ189">
            <v>27</v>
          </cell>
          <cell r="CA189">
            <v>113.5</v>
          </cell>
          <cell r="CB189">
            <v>43.5</v>
          </cell>
          <cell r="CC189">
            <v>0</v>
          </cell>
          <cell r="CD189">
            <v>1</v>
          </cell>
          <cell r="CE189">
            <v>1</v>
          </cell>
          <cell r="CF189">
            <v>70</v>
          </cell>
          <cell r="CG189">
            <v>6</v>
          </cell>
          <cell r="CH189">
            <v>16</v>
          </cell>
          <cell r="CI189">
            <v>70</v>
          </cell>
        </row>
        <row r="190">
          <cell r="A190" t="str">
            <v>A842</v>
          </cell>
          <cell r="B190" t="str">
            <v>Bùi Thị Lượm</v>
          </cell>
          <cell r="C190" t="str">
            <v>QCE</v>
          </cell>
          <cell r="D190">
            <v>0</v>
          </cell>
          <cell r="E190">
            <v>42814</v>
          </cell>
          <cell r="F190">
            <v>0.5</v>
          </cell>
          <cell r="G190" t="str">
            <v>C</v>
          </cell>
          <cell r="H190">
            <v>4</v>
          </cell>
          <cell r="I190" t="str">
            <v>C</v>
          </cell>
          <cell r="J190">
            <v>4</v>
          </cell>
          <cell r="K190" t="str">
            <v>C</v>
          </cell>
          <cell r="L190">
            <v>4</v>
          </cell>
          <cell r="M190">
            <v>0</v>
          </cell>
          <cell r="N190">
            <v>0</v>
          </cell>
          <cell r="O190" t="str">
            <v>A</v>
          </cell>
          <cell r="P190">
            <v>4</v>
          </cell>
          <cell r="Q190" t="str">
            <v>A</v>
          </cell>
          <cell r="R190">
            <v>4</v>
          </cell>
          <cell r="S190" t="str">
            <v>A</v>
          </cell>
          <cell r="T190">
            <v>4</v>
          </cell>
          <cell r="U190" t="str">
            <v>A</v>
          </cell>
          <cell r="V190">
            <v>4</v>
          </cell>
          <cell r="W190" t="str">
            <v>A</v>
          </cell>
          <cell r="X190">
            <v>4</v>
          </cell>
          <cell r="Y190" t="str">
            <v>A</v>
          </cell>
          <cell r="Z190">
            <v>4</v>
          </cell>
          <cell r="AA190">
            <v>0</v>
          </cell>
          <cell r="AB190">
            <v>0</v>
          </cell>
          <cell r="AC190" t="str">
            <v>NT7</v>
          </cell>
          <cell r="AD190">
            <v>0</v>
          </cell>
          <cell r="AE190" t="str">
            <v>C</v>
          </cell>
          <cell r="AF190">
            <v>4</v>
          </cell>
          <cell r="AG190" t="str">
            <v>C</v>
          </cell>
          <cell r="AH190">
            <v>4</v>
          </cell>
          <cell r="AI190" t="str">
            <v>C</v>
          </cell>
          <cell r="AJ190">
            <v>4</v>
          </cell>
          <cell r="AK190" t="str">
            <v>C</v>
          </cell>
          <cell r="AL190">
            <v>4</v>
          </cell>
          <cell r="AM190" t="str">
            <v>C</v>
          </cell>
          <cell r="AN190">
            <v>4</v>
          </cell>
          <cell r="AO190">
            <v>0</v>
          </cell>
          <cell r="AP190">
            <v>8</v>
          </cell>
          <cell r="AQ190" t="str">
            <v>A</v>
          </cell>
          <cell r="AR190">
            <v>4</v>
          </cell>
          <cell r="AS190" t="str">
            <v>A</v>
          </cell>
          <cell r="AT190">
            <v>4</v>
          </cell>
          <cell r="AU190" t="str">
            <v>A</v>
          </cell>
          <cell r="AV190">
            <v>4</v>
          </cell>
          <cell r="AW190" t="str">
            <v>D</v>
          </cell>
          <cell r="AX190">
            <v>1</v>
          </cell>
          <cell r="AY190" t="str">
            <v>A</v>
          </cell>
          <cell r="AZ190">
            <v>4</v>
          </cell>
          <cell r="BA190" t="str">
            <v>A</v>
          </cell>
          <cell r="BB190">
            <v>4</v>
          </cell>
          <cell r="BC190">
            <v>0</v>
          </cell>
          <cell r="BD190">
            <v>20</v>
          </cell>
          <cell r="BE190" t="str">
            <v>C</v>
          </cell>
          <cell r="BF190">
            <v>4</v>
          </cell>
          <cell r="BG190" t="str">
            <v>C</v>
          </cell>
          <cell r="BH190">
            <v>4</v>
          </cell>
          <cell r="BI190" t="str">
            <v>NT7</v>
          </cell>
          <cell r="BJ190">
            <v>0</v>
          </cell>
          <cell r="BK190" t="str">
            <v>C</v>
          </cell>
          <cell r="BL190">
            <v>4</v>
          </cell>
          <cell r="BM190" t="str">
            <v>C</v>
          </cell>
          <cell r="BN190">
            <v>4</v>
          </cell>
          <cell r="BO190" t="str">
            <v>P</v>
          </cell>
          <cell r="BP190">
            <v>0</v>
          </cell>
          <cell r="BQ190">
            <v>11</v>
          </cell>
          <cell r="BR190">
            <v>1</v>
          </cell>
          <cell r="BS190">
            <v>0</v>
          </cell>
          <cell r="BT190">
            <v>12</v>
          </cell>
          <cell r="BU190">
            <v>0</v>
          </cell>
          <cell r="BV190">
            <v>0</v>
          </cell>
          <cell r="BW190">
            <v>0</v>
          </cell>
          <cell r="BX190">
            <v>2</v>
          </cell>
          <cell r="BY190">
            <v>1</v>
          </cell>
          <cell r="BZ190">
            <v>27</v>
          </cell>
          <cell r="CA190">
            <v>93</v>
          </cell>
          <cell r="CB190">
            <v>28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0.5</v>
          </cell>
          <cell r="CH190">
            <v>0</v>
          </cell>
          <cell r="CI190">
            <v>70</v>
          </cell>
        </row>
        <row r="191">
          <cell r="A191" t="str">
            <v>A843</v>
          </cell>
          <cell r="B191" t="str">
            <v>Dương Vũ Linh</v>
          </cell>
          <cell r="C191" t="str">
            <v>Gián tiếp</v>
          </cell>
          <cell r="D191">
            <v>0</v>
          </cell>
          <cell r="E191">
            <v>42811</v>
          </cell>
          <cell r="F191">
            <v>0.5</v>
          </cell>
          <cell r="G191" t="str">
            <v>D</v>
          </cell>
          <cell r="H191">
            <v>0</v>
          </cell>
          <cell r="I191" t="str">
            <v>D</v>
          </cell>
          <cell r="J191">
            <v>0</v>
          </cell>
          <cell r="K191" t="str">
            <v>NT7</v>
          </cell>
          <cell r="L191">
            <v>0</v>
          </cell>
          <cell r="M191">
            <v>0</v>
          </cell>
          <cell r="N191">
            <v>0</v>
          </cell>
          <cell r="O191" t="str">
            <v>D</v>
          </cell>
          <cell r="P191">
            <v>0</v>
          </cell>
          <cell r="Q191" t="str">
            <v>NT7</v>
          </cell>
          <cell r="R191">
            <v>0</v>
          </cell>
          <cell r="S191" t="str">
            <v>P</v>
          </cell>
          <cell r="T191">
            <v>0</v>
          </cell>
          <cell r="U191" t="str">
            <v>R0</v>
          </cell>
          <cell r="V191">
            <v>0</v>
          </cell>
          <cell r="W191" t="str">
            <v>R0</v>
          </cell>
          <cell r="X191">
            <v>0</v>
          </cell>
          <cell r="Y191" t="str">
            <v>R0</v>
          </cell>
          <cell r="Z191">
            <v>0</v>
          </cell>
          <cell r="AA191">
            <v>0</v>
          </cell>
          <cell r="AB191">
            <v>0</v>
          </cell>
          <cell r="AC191" t="str">
            <v>R0</v>
          </cell>
          <cell r="AD191">
            <v>0</v>
          </cell>
          <cell r="AE191" t="str">
            <v>D</v>
          </cell>
          <cell r="AF191">
            <v>0</v>
          </cell>
          <cell r="AG191" t="str">
            <v>D</v>
          </cell>
          <cell r="AH191">
            <v>0</v>
          </cell>
          <cell r="AI191" t="str">
            <v>D</v>
          </cell>
          <cell r="AJ191">
            <v>0</v>
          </cell>
          <cell r="AK191" t="str">
            <v>D</v>
          </cell>
          <cell r="AL191">
            <v>0</v>
          </cell>
          <cell r="AM191" t="str">
            <v>D</v>
          </cell>
          <cell r="AN191">
            <v>0</v>
          </cell>
          <cell r="AO191">
            <v>0</v>
          </cell>
          <cell r="AP191">
            <v>0</v>
          </cell>
          <cell r="AQ191" t="str">
            <v>D</v>
          </cell>
          <cell r="AR191">
            <v>1</v>
          </cell>
          <cell r="AS191" t="str">
            <v>D</v>
          </cell>
          <cell r="AT191">
            <v>0</v>
          </cell>
          <cell r="AU191" t="str">
            <v>D</v>
          </cell>
          <cell r="AV191">
            <v>0</v>
          </cell>
          <cell r="AW191" t="str">
            <v>D</v>
          </cell>
          <cell r="AX191">
            <v>0</v>
          </cell>
          <cell r="AY191" t="str">
            <v>P5,D5</v>
          </cell>
          <cell r="AZ191">
            <v>0</v>
          </cell>
          <cell r="BA191" t="str">
            <v>R0</v>
          </cell>
          <cell r="BB191">
            <v>0</v>
          </cell>
          <cell r="BC191">
            <v>0</v>
          </cell>
          <cell r="BD191">
            <v>0</v>
          </cell>
          <cell r="BE191" t="str">
            <v>D</v>
          </cell>
          <cell r="BF191">
            <v>0</v>
          </cell>
          <cell r="BG191" t="str">
            <v>D</v>
          </cell>
          <cell r="BH191">
            <v>0</v>
          </cell>
          <cell r="BI191" t="str">
            <v>D</v>
          </cell>
          <cell r="BJ191">
            <v>0</v>
          </cell>
          <cell r="BK191" t="str">
            <v>D</v>
          </cell>
          <cell r="BL191">
            <v>1</v>
          </cell>
          <cell r="BM191" t="str">
            <v>D</v>
          </cell>
          <cell r="BN191">
            <v>0</v>
          </cell>
          <cell r="BO191" t="str">
            <v>D</v>
          </cell>
          <cell r="BP191">
            <v>0</v>
          </cell>
          <cell r="BQ191">
            <v>0</v>
          </cell>
          <cell r="BR191">
            <v>18.5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2</v>
          </cell>
          <cell r="BY191">
            <v>1.5</v>
          </cell>
          <cell r="BZ191">
            <v>22</v>
          </cell>
          <cell r="CA191">
            <v>2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150</v>
          </cell>
        </row>
        <row r="192">
          <cell r="A192" t="str">
            <v>A844</v>
          </cell>
          <cell r="B192" t="str">
            <v>Đặng Thái Vinh</v>
          </cell>
          <cell r="C192" t="str">
            <v>KHUON</v>
          </cell>
          <cell r="D192">
            <v>0</v>
          </cell>
          <cell r="E192">
            <v>42814</v>
          </cell>
          <cell r="F192">
            <v>1.5</v>
          </cell>
          <cell r="G192" t="str">
            <v>D</v>
          </cell>
          <cell r="H192">
            <v>0</v>
          </cell>
          <cell r="I192" t="str">
            <v>D</v>
          </cell>
          <cell r="J192">
            <v>0</v>
          </cell>
          <cell r="K192" t="str">
            <v>D</v>
          </cell>
          <cell r="L192">
            <v>1</v>
          </cell>
          <cell r="M192">
            <v>0</v>
          </cell>
          <cell r="N192">
            <v>8</v>
          </cell>
          <cell r="O192" t="str">
            <v>D</v>
          </cell>
          <cell r="P192">
            <v>0</v>
          </cell>
          <cell r="Q192" t="str">
            <v>A</v>
          </cell>
          <cell r="R192">
            <v>4.5</v>
          </cell>
          <cell r="S192" t="str">
            <v>D</v>
          </cell>
          <cell r="T192">
            <v>2</v>
          </cell>
          <cell r="U192" t="str">
            <v>A</v>
          </cell>
          <cell r="V192">
            <v>4.5</v>
          </cell>
          <cell r="W192" t="str">
            <v>D</v>
          </cell>
          <cell r="X192">
            <v>0</v>
          </cell>
          <cell r="Y192" t="str">
            <v>NT7</v>
          </cell>
          <cell r="Z192">
            <v>0</v>
          </cell>
          <cell r="AA192">
            <v>0</v>
          </cell>
          <cell r="AB192">
            <v>8.5</v>
          </cell>
          <cell r="AC192" t="str">
            <v>D</v>
          </cell>
          <cell r="AD192">
            <v>0</v>
          </cell>
          <cell r="AE192" t="str">
            <v>A</v>
          </cell>
          <cell r="AF192">
            <v>4</v>
          </cell>
          <cell r="AG192" t="str">
            <v>D</v>
          </cell>
          <cell r="AH192">
            <v>0</v>
          </cell>
          <cell r="AI192" t="str">
            <v>D</v>
          </cell>
          <cell r="AJ192">
            <v>0</v>
          </cell>
          <cell r="AK192" t="str">
            <v>D</v>
          </cell>
          <cell r="AL192">
            <v>0</v>
          </cell>
          <cell r="AM192" t="str">
            <v>D</v>
          </cell>
          <cell r="AN192">
            <v>0</v>
          </cell>
          <cell r="AO192">
            <v>0</v>
          </cell>
          <cell r="AP192">
            <v>0</v>
          </cell>
          <cell r="AQ192" t="str">
            <v>D</v>
          </cell>
          <cell r="AR192">
            <v>0</v>
          </cell>
          <cell r="AS192" t="str">
            <v>D</v>
          </cell>
          <cell r="AT192">
            <v>0</v>
          </cell>
          <cell r="AU192" t="str">
            <v>D</v>
          </cell>
          <cell r="AV192">
            <v>0</v>
          </cell>
          <cell r="AW192" t="str">
            <v>D</v>
          </cell>
          <cell r="AX192">
            <v>0</v>
          </cell>
          <cell r="AY192" t="str">
            <v>D</v>
          </cell>
          <cell r="AZ192">
            <v>2.5</v>
          </cell>
          <cell r="BA192" t="str">
            <v>D</v>
          </cell>
          <cell r="BB192">
            <v>0.5</v>
          </cell>
          <cell r="BC192">
            <v>0</v>
          </cell>
          <cell r="BD192">
            <v>8.5</v>
          </cell>
          <cell r="BE192" t="str">
            <v>D</v>
          </cell>
          <cell r="BF192">
            <v>0</v>
          </cell>
          <cell r="BG192" t="str">
            <v>D</v>
          </cell>
          <cell r="BH192">
            <v>0</v>
          </cell>
          <cell r="BI192" t="str">
            <v>D</v>
          </cell>
          <cell r="BJ192">
            <v>0</v>
          </cell>
          <cell r="BK192" t="str">
            <v>D</v>
          </cell>
          <cell r="BL192">
            <v>0</v>
          </cell>
          <cell r="BM192" t="str">
            <v>D</v>
          </cell>
          <cell r="BN192">
            <v>0</v>
          </cell>
          <cell r="BO192" t="str">
            <v>D</v>
          </cell>
          <cell r="BP192">
            <v>0</v>
          </cell>
          <cell r="BQ192">
            <v>3</v>
          </cell>
          <cell r="BR192">
            <v>23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1</v>
          </cell>
          <cell r="BY192">
            <v>0</v>
          </cell>
          <cell r="BZ192">
            <v>27</v>
          </cell>
          <cell r="CA192">
            <v>19</v>
          </cell>
          <cell r="CB192">
            <v>25</v>
          </cell>
          <cell r="CC192">
            <v>0</v>
          </cell>
          <cell r="CD192">
            <v>1</v>
          </cell>
          <cell r="CE192">
            <v>0</v>
          </cell>
          <cell r="CF192">
            <v>70</v>
          </cell>
          <cell r="CG192">
            <v>2.5</v>
          </cell>
          <cell r="CH192">
            <v>0</v>
          </cell>
          <cell r="CI192">
            <v>70</v>
          </cell>
        </row>
        <row r="193">
          <cell r="A193" t="str">
            <v>A848</v>
          </cell>
          <cell r="B193" t="str">
            <v>Thị Mỹ Tho</v>
          </cell>
          <cell r="C193" t="str">
            <v>PHOI</v>
          </cell>
          <cell r="D193">
            <v>0</v>
          </cell>
          <cell r="E193">
            <v>42815</v>
          </cell>
          <cell r="F193">
            <v>4.5</v>
          </cell>
          <cell r="G193" t="str">
            <v>A</v>
          </cell>
          <cell r="H193">
            <v>7</v>
          </cell>
          <cell r="I193" t="str">
            <v>A</v>
          </cell>
          <cell r="J193">
            <v>4</v>
          </cell>
          <cell r="K193" t="str">
            <v>A</v>
          </cell>
          <cell r="L193">
            <v>7</v>
          </cell>
          <cell r="M193">
            <v>0</v>
          </cell>
          <cell r="N193">
            <v>12</v>
          </cell>
          <cell r="O193" t="str">
            <v>A</v>
          </cell>
          <cell r="P193">
            <v>7</v>
          </cell>
          <cell r="Q193" t="str">
            <v>A</v>
          </cell>
          <cell r="R193">
            <v>7</v>
          </cell>
          <cell r="S193" t="str">
            <v>A</v>
          </cell>
          <cell r="T193">
            <v>7</v>
          </cell>
          <cell r="U193" t="str">
            <v>A</v>
          </cell>
          <cell r="V193">
            <v>7</v>
          </cell>
          <cell r="W193" t="str">
            <v>A</v>
          </cell>
          <cell r="X193">
            <v>7</v>
          </cell>
          <cell r="Y193" t="str">
            <v>A</v>
          </cell>
          <cell r="Z193">
            <v>7</v>
          </cell>
          <cell r="AA193">
            <v>0</v>
          </cell>
          <cell r="AB193">
            <v>0</v>
          </cell>
          <cell r="AC193" t="str">
            <v>A</v>
          </cell>
          <cell r="AD193">
            <v>7</v>
          </cell>
          <cell r="AE193" t="str">
            <v>A</v>
          </cell>
          <cell r="AF193">
            <v>7</v>
          </cell>
          <cell r="AG193" t="str">
            <v>A</v>
          </cell>
          <cell r="AH193">
            <v>4</v>
          </cell>
          <cell r="AI193" t="str">
            <v>A</v>
          </cell>
          <cell r="AJ193">
            <v>4</v>
          </cell>
          <cell r="AK193" t="str">
            <v>A</v>
          </cell>
          <cell r="AL193">
            <v>7</v>
          </cell>
          <cell r="AM193" t="str">
            <v>A</v>
          </cell>
          <cell r="AN193">
            <v>7</v>
          </cell>
          <cell r="AO193">
            <v>0</v>
          </cell>
          <cell r="AP193">
            <v>0</v>
          </cell>
          <cell r="AQ193" t="str">
            <v>A</v>
          </cell>
          <cell r="AR193">
            <v>7</v>
          </cell>
          <cell r="AS193" t="str">
            <v>A</v>
          </cell>
          <cell r="AT193">
            <v>7</v>
          </cell>
          <cell r="AU193" t="str">
            <v>A</v>
          </cell>
          <cell r="AV193">
            <v>7</v>
          </cell>
          <cell r="AW193" t="str">
            <v>A</v>
          </cell>
          <cell r="AX193">
            <v>7</v>
          </cell>
          <cell r="AY193" t="str">
            <v>A</v>
          </cell>
          <cell r="AZ193">
            <v>7</v>
          </cell>
          <cell r="BA193" t="str">
            <v>A</v>
          </cell>
          <cell r="BB193">
            <v>4</v>
          </cell>
          <cell r="BC193">
            <v>0</v>
          </cell>
          <cell r="BD193">
            <v>12</v>
          </cell>
          <cell r="BE193" t="str">
            <v>A</v>
          </cell>
          <cell r="BF193">
            <v>7</v>
          </cell>
          <cell r="BG193" t="str">
            <v>A</v>
          </cell>
          <cell r="BH193">
            <v>7</v>
          </cell>
          <cell r="BI193" t="str">
            <v>A</v>
          </cell>
          <cell r="BJ193">
            <v>7</v>
          </cell>
          <cell r="BK193" t="str">
            <v>A</v>
          </cell>
          <cell r="BL193">
            <v>7</v>
          </cell>
          <cell r="BM193" t="str">
            <v>A</v>
          </cell>
          <cell r="BN193">
            <v>7</v>
          </cell>
          <cell r="BO193" t="str">
            <v>A</v>
          </cell>
          <cell r="BP193">
            <v>7</v>
          </cell>
          <cell r="BQ193">
            <v>27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27</v>
          </cell>
          <cell r="CA193">
            <v>177</v>
          </cell>
          <cell r="CB193">
            <v>24</v>
          </cell>
          <cell r="CC193">
            <v>0</v>
          </cell>
          <cell r="CD193">
            <v>2</v>
          </cell>
          <cell r="CE193">
            <v>2</v>
          </cell>
          <cell r="CF193">
            <v>140</v>
          </cell>
          <cell r="CG193">
            <v>5.5</v>
          </cell>
          <cell r="CH193">
            <v>32</v>
          </cell>
          <cell r="CI193">
            <v>70</v>
          </cell>
        </row>
        <row r="194">
          <cell r="A194" t="str">
            <v>A849</v>
          </cell>
          <cell r="B194" t="str">
            <v>Lê Thị Kim Yến</v>
          </cell>
          <cell r="C194" t="str">
            <v>EN</v>
          </cell>
          <cell r="D194">
            <v>0</v>
          </cell>
          <cell r="E194">
            <v>42816</v>
          </cell>
          <cell r="F194">
            <v>5.5</v>
          </cell>
          <cell r="G194" t="str">
            <v>A</v>
          </cell>
          <cell r="H194">
            <v>4</v>
          </cell>
          <cell r="I194" t="str">
            <v>A</v>
          </cell>
          <cell r="J194">
            <v>4</v>
          </cell>
          <cell r="K194" t="str">
            <v>A</v>
          </cell>
          <cell r="L194">
            <v>4</v>
          </cell>
          <cell r="M194">
            <v>0</v>
          </cell>
          <cell r="N194">
            <v>0</v>
          </cell>
          <cell r="O194" t="str">
            <v>C</v>
          </cell>
          <cell r="P194">
            <v>4</v>
          </cell>
          <cell r="Q194" t="str">
            <v>C</v>
          </cell>
          <cell r="R194">
            <v>4</v>
          </cell>
          <cell r="S194" t="str">
            <v>C</v>
          </cell>
          <cell r="T194">
            <v>4</v>
          </cell>
          <cell r="U194" t="str">
            <v>C</v>
          </cell>
          <cell r="V194">
            <v>4</v>
          </cell>
          <cell r="W194" t="str">
            <v>C</v>
          </cell>
          <cell r="X194">
            <v>4</v>
          </cell>
          <cell r="Y194" t="str">
            <v>C</v>
          </cell>
          <cell r="Z194">
            <v>4</v>
          </cell>
          <cell r="AA194">
            <v>0</v>
          </cell>
          <cell r="AB194">
            <v>0</v>
          </cell>
          <cell r="AC194" t="str">
            <v>A</v>
          </cell>
          <cell r="AD194">
            <v>4</v>
          </cell>
          <cell r="AE194" t="str">
            <v>A</v>
          </cell>
          <cell r="AF194">
            <v>4</v>
          </cell>
          <cell r="AG194" t="str">
            <v>A</v>
          </cell>
          <cell r="AH194">
            <v>4</v>
          </cell>
          <cell r="AI194" t="str">
            <v>P</v>
          </cell>
          <cell r="AJ194">
            <v>0</v>
          </cell>
          <cell r="AK194" t="str">
            <v>A</v>
          </cell>
          <cell r="AL194">
            <v>4</v>
          </cell>
          <cell r="AM194" t="str">
            <v>A</v>
          </cell>
          <cell r="AN194">
            <v>4</v>
          </cell>
          <cell r="AO194">
            <v>0</v>
          </cell>
          <cell r="AP194">
            <v>8</v>
          </cell>
          <cell r="AQ194" t="str">
            <v>C</v>
          </cell>
          <cell r="AR194">
            <v>4</v>
          </cell>
          <cell r="AS194" t="str">
            <v>C</v>
          </cell>
          <cell r="AT194">
            <v>4</v>
          </cell>
          <cell r="AU194" t="str">
            <v>C</v>
          </cell>
          <cell r="AV194">
            <v>4</v>
          </cell>
          <cell r="AW194" t="str">
            <v>C</v>
          </cell>
          <cell r="AX194">
            <v>4</v>
          </cell>
          <cell r="AY194" t="str">
            <v>C</v>
          </cell>
          <cell r="AZ194">
            <v>4</v>
          </cell>
          <cell r="BA194" t="str">
            <v>C</v>
          </cell>
          <cell r="BB194">
            <v>4</v>
          </cell>
          <cell r="BC194">
            <v>0</v>
          </cell>
          <cell r="BD194">
            <v>0</v>
          </cell>
          <cell r="BE194" t="str">
            <v>A</v>
          </cell>
          <cell r="BF194">
            <v>4</v>
          </cell>
          <cell r="BG194" t="str">
            <v>A</v>
          </cell>
          <cell r="BH194">
            <v>4</v>
          </cell>
          <cell r="BI194" t="str">
            <v>A</v>
          </cell>
          <cell r="BJ194">
            <v>4</v>
          </cell>
          <cell r="BK194" t="str">
            <v>D</v>
          </cell>
          <cell r="BL194">
            <v>0</v>
          </cell>
          <cell r="BM194" t="str">
            <v>P</v>
          </cell>
          <cell r="BN194">
            <v>0</v>
          </cell>
          <cell r="BO194" t="str">
            <v>P</v>
          </cell>
          <cell r="BP194">
            <v>0</v>
          </cell>
          <cell r="BQ194">
            <v>11</v>
          </cell>
          <cell r="BR194">
            <v>1</v>
          </cell>
          <cell r="BS194">
            <v>0</v>
          </cell>
          <cell r="BT194">
            <v>12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3</v>
          </cell>
          <cell r="BZ194">
            <v>27</v>
          </cell>
          <cell r="CA194">
            <v>92</v>
          </cell>
          <cell r="CB194">
            <v>8</v>
          </cell>
          <cell r="CC194">
            <v>0</v>
          </cell>
          <cell r="CD194">
            <v>2</v>
          </cell>
          <cell r="CE194">
            <v>2</v>
          </cell>
          <cell r="CF194">
            <v>140</v>
          </cell>
          <cell r="CG194">
            <v>3.5</v>
          </cell>
          <cell r="CH194">
            <v>32</v>
          </cell>
          <cell r="CI194">
            <v>70</v>
          </cell>
        </row>
        <row r="195">
          <cell r="A195" t="str">
            <v>A852</v>
          </cell>
          <cell r="B195" t="str">
            <v>Nguyễn Văn Thật</v>
          </cell>
          <cell r="C195" t="str">
            <v>GA</v>
          </cell>
          <cell r="D195">
            <v>0</v>
          </cell>
          <cell r="E195">
            <v>42822</v>
          </cell>
          <cell r="F195">
            <v>3</v>
          </cell>
          <cell r="G195" t="str">
            <v>A</v>
          </cell>
          <cell r="H195">
            <v>4.5</v>
          </cell>
          <cell r="I195" t="str">
            <v>A</v>
          </cell>
          <cell r="J195">
            <v>4.5</v>
          </cell>
          <cell r="K195" t="str">
            <v>D</v>
          </cell>
          <cell r="L195">
            <v>0</v>
          </cell>
          <cell r="M195">
            <v>0</v>
          </cell>
          <cell r="N195">
            <v>7.5</v>
          </cell>
          <cell r="O195" t="str">
            <v>A</v>
          </cell>
          <cell r="P195">
            <v>4.5</v>
          </cell>
          <cell r="Q195" t="str">
            <v>D</v>
          </cell>
          <cell r="R195">
            <v>1</v>
          </cell>
          <cell r="S195" t="str">
            <v>A</v>
          </cell>
          <cell r="T195">
            <v>6</v>
          </cell>
          <cell r="U195" t="str">
            <v>A</v>
          </cell>
          <cell r="V195">
            <v>4</v>
          </cell>
          <cell r="W195" t="str">
            <v>A</v>
          </cell>
          <cell r="X195">
            <v>4</v>
          </cell>
          <cell r="Y195" t="str">
            <v>D</v>
          </cell>
          <cell r="Z195">
            <v>0.5</v>
          </cell>
          <cell r="AA195">
            <v>0</v>
          </cell>
          <cell r="AB195">
            <v>0</v>
          </cell>
          <cell r="AC195" t="str">
            <v>D</v>
          </cell>
          <cell r="AD195">
            <v>0</v>
          </cell>
          <cell r="AE195" t="str">
            <v>A</v>
          </cell>
          <cell r="AF195">
            <v>4.5</v>
          </cell>
          <cell r="AG195" t="str">
            <v>A</v>
          </cell>
          <cell r="AH195">
            <v>4.5</v>
          </cell>
          <cell r="AI195" t="str">
            <v>A</v>
          </cell>
          <cell r="AJ195">
            <v>4.5</v>
          </cell>
          <cell r="AK195" t="str">
            <v>A</v>
          </cell>
          <cell r="AL195">
            <v>4.5</v>
          </cell>
          <cell r="AM195" t="str">
            <v>D</v>
          </cell>
          <cell r="AN195">
            <v>0</v>
          </cell>
          <cell r="AO195">
            <v>0</v>
          </cell>
          <cell r="AP195">
            <v>0</v>
          </cell>
          <cell r="AQ195" t="str">
            <v>A</v>
          </cell>
          <cell r="AR195">
            <v>4.5</v>
          </cell>
          <cell r="AS195" t="str">
            <v>A</v>
          </cell>
          <cell r="AT195">
            <v>5</v>
          </cell>
          <cell r="AU195" t="str">
            <v>A</v>
          </cell>
          <cell r="AV195">
            <v>4.5</v>
          </cell>
          <cell r="AW195" t="str">
            <v>D</v>
          </cell>
          <cell r="AX195">
            <v>0</v>
          </cell>
          <cell r="AY195" t="str">
            <v>NT7</v>
          </cell>
          <cell r="AZ195">
            <v>0</v>
          </cell>
          <cell r="BA195" t="str">
            <v>D</v>
          </cell>
          <cell r="BB195">
            <v>0</v>
          </cell>
          <cell r="BC195">
            <v>0</v>
          </cell>
          <cell r="BD195">
            <v>0</v>
          </cell>
          <cell r="BE195" t="str">
            <v>A</v>
          </cell>
          <cell r="BF195">
            <v>4.5</v>
          </cell>
          <cell r="BG195" t="str">
            <v>A</v>
          </cell>
          <cell r="BH195">
            <v>4</v>
          </cell>
          <cell r="BI195" t="str">
            <v>D</v>
          </cell>
          <cell r="BJ195">
            <v>0</v>
          </cell>
          <cell r="BK195" t="str">
            <v>A</v>
          </cell>
          <cell r="BL195">
            <v>4.5</v>
          </cell>
          <cell r="BM195" t="str">
            <v>D</v>
          </cell>
          <cell r="BN195">
            <v>0</v>
          </cell>
          <cell r="BO195" t="str">
            <v>D</v>
          </cell>
          <cell r="BP195">
            <v>0</v>
          </cell>
          <cell r="BQ195">
            <v>16</v>
          </cell>
          <cell r="BR195">
            <v>10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1</v>
          </cell>
          <cell r="BY195">
            <v>0</v>
          </cell>
          <cell r="BZ195">
            <v>27</v>
          </cell>
          <cell r="CA195">
            <v>74</v>
          </cell>
          <cell r="CB195">
            <v>7.5</v>
          </cell>
          <cell r="CC195">
            <v>0</v>
          </cell>
          <cell r="CD195">
            <v>1</v>
          </cell>
          <cell r="CE195">
            <v>0</v>
          </cell>
          <cell r="CF195">
            <v>70</v>
          </cell>
          <cell r="CG195">
            <v>4</v>
          </cell>
          <cell r="CH195">
            <v>0</v>
          </cell>
          <cell r="CI195">
            <v>70</v>
          </cell>
        </row>
        <row r="196">
          <cell r="A196" t="str">
            <v>A853</v>
          </cell>
          <cell r="B196" t="str">
            <v>Nguyễn Văn Minh</v>
          </cell>
          <cell r="C196" t="str">
            <v>CII.1</v>
          </cell>
          <cell r="D196">
            <v>0</v>
          </cell>
          <cell r="E196">
            <v>42822</v>
          </cell>
          <cell r="F196">
            <v>1.5</v>
          </cell>
          <cell r="G196" t="str">
            <v>A</v>
          </cell>
          <cell r="H196">
            <v>4</v>
          </cell>
          <cell r="I196" t="str">
            <v>A</v>
          </cell>
          <cell r="J196">
            <v>4</v>
          </cell>
          <cell r="K196" t="str">
            <v>D</v>
          </cell>
          <cell r="L196">
            <v>2</v>
          </cell>
          <cell r="M196">
            <v>0</v>
          </cell>
          <cell r="N196">
            <v>0</v>
          </cell>
          <cell r="O196" t="str">
            <v>C</v>
          </cell>
          <cell r="P196">
            <v>4</v>
          </cell>
          <cell r="Q196" t="str">
            <v>C</v>
          </cell>
          <cell r="R196">
            <v>4</v>
          </cell>
          <cell r="S196" t="str">
            <v>C</v>
          </cell>
          <cell r="T196">
            <v>4</v>
          </cell>
          <cell r="U196" t="str">
            <v>C</v>
          </cell>
          <cell r="V196">
            <v>4</v>
          </cell>
          <cell r="W196" t="str">
            <v>C</v>
          </cell>
          <cell r="X196">
            <v>4</v>
          </cell>
          <cell r="Y196" t="str">
            <v>HH</v>
          </cell>
          <cell r="Z196">
            <v>0</v>
          </cell>
          <cell r="AA196">
            <v>0</v>
          </cell>
          <cell r="AB196">
            <v>0</v>
          </cell>
          <cell r="AC196" t="str">
            <v>A</v>
          </cell>
          <cell r="AD196">
            <v>4</v>
          </cell>
          <cell r="AE196" t="str">
            <v>A</v>
          </cell>
          <cell r="AF196">
            <v>4</v>
          </cell>
          <cell r="AG196" t="str">
            <v>NT7</v>
          </cell>
          <cell r="AH196">
            <v>0</v>
          </cell>
          <cell r="AI196" t="str">
            <v>NT7</v>
          </cell>
          <cell r="AJ196">
            <v>0</v>
          </cell>
          <cell r="AK196" t="str">
            <v>A</v>
          </cell>
          <cell r="AL196">
            <v>4</v>
          </cell>
          <cell r="AM196" t="str">
            <v>A</v>
          </cell>
          <cell r="AN196">
            <v>4</v>
          </cell>
          <cell r="AO196">
            <v>0</v>
          </cell>
          <cell r="AP196">
            <v>0</v>
          </cell>
          <cell r="AQ196" t="str">
            <v>C</v>
          </cell>
          <cell r="AR196">
            <v>4</v>
          </cell>
          <cell r="AS196" t="str">
            <v>C</v>
          </cell>
          <cell r="AT196">
            <v>4</v>
          </cell>
          <cell r="AU196" t="str">
            <v>C</v>
          </cell>
          <cell r="AV196">
            <v>4</v>
          </cell>
          <cell r="AW196" t="str">
            <v>C</v>
          </cell>
          <cell r="AX196">
            <v>4</v>
          </cell>
          <cell r="AY196" t="str">
            <v>C</v>
          </cell>
          <cell r="AZ196">
            <v>4</v>
          </cell>
          <cell r="BA196" t="str">
            <v>HH</v>
          </cell>
          <cell r="BB196">
            <v>0</v>
          </cell>
          <cell r="BC196">
            <v>0</v>
          </cell>
          <cell r="BD196">
            <v>0</v>
          </cell>
          <cell r="BE196" t="str">
            <v>A</v>
          </cell>
          <cell r="BF196">
            <v>4</v>
          </cell>
          <cell r="BG196" t="str">
            <v>A</v>
          </cell>
          <cell r="BH196">
            <v>4</v>
          </cell>
          <cell r="BI196" t="str">
            <v>A</v>
          </cell>
          <cell r="BJ196">
            <v>4</v>
          </cell>
          <cell r="BK196" t="str">
            <v>A</v>
          </cell>
          <cell r="BL196">
            <v>4</v>
          </cell>
          <cell r="BM196" t="str">
            <v>A</v>
          </cell>
          <cell r="BN196">
            <v>4</v>
          </cell>
          <cell r="BO196" t="str">
            <v>D</v>
          </cell>
          <cell r="BP196">
            <v>0</v>
          </cell>
          <cell r="BQ196">
            <v>11</v>
          </cell>
          <cell r="BR196">
            <v>2</v>
          </cell>
          <cell r="BS196">
            <v>0</v>
          </cell>
          <cell r="BT196">
            <v>10</v>
          </cell>
          <cell r="BU196">
            <v>0</v>
          </cell>
          <cell r="BV196">
            <v>0</v>
          </cell>
          <cell r="BW196">
            <v>2</v>
          </cell>
          <cell r="BX196">
            <v>2</v>
          </cell>
          <cell r="BY196">
            <v>0</v>
          </cell>
          <cell r="BZ196">
            <v>27</v>
          </cell>
          <cell r="CA196">
            <v>86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2.5</v>
          </cell>
          <cell r="CH196">
            <v>0</v>
          </cell>
          <cell r="CI196">
            <v>70</v>
          </cell>
        </row>
        <row r="197">
          <cell r="A197" t="str">
            <v>A854</v>
          </cell>
          <cell r="B197" t="str">
            <v>Nguyễn Ái Hậu</v>
          </cell>
          <cell r="C197" t="str">
            <v>KHUON</v>
          </cell>
          <cell r="D197">
            <v>0</v>
          </cell>
          <cell r="E197">
            <v>42824</v>
          </cell>
          <cell r="F197">
            <v>2</v>
          </cell>
          <cell r="G197" t="str">
            <v>A</v>
          </cell>
          <cell r="H197">
            <v>4.5</v>
          </cell>
          <cell r="I197" t="str">
            <v>A</v>
          </cell>
          <cell r="J197">
            <v>4.5</v>
          </cell>
          <cell r="K197" t="str">
            <v>D</v>
          </cell>
          <cell r="L197">
            <v>0</v>
          </cell>
          <cell r="M197">
            <v>0</v>
          </cell>
          <cell r="N197">
            <v>0</v>
          </cell>
          <cell r="O197" t="str">
            <v>A</v>
          </cell>
          <cell r="P197">
            <v>4.5</v>
          </cell>
          <cell r="Q197" t="str">
            <v>C</v>
          </cell>
          <cell r="R197">
            <v>4</v>
          </cell>
          <cell r="S197" t="str">
            <v>C</v>
          </cell>
          <cell r="T197">
            <v>4</v>
          </cell>
          <cell r="U197" t="str">
            <v>C</v>
          </cell>
          <cell r="V197">
            <v>4</v>
          </cell>
          <cell r="W197" t="str">
            <v>C</v>
          </cell>
          <cell r="X197">
            <v>4</v>
          </cell>
          <cell r="Y197" t="str">
            <v>C</v>
          </cell>
          <cell r="Z197">
            <v>4</v>
          </cell>
          <cell r="AA197">
            <v>0</v>
          </cell>
          <cell r="AB197">
            <v>0</v>
          </cell>
          <cell r="AC197" t="str">
            <v>NT7</v>
          </cell>
          <cell r="AD197">
            <v>0</v>
          </cell>
          <cell r="AE197" t="str">
            <v>A</v>
          </cell>
          <cell r="AF197">
            <v>4.5</v>
          </cell>
          <cell r="AG197" t="str">
            <v>D</v>
          </cell>
          <cell r="AH197">
            <v>0</v>
          </cell>
          <cell r="AI197" t="str">
            <v>A</v>
          </cell>
          <cell r="AJ197">
            <v>4.5</v>
          </cell>
          <cell r="AK197" t="str">
            <v>A</v>
          </cell>
          <cell r="AL197">
            <v>4.5</v>
          </cell>
          <cell r="AM197" t="str">
            <v>D</v>
          </cell>
          <cell r="AN197">
            <v>0</v>
          </cell>
          <cell r="AO197">
            <v>0</v>
          </cell>
          <cell r="AP197">
            <v>0</v>
          </cell>
          <cell r="AQ197" t="str">
            <v>A</v>
          </cell>
          <cell r="AR197">
            <v>4.5</v>
          </cell>
          <cell r="AS197" t="str">
            <v>A</v>
          </cell>
          <cell r="AT197">
            <v>4.5</v>
          </cell>
          <cell r="AU197" t="str">
            <v>D</v>
          </cell>
          <cell r="AV197">
            <v>0</v>
          </cell>
          <cell r="AW197" t="str">
            <v>D</v>
          </cell>
          <cell r="AX197">
            <v>0</v>
          </cell>
          <cell r="AY197" t="str">
            <v>A</v>
          </cell>
          <cell r="AZ197">
            <v>4.5</v>
          </cell>
          <cell r="BA197" t="str">
            <v>D</v>
          </cell>
          <cell r="BB197">
            <v>0</v>
          </cell>
          <cell r="BC197">
            <v>0</v>
          </cell>
          <cell r="BD197">
            <v>0</v>
          </cell>
          <cell r="BE197" t="str">
            <v>D</v>
          </cell>
          <cell r="BF197">
            <v>0.5</v>
          </cell>
          <cell r="BG197" t="str">
            <v>A</v>
          </cell>
          <cell r="BH197">
            <v>4</v>
          </cell>
          <cell r="BI197" t="str">
            <v>D</v>
          </cell>
          <cell r="BJ197">
            <v>0</v>
          </cell>
          <cell r="BK197" t="str">
            <v>A</v>
          </cell>
          <cell r="BL197">
            <v>4.5</v>
          </cell>
          <cell r="BM197" t="str">
            <v>A</v>
          </cell>
          <cell r="BN197">
            <v>4.5</v>
          </cell>
          <cell r="BO197" t="str">
            <v>D</v>
          </cell>
          <cell r="BP197">
            <v>1</v>
          </cell>
          <cell r="BQ197">
            <v>12</v>
          </cell>
          <cell r="BR197">
            <v>9</v>
          </cell>
          <cell r="BS197">
            <v>0</v>
          </cell>
          <cell r="BT197">
            <v>5</v>
          </cell>
          <cell r="BU197">
            <v>0</v>
          </cell>
          <cell r="BV197">
            <v>0</v>
          </cell>
          <cell r="BW197">
            <v>0</v>
          </cell>
          <cell r="BX197">
            <v>1</v>
          </cell>
          <cell r="BY197">
            <v>0</v>
          </cell>
          <cell r="BZ197">
            <v>27</v>
          </cell>
          <cell r="CA197">
            <v>75</v>
          </cell>
          <cell r="CB197">
            <v>0</v>
          </cell>
          <cell r="CC197">
            <v>0</v>
          </cell>
          <cell r="CD197">
            <v>1</v>
          </cell>
          <cell r="CE197">
            <v>0</v>
          </cell>
          <cell r="CF197">
            <v>70</v>
          </cell>
          <cell r="CG197">
            <v>3</v>
          </cell>
          <cell r="CH197">
            <v>0</v>
          </cell>
          <cell r="CI197">
            <v>70</v>
          </cell>
        </row>
        <row r="198">
          <cell r="A198" t="str">
            <v>A855</v>
          </cell>
          <cell r="B198" t="str">
            <v>Nguyễn Phương Đạt</v>
          </cell>
          <cell r="C198" t="str">
            <v>CI.1</v>
          </cell>
          <cell r="D198">
            <v>0</v>
          </cell>
          <cell r="E198">
            <v>42824</v>
          </cell>
          <cell r="F198">
            <v>0</v>
          </cell>
          <cell r="G198" t="str">
            <v>A</v>
          </cell>
          <cell r="H198">
            <v>4</v>
          </cell>
          <cell r="I198" t="str">
            <v>A</v>
          </cell>
          <cell r="J198">
            <v>4</v>
          </cell>
          <cell r="K198" t="str">
            <v>A</v>
          </cell>
          <cell r="L198">
            <v>4</v>
          </cell>
          <cell r="M198">
            <v>0</v>
          </cell>
          <cell r="N198">
            <v>0</v>
          </cell>
          <cell r="O198" t="str">
            <v>C</v>
          </cell>
          <cell r="P198">
            <v>4</v>
          </cell>
          <cell r="Q198" t="str">
            <v>C</v>
          </cell>
          <cell r="R198">
            <v>4</v>
          </cell>
          <cell r="S198" t="str">
            <v>C</v>
          </cell>
          <cell r="T198">
            <v>4</v>
          </cell>
          <cell r="U198" t="str">
            <v>C</v>
          </cell>
          <cell r="V198">
            <v>4</v>
          </cell>
          <cell r="W198" t="str">
            <v>C</v>
          </cell>
          <cell r="X198">
            <v>4</v>
          </cell>
          <cell r="Y198" t="str">
            <v>C</v>
          </cell>
          <cell r="Z198">
            <v>4</v>
          </cell>
          <cell r="AA198">
            <v>0</v>
          </cell>
          <cell r="AB198">
            <v>0</v>
          </cell>
          <cell r="AC198" t="str">
            <v>P5,D5</v>
          </cell>
          <cell r="AD198">
            <v>0</v>
          </cell>
          <cell r="AE198" t="str">
            <v>NT7</v>
          </cell>
          <cell r="AF198">
            <v>0</v>
          </cell>
          <cell r="AG198" t="str">
            <v>A</v>
          </cell>
          <cell r="AH198">
            <v>4</v>
          </cell>
          <cell r="AI198" t="str">
            <v>A</v>
          </cell>
          <cell r="AJ198">
            <v>4</v>
          </cell>
          <cell r="AK198" t="str">
            <v>P5,D5</v>
          </cell>
          <cell r="AL198">
            <v>0</v>
          </cell>
          <cell r="AM198" t="str">
            <v>NV</v>
          </cell>
          <cell r="AN198">
            <v>0</v>
          </cell>
          <cell r="AO198">
            <v>0</v>
          </cell>
          <cell r="AP198">
            <v>0</v>
          </cell>
          <cell r="AQ198" t="str">
            <v>NV</v>
          </cell>
          <cell r="AR198">
            <v>0</v>
          </cell>
          <cell r="AS198" t="str">
            <v>NV</v>
          </cell>
          <cell r="AT198">
            <v>0</v>
          </cell>
          <cell r="AU198" t="str">
            <v>NV</v>
          </cell>
          <cell r="AV198">
            <v>0</v>
          </cell>
          <cell r="AW198" t="str">
            <v>NV</v>
          </cell>
          <cell r="AX198">
            <v>0</v>
          </cell>
          <cell r="AY198" t="str">
            <v>NV</v>
          </cell>
          <cell r="AZ198">
            <v>0</v>
          </cell>
          <cell r="BA198" t="str">
            <v>NV</v>
          </cell>
          <cell r="BB198">
            <v>0</v>
          </cell>
          <cell r="BC198">
            <v>0</v>
          </cell>
          <cell r="BD198">
            <v>0</v>
          </cell>
          <cell r="BE198" t="str">
            <v>NV</v>
          </cell>
          <cell r="BF198">
            <v>0</v>
          </cell>
          <cell r="BG198" t="str">
            <v>NV</v>
          </cell>
          <cell r="BH198">
            <v>0</v>
          </cell>
          <cell r="BI198" t="str">
            <v>NV</v>
          </cell>
          <cell r="BJ198">
            <v>0</v>
          </cell>
          <cell r="BK198" t="str">
            <v>NV</v>
          </cell>
          <cell r="BL198">
            <v>0</v>
          </cell>
          <cell r="BM198" t="str">
            <v>NV</v>
          </cell>
          <cell r="BN198">
            <v>0</v>
          </cell>
          <cell r="BO198" t="str">
            <v>NV</v>
          </cell>
          <cell r="BP198">
            <v>0</v>
          </cell>
          <cell r="BQ198">
            <v>5</v>
          </cell>
          <cell r="BR198">
            <v>1</v>
          </cell>
          <cell r="BS198">
            <v>0</v>
          </cell>
          <cell r="BT198">
            <v>6</v>
          </cell>
          <cell r="BU198">
            <v>0</v>
          </cell>
          <cell r="BV198">
            <v>0</v>
          </cell>
          <cell r="BW198">
            <v>0</v>
          </cell>
          <cell r="BX198">
            <v>1</v>
          </cell>
          <cell r="BY198">
            <v>1</v>
          </cell>
          <cell r="BZ198">
            <v>14</v>
          </cell>
          <cell r="CA198">
            <v>44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70</v>
          </cell>
        </row>
        <row r="199">
          <cell r="A199" t="str">
            <v>A858</v>
          </cell>
          <cell r="B199" t="str">
            <v>Huỳnh Ngọc Độ</v>
          </cell>
          <cell r="C199" t="str">
            <v>GA</v>
          </cell>
          <cell r="D199">
            <v>0</v>
          </cell>
          <cell r="E199">
            <v>42829</v>
          </cell>
          <cell r="F199">
            <v>1</v>
          </cell>
          <cell r="G199" t="str">
            <v>A</v>
          </cell>
          <cell r="H199">
            <v>4</v>
          </cell>
          <cell r="I199" t="str">
            <v>D</v>
          </cell>
          <cell r="J199">
            <v>3</v>
          </cell>
          <cell r="K199" t="str">
            <v>D</v>
          </cell>
          <cell r="L199">
            <v>0</v>
          </cell>
          <cell r="M199">
            <v>0</v>
          </cell>
          <cell r="N199">
            <v>12</v>
          </cell>
          <cell r="O199" t="str">
            <v>NT7</v>
          </cell>
          <cell r="P199">
            <v>0</v>
          </cell>
          <cell r="Q199" t="str">
            <v>A</v>
          </cell>
          <cell r="R199">
            <v>4</v>
          </cell>
          <cell r="S199" t="str">
            <v>D</v>
          </cell>
          <cell r="T199">
            <v>2</v>
          </cell>
          <cell r="U199" t="str">
            <v>D</v>
          </cell>
          <cell r="V199">
            <v>0</v>
          </cell>
          <cell r="W199" t="str">
            <v>D</v>
          </cell>
          <cell r="X199">
            <v>2.5</v>
          </cell>
          <cell r="Y199" t="str">
            <v>D</v>
          </cell>
          <cell r="Z199">
            <v>0</v>
          </cell>
          <cell r="AA199">
            <v>0</v>
          </cell>
          <cell r="AB199">
            <v>8</v>
          </cell>
          <cell r="AC199" t="str">
            <v>A</v>
          </cell>
          <cell r="AD199">
            <v>4</v>
          </cell>
          <cell r="AE199" t="str">
            <v>A</v>
          </cell>
          <cell r="AF199">
            <v>4</v>
          </cell>
          <cell r="AG199" t="str">
            <v>A</v>
          </cell>
          <cell r="AH199">
            <v>4</v>
          </cell>
          <cell r="AI199" t="str">
            <v>A</v>
          </cell>
          <cell r="AJ199">
            <v>4</v>
          </cell>
          <cell r="AK199" t="str">
            <v>A</v>
          </cell>
          <cell r="AL199">
            <v>4</v>
          </cell>
          <cell r="AM199" t="str">
            <v>A</v>
          </cell>
          <cell r="AN199">
            <v>4</v>
          </cell>
          <cell r="AO199">
            <v>0</v>
          </cell>
          <cell r="AP199">
            <v>0</v>
          </cell>
          <cell r="AQ199" t="str">
            <v>NT7</v>
          </cell>
          <cell r="AR199">
            <v>0</v>
          </cell>
          <cell r="AS199" t="str">
            <v>D</v>
          </cell>
          <cell r="AT199">
            <v>2.5</v>
          </cell>
          <cell r="AU199" t="str">
            <v>A</v>
          </cell>
          <cell r="AV199">
            <v>4</v>
          </cell>
          <cell r="AW199" t="str">
            <v>D</v>
          </cell>
          <cell r="AX199">
            <v>2</v>
          </cell>
          <cell r="AY199" t="str">
            <v>A</v>
          </cell>
          <cell r="AZ199">
            <v>4</v>
          </cell>
          <cell r="BA199" t="str">
            <v>A</v>
          </cell>
          <cell r="BB199">
            <v>4</v>
          </cell>
          <cell r="BC199">
            <v>0</v>
          </cell>
          <cell r="BD199">
            <v>5</v>
          </cell>
          <cell r="BE199" t="str">
            <v>A</v>
          </cell>
          <cell r="BF199">
            <v>4</v>
          </cell>
          <cell r="BG199" t="str">
            <v>A</v>
          </cell>
          <cell r="BH199">
            <v>4</v>
          </cell>
          <cell r="BI199" t="str">
            <v>A</v>
          </cell>
          <cell r="BJ199">
            <v>4</v>
          </cell>
          <cell r="BK199" t="str">
            <v>A</v>
          </cell>
          <cell r="BL199">
            <v>4</v>
          </cell>
          <cell r="BM199" t="str">
            <v>A</v>
          </cell>
          <cell r="BN199">
            <v>4</v>
          </cell>
          <cell r="BO199" t="str">
            <v>A</v>
          </cell>
          <cell r="BP199">
            <v>4</v>
          </cell>
          <cell r="BQ199">
            <v>17</v>
          </cell>
          <cell r="BR199">
            <v>8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2</v>
          </cell>
          <cell r="BY199">
            <v>0</v>
          </cell>
          <cell r="BZ199">
            <v>27</v>
          </cell>
          <cell r="CA199">
            <v>80</v>
          </cell>
          <cell r="CB199">
            <v>25</v>
          </cell>
          <cell r="CC199">
            <v>0</v>
          </cell>
          <cell r="CD199">
            <v>0</v>
          </cell>
          <cell r="CE199">
            <v>1</v>
          </cell>
          <cell r="CF199">
            <v>0</v>
          </cell>
          <cell r="CG199">
            <v>2</v>
          </cell>
          <cell r="CH199">
            <v>16</v>
          </cell>
          <cell r="CI199">
            <v>70</v>
          </cell>
        </row>
        <row r="200">
          <cell r="A200" t="str">
            <v>A860</v>
          </cell>
          <cell r="B200" t="str">
            <v>Nguyễn Ngọc Tâm</v>
          </cell>
          <cell r="C200" t="str">
            <v>CII.3</v>
          </cell>
          <cell r="D200">
            <v>0</v>
          </cell>
          <cell r="E200">
            <v>42829</v>
          </cell>
          <cell r="F200">
            <v>1</v>
          </cell>
          <cell r="G200" t="str">
            <v>A</v>
          </cell>
          <cell r="H200">
            <v>4</v>
          </cell>
          <cell r="I200" t="str">
            <v>A</v>
          </cell>
          <cell r="J200">
            <v>4</v>
          </cell>
          <cell r="K200" t="str">
            <v>D</v>
          </cell>
          <cell r="L200">
            <v>0</v>
          </cell>
          <cell r="M200">
            <v>0</v>
          </cell>
          <cell r="N200">
            <v>0</v>
          </cell>
          <cell r="O200" t="str">
            <v>A</v>
          </cell>
          <cell r="P200">
            <v>4</v>
          </cell>
          <cell r="Q200" t="str">
            <v>D</v>
          </cell>
          <cell r="R200">
            <v>2.5</v>
          </cell>
          <cell r="S200" t="str">
            <v>NT7</v>
          </cell>
          <cell r="T200">
            <v>0</v>
          </cell>
          <cell r="U200" t="str">
            <v>A</v>
          </cell>
          <cell r="V200">
            <v>4</v>
          </cell>
          <cell r="W200" t="str">
            <v>A</v>
          </cell>
          <cell r="X200">
            <v>4</v>
          </cell>
          <cell r="Y200" t="str">
            <v>D</v>
          </cell>
          <cell r="Z200">
            <v>0</v>
          </cell>
          <cell r="AA200">
            <v>0</v>
          </cell>
          <cell r="AB200">
            <v>12</v>
          </cell>
          <cell r="AC200" t="str">
            <v>D</v>
          </cell>
          <cell r="AD200">
            <v>2</v>
          </cell>
          <cell r="AE200" t="str">
            <v>R0,D5</v>
          </cell>
          <cell r="AF200">
            <v>0</v>
          </cell>
          <cell r="AG200" t="str">
            <v>A</v>
          </cell>
          <cell r="AH200">
            <v>4</v>
          </cell>
          <cell r="AI200" t="str">
            <v>A</v>
          </cell>
          <cell r="AJ200">
            <v>4</v>
          </cell>
          <cell r="AK200" t="str">
            <v>A</v>
          </cell>
          <cell r="AL200">
            <v>4</v>
          </cell>
          <cell r="AM200" t="str">
            <v>D</v>
          </cell>
          <cell r="AN200">
            <v>0</v>
          </cell>
          <cell r="AO200">
            <v>0</v>
          </cell>
          <cell r="AP200">
            <v>0</v>
          </cell>
          <cell r="AQ200" t="str">
            <v>D</v>
          </cell>
          <cell r="AR200">
            <v>0</v>
          </cell>
          <cell r="AS200" t="str">
            <v>P</v>
          </cell>
          <cell r="AT200">
            <v>0</v>
          </cell>
          <cell r="AU200" t="str">
            <v>A</v>
          </cell>
          <cell r="AV200">
            <v>4</v>
          </cell>
          <cell r="AW200" t="str">
            <v>D</v>
          </cell>
          <cell r="AX200">
            <v>2</v>
          </cell>
          <cell r="AY200" t="str">
            <v>A</v>
          </cell>
          <cell r="AZ200">
            <v>4</v>
          </cell>
          <cell r="BA200" t="str">
            <v>D</v>
          </cell>
          <cell r="BB200">
            <v>0</v>
          </cell>
          <cell r="BC200">
            <v>0</v>
          </cell>
          <cell r="BD200">
            <v>8</v>
          </cell>
          <cell r="BE200" t="str">
            <v>NT7</v>
          </cell>
          <cell r="BF200">
            <v>0</v>
          </cell>
          <cell r="BG200" t="str">
            <v>A</v>
          </cell>
          <cell r="BH200">
            <v>4</v>
          </cell>
          <cell r="BI200" t="str">
            <v>A</v>
          </cell>
          <cell r="BJ200">
            <v>4</v>
          </cell>
          <cell r="BK200" t="str">
            <v>P</v>
          </cell>
          <cell r="BL200">
            <v>0</v>
          </cell>
          <cell r="BM200" t="str">
            <v>R0</v>
          </cell>
          <cell r="BN200">
            <v>0</v>
          </cell>
          <cell r="BO200" t="str">
            <v>D</v>
          </cell>
          <cell r="BP200">
            <v>2</v>
          </cell>
          <cell r="BQ200">
            <v>12</v>
          </cell>
          <cell r="BR200">
            <v>9.5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2</v>
          </cell>
          <cell r="BY200">
            <v>2</v>
          </cell>
          <cell r="BZ200">
            <v>25.5</v>
          </cell>
          <cell r="CA200">
            <v>56.5</v>
          </cell>
          <cell r="CB200">
            <v>20</v>
          </cell>
          <cell r="CC200">
            <v>0</v>
          </cell>
          <cell r="CD200">
            <v>0</v>
          </cell>
          <cell r="CE200">
            <v>1</v>
          </cell>
          <cell r="CF200">
            <v>0</v>
          </cell>
          <cell r="CG200">
            <v>0</v>
          </cell>
          <cell r="CH200">
            <v>16</v>
          </cell>
          <cell r="CI200">
            <v>150</v>
          </cell>
        </row>
        <row r="201">
          <cell r="A201" t="str">
            <v>A861</v>
          </cell>
          <cell r="B201" t="str">
            <v>Nguyễn Thanh Quốc Dương</v>
          </cell>
          <cell r="C201" t="str">
            <v>CI.1</v>
          </cell>
          <cell r="D201">
            <v>0</v>
          </cell>
          <cell r="E201">
            <v>42832</v>
          </cell>
          <cell r="F201">
            <v>4.5</v>
          </cell>
          <cell r="G201" t="str">
            <v>A</v>
          </cell>
          <cell r="H201">
            <v>6.5</v>
          </cell>
          <cell r="I201" t="str">
            <v>A</v>
          </cell>
          <cell r="J201">
            <v>6.5</v>
          </cell>
          <cell r="K201" t="str">
            <v>D</v>
          </cell>
          <cell r="L201">
            <v>2.5</v>
          </cell>
          <cell r="M201">
            <v>0</v>
          </cell>
          <cell r="N201">
            <v>8</v>
          </cell>
          <cell r="O201" t="str">
            <v>A</v>
          </cell>
          <cell r="P201">
            <v>4.5</v>
          </cell>
          <cell r="Q201" t="str">
            <v>C</v>
          </cell>
          <cell r="R201">
            <v>4</v>
          </cell>
          <cell r="S201" t="str">
            <v>C</v>
          </cell>
          <cell r="T201">
            <v>4</v>
          </cell>
          <cell r="U201" t="str">
            <v>C</v>
          </cell>
          <cell r="V201">
            <v>4</v>
          </cell>
          <cell r="W201" t="str">
            <v>C</v>
          </cell>
          <cell r="X201">
            <v>4</v>
          </cell>
          <cell r="Y201" t="str">
            <v>C</v>
          </cell>
          <cell r="Z201">
            <v>4</v>
          </cell>
          <cell r="AA201">
            <v>0</v>
          </cell>
          <cell r="AB201">
            <v>0</v>
          </cell>
          <cell r="AC201" t="str">
            <v>D</v>
          </cell>
          <cell r="AD201">
            <v>2.5</v>
          </cell>
          <cell r="AE201" t="str">
            <v>A</v>
          </cell>
          <cell r="AF201">
            <v>6.5</v>
          </cell>
          <cell r="AG201" t="str">
            <v>A</v>
          </cell>
          <cell r="AH201">
            <v>4</v>
          </cell>
          <cell r="AI201" t="str">
            <v>A</v>
          </cell>
          <cell r="AJ201">
            <v>6.5</v>
          </cell>
          <cell r="AK201" t="str">
            <v>A</v>
          </cell>
          <cell r="AL201">
            <v>6.5</v>
          </cell>
          <cell r="AM201" t="str">
            <v>D</v>
          </cell>
          <cell r="AN201">
            <v>2.5</v>
          </cell>
          <cell r="AO201">
            <v>0</v>
          </cell>
          <cell r="AP201">
            <v>8</v>
          </cell>
          <cell r="AQ201" t="str">
            <v>A</v>
          </cell>
          <cell r="AR201">
            <v>6.5</v>
          </cell>
          <cell r="AS201" t="str">
            <v>A</v>
          </cell>
          <cell r="AT201">
            <v>7</v>
          </cell>
          <cell r="AU201" t="str">
            <v>A</v>
          </cell>
          <cell r="AV201">
            <v>4.5</v>
          </cell>
          <cell r="AW201" t="str">
            <v>D</v>
          </cell>
          <cell r="AX201">
            <v>0</v>
          </cell>
          <cell r="AY201" t="str">
            <v>A</v>
          </cell>
          <cell r="AZ201">
            <v>6.5</v>
          </cell>
          <cell r="BA201" t="str">
            <v>D</v>
          </cell>
          <cell r="BB201">
            <v>0</v>
          </cell>
          <cell r="BC201">
            <v>0</v>
          </cell>
          <cell r="BD201">
            <v>0</v>
          </cell>
          <cell r="BE201" t="str">
            <v>NT7</v>
          </cell>
          <cell r="BF201">
            <v>0</v>
          </cell>
          <cell r="BG201" t="str">
            <v>NT7</v>
          </cell>
          <cell r="BH201">
            <v>0</v>
          </cell>
          <cell r="BI201" t="str">
            <v>D</v>
          </cell>
          <cell r="BJ201">
            <v>0</v>
          </cell>
          <cell r="BK201" t="str">
            <v>A</v>
          </cell>
          <cell r="BL201">
            <v>4.5</v>
          </cell>
          <cell r="BM201" t="str">
            <v>D</v>
          </cell>
          <cell r="BN201">
            <v>0</v>
          </cell>
          <cell r="BO201" t="str">
            <v>D</v>
          </cell>
          <cell r="BP201">
            <v>2.5</v>
          </cell>
          <cell r="BQ201">
            <v>12</v>
          </cell>
          <cell r="BR201">
            <v>8</v>
          </cell>
          <cell r="BS201">
            <v>0</v>
          </cell>
          <cell r="BT201">
            <v>5</v>
          </cell>
          <cell r="BU201">
            <v>0</v>
          </cell>
          <cell r="BV201">
            <v>0</v>
          </cell>
          <cell r="BW201">
            <v>0</v>
          </cell>
          <cell r="BX201">
            <v>2</v>
          </cell>
          <cell r="BY201">
            <v>0</v>
          </cell>
          <cell r="BZ201">
            <v>27</v>
          </cell>
          <cell r="CA201">
            <v>100</v>
          </cell>
          <cell r="CB201">
            <v>16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5.5</v>
          </cell>
          <cell r="CH201">
            <v>0</v>
          </cell>
          <cell r="CI201">
            <v>70</v>
          </cell>
        </row>
        <row r="202">
          <cell r="A202" t="str">
            <v>A862</v>
          </cell>
          <cell r="B202" t="str">
            <v>Trần Thị Mỹ Loan</v>
          </cell>
          <cell r="C202" t="str">
            <v>CII.4</v>
          </cell>
          <cell r="D202">
            <v>0</v>
          </cell>
          <cell r="E202">
            <v>42835</v>
          </cell>
          <cell r="F202">
            <v>2</v>
          </cell>
          <cell r="G202" t="str">
            <v>A</v>
          </cell>
          <cell r="H202">
            <v>4</v>
          </cell>
          <cell r="I202" t="str">
            <v>A</v>
          </cell>
          <cell r="J202">
            <v>4</v>
          </cell>
          <cell r="K202" t="str">
            <v>A</v>
          </cell>
          <cell r="L202">
            <v>4</v>
          </cell>
          <cell r="M202">
            <v>0</v>
          </cell>
          <cell r="N202">
            <v>0</v>
          </cell>
          <cell r="O202" t="str">
            <v>C</v>
          </cell>
          <cell r="P202">
            <v>4</v>
          </cell>
          <cell r="Q202" t="str">
            <v>HH</v>
          </cell>
          <cell r="R202">
            <v>0</v>
          </cell>
          <cell r="S202" t="str">
            <v>NT7</v>
          </cell>
          <cell r="T202">
            <v>0</v>
          </cell>
          <cell r="U202" t="str">
            <v>C</v>
          </cell>
          <cell r="V202">
            <v>4</v>
          </cell>
          <cell r="W202" t="str">
            <v>C</v>
          </cell>
          <cell r="X202">
            <v>4</v>
          </cell>
          <cell r="Y202" t="str">
            <v>C</v>
          </cell>
          <cell r="Z202">
            <v>4</v>
          </cell>
          <cell r="AA202">
            <v>0</v>
          </cell>
          <cell r="AB202">
            <v>0</v>
          </cell>
          <cell r="AC202" t="str">
            <v>D</v>
          </cell>
          <cell r="AD202">
            <v>0</v>
          </cell>
          <cell r="AE202" t="str">
            <v>A</v>
          </cell>
          <cell r="AF202">
            <v>4</v>
          </cell>
          <cell r="AG202" t="str">
            <v>A</v>
          </cell>
          <cell r="AH202">
            <v>4</v>
          </cell>
          <cell r="AI202" t="str">
            <v>A</v>
          </cell>
          <cell r="AJ202">
            <v>4</v>
          </cell>
          <cell r="AK202" t="str">
            <v>P</v>
          </cell>
          <cell r="AL202">
            <v>0</v>
          </cell>
          <cell r="AM202" t="str">
            <v>A</v>
          </cell>
          <cell r="AN202">
            <v>4</v>
          </cell>
          <cell r="AO202">
            <v>0</v>
          </cell>
          <cell r="AP202">
            <v>12</v>
          </cell>
          <cell r="AQ202" t="str">
            <v>C</v>
          </cell>
          <cell r="AR202">
            <v>4</v>
          </cell>
          <cell r="AS202" t="str">
            <v>C</v>
          </cell>
          <cell r="AT202">
            <v>4</v>
          </cell>
          <cell r="AU202" t="str">
            <v>C</v>
          </cell>
          <cell r="AV202">
            <v>4</v>
          </cell>
          <cell r="AW202" t="str">
            <v>C</v>
          </cell>
          <cell r="AX202">
            <v>4</v>
          </cell>
          <cell r="AY202" t="str">
            <v>C</v>
          </cell>
          <cell r="AZ202">
            <v>4</v>
          </cell>
          <cell r="BA202" t="str">
            <v>C</v>
          </cell>
          <cell r="BB202">
            <v>4</v>
          </cell>
          <cell r="BC202">
            <v>0</v>
          </cell>
          <cell r="BD202">
            <v>12</v>
          </cell>
          <cell r="BE202" t="str">
            <v>C</v>
          </cell>
          <cell r="BF202">
            <v>4</v>
          </cell>
          <cell r="BG202" t="str">
            <v>C</v>
          </cell>
          <cell r="BH202">
            <v>4</v>
          </cell>
          <cell r="BI202" t="str">
            <v>C</v>
          </cell>
          <cell r="BJ202">
            <v>4</v>
          </cell>
          <cell r="BK202" t="str">
            <v>NT7</v>
          </cell>
          <cell r="BL202">
            <v>0</v>
          </cell>
          <cell r="BM202" t="str">
            <v>A</v>
          </cell>
          <cell r="BN202">
            <v>4</v>
          </cell>
          <cell r="BO202" t="str">
            <v>A</v>
          </cell>
          <cell r="BP202">
            <v>4</v>
          </cell>
          <cell r="BQ202">
            <v>9</v>
          </cell>
          <cell r="BR202">
            <v>1</v>
          </cell>
          <cell r="BS202">
            <v>0</v>
          </cell>
          <cell r="BT202">
            <v>13</v>
          </cell>
          <cell r="BU202">
            <v>0</v>
          </cell>
          <cell r="BV202">
            <v>0</v>
          </cell>
          <cell r="BW202">
            <v>1</v>
          </cell>
          <cell r="BX202">
            <v>2</v>
          </cell>
          <cell r="BY202">
            <v>1</v>
          </cell>
          <cell r="BZ202">
            <v>27</v>
          </cell>
          <cell r="CA202">
            <v>88</v>
          </cell>
          <cell r="CB202">
            <v>24</v>
          </cell>
          <cell r="CC202">
            <v>0</v>
          </cell>
          <cell r="CD202">
            <v>0</v>
          </cell>
          <cell r="CE202">
            <v>3</v>
          </cell>
          <cell r="CF202">
            <v>0</v>
          </cell>
          <cell r="CG202">
            <v>2</v>
          </cell>
          <cell r="CH202">
            <v>48</v>
          </cell>
          <cell r="CI202">
            <v>70</v>
          </cell>
        </row>
        <row r="203">
          <cell r="A203" t="str">
            <v>A864</v>
          </cell>
          <cell r="B203" t="str">
            <v>Trần Hoàng Vũ</v>
          </cell>
          <cell r="C203" t="str">
            <v>CI.1</v>
          </cell>
          <cell r="D203">
            <v>0</v>
          </cell>
          <cell r="E203">
            <v>42837</v>
          </cell>
          <cell r="F203">
            <v>3.5</v>
          </cell>
          <cell r="G203" t="str">
            <v>C</v>
          </cell>
          <cell r="H203">
            <v>4</v>
          </cell>
          <cell r="I203" t="str">
            <v>C</v>
          </cell>
          <cell r="J203">
            <v>4</v>
          </cell>
          <cell r="K203" t="str">
            <v>C</v>
          </cell>
          <cell r="L203">
            <v>4</v>
          </cell>
          <cell r="M203">
            <v>0</v>
          </cell>
          <cell r="N203">
            <v>0</v>
          </cell>
          <cell r="O203" t="str">
            <v>A</v>
          </cell>
          <cell r="P203">
            <v>4</v>
          </cell>
          <cell r="Q203" t="str">
            <v>A</v>
          </cell>
          <cell r="R203">
            <v>4</v>
          </cell>
          <cell r="S203" t="str">
            <v>A</v>
          </cell>
          <cell r="T203">
            <v>4</v>
          </cell>
          <cell r="U203" t="str">
            <v>A</v>
          </cell>
          <cell r="V203">
            <v>4</v>
          </cell>
          <cell r="W203" t="str">
            <v>A</v>
          </cell>
          <cell r="X203">
            <v>4</v>
          </cell>
          <cell r="Y203" t="str">
            <v>NT7</v>
          </cell>
          <cell r="Z203">
            <v>0</v>
          </cell>
          <cell r="AA203">
            <v>0</v>
          </cell>
          <cell r="AB203">
            <v>0</v>
          </cell>
          <cell r="AC203" t="str">
            <v>HH</v>
          </cell>
          <cell r="AD203">
            <v>0</v>
          </cell>
          <cell r="AE203" t="str">
            <v>C</v>
          </cell>
          <cell r="AF203">
            <v>4</v>
          </cell>
          <cell r="AG203" t="str">
            <v>C</v>
          </cell>
          <cell r="AH203">
            <v>4</v>
          </cell>
          <cell r="AI203" t="str">
            <v>C</v>
          </cell>
          <cell r="AJ203">
            <v>4</v>
          </cell>
          <cell r="AK203" t="str">
            <v>C</v>
          </cell>
          <cell r="AL203">
            <v>4</v>
          </cell>
          <cell r="AM203" t="str">
            <v>C</v>
          </cell>
          <cell r="AN203">
            <v>4</v>
          </cell>
          <cell r="AO203">
            <v>0</v>
          </cell>
          <cell r="AP203">
            <v>0</v>
          </cell>
          <cell r="AQ203" t="str">
            <v>D</v>
          </cell>
          <cell r="AR203">
            <v>0</v>
          </cell>
          <cell r="AS203" t="str">
            <v>D</v>
          </cell>
          <cell r="AT203">
            <v>0</v>
          </cell>
          <cell r="AU203" t="str">
            <v>A</v>
          </cell>
          <cell r="AV203">
            <v>4</v>
          </cell>
          <cell r="AW203" t="str">
            <v>D</v>
          </cell>
          <cell r="AX203">
            <v>1</v>
          </cell>
          <cell r="AY203" t="str">
            <v>A</v>
          </cell>
          <cell r="AZ203">
            <v>4</v>
          </cell>
          <cell r="BA203" t="str">
            <v>A</v>
          </cell>
          <cell r="BB203">
            <v>4</v>
          </cell>
          <cell r="BC203">
            <v>0</v>
          </cell>
          <cell r="BD203">
            <v>16</v>
          </cell>
          <cell r="BE203" t="str">
            <v>C</v>
          </cell>
          <cell r="BF203">
            <v>4</v>
          </cell>
          <cell r="BG203" t="str">
            <v>C</v>
          </cell>
          <cell r="BH203">
            <v>4</v>
          </cell>
          <cell r="BI203" t="str">
            <v>C</v>
          </cell>
          <cell r="BJ203">
            <v>4</v>
          </cell>
          <cell r="BK203" t="str">
            <v>C</v>
          </cell>
          <cell r="BL203">
            <v>4</v>
          </cell>
          <cell r="BM203" t="str">
            <v>C</v>
          </cell>
          <cell r="BN203">
            <v>4</v>
          </cell>
          <cell r="BO203" t="str">
            <v>HH</v>
          </cell>
          <cell r="BP203">
            <v>0</v>
          </cell>
          <cell r="BQ203">
            <v>8</v>
          </cell>
          <cell r="BR203">
            <v>3</v>
          </cell>
          <cell r="BS203">
            <v>0</v>
          </cell>
          <cell r="BT203">
            <v>13</v>
          </cell>
          <cell r="BU203">
            <v>0</v>
          </cell>
          <cell r="BV203">
            <v>0</v>
          </cell>
          <cell r="BW203">
            <v>2</v>
          </cell>
          <cell r="BX203">
            <v>1</v>
          </cell>
          <cell r="BY203">
            <v>0</v>
          </cell>
          <cell r="BZ203">
            <v>27</v>
          </cell>
          <cell r="CA203">
            <v>85</v>
          </cell>
          <cell r="CB203">
            <v>16</v>
          </cell>
          <cell r="CC203">
            <v>0</v>
          </cell>
          <cell r="CD203">
            <v>1</v>
          </cell>
          <cell r="CE203">
            <v>1</v>
          </cell>
          <cell r="CF203">
            <v>70</v>
          </cell>
          <cell r="CG203">
            <v>4.5</v>
          </cell>
          <cell r="CH203">
            <v>16</v>
          </cell>
          <cell r="CI203">
            <v>70</v>
          </cell>
        </row>
        <row r="204">
          <cell r="A204" t="str">
            <v>A865</v>
          </cell>
          <cell r="B204" t="str">
            <v>Võ Trọng Thịnh</v>
          </cell>
          <cell r="C204" t="str">
            <v>CII.4</v>
          </cell>
          <cell r="D204">
            <v>0</v>
          </cell>
          <cell r="E204">
            <v>42832</v>
          </cell>
          <cell r="F204">
            <v>0.5</v>
          </cell>
          <cell r="G204" t="str">
            <v>D</v>
          </cell>
          <cell r="H204">
            <v>0</v>
          </cell>
          <cell r="I204" t="str">
            <v>A</v>
          </cell>
          <cell r="J204">
            <v>4</v>
          </cell>
          <cell r="K204" t="str">
            <v>A</v>
          </cell>
          <cell r="L204">
            <v>4</v>
          </cell>
          <cell r="M204">
            <v>0</v>
          </cell>
          <cell r="N204">
            <v>0</v>
          </cell>
          <cell r="O204" t="str">
            <v>R0</v>
          </cell>
          <cell r="P204">
            <v>0</v>
          </cell>
          <cell r="Q204" t="str">
            <v>R0</v>
          </cell>
          <cell r="R204">
            <v>0</v>
          </cell>
          <cell r="S204" t="str">
            <v>R0</v>
          </cell>
          <cell r="T204">
            <v>0</v>
          </cell>
          <cell r="U204" t="str">
            <v>R0</v>
          </cell>
          <cell r="V204">
            <v>0</v>
          </cell>
          <cell r="W204" t="str">
            <v>R0</v>
          </cell>
          <cell r="X204">
            <v>0</v>
          </cell>
          <cell r="Y204" t="str">
            <v>R0</v>
          </cell>
          <cell r="Z204">
            <v>0</v>
          </cell>
          <cell r="AA204">
            <v>0</v>
          </cell>
          <cell r="AB204">
            <v>0</v>
          </cell>
          <cell r="AC204" t="str">
            <v>R0</v>
          </cell>
          <cell r="AD204">
            <v>0</v>
          </cell>
          <cell r="AE204" t="str">
            <v>R0</v>
          </cell>
          <cell r="AF204">
            <v>0</v>
          </cell>
          <cell r="AG204" t="str">
            <v>R0</v>
          </cell>
          <cell r="AH204">
            <v>0</v>
          </cell>
          <cell r="AI204" t="str">
            <v>R0</v>
          </cell>
          <cell r="AJ204">
            <v>0</v>
          </cell>
          <cell r="AK204" t="str">
            <v>R0</v>
          </cell>
          <cell r="AL204">
            <v>0</v>
          </cell>
          <cell r="AM204" t="str">
            <v>R0</v>
          </cell>
          <cell r="AN204">
            <v>0</v>
          </cell>
          <cell r="AO204">
            <v>0</v>
          </cell>
          <cell r="AP204">
            <v>0</v>
          </cell>
          <cell r="AQ204" t="str">
            <v>R0</v>
          </cell>
          <cell r="AR204">
            <v>0</v>
          </cell>
          <cell r="AS204" t="str">
            <v>R0</v>
          </cell>
          <cell r="AT204">
            <v>0</v>
          </cell>
          <cell r="AU204" t="str">
            <v>R0</v>
          </cell>
          <cell r="AV204">
            <v>0</v>
          </cell>
          <cell r="AW204" t="str">
            <v>R0</v>
          </cell>
          <cell r="AX204">
            <v>0</v>
          </cell>
          <cell r="AY204" t="str">
            <v>R0</v>
          </cell>
          <cell r="AZ204">
            <v>0</v>
          </cell>
          <cell r="BA204" t="str">
            <v>R0</v>
          </cell>
          <cell r="BB204">
            <v>0</v>
          </cell>
          <cell r="BC204">
            <v>0</v>
          </cell>
          <cell r="BD204">
            <v>0</v>
          </cell>
          <cell r="BE204" t="str">
            <v>R0</v>
          </cell>
          <cell r="BF204">
            <v>0</v>
          </cell>
          <cell r="BG204" t="str">
            <v>R0</v>
          </cell>
          <cell r="BH204">
            <v>0</v>
          </cell>
          <cell r="BI204" t="str">
            <v>R0</v>
          </cell>
          <cell r="BJ204">
            <v>0</v>
          </cell>
          <cell r="BK204" t="str">
            <v>R0</v>
          </cell>
          <cell r="BL204">
            <v>0</v>
          </cell>
          <cell r="BM204" t="str">
            <v>R0</v>
          </cell>
          <cell r="BN204">
            <v>0</v>
          </cell>
          <cell r="BO204" t="str">
            <v>R0</v>
          </cell>
          <cell r="BP204">
            <v>0</v>
          </cell>
          <cell r="BQ204">
            <v>2</v>
          </cell>
          <cell r="BR204">
            <v>1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3</v>
          </cell>
          <cell r="CA204">
            <v>8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1.5</v>
          </cell>
          <cell r="CH204">
            <v>0</v>
          </cell>
          <cell r="CI204">
            <v>70</v>
          </cell>
        </row>
        <row r="205">
          <cell r="A205" t="str">
            <v>A867</v>
          </cell>
          <cell r="B205" t="str">
            <v>Đoàn Văn Lý</v>
          </cell>
          <cell r="C205" t="str">
            <v>PHOI</v>
          </cell>
          <cell r="D205">
            <v>0</v>
          </cell>
          <cell r="E205">
            <v>42842</v>
          </cell>
          <cell r="F205">
            <v>4</v>
          </cell>
          <cell r="G205" t="str">
            <v>A</v>
          </cell>
          <cell r="H205">
            <v>4</v>
          </cell>
          <cell r="I205" t="str">
            <v>A</v>
          </cell>
          <cell r="J205">
            <v>4</v>
          </cell>
          <cell r="K205" t="str">
            <v>A</v>
          </cell>
          <cell r="L205">
            <v>4</v>
          </cell>
          <cell r="M205">
            <v>0</v>
          </cell>
          <cell r="N205">
            <v>10</v>
          </cell>
          <cell r="O205" t="str">
            <v>A</v>
          </cell>
          <cell r="P205">
            <v>6</v>
          </cell>
          <cell r="Q205" t="str">
            <v>A</v>
          </cell>
          <cell r="R205">
            <v>6</v>
          </cell>
          <cell r="S205" t="str">
            <v>A</v>
          </cell>
          <cell r="T205">
            <v>6</v>
          </cell>
          <cell r="U205" t="str">
            <v>A</v>
          </cell>
          <cell r="V205">
            <v>4</v>
          </cell>
          <cell r="W205" t="str">
            <v>A</v>
          </cell>
          <cell r="X205">
            <v>4</v>
          </cell>
          <cell r="Y205" t="str">
            <v>A</v>
          </cell>
          <cell r="Z205">
            <v>4</v>
          </cell>
          <cell r="AA205">
            <v>0</v>
          </cell>
          <cell r="AB205">
            <v>0</v>
          </cell>
          <cell r="AC205" t="str">
            <v>A</v>
          </cell>
          <cell r="AD205">
            <v>4</v>
          </cell>
          <cell r="AE205" t="str">
            <v>A</v>
          </cell>
          <cell r="AF205">
            <v>4</v>
          </cell>
          <cell r="AG205" t="str">
            <v>D</v>
          </cell>
          <cell r="AH205">
            <v>2</v>
          </cell>
          <cell r="AI205" t="str">
            <v>A</v>
          </cell>
          <cell r="AJ205">
            <v>6</v>
          </cell>
          <cell r="AK205" t="str">
            <v>A</v>
          </cell>
          <cell r="AL205">
            <v>4</v>
          </cell>
          <cell r="AM205" t="str">
            <v>A</v>
          </cell>
          <cell r="AN205">
            <v>4</v>
          </cell>
          <cell r="AO205">
            <v>0</v>
          </cell>
          <cell r="AP205">
            <v>0</v>
          </cell>
          <cell r="AQ205" t="str">
            <v>A</v>
          </cell>
          <cell r="AR205">
            <v>6</v>
          </cell>
          <cell r="AS205" t="str">
            <v>A</v>
          </cell>
          <cell r="AT205">
            <v>4</v>
          </cell>
          <cell r="AU205" t="str">
            <v>A</v>
          </cell>
          <cell r="AV205">
            <v>6</v>
          </cell>
          <cell r="AW205" t="str">
            <v>A</v>
          </cell>
          <cell r="AX205">
            <v>6</v>
          </cell>
          <cell r="AY205" t="str">
            <v>A</v>
          </cell>
          <cell r="AZ205">
            <v>4</v>
          </cell>
          <cell r="BA205" t="str">
            <v>A</v>
          </cell>
          <cell r="BB205">
            <v>4</v>
          </cell>
          <cell r="BC205">
            <v>0</v>
          </cell>
          <cell r="BD205">
            <v>10</v>
          </cell>
          <cell r="BE205" t="str">
            <v>D</v>
          </cell>
          <cell r="BF205">
            <v>0</v>
          </cell>
          <cell r="BG205" t="str">
            <v>NT7</v>
          </cell>
          <cell r="BH205">
            <v>0</v>
          </cell>
          <cell r="BI205" t="str">
            <v>NT7</v>
          </cell>
          <cell r="BJ205">
            <v>0</v>
          </cell>
          <cell r="BK205" t="str">
            <v>D</v>
          </cell>
          <cell r="BL205">
            <v>0</v>
          </cell>
          <cell r="BM205" t="str">
            <v>A</v>
          </cell>
          <cell r="BN205">
            <v>6</v>
          </cell>
          <cell r="BO205" t="str">
            <v>A</v>
          </cell>
          <cell r="BP205">
            <v>4</v>
          </cell>
          <cell r="BQ205">
            <v>22</v>
          </cell>
          <cell r="BR205">
            <v>3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2</v>
          </cell>
          <cell r="BY205">
            <v>0</v>
          </cell>
          <cell r="BZ205">
            <v>27</v>
          </cell>
          <cell r="CA205">
            <v>106</v>
          </cell>
          <cell r="CB205">
            <v>20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5</v>
          </cell>
          <cell r="CH205">
            <v>0</v>
          </cell>
          <cell r="CI205">
            <v>70</v>
          </cell>
        </row>
        <row r="206">
          <cell r="A206" t="str">
            <v>A869</v>
          </cell>
          <cell r="B206" t="str">
            <v>Nguyễn Văn Xuân</v>
          </cell>
          <cell r="C206" t="str">
            <v>EN</v>
          </cell>
          <cell r="D206">
            <v>0</v>
          </cell>
          <cell r="E206">
            <v>42836</v>
          </cell>
          <cell r="F206">
            <v>4.5</v>
          </cell>
          <cell r="G206" t="str">
            <v>C</v>
          </cell>
          <cell r="H206">
            <v>4</v>
          </cell>
          <cell r="I206" t="str">
            <v>C</v>
          </cell>
          <cell r="J206">
            <v>4</v>
          </cell>
          <cell r="K206" t="str">
            <v>C</v>
          </cell>
          <cell r="L206">
            <v>4</v>
          </cell>
          <cell r="M206">
            <v>0</v>
          </cell>
          <cell r="N206">
            <v>0</v>
          </cell>
          <cell r="O206" t="str">
            <v>C</v>
          </cell>
          <cell r="P206">
            <v>4</v>
          </cell>
          <cell r="Q206" t="str">
            <v>C</v>
          </cell>
          <cell r="R206">
            <v>4</v>
          </cell>
          <cell r="S206" t="str">
            <v>C</v>
          </cell>
          <cell r="T206">
            <v>4</v>
          </cell>
          <cell r="U206" t="str">
            <v>C</v>
          </cell>
          <cell r="V206">
            <v>4</v>
          </cell>
          <cell r="W206" t="str">
            <v>C</v>
          </cell>
          <cell r="X206">
            <v>4</v>
          </cell>
          <cell r="Y206" t="str">
            <v>C</v>
          </cell>
          <cell r="Z206">
            <v>4</v>
          </cell>
          <cell r="AA206">
            <v>0</v>
          </cell>
          <cell r="AB206">
            <v>0</v>
          </cell>
          <cell r="AC206" t="str">
            <v>A</v>
          </cell>
          <cell r="AD206">
            <v>4</v>
          </cell>
          <cell r="AE206" t="str">
            <v>A</v>
          </cell>
          <cell r="AF206">
            <v>4</v>
          </cell>
          <cell r="AG206" t="str">
            <v>A</v>
          </cell>
          <cell r="AH206">
            <v>4</v>
          </cell>
          <cell r="AI206" t="str">
            <v>A</v>
          </cell>
          <cell r="AJ206">
            <v>4</v>
          </cell>
          <cell r="AK206" t="str">
            <v>A</v>
          </cell>
          <cell r="AL206">
            <v>4</v>
          </cell>
          <cell r="AM206" t="str">
            <v>A</v>
          </cell>
          <cell r="AN206">
            <v>4</v>
          </cell>
          <cell r="AO206">
            <v>0</v>
          </cell>
          <cell r="AP206">
            <v>0</v>
          </cell>
          <cell r="AQ206" t="str">
            <v>C</v>
          </cell>
          <cell r="AR206">
            <v>4</v>
          </cell>
          <cell r="AS206" t="str">
            <v>C</v>
          </cell>
          <cell r="AT206">
            <v>4</v>
          </cell>
          <cell r="AU206" t="str">
            <v>C</v>
          </cell>
          <cell r="AV206">
            <v>4</v>
          </cell>
          <cell r="AW206" t="str">
            <v>C</v>
          </cell>
          <cell r="AX206">
            <v>4</v>
          </cell>
          <cell r="AY206" t="str">
            <v>C</v>
          </cell>
          <cell r="AZ206">
            <v>4</v>
          </cell>
          <cell r="BA206" t="str">
            <v>C</v>
          </cell>
          <cell r="BB206">
            <v>4</v>
          </cell>
          <cell r="BC206">
            <v>0</v>
          </cell>
          <cell r="BD206">
            <v>0</v>
          </cell>
          <cell r="BE206" t="str">
            <v>C</v>
          </cell>
          <cell r="BF206">
            <v>4</v>
          </cell>
          <cell r="BG206" t="str">
            <v>C</v>
          </cell>
          <cell r="BH206">
            <v>4</v>
          </cell>
          <cell r="BI206" t="str">
            <v>C</v>
          </cell>
          <cell r="BJ206">
            <v>4</v>
          </cell>
          <cell r="BK206" t="str">
            <v>C</v>
          </cell>
          <cell r="BL206">
            <v>4</v>
          </cell>
          <cell r="BM206" t="str">
            <v>C</v>
          </cell>
          <cell r="BN206">
            <v>4</v>
          </cell>
          <cell r="BO206" t="str">
            <v>C</v>
          </cell>
          <cell r="BP206">
            <v>4</v>
          </cell>
          <cell r="BQ206">
            <v>6</v>
          </cell>
          <cell r="BR206">
            <v>0</v>
          </cell>
          <cell r="BS206">
            <v>0</v>
          </cell>
          <cell r="BT206">
            <v>21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27</v>
          </cell>
          <cell r="CA206">
            <v>108</v>
          </cell>
          <cell r="CB206">
            <v>0</v>
          </cell>
          <cell r="CC206">
            <v>0</v>
          </cell>
          <cell r="CD206">
            <v>2</v>
          </cell>
          <cell r="CE206">
            <v>0</v>
          </cell>
          <cell r="CF206">
            <v>140</v>
          </cell>
          <cell r="CG206">
            <v>5.5</v>
          </cell>
          <cell r="CH206">
            <v>0</v>
          </cell>
          <cell r="CI206">
            <v>70</v>
          </cell>
        </row>
        <row r="207">
          <cell r="A207" t="str">
            <v>A870</v>
          </cell>
          <cell r="B207" t="str">
            <v>Đoàn Thị Thương</v>
          </cell>
          <cell r="C207" t="str">
            <v>QCX</v>
          </cell>
          <cell r="D207">
            <v>0</v>
          </cell>
          <cell r="E207">
            <v>42837</v>
          </cell>
          <cell r="F207">
            <v>0</v>
          </cell>
          <cell r="G207" t="str">
            <v>A</v>
          </cell>
          <cell r="H207">
            <v>4</v>
          </cell>
          <cell r="I207" t="str">
            <v>A</v>
          </cell>
          <cell r="J207">
            <v>4</v>
          </cell>
          <cell r="K207" t="str">
            <v>A</v>
          </cell>
          <cell r="L207">
            <v>4</v>
          </cell>
          <cell r="M207">
            <v>0</v>
          </cell>
          <cell r="N207">
            <v>12</v>
          </cell>
          <cell r="O207" t="str">
            <v>C</v>
          </cell>
          <cell r="P207">
            <v>4</v>
          </cell>
          <cell r="Q207" t="str">
            <v>C</v>
          </cell>
          <cell r="R207">
            <v>4</v>
          </cell>
          <cell r="S207" t="str">
            <v>C</v>
          </cell>
          <cell r="T207">
            <v>4</v>
          </cell>
          <cell r="U207" t="str">
            <v>B</v>
          </cell>
          <cell r="V207">
            <v>0</v>
          </cell>
          <cell r="W207" t="str">
            <v>C</v>
          </cell>
          <cell r="X207">
            <v>4</v>
          </cell>
          <cell r="Y207" t="str">
            <v>C</v>
          </cell>
          <cell r="Z207">
            <v>4</v>
          </cell>
          <cell r="AA207">
            <v>0</v>
          </cell>
          <cell r="AB207">
            <v>0</v>
          </cell>
          <cell r="AC207" t="str">
            <v>NT7</v>
          </cell>
          <cell r="AD207">
            <v>0</v>
          </cell>
          <cell r="AE207" t="str">
            <v>NT7</v>
          </cell>
          <cell r="AF207">
            <v>0</v>
          </cell>
          <cell r="AG207" t="str">
            <v>D</v>
          </cell>
          <cell r="AH207">
            <v>0</v>
          </cell>
          <cell r="AI207" t="str">
            <v>A</v>
          </cell>
          <cell r="AJ207">
            <v>4</v>
          </cell>
          <cell r="AK207" t="str">
            <v>D</v>
          </cell>
          <cell r="AL207">
            <v>0</v>
          </cell>
          <cell r="AM207" t="str">
            <v>A</v>
          </cell>
          <cell r="AN207">
            <v>4</v>
          </cell>
          <cell r="AO207">
            <v>0</v>
          </cell>
          <cell r="AP207">
            <v>0</v>
          </cell>
          <cell r="AQ207" t="str">
            <v>A</v>
          </cell>
          <cell r="AR207">
            <v>4</v>
          </cell>
          <cell r="AS207" t="str">
            <v>D</v>
          </cell>
          <cell r="AT207">
            <v>2</v>
          </cell>
          <cell r="AU207" t="str">
            <v>C</v>
          </cell>
          <cell r="AV207">
            <v>4</v>
          </cell>
          <cell r="AW207" t="str">
            <v>C</v>
          </cell>
          <cell r="AX207">
            <v>4</v>
          </cell>
          <cell r="AY207" t="str">
            <v>C</v>
          </cell>
          <cell r="AZ207">
            <v>4</v>
          </cell>
          <cell r="BA207" t="str">
            <v>C</v>
          </cell>
          <cell r="BB207">
            <v>4</v>
          </cell>
          <cell r="BC207">
            <v>0</v>
          </cell>
          <cell r="BD207">
            <v>0</v>
          </cell>
          <cell r="BE207" t="str">
            <v>A</v>
          </cell>
          <cell r="BF207">
            <v>4</v>
          </cell>
          <cell r="BG207" t="str">
            <v>A</v>
          </cell>
          <cell r="BH207">
            <v>4</v>
          </cell>
          <cell r="BI207" t="str">
            <v>A</v>
          </cell>
          <cell r="BJ207">
            <v>4</v>
          </cell>
          <cell r="BK207" t="str">
            <v>A</v>
          </cell>
          <cell r="BL207">
            <v>4</v>
          </cell>
          <cell r="BM207" t="str">
            <v>A</v>
          </cell>
          <cell r="BN207">
            <v>4</v>
          </cell>
          <cell r="BO207" t="str">
            <v>D</v>
          </cell>
          <cell r="BP207">
            <v>0</v>
          </cell>
          <cell r="BQ207">
            <v>11</v>
          </cell>
          <cell r="BR207">
            <v>4</v>
          </cell>
          <cell r="BS207">
            <v>1</v>
          </cell>
          <cell r="BT207">
            <v>9</v>
          </cell>
          <cell r="BU207">
            <v>0</v>
          </cell>
          <cell r="BV207">
            <v>0</v>
          </cell>
          <cell r="BW207">
            <v>0</v>
          </cell>
          <cell r="BX207">
            <v>2</v>
          </cell>
          <cell r="BY207">
            <v>0</v>
          </cell>
          <cell r="BZ207">
            <v>27</v>
          </cell>
          <cell r="CA207">
            <v>82</v>
          </cell>
          <cell r="CB207">
            <v>12</v>
          </cell>
          <cell r="CC207">
            <v>0</v>
          </cell>
          <cell r="CD207">
            <v>0</v>
          </cell>
          <cell r="CE207">
            <v>1</v>
          </cell>
          <cell r="CF207">
            <v>0</v>
          </cell>
          <cell r="CG207">
            <v>1</v>
          </cell>
          <cell r="CH207">
            <v>16</v>
          </cell>
          <cell r="CI207">
            <v>70</v>
          </cell>
        </row>
        <row r="208">
          <cell r="A208" t="str">
            <v>A871</v>
          </cell>
          <cell r="B208" t="str">
            <v>Trần Thanh An</v>
          </cell>
          <cell r="C208" t="str">
            <v>EN</v>
          </cell>
          <cell r="D208">
            <v>0</v>
          </cell>
          <cell r="E208">
            <v>42839</v>
          </cell>
          <cell r="F208">
            <v>0.5</v>
          </cell>
          <cell r="G208" t="str">
            <v>C</v>
          </cell>
          <cell r="H208">
            <v>4</v>
          </cell>
          <cell r="I208" t="str">
            <v>C</v>
          </cell>
          <cell r="J208">
            <v>4</v>
          </cell>
          <cell r="K208" t="str">
            <v>C</v>
          </cell>
          <cell r="L208">
            <v>4</v>
          </cell>
          <cell r="M208">
            <v>0</v>
          </cell>
          <cell r="N208">
            <v>0</v>
          </cell>
          <cell r="O208" t="str">
            <v>A</v>
          </cell>
          <cell r="P208">
            <v>4</v>
          </cell>
          <cell r="Q208" t="str">
            <v>A</v>
          </cell>
          <cell r="R208">
            <v>4</v>
          </cell>
          <cell r="S208" t="str">
            <v>A</v>
          </cell>
          <cell r="T208">
            <v>4</v>
          </cell>
          <cell r="U208" t="str">
            <v>NT7</v>
          </cell>
          <cell r="V208">
            <v>0</v>
          </cell>
          <cell r="W208" t="str">
            <v>A</v>
          </cell>
          <cell r="X208">
            <v>4</v>
          </cell>
          <cell r="Y208" t="str">
            <v>A</v>
          </cell>
          <cell r="Z208">
            <v>4</v>
          </cell>
          <cell r="AA208">
            <v>0</v>
          </cell>
          <cell r="AB208">
            <v>0</v>
          </cell>
          <cell r="AC208" t="str">
            <v>C</v>
          </cell>
          <cell r="AD208">
            <v>4</v>
          </cell>
          <cell r="AE208" t="str">
            <v>C</v>
          </cell>
          <cell r="AF208">
            <v>4</v>
          </cell>
          <cell r="AG208" t="str">
            <v>NT7</v>
          </cell>
          <cell r="AH208">
            <v>0</v>
          </cell>
          <cell r="AI208" t="str">
            <v>C</v>
          </cell>
          <cell r="AJ208">
            <v>4</v>
          </cell>
          <cell r="AK208" t="str">
            <v>B</v>
          </cell>
          <cell r="AL208">
            <v>0</v>
          </cell>
          <cell r="AM208" t="str">
            <v>P</v>
          </cell>
          <cell r="AN208">
            <v>0</v>
          </cell>
          <cell r="AO208">
            <v>0</v>
          </cell>
          <cell r="AP208">
            <v>0</v>
          </cell>
          <cell r="AQ208" t="str">
            <v>R0</v>
          </cell>
          <cell r="AR208">
            <v>0</v>
          </cell>
          <cell r="AS208" t="str">
            <v>R0</v>
          </cell>
          <cell r="AT208">
            <v>0</v>
          </cell>
          <cell r="AU208" t="str">
            <v>R0</v>
          </cell>
          <cell r="AV208">
            <v>0</v>
          </cell>
          <cell r="AW208" t="str">
            <v>R0</v>
          </cell>
          <cell r="AX208">
            <v>0</v>
          </cell>
          <cell r="AY208" t="str">
            <v>R0</v>
          </cell>
          <cell r="AZ208">
            <v>0</v>
          </cell>
          <cell r="BA208" t="str">
            <v>R0</v>
          </cell>
          <cell r="BB208">
            <v>0</v>
          </cell>
          <cell r="BC208">
            <v>0</v>
          </cell>
          <cell r="BD208">
            <v>0</v>
          </cell>
          <cell r="BE208" t="str">
            <v>P5,D5</v>
          </cell>
          <cell r="BF208">
            <v>0</v>
          </cell>
          <cell r="BG208" t="str">
            <v>C</v>
          </cell>
          <cell r="BH208">
            <v>4</v>
          </cell>
          <cell r="BI208" t="str">
            <v>C</v>
          </cell>
          <cell r="BJ208">
            <v>4</v>
          </cell>
          <cell r="BK208" t="str">
            <v>C</v>
          </cell>
          <cell r="BL208">
            <v>4</v>
          </cell>
          <cell r="BM208" t="str">
            <v>C</v>
          </cell>
          <cell r="BN208">
            <v>4</v>
          </cell>
          <cell r="BO208" t="str">
            <v>NV</v>
          </cell>
          <cell r="BP208">
            <v>0</v>
          </cell>
          <cell r="BQ208">
            <v>5</v>
          </cell>
          <cell r="BR208">
            <v>0.5</v>
          </cell>
          <cell r="BS208">
            <v>1</v>
          </cell>
          <cell r="BT208">
            <v>10</v>
          </cell>
          <cell r="BU208">
            <v>0</v>
          </cell>
          <cell r="BV208">
            <v>0</v>
          </cell>
          <cell r="BW208">
            <v>0</v>
          </cell>
          <cell r="BX208">
            <v>2</v>
          </cell>
          <cell r="BY208">
            <v>1.5</v>
          </cell>
          <cell r="BZ208">
            <v>20</v>
          </cell>
          <cell r="CA208">
            <v>60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70</v>
          </cell>
        </row>
        <row r="209">
          <cell r="A209" t="str">
            <v>A872</v>
          </cell>
          <cell r="B209" t="str">
            <v>Bùi Văn Cảnh</v>
          </cell>
          <cell r="C209" t="str">
            <v>EN</v>
          </cell>
          <cell r="D209">
            <v>0</v>
          </cell>
          <cell r="E209">
            <v>42839</v>
          </cell>
          <cell r="F209">
            <v>2.5</v>
          </cell>
          <cell r="G209" t="str">
            <v>A</v>
          </cell>
          <cell r="H209">
            <v>4</v>
          </cell>
          <cell r="I209" t="str">
            <v>A</v>
          </cell>
          <cell r="J209">
            <v>4</v>
          </cell>
          <cell r="K209" t="str">
            <v>A</v>
          </cell>
          <cell r="L209">
            <v>4</v>
          </cell>
          <cell r="M209">
            <v>0</v>
          </cell>
          <cell r="N209">
            <v>12</v>
          </cell>
          <cell r="O209" t="str">
            <v>C</v>
          </cell>
          <cell r="P209">
            <v>4</v>
          </cell>
          <cell r="Q209" t="str">
            <v>C</v>
          </cell>
          <cell r="R209">
            <v>4</v>
          </cell>
          <cell r="S209" t="str">
            <v>C</v>
          </cell>
          <cell r="T209">
            <v>4</v>
          </cell>
          <cell r="U209" t="str">
            <v>C</v>
          </cell>
          <cell r="V209">
            <v>4</v>
          </cell>
          <cell r="W209" t="str">
            <v>C</v>
          </cell>
          <cell r="X209">
            <v>4</v>
          </cell>
          <cell r="Y209" t="str">
            <v>C</v>
          </cell>
          <cell r="Z209">
            <v>4</v>
          </cell>
          <cell r="AA209">
            <v>0</v>
          </cell>
          <cell r="AB209">
            <v>0</v>
          </cell>
          <cell r="AC209" t="str">
            <v>C</v>
          </cell>
          <cell r="AD209">
            <v>4</v>
          </cell>
          <cell r="AE209" t="str">
            <v>C</v>
          </cell>
          <cell r="AF209">
            <v>4</v>
          </cell>
          <cell r="AG209" t="str">
            <v>C</v>
          </cell>
          <cell r="AH209">
            <v>4</v>
          </cell>
          <cell r="AI209" t="str">
            <v>C</v>
          </cell>
          <cell r="AJ209">
            <v>4</v>
          </cell>
          <cell r="AK209" t="str">
            <v>C</v>
          </cell>
          <cell r="AL209">
            <v>4</v>
          </cell>
          <cell r="AM209" t="str">
            <v>C</v>
          </cell>
          <cell r="AN209">
            <v>4</v>
          </cell>
          <cell r="AO209">
            <v>0</v>
          </cell>
          <cell r="AP209">
            <v>0</v>
          </cell>
          <cell r="AQ209" t="str">
            <v>C</v>
          </cell>
          <cell r="AR209">
            <v>4</v>
          </cell>
          <cell r="AS209" t="str">
            <v>C</v>
          </cell>
          <cell r="AT209">
            <v>4</v>
          </cell>
          <cell r="AU209" t="str">
            <v>B</v>
          </cell>
          <cell r="AV209">
            <v>3</v>
          </cell>
          <cell r="AW209" t="str">
            <v>C</v>
          </cell>
          <cell r="AX209">
            <v>4</v>
          </cell>
          <cell r="AY209" t="str">
            <v>C</v>
          </cell>
          <cell r="AZ209">
            <v>4</v>
          </cell>
          <cell r="BA209" t="str">
            <v>C</v>
          </cell>
          <cell r="BB209">
            <v>4</v>
          </cell>
          <cell r="BC209">
            <v>0</v>
          </cell>
          <cell r="BD209">
            <v>0</v>
          </cell>
          <cell r="BE209" t="str">
            <v>A</v>
          </cell>
          <cell r="BF209">
            <v>4</v>
          </cell>
          <cell r="BG209" t="str">
            <v>A</v>
          </cell>
          <cell r="BH209">
            <v>4</v>
          </cell>
          <cell r="BI209" t="str">
            <v>A</v>
          </cell>
          <cell r="BJ209">
            <v>4</v>
          </cell>
          <cell r="BK209" t="str">
            <v>A</v>
          </cell>
          <cell r="BL209">
            <v>4</v>
          </cell>
          <cell r="BM209" t="str">
            <v>A</v>
          </cell>
          <cell r="BN209">
            <v>4</v>
          </cell>
          <cell r="BO209" t="str">
            <v>A</v>
          </cell>
          <cell r="BP209">
            <v>4</v>
          </cell>
          <cell r="BQ209">
            <v>9</v>
          </cell>
          <cell r="BR209">
            <v>0</v>
          </cell>
          <cell r="BS209">
            <v>1</v>
          </cell>
          <cell r="BT209">
            <v>17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27</v>
          </cell>
          <cell r="CA209">
            <v>107</v>
          </cell>
          <cell r="CB209">
            <v>12</v>
          </cell>
          <cell r="CC209">
            <v>0</v>
          </cell>
          <cell r="CD209">
            <v>2</v>
          </cell>
          <cell r="CE209">
            <v>1</v>
          </cell>
          <cell r="CF209">
            <v>140</v>
          </cell>
          <cell r="CG209">
            <v>3.5</v>
          </cell>
          <cell r="CH209">
            <v>16</v>
          </cell>
          <cell r="CI209">
            <v>70</v>
          </cell>
        </row>
        <row r="210">
          <cell r="A210" t="str">
            <v>A875</v>
          </cell>
          <cell r="B210" t="str">
            <v>Lê Văn Đồng</v>
          </cell>
          <cell r="C210" t="str">
            <v>CI.1</v>
          </cell>
          <cell r="D210">
            <v>0</v>
          </cell>
          <cell r="E210">
            <v>42839</v>
          </cell>
          <cell r="F210">
            <v>0</v>
          </cell>
          <cell r="G210" t="str">
            <v>C</v>
          </cell>
          <cell r="H210">
            <v>4</v>
          </cell>
          <cell r="I210" t="str">
            <v>C</v>
          </cell>
          <cell r="J210">
            <v>4</v>
          </cell>
          <cell r="K210" t="str">
            <v>C</v>
          </cell>
          <cell r="L210">
            <v>4</v>
          </cell>
          <cell r="M210">
            <v>0</v>
          </cell>
          <cell r="N210">
            <v>0</v>
          </cell>
          <cell r="O210" t="str">
            <v>A</v>
          </cell>
          <cell r="P210">
            <v>4</v>
          </cell>
          <cell r="Q210" t="str">
            <v>A</v>
          </cell>
          <cell r="R210">
            <v>4</v>
          </cell>
          <cell r="S210" t="str">
            <v>A</v>
          </cell>
          <cell r="T210">
            <v>4</v>
          </cell>
          <cell r="U210" t="str">
            <v>A</v>
          </cell>
          <cell r="V210">
            <v>4</v>
          </cell>
          <cell r="W210" t="str">
            <v>A</v>
          </cell>
          <cell r="X210">
            <v>4</v>
          </cell>
          <cell r="Y210" t="str">
            <v>A</v>
          </cell>
          <cell r="Z210">
            <v>4</v>
          </cell>
          <cell r="AA210">
            <v>0</v>
          </cell>
          <cell r="AB210">
            <v>0</v>
          </cell>
          <cell r="AC210" t="str">
            <v>HH</v>
          </cell>
          <cell r="AD210">
            <v>0</v>
          </cell>
          <cell r="AE210" t="str">
            <v>C</v>
          </cell>
          <cell r="AF210">
            <v>4</v>
          </cell>
          <cell r="AG210" t="str">
            <v>C</v>
          </cell>
          <cell r="AH210">
            <v>4</v>
          </cell>
          <cell r="AI210" t="str">
            <v>C</v>
          </cell>
          <cell r="AJ210">
            <v>4</v>
          </cell>
          <cell r="AK210" t="str">
            <v>C</v>
          </cell>
          <cell r="AL210">
            <v>4</v>
          </cell>
          <cell r="AM210" t="str">
            <v>C</v>
          </cell>
          <cell r="AN210">
            <v>4</v>
          </cell>
          <cell r="AO210">
            <v>0</v>
          </cell>
          <cell r="AP210">
            <v>0</v>
          </cell>
          <cell r="AQ210" t="str">
            <v>D</v>
          </cell>
          <cell r="AR210">
            <v>0</v>
          </cell>
          <cell r="AS210" t="str">
            <v>D</v>
          </cell>
          <cell r="AT210">
            <v>0</v>
          </cell>
          <cell r="AU210" t="str">
            <v>A</v>
          </cell>
          <cell r="AV210">
            <v>4</v>
          </cell>
          <cell r="AW210" t="str">
            <v>D</v>
          </cell>
          <cell r="AX210">
            <v>1</v>
          </cell>
          <cell r="AY210" t="str">
            <v>A</v>
          </cell>
          <cell r="AZ210">
            <v>4</v>
          </cell>
          <cell r="BA210" t="str">
            <v>A</v>
          </cell>
          <cell r="BB210">
            <v>4</v>
          </cell>
          <cell r="BC210">
            <v>0</v>
          </cell>
          <cell r="BD210">
            <v>16</v>
          </cell>
          <cell r="BE210" t="str">
            <v>C</v>
          </cell>
          <cell r="BF210">
            <v>4</v>
          </cell>
          <cell r="BG210" t="str">
            <v>C</v>
          </cell>
          <cell r="BH210">
            <v>4</v>
          </cell>
          <cell r="BI210" t="str">
            <v>C</v>
          </cell>
          <cell r="BJ210">
            <v>4</v>
          </cell>
          <cell r="BK210" t="str">
            <v>C</v>
          </cell>
          <cell r="BL210">
            <v>4</v>
          </cell>
          <cell r="BM210" t="str">
            <v>C</v>
          </cell>
          <cell r="BN210">
            <v>4</v>
          </cell>
          <cell r="BO210" t="str">
            <v>HH</v>
          </cell>
          <cell r="BP210">
            <v>0</v>
          </cell>
          <cell r="BQ210">
            <v>9</v>
          </cell>
          <cell r="BR210">
            <v>3</v>
          </cell>
          <cell r="BS210">
            <v>0</v>
          </cell>
          <cell r="BT210">
            <v>13</v>
          </cell>
          <cell r="BU210">
            <v>0</v>
          </cell>
          <cell r="BV210">
            <v>0</v>
          </cell>
          <cell r="BW210">
            <v>2</v>
          </cell>
          <cell r="BX210">
            <v>0</v>
          </cell>
          <cell r="BY210">
            <v>0</v>
          </cell>
          <cell r="BZ210">
            <v>27</v>
          </cell>
          <cell r="CA210">
            <v>89</v>
          </cell>
          <cell r="CB210">
            <v>16</v>
          </cell>
          <cell r="CC210">
            <v>0</v>
          </cell>
          <cell r="CD210">
            <v>2</v>
          </cell>
          <cell r="CE210">
            <v>1</v>
          </cell>
          <cell r="CF210">
            <v>140</v>
          </cell>
          <cell r="CG210">
            <v>1</v>
          </cell>
          <cell r="CH210">
            <v>16</v>
          </cell>
          <cell r="CI210">
            <v>70</v>
          </cell>
        </row>
        <row r="211">
          <cell r="A211" t="str">
            <v>A877</v>
          </cell>
          <cell r="B211" t="str">
            <v>Bùi Văn Kiệt</v>
          </cell>
          <cell r="C211" t="str">
            <v>CI.1</v>
          </cell>
          <cell r="D211">
            <v>0</v>
          </cell>
          <cell r="E211">
            <v>42838</v>
          </cell>
          <cell r="F211">
            <v>1</v>
          </cell>
          <cell r="G211" t="str">
            <v>C</v>
          </cell>
          <cell r="H211">
            <v>4</v>
          </cell>
          <cell r="I211" t="str">
            <v>C</v>
          </cell>
          <cell r="J211">
            <v>4</v>
          </cell>
          <cell r="K211" t="str">
            <v>NT7</v>
          </cell>
          <cell r="L211">
            <v>0</v>
          </cell>
          <cell r="M211">
            <v>0</v>
          </cell>
          <cell r="N211">
            <v>0</v>
          </cell>
          <cell r="O211" t="str">
            <v>A</v>
          </cell>
          <cell r="P211">
            <v>4</v>
          </cell>
          <cell r="Q211" t="str">
            <v>A</v>
          </cell>
          <cell r="R211">
            <v>4</v>
          </cell>
          <cell r="S211" t="str">
            <v>A</v>
          </cell>
          <cell r="T211">
            <v>4</v>
          </cell>
          <cell r="U211" t="str">
            <v>A</v>
          </cell>
          <cell r="V211">
            <v>4</v>
          </cell>
          <cell r="W211" t="str">
            <v>A</v>
          </cell>
          <cell r="X211">
            <v>4</v>
          </cell>
          <cell r="Y211" t="str">
            <v>A</v>
          </cell>
          <cell r="Z211">
            <v>4</v>
          </cell>
          <cell r="AA211">
            <v>0</v>
          </cell>
          <cell r="AB211">
            <v>0</v>
          </cell>
          <cell r="AC211" t="str">
            <v>C</v>
          </cell>
          <cell r="AD211">
            <v>4</v>
          </cell>
          <cell r="AE211" t="str">
            <v>C</v>
          </cell>
          <cell r="AF211">
            <v>4</v>
          </cell>
          <cell r="AG211" t="str">
            <v>C</v>
          </cell>
          <cell r="AH211">
            <v>4</v>
          </cell>
          <cell r="AI211" t="str">
            <v>C</v>
          </cell>
          <cell r="AJ211">
            <v>4</v>
          </cell>
          <cell r="AK211" t="str">
            <v>C</v>
          </cell>
          <cell r="AL211">
            <v>4</v>
          </cell>
          <cell r="AM211" t="str">
            <v>C</v>
          </cell>
          <cell r="AN211">
            <v>4</v>
          </cell>
          <cell r="AO211">
            <v>0</v>
          </cell>
          <cell r="AP211">
            <v>0</v>
          </cell>
          <cell r="AQ211" t="str">
            <v>D</v>
          </cell>
          <cell r="AR211">
            <v>1</v>
          </cell>
          <cell r="AS211" t="str">
            <v>A</v>
          </cell>
          <cell r="AT211">
            <v>4.5</v>
          </cell>
          <cell r="AU211" t="str">
            <v>A</v>
          </cell>
          <cell r="AV211">
            <v>4</v>
          </cell>
          <cell r="AW211" t="str">
            <v>D</v>
          </cell>
          <cell r="AX211">
            <v>1</v>
          </cell>
          <cell r="AY211" t="str">
            <v>A</v>
          </cell>
          <cell r="AZ211">
            <v>4</v>
          </cell>
          <cell r="BA211" t="str">
            <v>A</v>
          </cell>
          <cell r="BB211">
            <v>4</v>
          </cell>
          <cell r="BC211">
            <v>0</v>
          </cell>
          <cell r="BD211">
            <v>16</v>
          </cell>
          <cell r="BE211" t="str">
            <v>C</v>
          </cell>
          <cell r="BF211">
            <v>4</v>
          </cell>
          <cell r="BG211" t="str">
            <v>C</v>
          </cell>
          <cell r="BH211">
            <v>4</v>
          </cell>
          <cell r="BI211" t="str">
            <v>C</v>
          </cell>
          <cell r="BJ211">
            <v>4</v>
          </cell>
          <cell r="BK211" t="str">
            <v>C</v>
          </cell>
          <cell r="BL211">
            <v>4</v>
          </cell>
          <cell r="BM211" t="str">
            <v>C</v>
          </cell>
          <cell r="BN211">
            <v>4</v>
          </cell>
          <cell r="BO211" t="str">
            <v>HH</v>
          </cell>
          <cell r="BP211">
            <v>0</v>
          </cell>
          <cell r="BQ211">
            <v>10</v>
          </cell>
          <cell r="BR211">
            <v>2</v>
          </cell>
          <cell r="BS211">
            <v>0</v>
          </cell>
          <cell r="BT211">
            <v>13</v>
          </cell>
          <cell r="BU211">
            <v>0</v>
          </cell>
          <cell r="BV211">
            <v>0</v>
          </cell>
          <cell r="BW211">
            <v>1</v>
          </cell>
          <cell r="BX211">
            <v>1</v>
          </cell>
          <cell r="BY211">
            <v>0</v>
          </cell>
          <cell r="BZ211">
            <v>27</v>
          </cell>
          <cell r="CA211">
            <v>94.5</v>
          </cell>
          <cell r="CB211">
            <v>16</v>
          </cell>
          <cell r="CC211">
            <v>0</v>
          </cell>
          <cell r="CD211">
            <v>1</v>
          </cell>
          <cell r="CE211">
            <v>1</v>
          </cell>
          <cell r="CF211">
            <v>70</v>
          </cell>
          <cell r="CG211">
            <v>2</v>
          </cell>
          <cell r="CH211">
            <v>16</v>
          </cell>
          <cell r="CI211">
            <v>70</v>
          </cell>
        </row>
        <row r="212">
          <cell r="A212" t="str">
            <v>A882</v>
          </cell>
          <cell r="B212" t="str">
            <v>Ngô Minh Hiếu</v>
          </cell>
          <cell r="C212" t="str">
            <v>EN</v>
          </cell>
          <cell r="D212">
            <v>0</v>
          </cell>
          <cell r="E212">
            <v>42846</v>
          </cell>
          <cell r="F212">
            <v>7</v>
          </cell>
          <cell r="G212" t="str">
            <v>C</v>
          </cell>
          <cell r="H212">
            <v>4</v>
          </cell>
          <cell r="I212" t="str">
            <v>C</v>
          </cell>
          <cell r="J212">
            <v>4</v>
          </cell>
          <cell r="K212" t="str">
            <v>C</v>
          </cell>
          <cell r="L212">
            <v>4</v>
          </cell>
          <cell r="M212">
            <v>0</v>
          </cell>
          <cell r="N212">
            <v>0</v>
          </cell>
          <cell r="O212" t="str">
            <v>C</v>
          </cell>
          <cell r="P212">
            <v>4</v>
          </cell>
          <cell r="Q212" t="str">
            <v>C</v>
          </cell>
          <cell r="R212">
            <v>4</v>
          </cell>
          <cell r="S212" t="str">
            <v>C</v>
          </cell>
          <cell r="T212">
            <v>4</v>
          </cell>
          <cell r="U212" t="str">
            <v>C</v>
          </cell>
          <cell r="V212">
            <v>4</v>
          </cell>
          <cell r="W212" t="str">
            <v>C</v>
          </cell>
          <cell r="X212">
            <v>4</v>
          </cell>
          <cell r="Y212" t="str">
            <v>C</v>
          </cell>
          <cell r="Z212">
            <v>4</v>
          </cell>
          <cell r="AA212">
            <v>0</v>
          </cell>
          <cell r="AB212">
            <v>0</v>
          </cell>
          <cell r="AC212" t="str">
            <v>D</v>
          </cell>
          <cell r="AD212">
            <v>3.5</v>
          </cell>
          <cell r="AE212" t="str">
            <v>A</v>
          </cell>
          <cell r="AF212">
            <v>4</v>
          </cell>
          <cell r="AG212" t="str">
            <v>A</v>
          </cell>
          <cell r="AH212">
            <v>4</v>
          </cell>
          <cell r="AI212" t="str">
            <v>A</v>
          </cell>
          <cell r="AJ212">
            <v>4</v>
          </cell>
          <cell r="AK212" t="str">
            <v>A</v>
          </cell>
          <cell r="AL212">
            <v>4</v>
          </cell>
          <cell r="AM212" t="str">
            <v>A</v>
          </cell>
          <cell r="AN212">
            <v>4</v>
          </cell>
          <cell r="AO212">
            <v>0</v>
          </cell>
          <cell r="AP212">
            <v>0</v>
          </cell>
          <cell r="AQ212" t="str">
            <v>C</v>
          </cell>
          <cell r="AR212">
            <v>4</v>
          </cell>
          <cell r="AS212" t="str">
            <v>C</v>
          </cell>
          <cell r="AT212">
            <v>4</v>
          </cell>
          <cell r="AU212" t="str">
            <v>C</v>
          </cell>
          <cell r="AV212">
            <v>4</v>
          </cell>
          <cell r="AW212" t="str">
            <v>C</v>
          </cell>
          <cell r="AX212">
            <v>4</v>
          </cell>
          <cell r="AY212" t="str">
            <v>C</v>
          </cell>
          <cell r="AZ212">
            <v>4</v>
          </cell>
          <cell r="BA212" t="str">
            <v>C</v>
          </cell>
          <cell r="BB212">
            <v>4</v>
          </cell>
          <cell r="BC212">
            <v>0</v>
          </cell>
          <cell r="BD212">
            <v>0</v>
          </cell>
          <cell r="BE212" t="str">
            <v>A</v>
          </cell>
          <cell r="BF212">
            <v>4</v>
          </cell>
          <cell r="BG212" t="str">
            <v>A</v>
          </cell>
          <cell r="BH212">
            <v>4</v>
          </cell>
          <cell r="BI212" t="str">
            <v>A</v>
          </cell>
          <cell r="BJ212">
            <v>4</v>
          </cell>
          <cell r="BK212" t="str">
            <v>A</v>
          </cell>
          <cell r="BL212">
            <v>4</v>
          </cell>
          <cell r="BM212" t="str">
            <v>A</v>
          </cell>
          <cell r="BN212">
            <v>4</v>
          </cell>
          <cell r="BO212" t="str">
            <v>A</v>
          </cell>
          <cell r="BP212">
            <v>4</v>
          </cell>
          <cell r="BQ212">
            <v>11</v>
          </cell>
          <cell r="BR212">
            <v>1</v>
          </cell>
          <cell r="BS212">
            <v>0</v>
          </cell>
          <cell r="BT212">
            <v>15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27</v>
          </cell>
          <cell r="CA212">
            <v>107.5</v>
          </cell>
          <cell r="CB212">
            <v>0</v>
          </cell>
          <cell r="CC212">
            <v>0</v>
          </cell>
          <cell r="CD212">
            <v>2</v>
          </cell>
          <cell r="CE212">
            <v>0</v>
          </cell>
          <cell r="CF212">
            <v>140</v>
          </cell>
          <cell r="CG212">
            <v>8</v>
          </cell>
          <cell r="CH212">
            <v>0</v>
          </cell>
          <cell r="CI212">
            <v>70</v>
          </cell>
        </row>
        <row r="213">
          <cell r="A213" t="str">
            <v>A883</v>
          </cell>
          <cell r="B213" t="str">
            <v>Lê Thanh Truyền</v>
          </cell>
          <cell r="C213" t="str">
            <v>EN</v>
          </cell>
          <cell r="D213">
            <v>0</v>
          </cell>
          <cell r="E213">
            <v>42846</v>
          </cell>
          <cell r="F213">
            <v>8</v>
          </cell>
          <cell r="G213" t="str">
            <v>A</v>
          </cell>
          <cell r="H213">
            <v>7</v>
          </cell>
          <cell r="I213" t="str">
            <v>A</v>
          </cell>
          <cell r="J213">
            <v>7</v>
          </cell>
          <cell r="K213" t="str">
            <v>A</v>
          </cell>
          <cell r="L213">
            <v>4</v>
          </cell>
          <cell r="M213">
            <v>0</v>
          </cell>
          <cell r="N213">
            <v>0</v>
          </cell>
          <cell r="O213" t="str">
            <v>C</v>
          </cell>
          <cell r="P213">
            <v>4</v>
          </cell>
          <cell r="Q213" t="str">
            <v>C</v>
          </cell>
          <cell r="R213">
            <v>4</v>
          </cell>
          <cell r="S213" t="str">
            <v>C</v>
          </cell>
          <cell r="T213">
            <v>4</v>
          </cell>
          <cell r="U213" t="str">
            <v>C</v>
          </cell>
          <cell r="V213">
            <v>4</v>
          </cell>
          <cell r="W213" t="str">
            <v>B</v>
          </cell>
          <cell r="X213">
            <v>2</v>
          </cell>
          <cell r="Y213" t="str">
            <v>C</v>
          </cell>
          <cell r="Z213">
            <v>4</v>
          </cell>
          <cell r="AA213">
            <v>0</v>
          </cell>
          <cell r="AB213">
            <v>0</v>
          </cell>
          <cell r="AC213" t="str">
            <v>A</v>
          </cell>
          <cell r="AD213">
            <v>4</v>
          </cell>
          <cell r="AE213" t="str">
            <v>A</v>
          </cell>
          <cell r="AF213">
            <v>4</v>
          </cell>
          <cell r="AG213" t="str">
            <v>A</v>
          </cell>
          <cell r="AH213">
            <v>7</v>
          </cell>
          <cell r="AI213" t="str">
            <v>A</v>
          </cell>
          <cell r="AJ213">
            <v>7</v>
          </cell>
          <cell r="AK213" t="str">
            <v>A</v>
          </cell>
          <cell r="AL213">
            <v>7</v>
          </cell>
          <cell r="AM213" t="str">
            <v>A</v>
          </cell>
          <cell r="AN213">
            <v>7</v>
          </cell>
          <cell r="AO213">
            <v>0</v>
          </cell>
          <cell r="AP213">
            <v>0</v>
          </cell>
          <cell r="AQ213" t="str">
            <v>C</v>
          </cell>
          <cell r="AR213">
            <v>4</v>
          </cell>
          <cell r="AS213" t="str">
            <v>C</v>
          </cell>
          <cell r="AT213">
            <v>4</v>
          </cell>
          <cell r="AU213" t="str">
            <v>C</v>
          </cell>
          <cell r="AV213">
            <v>4</v>
          </cell>
          <cell r="AW213" t="str">
            <v>C</v>
          </cell>
          <cell r="AX213">
            <v>4</v>
          </cell>
          <cell r="AY213" t="str">
            <v>C</v>
          </cell>
          <cell r="AZ213">
            <v>4</v>
          </cell>
          <cell r="BA213" t="str">
            <v>C</v>
          </cell>
          <cell r="BB213">
            <v>4</v>
          </cell>
          <cell r="BC213">
            <v>0</v>
          </cell>
          <cell r="BD213">
            <v>0</v>
          </cell>
          <cell r="BE213" t="str">
            <v>C</v>
          </cell>
          <cell r="BF213">
            <v>4</v>
          </cell>
          <cell r="BG213" t="str">
            <v>C</v>
          </cell>
          <cell r="BH213">
            <v>4</v>
          </cell>
          <cell r="BI213" t="str">
            <v>C</v>
          </cell>
          <cell r="BJ213">
            <v>4</v>
          </cell>
          <cell r="BK213" t="str">
            <v>NT7</v>
          </cell>
          <cell r="BL213">
            <v>0</v>
          </cell>
          <cell r="BM213" t="str">
            <v>C</v>
          </cell>
          <cell r="BN213">
            <v>4</v>
          </cell>
          <cell r="BO213" t="str">
            <v>C</v>
          </cell>
          <cell r="BP213">
            <v>4</v>
          </cell>
          <cell r="BQ213">
            <v>9</v>
          </cell>
          <cell r="BR213">
            <v>0</v>
          </cell>
          <cell r="BS213">
            <v>1</v>
          </cell>
          <cell r="BT213">
            <v>16</v>
          </cell>
          <cell r="BU213">
            <v>0</v>
          </cell>
          <cell r="BV213">
            <v>0</v>
          </cell>
          <cell r="BW213">
            <v>0</v>
          </cell>
          <cell r="BX213">
            <v>1</v>
          </cell>
          <cell r="BY213">
            <v>0</v>
          </cell>
          <cell r="BZ213">
            <v>27</v>
          </cell>
          <cell r="CA213">
            <v>120</v>
          </cell>
          <cell r="CB213">
            <v>0</v>
          </cell>
          <cell r="CC213">
            <v>0</v>
          </cell>
          <cell r="CD213">
            <v>1</v>
          </cell>
          <cell r="CE213">
            <v>0</v>
          </cell>
          <cell r="CF213">
            <v>70</v>
          </cell>
          <cell r="CG213">
            <v>9</v>
          </cell>
          <cell r="CH213">
            <v>0</v>
          </cell>
          <cell r="CI213">
            <v>70</v>
          </cell>
        </row>
        <row r="214">
          <cell r="A214" t="str">
            <v>A884</v>
          </cell>
          <cell r="B214" t="str">
            <v>Lâm Văn Thật</v>
          </cell>
          <cell r="C214" t="str">
            <v>CI.1</v>
          </cell>
          <cell r="D214">
            <v>0</v>
          </cell>
          <cell r="E214">
            <v>42849</v>
          </cell>
          <cell r="F214">
            <v>2</v>
          </cell>
          <cell r="G214" t="str">
            <v>A</v>
          </cell>
          <cell r="H214">
            <v>4</v>
          </cell>
          <cell r="I214" t="str">
            <v>A</v>
          </cell>
          <cell r="J214">
            <v>4</v>
          </cell>
          <cell r="K214" t="str">
            <v>A</v>
          </cell>
          <cell r="L214">
            <v>4</v>
          </cell>
          <cell r="M214">
            <v>0</v>
          </cell>
          <cell r="N214">
            <v>0</v>
          </cell>
          <cell r="O214" t="str">
            <v>C</v>
          </cell>
          <cell r="P214">
            <v>4</v>
          </cell>
          <cell r="Q214" t="str">
            <v>C</v>
          </cell>
          <cell r="R214">
            <v>4</v>
          </cell>
          <cell r="S214" t="str">
            <v>C</v>
          </cell>
          <cell r="T214">
            <v>4</v>
          </cell>
          <cell r="U214" t="str">
            <v>C</v>
          </cell>
          <cell r="V214">
            <v>4</v>
          </cell>
          <cell r="W214" t="str">
            <v>C</v>
          </cell>
          <cell r="X214">
            <v>4</v>
          </cell>
          <cell r="Y214" t="str">
            <v>C</v>
          </cell>
          <cell r="Z214">
            <v>4</v>
          </cell>
          <cell r="AA214">
            <v>0</v>
          </cell>
          <cell r="AB214">
            <v>0</v>
          </cell>
          <cell r="AC214" t="str">
            <v>D</v>
          </cell>
          <cell r="AD214">
            <v>0</v>
          </cell>
          <cell r="AE214" t="str">
            <v>D</v>
          </cell>
          <cell r="AF214">
            <v>0</v>
          </cell>
          <cell r="AG214" t="str">
            <v>A</v>
          </cell>
          <cell r="AH214">
            <v>4</v>
          </cell>
          <cell r="AI214" t="str">
            <v>A</v>
          </cell>
          <cell r="AJ214">
            <v>4</v>
          </cell>
          <cell r="AK214" t="str">
            <v>A</v>
          </cell>
          <cell r="AL214">
            <v>4</v>
          </cell>
          <cell r="AM214" t="str">
            <v>A</v>
          </cell>
          <cell r="AN214">
            <v>4</v>
          </cell>
          <cell r="AO214">
            <v>0</v>
          </cell>
          <cell r="AP214">
            <v>0</v>
          </cell>
          <cell r="AQ214" t="str">
            <v>HH</v>
          </cell>
          <cell r="AR214">
            <v>0</v>
          </cell>
          <cell r="AS214" t="str">
            <v>HH</v>
          </cell>
          <cell r="AT214">
            <v>0</v>
          </cell>
          <cell r="AU214" t="str">
            <v>C</v>
          </cell>
          <cell r="AV214">
            <v>4</v>
          </cell>
          <cell r="AW214" t="str">
            <v>C</v>
          </cell>
          <cell r="AX214">
            <v>4</v>
          </cell>
          <cell r="AY214" t="str">
            <v>C</v>
          </cell>
          <cell r="AZ214">
            <v>4</v>
          </cell>
          <cell r="BA214" t="str">
            <v>C</v>
          </cell>
          <cell r="BB214">
            <v>4</v>
          </cell>
          <cell r="BC214">
            <v>0</v>
          </cell>
          <cell r="BD214">
            <v>8</v>
          </cell>
          <cell r="BE214" t="str">
            <v>A</v>
          </cell>
          <cell r="BF214">
            <v>4</v>
          </cell>
          <cell r="BG214" t="str">
            <v>A</v>
          </cell>
          <cell r="BH214">
            <v>4</v>
          </cell>
          <cell r="BI214" t="str">
            <v>D</v>
          </cell>
          <cell r="BJ214">
            <v>0</v>
          </cell>
          <cell r="BK214" t="str">
            <v>A</v>
          </cell>
          <cell r="BL214">
            <v>4</v>
          </cell>
          <cell r="BM214" t="str">
            <v>A</v>
          </cell>
          <cell r="BN214">
            <v>4</v>
          </cell>
          <cell r="BO214" t="str">
            <v>NT7</v>
          </cell>
          <cell r="BP214">
            <v>0</v>
          </cell>
          <cell r="BQ214">
            <v>11</v>
          </cell>
          <cell r="BR214">
            <v>3</v>
          </cell>
          <cell r="BS214">
            <v>0</v>
          </cell>
          <cell r="BT214">
            <v>10</v>
          </cell>
          <cell r="BU214">
            <v>0</v>
          </cell>
          <cell r="BV214">
            <v>0</v>
          </cell>
          <cell r="BW214">
            <v>2</v>
          </cell>
          <cell r="BX214">
            <v>1</v>
          </cell>
          <cell r="BY214">
            <v>0</v>
          </cell>
          <cell r="BZ214">
            <v>27</v>
          </cell>
          <cell r="CA214">
            <v>84</v>
          </cell>
          <cell r="CB214">
            <v>8</v>
          </cell>
          <cell r="CC214">
            <v>0</v>
          </cell>
          <cell r="CD214">
            <v>1</v>
          </cell>
          <cell r="CE214">
            <v>0</v>
          </cell>
          <cell r="CF214">
            <v>70</v>
          </cell>
          <cell r="CG214">
            <v>3</v>
          </cell>
          <cell r="CH214">
            <v>0</v>
          </cell>
          <cell r="CI214">
            <v>70</v>
          </cell>
        </row>
        <row r="215">
          <cell r="A215" t="str">
            <v>A886</v>
          </cell>
          <cell r="B215" t="str">
            <v>Nguyễn Thị Nhi</v>
          </cell>
          <cell r="C215" t="str">
            <v>CI.1</v>
          </cell>
          <cell r="D215">
            <v>0</v>
          </cell>
          <cell r="E215">
            <v>42846</v>
          </cell>
          <cell r="F215">
            <v>4</v>
          </cell>
          <cell r="G215" t="str">
            <v>C</v>
          </cell>
          <cell r="H215">
            <v>4</v>
          </cell>
          <cell r="I215" t="str">
            <v>C</v>
          </cell>
          <cell r="J215">
            <v>4</v>
          </cell>
          <cell r="K215" t="str">
            <v>NT7</v>
          </cell>
          <cell r="L215">
            <v>0</v>
          </cell>
          <cell r="M215">
            <v>0</v>
          </cell>
          <cell r="N215">
            <v>0</v>
          </cell>
          <cell r="O215" t="str">
            <v>A</v>
          </cell>
          <cell r="P215">
            <v>4</v>
          </cell>
          <cell r="Q215" t="str">
            <v>A</v>
          </cell>
          <cell r="R215">
            <v>4</v>
          </cell>
          <cell r="S215" t="str">
            <v>A</v>
          </cell>
          <cell r="T215">
            <v>4</v>
          </cell>
          <cell r="U215" t="str">
            <v>A</v>
          </cell>
          <cell r="V215">
            <v>4</v>
          </cell>
          <cell r="W215" t="str">
            <v>A</v>
          </cell>
          <cell r="X215">
            <v>4</v>
          </cell>
          <cell r="Y215" t="str">
            <v>A</v>
          </cell>
          <cell r="Z215">
            <v>4</v>
          </cell>
          <cell r="AA215">
            <v>0</v>
          </cell>
          <cell r="AB215">
            <v>0</v>
          </cell>
          <cell r="AC215" t="str">
            <v>HH</v>
          </cell>
          <cell r="AD215">
            <v>0</v>
          </cell>
          <cell r="AE215" t="str">
            <v>C</v>
          </cell>
          <cell r="AF215">
            <v>4</v>
          </cell>
          <cell r="AG215" t="str">
            <v>C</v>
          </cell>
          <cell r="AH215">
            <v>4</v>
          </cell>
          <cell r="AI215" t="str">
            <v>C</v>
          </cell>
          <cell r="AJ215">
            <v>4</v>
          </cell>
          <cell r="AK215" t="str">
            <v>C</v>
          </cell>
          <cell r="AL215">
            <v>4</v>
          </cell>
          <cell r="AM215" t="str">
            <v>C</v>
          </cell>
          <cell r="AN215">
            <v>4</v>
          </cell>
          <cell r="AO215">
            <v>0</v>
          </cell>
          <cell r="AP215">
            <v>0</v>
          </cell>
          <cell r="AQ215" t="str">
            <v>D</v>
          </cell>
          <cell r="AR215">
            <v>0</v>
          </cell>
          <cell r="AS215" t="str">
            <v>NT7</v>
          </cell>
          <cell r="AT215">
            <v>0</v>
          </cell>
          <cell r="AU215" t="str">
            <v>A</v>
          </cell>
          <cell r="AV215">
            <v>4</v>
          </cell>
          <cell r="AW215" t="str">
            <v>D</v>
          </cell>
          <cell r="AX215">
            <v>1</v>
          </cell>
          <cell r="AY215" t="str">
            <v>A</v>
          </cell>
          <cell r="AZ215">
            <v>4</v>
          </cell>
          <cell r="BA215" t="str">
            <v>A</v>
          </cell>
          <cell r="BB215">
            <v>4</v>
          </cell>
          <cell r="BC215">
            <v>0</v>
          </cell>
          <cell r="BD215">
            <v>16</v>
          </cell>
          <cell r="BE215" t="str">
            <v>C</v>
          </cell>
          <cell r="BF215">
            <v>4</v>
          </cell>
          <cell r="BG215" t="str">
            <v>C</v>
          </cell>
          <cell r="BH215">
            <v>4</v>
          </cell>
          <cell r="BI215" t="str">
            <v>C</v>
          </cell>
          <cell r="BJ215">
            <v>4</v>
          </cell>
          <cell r="BK215" t="str">
            <v>C</v>
          </cell>
          <cell r="BL215">
            <v>4</v>
          </cell>
          <cell r="BM215" t="str">
            <v>C</v>
          </cell>
          <cell r="BN215">
            <v>4</v>
          </cell>
          <cell r="BO215" t="str">
            <v>HH</v>
          </cell>
          <cell r="BP215">
            <v>0</v>
          </cell>
          <cell r="BQ215">
            <v>9</v>
          </cell>
          <cell r="BR215">
            <v>2</v>
          </cell>
          <cell r="BS215">
            <v>0</v>
          </cell>
          <cell r="BT215">
            <v>12</v>
          </cell>
          <cell r="BU215">
            <v>0</v>
          </cell>
          <cell r="BV215">
            <v>0</v>
          </cell>
          <cell r="BW215">
            <v>2</v>
          </cell>
          <cell r="BX215">
            <v>2</v>
          </cell>
          <cell r="BY215">
            <v>0</v>
          </cell>
          <cell r="BZ215">
            <v>27</v>
          </cell>
          <cell r="CA215">
            <v>85</v>
          </cell>
          <cell r="CB215">
            <v>16</v>
          </cell>
          <cell r="CC215">
            <v>0</v>
          </cell>
          <cell r="CD215">
            <v>0</v>
          </cell>
          <cell r="CE215">
            <v>1</v>
          </cell>
          <cell r="CF215">
            <v>0</v>
          </cell>
          <cell r="CG215">
            <v>5</v>
          </cell>
          <cell r="CH215">
            <v>16</v>
          </cell>
          <cell r="CI215">
            <v>70</v>
          </cell>
        </row>
        <row r="216">
          <cell r="A216" t="str">
            <v>A887</v>
          </cell>
          <cell r="B216" t="str">
            <v>Nguyễn Hồng Hạnh</v>
          </cell>
          <cell r="C216" t="str">
            <v>CII.1</v>
          </cell>
          <cell r="D216">
            <v>0</v>
          </cell>
          <cell r="E216">
            <v>42852</v>
          </cell>
          <cell r="F216">
            <v>1</v>
          </cell>
          <cell r="G216" t="str">
            <v>A</v>
          </cell>
          <cell r="H216">
            <v>4</v>
          </cell>
          <cell r="I216" t="str">
            <v>A</v>
          </cell>
          <cell r="J216">
            <v>4</v>
          </cell>
          <cell r="K216" t="str">
            <v>D</v>
          </cell>
          <cell r="L216">
            <v>0</v>
          </cell>
          <cell r="M216">
            <v>0</v>
          </cell>
          <cell r="N216">
            <v>0</v>
          </cell>
          <cell r="O216" t="str">
            <v>C</v>
          </cell>
          <cell r="P216">
            <v>4</v>
          </cell>
          <cell r="Q216" t="str">
            <v>C</v>
          </cell>
          <cell r="R216">
            <v>4</v>
          </cell>
          <cell r="S216" t="str">
            <v>C</v>
          </cell>
          <cell r="T216">
            <v>4</v>
          </cell>
          <cell r="U216" t="str">
            <v>C</v>
          </cell>
          <cell r="V216">
            <v>4</v>
          </cell>
          <cell r="W216" t="str">
            <v>C</v>
          </cell>
          <cell r="X216">
            <v>4</v>
          </cell>
          <cell r="Y216" t="str">
            <v>HH</v>
          </cell>
          <cell r="Z216">
            <v>0</v>
          </cell>
          <cell r="AA216">
            <v>0</v>
          </cell>
          <cell r="AB216">
            <v>0</v>
          </cell>
          <cell r="AC216" t="str">
            <v>A</v>
          </cell>
          <cell r="AD216">
            <v>4</v>
          </cell>
          <cell r="AE216" t="str">
            <v>A</v>
          </cell>
          <cell r="AF216">
            <v>4</v>
          </cell>
          <cell r="AG216" t="str">
            <v>A</v>
          </cell>
          <cell r="AH216">
            <v>4</v>
          </cell>
          <cell r="AI216" t="str">
            <v>A</v>
          </cell>
          <cell r="AJ216">
            <v>4</v>
          </cell>
          <cell r="AK216" t="str">
            <v>A</v>
          </cell>
          <cell r="AL216">
            <v>4</v>
          </cell>
          <cell r="AM216" t="str">
            <v>D</v>
          </cell>
          <cell r="AN216">
            <v>0</v>
          </cell>
          <cell r="AO216">
            <v>0</v>
          </cell>
          <cell r="AP216">
            <v>0</v>
          </cell>
          <cell r="AQ216" t="str">
            <v>C</v>
          </cell>
          <cell r="AR216">
            <v>4</v>
          </cell>
          <cell r="AS216" t="str">
            <v>C</v>
          </cell>
          <cell r="AT216">
            <v>4</v>
          </cell>
          <cell r="AU216" t="str">
            <v>C</v>
          </cell>
          <cell r="AV216">
            <v>4</v>
          </cell>
          <cell r="AW216" t="str">
            <v>C</v>
          </cell>
          <cell r="AX216">
            <v>4</v>
          </cell>
          <cell r="AY216" t="str">
            <v>C</v>
          </cell>
          <cell r="AZ216">
            <v>4</v>
          </cell>
          <cell r="BA216" t="str">
            <v>HH</v>
          </cell>
          <cell r="BB216">
            <v>0</v>
          </cell>
          <cell r="BC216">
            <v>0</v>
          </cell>
          <cell r="BD216">
            <v>0</v>
          </cell>
          <cell r="BE216" t="str">
            <v>A</v>
          </cell>
          <cell r="BF216">
            <v>4</v>
          </cell>
          <cell r="BG216" t="str">
            <v>A</v>
          </cell>
          <cell r="BH216">
            <v>4</v>
          </cell>
          <cell r="BI216" t="str">
            <v>NT7</v>
          </cell>
          <cell r="BJ216">
            <v>0</v>
          </cell>
          <cell r="BK216" t="str">
            <v>A</v>
          </cell>
          <cell r="BL216">
            <v>4</v>
          </cell>
          <cell r="BM216" t="str">
            <v>A</v>
          </cell>
          <cell r="BN216">
            <v>4</v>
          </cell>
          <cell r="BO216" t="str">
            <v>D</v>
          </cell>
          <cell r="BP216">
            <v>0</v>
          </cell>
          <cell r="BQ216">
            <v>11</v>
          </cell>
          <cell r="BR216">
            <v>3</v>
          </cell>
          <cell r="BS216">
            <v>0</v>
          </cell>
          <cell r="BT216">
            <v>10</v>
          </cell>
          <cell r="BU216">
            <v>0</v>
          </cell>
          <cell r="BV216">
            <v>0</v>
          </cell>
          <cell r="BW216">
            <v>2</v>
          </cell>
          <cell r="BX216">
            <v>1</v>
          </cell>
          <cell r="BY216">
            <v>0</v>
          </cell>
          <cell r="BZ216">
            <v>27</v>
          </cell>
          <cell r="CA216">
            <v>84</v>
          </cell>
          <cell r="CB216">
            <v>0</v>
          </cell>
          <cell r="CC216">
            <v>0</v>
          </cell>
          <cell r="CD216">
            <v>1</v>
          </cell>
          <cell r="CE216">
            <v>0</v>
          </cell>
          <cell r="CF216">
            <v>70</v>
          </cell>
          <cell r="CG216">
            <v>2</v>
          </cell>
          <cell r="CH216">
            <v>0</v>
          </cell>
          <cell r="CI216">
            <v>70</v>
          </cell>
        </row>
        <row r="217">
          <cell r="A217" t="str">
            <v>A891</v>
          </cell>
          <cell r="B217" t="str">
            <v>Trần Duy Khánh</v>
          </cell>
          <cell r="C217" t="str">
            <v>QCX</v>
          </cell>
          <cell r="D217">
            <v>0</v>
          </cell>
          <cell r="E217">
            <v>42850</v>
          </cell>
          <cell r="F217">
            <v>0</v>
          </cell>
          <cell r="G217" t="str">
            <v>C</v>
          </cell>
          <cell r="H217">
            <v>4</v>
          </cell>
          <cell r="I217" t="str">
            <v>B</v>
          </cell>
          <cell r="J217">
            <v>3</v>
          </cell>
          <cell r="K217" t="str">
            <v>C</v>
          </cell>
          <cell r="L217">
            <v>4</v>
          </cell>
          <cell r="M217">
            <v>0</v>
          </cell>
          <cell r="N217">
            <v>8</v>
          </cell>
          <cell r="O217" t="str">
            <v>A</v>
          </cell>
          <cell r="P217">
            <v>4</v>
          </cell>
          <cell r="Q217" t="str">
            <v>A</v>
          </cell>
          <cell r="R217">
            <v>4</v>
          </cell>
          <cell r="S217" t="str">
            <v>A</v>
          </cell>
          <cell r="T217">
            <v>4</v>
          </cell>
          <cell r="U217" t="str">
            <v>D</v>
          </cell>
          <cell r="V217">
            <v>0</v>
          </cell>
          <cell r="W217" t="str">
            <v>A</v>
          </cell>
          <cell r="X217">
            <v>4</v>
          </cell>
          <cell r="Y217" t="str">
            <v>A</v>
          </cell>
          <cell r="Z217">
            <v>4</v>
          </cell>
          <cell r="AA217">
            <v>0</v>
          </cell>
          <cell r="AB217">
            <v>0</v>
          </cell>
          <cell r="AC217" t="str">
            <v>NT7</v>
          </cell>
          <cell r="AD217">
            <v>0</v>
          </cell>
          <cell r="AE217" t="str">
            <v>C</v>
          </cell>
          <cell r="AF217">
            <v>4</v>
          </cell>
          <cell r="AG217" t="str">
            <v>C</v>
          </cell>
          <cell r="AH217">
            <v>4</v>
          </cell>
          <cell r="AI217" t="str">
            <v>C</v>
          </cell>
          <cell r="AJ217">
            <v>4</v>
          </cell>
          <cell r="AK217" t="str">
            <v>C</v>
          </cell>
          <cell r="AL217">
            <v>4</v>
          </cell>
          <cell r="AM217" t="str">
            <v>C</v>
          </cell>
          <cell r="AN217">
            <v>4</v>
          </cell>
          <cell r="AO217">
            <v>0</v>
          </cell>
          <cell r="AP217">
            <v>7</v>
          </cell>
          <cell r="AQ217" t="str">
            <v>A</v>
          </cell>
          <cell r="AR217">
            <v>4</v>
          </cell>
          <cell r="AS217" t="str">
            <v>A</v>
          </cell>
          <cell r="AT217">
            <v>4</v>
          </cell>
          <cell r="AU217" t="str">
            <v>NT7</v>
          </cell>
          <cell r="AV217">
            <v>0</v>
          </cell>
          <cell r="AW217" t="str">
            <v>D</v>
          </cell>
          <cell r="AX217">
            <v>4</v>
          </cell>
          <cell r="AY217" t="str">
            <v>D</v>
          </cell>
          <cell r="AZ217">
            <v>0</v>
          </cell>
          <cell r="BA217" t="str">
            <v>D</v>
          </cell>
          <cell r="BB217">
            <v>2</v>
          </cell>
          <cell r="BC217">
            <v>0</v>
          </cell>
          <cell r="BD217">
            <v>19</v>
          </cell>
          <cell r="BE217" t="str">
            <v>C</v>
          </cell>
          <cell r="BF217">
            <v>4</v>
          </cell>
          <cell r="BG217" t="str">
            <v>C</v>
          </cell>
          <cell r="BH217">
            <v>4</v>
          </cell>
          <cell r="BI217" t="str">
            <v>C</v>
          </cell>
          <cell r="BJ217">
            <v>4</v>
          </cell>
          <cell r="BK217" t="str">
            <v>C</v>
          </cell>
          <cell r="BL217">
            <v>4</v>
          </cell>
          <cell r="BM217" t="str">
            <v>P</v>
          </cell>
          <cell r="BN217">
            <v>0</v>
          </cell>
          <cell r="BO217" t="str">
            <v>R0</v>
          </cell>
          <cell r="BP217">
            <v>0</v>
          </cell>
          <cell r="BQ217">
            <v>7</v>
          </cell>
          <cell r="BR217">
            <v>4</v>
          </cell>
          <cell r="BS217">
            <v>1</v>
          </cell>
          <cell r="BT217">
            <v>11</v>
          </cell>
          <cell r="BU217">
            <v>0</v>
          </cell>
          <cell r="BV217">
            <v>0</v>
          </cell>
          <cell r="BW217">
            <v>0</v>
          </cell>
          <cell r="BX217">
            <v>2</v>
          </cell>
          <cell r="BY217">
            <v>1</v>
          </cell>
          <cell r="BZ217">
            <v>26</v>
          </cell>
          <cell r="CA217">
            <v>81</v>
          </cell>
          <cell r="CB217">
            <v>34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70</v>
          </cell>
        </row>
        <row r="218">
          <cell r="A218" t="str">
            <v>A894</v>
          </cell>
          <cell r="B218" t="str">
            <v>Nguyễn Văn Đời</v>
          </cell>
          <cell r="C218" t="str">
            <v>CII.4</v>
          </cell>
          <cell r="D218">
            <v>0</v>
          </cell>
          <cell r="E218">
            <v>42863</v>
          </cell>
          <cell r="F218">
            <v>0</v>
          </cell>
          <cell r="G218" t="str">
            <v>NT7</v>
          </cell>
          <cell r="H218">
            <v>0</v>
          </cell>
          <cell r="I218" t="str">
            <v>C</v>
          </cell>
          <cell r="J218">
            <v>4</v>
          </cell>
          <cell r="K218" t="str">
            <v>C</v>
          </cell>
          <cell r="L218">
            <v>4</v>
          </cell>
          <cell r="M218">
            <v>0</v>
          </cell>
          <cell r="N218">
            <v>0</v>
          </cell>
          <cell r="O218" t="str">
            <v>A</v>
          </cell>
          <cell r="P218">
            <v>4</v>
          </cell>
          <cell r="Q218" t="str">
            <v>A</v>
          </cell>
          <cell r="R218">
            <v>4</v>
          </cell>
          <cell r="S218" t="str">
            <v>A</v>
          </cell>
          <cell r="T218">
            <v>4</v>
          </cell>
          <cell r="U218" t="str">
            <v>A</v>
          </cell>
          <cell r="V218">
            <v>4</v>
          </cell>
          <cell r="W218" t="str">
            <v>A</v>
          </cell>
          <cell r="X218">
            <v>4</v>
          </cell>
          <cell r="Y218" t="str">
            <v>A</v>
          </cell>
          <cell r="Z218">
            <v>4</v>
          </cell>
          <cell r="AA218">
            <v>0</v>
          </cell>
          <cell r="AB218">
            <v>0</v>
          </cell>
          <cell r="AC218" t="str">
            <v>C</v>
          </cell>
          <cell r="AD218">
            <v>4</v>
          </cell>
          <cell r="AE218" t="str">
            <v>C</v>
          </cell>
          <cell r="AF218">
            <v>4</v>
          </cell>
          <cell r="AG218" t="str">
            <v>C</v>
          </cell>
          <cell r="AH218">
            <v>4</v>
          </cell>
          <cell r="AI218" t="str">
            <v>C</v>
          </cell>
          <cell r="AJ218">
            <v>4</v>
          </cell>
          <cell r="AK218" t="str">
            <v>C</v>
          </cell>
          <cell r="AL218">
            <v>4</v>
          </cell>
          <cell r="AM218" t="str">
            <v>C</v>
          </cell>
          <cell r="AN218">
            <v>4</v>
          </cell>
          <cell r="AO218">
            <v>0</v>
          </cell>
          <cell r="AP218">
            <v>0</v>
          </cell>
          <cell r="AQ218" t="str">
            <v>A</v>
          </cell>
          <cell r="AR218">
            <v>4</v>
          </cell>
          <cell r="AS218" t="str">
            <v>A</v>
          </cell>
          <cell r="AT218">
            <v>4</v>
          </cell>
          <cell r="AU218" t="str">
            <v>A</v>
          </cell>
          <cell r="AV218">
            <v>4</v>
          </cell>
          <cell r="AW218" t="str">
            <v>A</v>
          </cell>
          <cell r="AX218">
            <v>4</v>
          </cell>
          <cell r="AY218" t="str">
            <v>A</v>
          </cell>
          <cell r="AZ218">
            <v>4</v>
          </cell>
          <cell r="BA218" t="str">
            <v>A</v>
          </cell>
          <cell r="BB218">
            <v>4</v>
          </cell>
          <cell r="BC218">
            <v>0</v>
          </cell>
          <cell r="BD218">
            <v>12</v>
          </cell>
          <cell r="BE218" t="str">
            <v>A</v>
          </cell>
          <cell r="BF218">
            <v>4</v>
          </cell>
          <cell r="BG218" t="str">
            <v>NT7</v>
          </cell>
          <cell r="BH218">
            <v>0</v>
          </cell>
          <cell r="BI218" t="str">
            <v>A</v>
          </cell>
          <cell r="BJ218">
            <v>4</v>
          </cell>
          <cell r="BK218" t="str">
            <v>A</v>
          </cell>
          <cell r="BL218">
            <v>4</v>
          </cell>
          <cell r="BM218" t="str">
            <v>A</v>
          </cell>
          <cell r="BN218">
            <v>4</v>
          </cell>
          <cell r="BO218" t="str">
            <v>A</v>
          </cell>
          <cell r="BP218">
            <v>4</v>
          </cell>
          <cell r="BQ218">
            <v>17</v>
          </cell>
          <cell r="BR218">
            <v>0</v>
          </cell>
          <cell r="BS218">
            <v>0</v>
          </cell>
          <cell r="BT218">
            <v>8</v>
          </cell>
          <cell r="BU218">
            <v>0</v>
          </cell>
          <cell r="BV218">
            <v>0</v>
          </cell>
          <cell r="BW218">
            <v>0</v>
          </cell>
          <cell r="BX218">
            <v>2</v>
          </cell>
          <cell r="BY218">
            <v>0</v>
          </cell>
          <cell r="BZ218">
            <v>27</v>
          </cell>
          <cell r="CA218">
            <v>100</v>
          </cell>
          <cell r="CB218">
            <v>12</v>
          </cell>
          <cell r="CC218">
            <v>0</v>
          </cell>
          <cell r="CD218">
            <v>0</v>
          </cell>
          <cell r="CE218">
            <v>1</v>
          </cell>
          <cell r="CF218">
            <v>0</v>
          </cell>
          <cell r="CG218">
            <v>1</v>
          </cell>
          <cell r="CH218">
            <v>16</v>
          </cell>
          <cell r="CI218">
            <v>70</v>
          </cell>
        </row>
        <row r="219">
          <cell r="A219" t="str">
            <v>A895</v>
          </cell>
          <cell r="B219" t="str">
            <v>Phạm Thị Kim Chi</v>
          </cell>
          <cell r="C219" t="str">
            <v>CII.4</v>
          </cell>
          <cell r="D219">
            <v>0</v>
          </cell>
          <cell r="E219">
            <v>42871</v>
          </cell>
          <cell r="F219">
            <v>5</v>
          </cell>
          <cell r="G219" t="str">
            <v>NT7</v>
          </cell>
          <cell r="H219">
            <v>0</v>
          </cell>
          <cell r="I219" t="str">
            <v>C</v>
          </cell>
          <cell r="J219">
            <v>4</v>
          </cell>
          <cell r="K219" t="str">
            <v>C</v>
          </cell>
          <cell r="L219">
            <v>4</v>
          </cell>
          <cell r="M219">
            <v>0</v>
          </cell>
          <cell r="N219">
            <v>0</v>
          </cell>
          <cell r="O219" t="str">
            <v>A</v>
          </cell>
          <cell r="P219">
            <v>4</v>
          </cell>
          <cell r="Q219" t="str">
            <v>A</v>
          </cell>
          <cell r="R219">
            <v>4</v>
          </cell>
          <cell r="S219" t="str">
            <v>A</v>
          </cell>
          <cell r="T219">
            <v>4</v>
          </cell>
          <cell r="U219" t="str">
            <v>A</v>
          </cell>
          <cell r="V219">
            <v>4</v>
          </cell>
          <cell r="W219" t="str">
            <v>A</v>
          </cell>
          <cell r="X219">
            <v>4</v>
          </cell>
          <cell r="Y219" t="str">
            <v>A</v>
          </cell>
          <cell r="Z219">
            <v>4</v>
          </cell>
          <cell r="AA219">
            <v>0</v>
          </cell>
          <cell r="AB219">
            <v>0</v>
          </cell>
          <cell r="AC219" t="str">
            <v>C</v>
          </cell>
          <cell r="AD219">
            <v>4</v>
          </cell>
          <cell r="AE219" t="str">
            <v>C</v>
          </cell>
          <cell r="AF219">
            <v>4</v>
          </cell>
          <cell r="AG219" t="str">
            <v>C</v>
          </cell>
          <cell r="AH219">
            <v>4</v>
          </cell>
          <cell r="AI219" t="str">
            <v>C</v>
          </cell>
          <cell r="AJ219">
            <v>4</v>
          </cell>
          <cell r="AK219" t="str">
            <v>C</v>
          </cell>
          <cell r="AL219">
            <v>4</v>
          </cell>
          <cell r="AM219" t="str">
            <v>C</v>
          </cell>
          <cell r="AN219">
            <v>4</v>
          </cell>
          <cell r="AO219">
            <v>0</v>
          </cell>
          <cell r="AP219">
            <v>0</v>
          </cell>
          <cell r="AQ219" t="str">
            <v>A</v>
          </cell>
          <cell r="AR219">
            <v>4</v>
          </cell>
          <cell r="AS219" t="str">
            <v>A</v>
          </cell>
          <cell r="AT219">
            <v>4</v>
          </cell>
          <cell r="AU219" t="str">
            <v>P</v>
          </cell>
          <cell r="AV219">
            <v>0</v>
          </cell>
          <cell r="AW219" t="str">
            <v>NT7</v>
          </cell>
          <cell r="AX219">
            <v>0</v>
          </cell>
          <cell r="AY219" t="str">
            <v>A</v>
          </cell>
          <cell r="AZ219">
            <v>4</v>
          </cell>
          <cell r="BA219" t="str">
            <v>A</v>
          </cell>
          <cell r="BB219">
            <v>4</v>
          </cell>
          <cell r="BC219">
            <v>0</v>
          </cell>
          <cell r="BD219">
            <v>12</v>
          </cell>
          <cell r="BE219" t="str">
            <v>A</v>
          </cell>
          <cell r="BF219">
            <v>4</v>
          </cell>
          <cell r="BG219" t="str">
            <v>A</v>
          </cell>
          <cell r="BH219">
            <v>4</v>
          </cell>
          <cell r="BI219" t="str">
            <v>A</v>
          </cell>
          <cell r="BJ219">
            <v>4</v>
          </cell>
          <cell r="BK219" t="str">
            <v>A</v>
          </cell>
          <cell r="BL219">
            <v>4</v>
          </cell>
          <cell r="BM219" t="str">
            <v>A</v>
          </cell>
          <cell r="BN219">
            <v>4</v>
          </cell>
          <cell r="BO219" t="str">
            <v>A</v>
          </cell>
          <cell r="BP219">
            <v>4</v>
          </cell>
          <cell r="BQ219">
            <v>16</v>
          </cell>
          <cell r="BR219">
            <v>0</v>
          </cell>
          <cell r="BS219">
            <v>0</v>
          </cell>
          <cell r="BT219">
            <v>8</v>
          </cell>
          <cell r="BU219">
            <v>0</v>
          </cell>
          <cell r="BV219">
            <v>0</v>
          </cell>
          <cell r="BW219">
            <v>0</v>
          </cell>
          <cell r="BX219">
            <v>2</v>
          </cell>
          <cell r="BY219">
            <v>1</v>
          </cell>
          <cell r="BZ219">
            <v>27</v>
          </cell>
          <cell r="CA219">
            <v>96</v>
          </cell>
          <cell r="CB219">
            <v>12</v>
          </cell>
          <cell r="CC219">
            <v>0</v>
          </cell>
          <cell r="CD219">
            <v>0</v>
          </cell>
          <cell r="CE219">
            <v>1</v>
          </cell>
          <cell r="CF219">
            <v>0</v>
          </cell>
          <cell r="CG219">
            <v>5</v>
          </cell>
          <cell r="CH219">
            <v>16</v>
          </cell>
          <cell r="CI219">
            <v>70</v>
          </cell>
        </row>
        <row r="220">
          <cell r="A220" t="str">
            <v>A896</v>
          </cell>
          <cell r="B220" t="str">
            <v>Trần Nhật Nam</v>
          </cell>
          <cell r="C220" t="str">
            <v>CII.4</v>
          </cell>
          <cell r="D220">
            <v>0</v>
          </cell>
          <cell r="E220">
            <v>42867</v>
          </cell>
          <cell r="F220">
            <v>1</v>
          </cell>
          <cell r="G220" t="str">
            <v>A</v>
          </cell>
          <cell r="H220">
            <v>4</v>
          </cell>
          <cell r="I220" t="str">
            <v>C</v>
          </cell>
          <cell r="J220">
            <v>10</v>
          </cell>
          <cell r="K220" t="str">
            <v>C</v>
          </cell>
          <cell r="L220">
            <v>4</v>
          </cell>
          <cell r="M220">
            <v>0</v>
          </cell>
          <cell r="N220">
            <v>12</v>
          </cell>
          <cell r="O220" t="str">
            <v>P</v>
          </cell>
          <cell r="P220">
            <v>0</v>
          </cell>
          <cell r="Q220" t="str">
            <v>A</v>
          </cell>
          <cell r="R220">
            <v>4</v>
          </cell>
          <cell r="S220" t="str">
            <v>A</v>
          </cell>
          <cell r="T220">
            <v>4</v>
          </cell>
          <cell r="U220" t="str">
            <v>D</v>
          </cell>
          <cell r="V220">
            <v>0</v>
          </cell>
          <cell r="W220" t="str">
            <v>A</v>
          </cell>
          <cell r="X220">
            <v>4</v>
          </cell>
          <cell r="Y220" t="str">
            <v>A</v>
          </cell>
          <cell r="Z220">
            <v>4</v>
          </cell>
          <cell r="AA220">
            <v>0</v>
          </cell>
          <cell r="AB220">
            <v>12</v>
          </cell>
          <cell r="AC220" t="str">
            <v>A</v>
          </cell>
          <cell r="AD220">
            <v>4</v>
          </cell>
          <cell r="AE220" t="str">
            <v>A</v>
          </cell>
          <cell r="AF220">
            <v>4</v>
          </cell>
          <cell r="AG220" t="str">
            <v>A</v>
          </cell>
          <cell r="AH220">
            <v>4</v>
          </cell>
          <cell r="AI220" t="str">
            <v>A</v>
          </cell>
          <cell r="AJ220">
            <v>4</v>
          </cell>
          <cell r="AK220" t="str">
            <v>NT7</v>
          </cell>
          <cell r="AL220">
            <v>0</v>
          </cell>
          <cell r="AM220" t="str">
            <v>A</v>
          </cell>
          <cell r="AN220">
            <v>4</v>
          </cell>
          <cell r="AO220">
            <v>0</v>
          </cell>
          <cell r="AP220">
            <v>11</v>
          </cell>
          <cell r="AQ220" t="str">
            <v>A</v>
          </cell>
          <cell r="AR220">
            <v>4</v>
          </cell>
          <cell r="AS220" t="str">
            <v>A</v>
          </cell>
          <cell r="AT220">
            <v>8</v>
          </cell>
          <cell r="AU220" t="str">
            <v>A</v>
          </cell>
          <cell r="AV220">
            <v>4</v>
          </cell>
          <cell r="AW220" t="str">
            <v>A</v>
          </cell>
          <cell r="AX220">
            <v>4</v>
          </cell>
          <cell r="AY220" t="str">
            <v>NT7</v>
          </cell>
          <cell r="AZ220">
            <v>0</v>
          </cell>
          <cell r="BA220" t="str">
            <v>A</v>
          </cell>
          <cell r="BB220">
            <v>4</v>
          </cell>
          <cell r="BC220">
            <v>0</v>
          </cell>
          <cell r="BD220">
            <v>10</v>
          </cell>
          <cell r="BE220" t="str">
            <v>D</v>
          </cell>
          <cell r="BF220">
            <v>0</v>
          </cell>
          <cell r="BG220" t="str">
            <v>A</v>
          </cell>
          <cell r="BH220">
            <v>6</v>
          </cell>
          <cell r="BI220" t="str">
            <v>A</v>
          </cell>
          <cell r="BJ220">
            <v>6</v>
          </cell>
          <cell r="BK220" t="str">
            <v>A</v>
          </cell>
          <cell r="BL220">
            <v>6</v>
          </cell>
          <cell r="BM220" t="str">
            <v>A</v>
          </cell>
          <cell r="BN220">
            <v>8</v>
          </cell>
          <cell r="BO220" t="str">
            <v>D</v>
          </cell>
          <cell r="BP220">
            <v>3</v>
          </cell>
          <cell r="BQ220">
            <v>19</v>
          </cell>
          <cell r="BR220">
            <v>3</v>
          </cell>
          <cell r="BS220">
            <v>0</v>
          </cell>
          <cell r="BT220">
            <v>2</v>
          </cell>
          <cell r="BU220">
            <v>0</v>
          </cell>
          <cell r="BV220">
            <v>0</v>
          </cell>
          <cell r="BW220">
            <v>0</v>
          </cell>
          <cell r="BX220">
            <v>2</v>
          </cell>
          <cell r="BY220">
            <v>1</v>
          </cell>
          <cell r="BZ220">
            <v>27</v>
          </cell>
          <cell r="CA220">
            <v>107</v>
          </cell>
          <cell r="CB220">
            <v>45</v>
          </cell>
          <cell r="CC220">
            <v>0</v>
          </cell>
          <cell r="CD220">
            <v>0</v>
          </cell>
          <cell r="CE220">
            <v>2</v>
          </cell>
          <cell r="CF220">
            <v>0</v>
          </cell>
          <cell r="CG220">
            <v>1</v>
          </cell>
          <cell r="CH220">
            <v>32</v>
          </cell>
          <cell r="CI220">
            <v>70</v>
          </cell>
        </row>
        <row r="221">
          <cell r="A221" t="str">
            <v>A898</v>
          </cell>
          <cell r="B221" t="str">
            <v>Trần Trung Hiếu</v>
          </cell>
          <cell r="C221" t="str">
            <v>CII.4</v>
          </cell>
          <cell r="D221">
            <v>0</v>
          </cell>
          <cell r="E221">
            <v>42868</v>
          </cell>
          <cell r="F221">
            <v>1.5</v>
          </cell>
          <cell r="G221" t="str">
            <v>D</v>
          </cell>
          <cell r="H221">
            <v>0</v>
          </cell>
          <cell r="I221" t="str">
            <v>A</v>
          </cell>
          <cell r="J221">
            <v>4</v>
          </cell>
          <cell r="K221" t="str">
            <v>A</v>
          </cell>
          <cell r="L221">
            <v>4</v>
          </cell>
          <cell r="M221">
            <v>0</v>
          </cell>
          <cell r="N221">
            <v>8</v>
          </cell>
          <cell r="O221" t="str">
            <v>A</v>
          </cell>
          <cell r="P221">
            <v>4</v>
          </cell>
          <cell r="Q221" t="str">
            <v>A</v>
          </cell>
          <cell r="R221">
            <v>4</v>
          </cell>
          <cell r="S221" t="str">
            <v>A</v>
          </cell>
          <cell r="T221">
            <v>4</v>
          </cell>
          <cell r="U221" t="str">
            <v>D</v>
          </cell>
          <cell r="V221">
            <v>0</v>
          </cell>
          <cell r="W221" t="str">
            <v>A</v>
          </cell>
          <cell r="X221">
            <v>5</v>
          </cell>
          <cell r="Y221" t="str">
            <v>A</v>
          </cell>
          <cell r="Z221">
            <v>4</v>
          </cell>
          <cell r="AA221">
            <v>0</v>
          </cell>
          <cell r="AB221">
            <v>12</v>
          </cell>
          <cell r="AC221" t="str">
            <v>D</v>
          </cell>
          <cell r="AD221">
            <v>0</v>
          </cell>
          <cell r="AE221" t="str">
            <v>A</v>
          </cell>
          <cell r="AF221">
            <v>4</v>
          </cell>
          <cell r="AG221" t="str">
            <v>A</v>
          </cell>
          <cell r="AH221">
            <v>4</v>
          </cell>
          <cell r="AI221" t="str">
            <v>D</v>
          </cell>
          <cell r="AJ221">
            <v>0</v>
          </cell>
          <cell r="AK221" t="str">
            <v>A</v>
          </cell>
          <cell r="AL221">
            <v>4</v>
          </cell>
          <cell r="AM221" t="str">
            <v>A</v>
          </cell>
          <cell r="AN221">
            <v>4</v>
          </cell>
          <cell r="AO221">
            <v>0</v>
          </cell>
          <cell r="AP221">
            <v>0</v>
          </cell>
          <cell r="AQ221" t="str">
            <v>A</v>
          </cell>
          <cell r="AR221">
            <v>4</v>
          </cell>
          <cell r="AS221" t="str">
            <v>A</v>
          </cell>
          <cell r="AT221">
            <v>5</v>
          </cell>
          <cell r="AU221" t="str">
            <v>A</v>
          </cell>
          <cell r="AV221">
            <v>4</v>
          </cell>
          <cell r="AW221" t="str">
            <v>D</v>
          </cell>
          <cell r="AX221">
            <v>0</v>
          </cell>
          <cell r="AY221" t="str">
            <v>P</v>
          </cell>
          <cell r="AZ221">
            <v>0</v>
          </cell>
          <cell r="BA221" t="str">
            <v>P</v>
          </cell>
          <cell r="BB221">
            <v>0</v>
          </cell>
          <cell r="BC221">
            <v>0</v>
          </cell>
          <cell r="BD221">
            <v>0</v>
          </cell>
          <cell r="BE221" t="str">
            <v>NT7</v>
          </cell>
          <cell r="BF221">
            <v>0</v>
          </cell>
          <cell r="BG221" t="str">
            <v>NT7</v>
          </cell>
          <cell r="BH221">
            <v>0</v>
          </cell>
          <cell r="BI221" t="str">
            <v>A</v>
          </cell>
          <cell r="BJ221">
            <v>6</v>
          </cell>
          <cell r="BK221" t="str">
            <v>A</v>
          </cell>
          <cell r="BL221">
            <v>4</v>
          </cell>
          <cell r="BM221" t="str">
            <v>A</v>
          </cell>
          <cell r="BN221">
            <v>4</v>
          </cell>
          <cell r="BO221" t="str">
            <v>D</v>
          </cell>
          <cell r="BP221">
            <v>0</v>
          </cell>
          <cell r="BQ221">
            <v>17</v>
          </cell>
          <cell r="BR221">
            <v>6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2</v>
          </cell>
          <cell r="BY221">
            <v>2</v>
          </cell>
          <cell r="BZ221">
            <v>27</v>
          </cell>
          <cell r="CA221">
            <v>72</v>
          </cell>
          <cell r="CB221">
            <v>20</v>
          </cell>
          <cell r="CC221">
            <v>0</v>
          </cell>
          <cell r="CD221">
            <v>0</v>
          </cell>
          <cell r="CE221">
            <v>1</v>
          </cell>
          <cell r="CF221">
            <v>0</v>
          </cell>
          <cell r="CG221">
            <v>0.5</v>
          </cell>
          <cell r="CH221">
            <v>16</v>
          </cell>
          <cell r="CI221">
            <v>70</v>
          </cell>
        </row>
        <row r="222">
          <cell r="A222" t="str">
            <v>A899</v>
          </cell>
          <cell r="B222" t="str">
            <v>Nguyễn Văn Đương</v>
          </cell>
          <cell r="C222" t="str">
            <v>CII.1</v>
          </cell>
          <cell r="D222">
            <v>0</v>
          </cell>
          <cell r="E222">
            <v>42863</v>
          </cell>
          <cell r="F222">
            <v>0</v>
          </cell>
          <cell r="G222" t="str">
            <v>A</v>
          </cell>
          <cell r="H222">
            <v>4</v>
          </cell>
          <cell r="I222" t="str">
            <v>A</v>
          </cell>
          <cell r="J222">
            <v>4</v>
          </cell>
          <cell r="K222" t="str">
            <v>D</v>
          </cell>
          <cell r="L222">
            <v>2</v>
          </cell>
          <cell r="M222">
            <v>0</v>
          </cell>
          <cell r="N222">
            <v>12</v>
          </cell>
          <cell r="O222" t="str">
            <v>A</v>
          </cell>
          <cell r="P222">
            <v>4</v>
          </cell>
          <cell r="Q222" t="str">
            <v>A</v>
          </cell>
          <cell r="R222">
            <v>4</v>
          </cell>
          <cell r="S222" t="str">
            <v>A</v>
          </cell>
          <cell r="T222">
            <v>4</v>
          </cell>
          <cell r="U222" t="str">
            <v>A</v>
          </cell>
          <cell r="V222">
            <v>4</v>
          </cell>
          <cell r="W222" t="str">
            <v>A</v>
          </cell>
          <cell r="X222">
            <v>4</v>
          </cell>
          <cell r="Y222" t="str">
            <v>D</v>
          </cell>
          <cell r="Z222">
            <v>0</v>
          </cell>
          <cell r="AA222">
            <v>0</v>
          </cell>
          <cell r="AB222">
            <v>12</v>
          </cell>
          <cell r="AC222" t="str">
            <v>C</v>
          </cell>
          <cell r="AD222">
            <v>4</v>
          </cell>
          <cell r="AE222" t="str">
            <v>C</v>
          </cell>
          <cell r="AF222">
            <v>4</v>
          </cell>
          <cell r="AG222" t="str">
            <v>C</v>
          </cell>
          <cell r="AH222">
            <v>4</v>
          </cell>
          <cell r="AI222" t="str">
            <v>C</v>
          </cell>
          <cell r="AJ222">
            <v>4</v>
          </cell>
          <cell r="AK222" t="str">
            <v>C</v>
          </cell>
          <cell r="AL222">
            <v>4</v>
          </cell>
          <cell r="AM222" t="str">
            <v>NT7</v>
          </cell>
          <cell r="AN222">
            <v>0</v>
          </cell>
          <cell r="AO222">
            <v>0</v>
          </cell>
          <cell r="AP222">
            <v>0</v>
          </cell>
          <cell r="AQ222" t="str">
            <v>A</v>
          </cell>
          <cell r="AR222">
            <v>4</v>
          </cell>
          <cell r="AS222" t="str">
            <v>A</v>
          </cell>
          <cell r="AT222">
            <v>4</v>
          </cell>
          <cell r="AU222" t="str">
            <v>A</v>
          </cell>
          <cell r="AV222">
            <v>4</v>
          </cell>
          <cell r="AW222" t="str">
            <v>A</v>
          </cell>
          <cell r="AX222">
            <v>4</v>
          </cell>
          <cell r="AY222" t="str">
            <v>A</v>
          </cell>
          <cell r="AZ222">
            <v>4</v>
          </cell>
          <cell r="BA222" t="str">
            <v>D</v>
          </cell>
          <cell r="BB222">
            <v>0</v>
          </cell>
          <cell r="BC222">
            <v>0</v>
          </cell>
          <cell r="BD222">
            <v>12</v>
          </cell>
          <cell r="BE222" t="str">
            <v>C</v>
          </cell>
          <cell r="BF222">
            <v>4</v>
          </cell>
          <cell r="BG222" t="str">
            <v>C</v>
          </cell>
          <cell r="BH222">
            <v>4</v>
          </cell>
          <cell r="BI222" t="str">
            <v>C</v>
          </cell>
          <cell r="BJ222">
            <v>4</v>
          </cell>
          <cell r="BK222" t="str">
            <v>C</v>
          </cell>
          <cell r="BL222">
            <v>4</v>
          </cell>
          <cell r="BM222" t="str">
            <v>C</v>
          </cell>
          <cell r="BN222">
            <v>4</v>
          </cell>
          <cell r="BO222" t="str">
            <v>NT7</v>
          </cell>
          <cell r="BP222">
            <v>0</v>
          </cell>
          <cell r="BQ222">
            <v>12</v>
          </cell>
          <cell r="BR222">
            <v>3</v>
          </cell>
          <cell r="BS222">
            <v>0</v>
          </cell>
          <cell r="BT222">
            <v>10</v>
          </cell>
          <cell r="BU222">
            <v>0</v>
          </cell>
          <cell r="BV222">
            <v>0</v>
          </cell>
          <cell r="BW222">
            <v>0</v>
          </cell>
          <cell r="BX222">
            <v>2</v>
          </cell>
          <cell r="BY222">
            <v>0</v>
          </cell>
          <cell r="BZ222">
            <v>27</v>
          </cell>
          <cell r="CA222">
            <v>90</v>
          </cell>
          <cell r="CB222">
            <v>36</v>
          </cell>
          <cell r="CC222">
            <v>0</v>
          </cell>
          <cell r="CD222">
            <v>0</v>
          </cell>
          <cell r="CE222">
            <v>5</v>
          </cell>
          <cell r="CF222">
            <v>0</v>
          </cell>
          <cell r="CG222">
            <v>1</v>
          </cell>
          <cell r="CH222">
            <v>80</v>
          </cell>
          <cell r="CI222">
            <v>70</v>
          </cell>
        </row>
        <row r="223">
          <cell r="A223" t="str">
            <v>A902</v>
          </cell>
          <cell r="B223" t="str">
            <v>Trần Văn Tấn Dũng</v>
          </cell>
          <cell r="C223" t="str">
            <v>CII.1</v>
          </cell>
          <cell r="D223">
            <v>0</v>
          </cell>
          <cell r="E223">
            <v>42867</v>
          </cell>
          <cell r="F223">
            <v>0</v>
          </cell>
          <cell r="G223" t="str">
            <v>C</v>
          </cell>
          <cell r="H223">
            <v>4</v>
          </cell>
          <cell r="I223" t="str">
            <v>C</v>
          </cell>
          <cell r="J223">
            <v>4</v>
          </cell>
          <cell r="K223" t="str">
            <v>HH</v>
          </cell>
          <cell r="L223">
            <v>0</v>
          </cell>
          <cell r="M223">
            <v>0</v>
          </cell>
          <cell r="N223">
            <v>0</v>
          </cell>
          <cell r="O223" t="str">
            <v>A</v>
          </cell>
          <cell r="P223">
            <v>4</v>
          </cell>
          <cell r="Q223" t="str">
            <v>A</v>
          </cell>
          <cell r="R223">
            <v>4</v>
          </cell>
          <cell r="S223" t="str">
            <v>A</v>
          </cell>
          <cell r="T223">
            <v>4</v>
          </cell>
          <cell r="U223" t="str">
            <v>D</v>
          </cell>
          <cell r="V223">
            <v>3</v>
          </cell>
          <cell r="W223" t="str">
            <v>A</v>
          </cell>
          <cell r="X223">
            <v>4</v>
          </cell>
          <cell r="Y223" t="str">
            <v>D</v>
          </cell>
          <cell r="Z223">
            <v>0</v>
          </cell>
          <cell r="AA223">
            <v>0</v>
          </cell>
          <cell r="AB223">
            <v>0</v>
          </cell>
          <cell r="AC223" t="str">
            <v>C</v>
          </cell>
          <cell r="AD223">
            <v>4</v>
          </cell>
          <cell r="AE223" t="str">
            <v>C</v>
          </cell>
          <cell r="AF223">
            <v>4</v>
          </cell>
          <cell r="AG223" t="str">
            <v>B</v>
          </cell>
          <cell r="AH223">
            <v>1</v>
          </cell>
          <cell r="AI223" t="str">
            <v>C</v>
          </cell>
          <cell r="AJ223">
            <v>4</v>
          </cell>
          <cell r="AK223" t="str">
            <v>C</v>
          </cell>
          <cell r="AL223">
            <v>4</v>
          </cell>
          <cell r="AM223" t="str">
            <v>NT7</v>
          </cell>
          <cell r="AN223">
            <v>0</v>
          </cell>
          <cell r="AO223">
            <v>0</v>
          </cell>
          <cell r="AP223">
            <v>0</v>
          </cell>
          <cell r="AQ223" t="str">
            <v>A</v>
          </cell>
          <cell r="AR223">
            <v>4</v>
          </cell>
          <cell r="AS223" t="str">
            <v>A</v>
          </cell>
          <cell r="AT223">
            <v>4</v>
          </cell>
          <cell r="AU223" t="str">
            <v>P</v>
          </cell>
          <cell r="AV223">
            <v>0</v>
          </cell>
          <cell r="AW223" t="str">
            <v>R0</v>
          </cell>
          <cell r="AX223">
            <v>0</v>
          </cell>
          <cell r="AY223" t="str">
            <v>A</v>
          </cell>
          <cell r="AZ223">
            <v>4</v>
          </cell>
          <cell r="BA223" t="str">
            <v>D</v>
          </cell>
          <cell r="BB223">
            <v>0</v>
          </cell>
          <cell r="BC223">
            <v>0</v>
          </cell>
          <cell r="BD223">
            <v>0</v>
          </cell>
          <cell r="BE223" t="str">
            <v>C</v>
          </cell>
          <cell r="BF223">
            <v>4</v>
          </cell>
          <cell r="BG223" t="str">
            <v>C</v>
          </cell>
          <cell r="BH223">
            <v>4</v>
          </cell>
          <cell r="BI223" t="str">
            <v>C</v>
          </cell>
          <cell r="BJ223">
            <v>4</v>
          </cell>
          <cell r="BK223" t="str">
            <v>C</v>
          </cell>
          <cell r="BL223">
            <v>4</v>
          </cell>
          <cell r="BM223" t="str">
            <v>C</v>
          </cell>
          <cell r="BN223">
            <v>4</v>
          </cell>
          <cell r="BO223" t="str">
            <v>NT7</v>
          </cell>
          <cell r="BP223">
            <v>0</v>
          </cell>
          <cell r="BQ223">
            <v>7</v>
          </cell>
          <cell r="BR223">
            <v>3</v>
          </cell>
          <cell r="BS223">
            <v>1</v>
          </cell>
          <cell r="BT223">
            <v>11</v>
          </cell>
          <cell r="BU223">
            <v>0</v>
          </cell>
          <cell r="BV223">
            <v>0</v>
          </cell>
          <cell r="BW223">
            <v>1</v>
          </cell>
          <cell r="BX223">
            <v>2</v>
          </cell>
          <cell r="BY223">
            <v>1</v>
          </cell>
          <cell r="BZ223">
            <v>26</v>
          </cell>
          <cell r="CA223">
            <v>76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70</v>
          </cell>
        </row>
        <row r="224">
          <cell r="A224" t="str">
            <v>A903</v>
          </cell>
          <cell r="B224" t="str">
            <v>Nguyễn Minh Nhựt</v>
          </cell>
          <cell r="C224" t="str">
            <v>XLN</v>
          </cell>
          <cell r="D224">
            <v>0</v>
          </cell>
          <cell r="E224">
            <v>42870</v>
          </cell>
          <cell r="F224">
            <v>7.5</v>
          </cell>
          <cell r="G224" t="str">
            <v>C</v>
          </cell>
          <cell r="H224">
            <v>5</v>
          </cell>
          <cell r="I224" t="str">
            <v>C</v>
          </cell>
          <cell r="J224">
            <v>4</v>
          </cell>
          <cell r="K224" t="str">
            <v>C</v>
          </cell>
          <cell r="L224">
            <v>4</v>
          </cell>
          <cell r="M224">
            <v>0</v>
          </cell>
          <cell r="N224">
            <v>20</v>
          </cell>
          <cell r="O224" t="str">
            <v>A</v>
          </cell>
          <cell r="P224">
            <v>3</v>
          </cell>
          <cell r="Q224" t="str">
            <v>A</v>
          </cell>
          <cell r="R224">
            <v>4</v>
          </cell>
          <cell r="S224" t="str">
            <v>A</v>
          </cell>
          <cell r="T224">
            <v>4</v>
          </cell>
          <cell r="U224" t="str">
            <v>A</v>
          </cell>
          <cell r="V224">
            <v>4</v>
          </cell>
          <cell r="W224" t="str">
            <v>A</v>
          </cell>
          <cell r="X224">
            <v>4</v>
          </cell>
          <cell r="Y224" t="str">
            <v>C</v>
          </cell>
          <cell r="Z224">
            <v>16</v>
          </cell>
          <cell r="AA224">
            <v>0</v>
          </cell>
          <cell r="AB224">
            <v>12</v>
          </cell>
          <cell r="AC224" t="str">
            <v>C</v>
          </cell>
          <cell r="AD224">
            <v>4</v>
          </cell>
          <cell r="AE224" t="str">
            <v>C</v>
          </cell>
          <cell r="AF224">
            <v>4</v>
          </cell>
          <cell r="AG224" t="str">
            <v>C</v>
          </cell>
          <cell r="AH224">
            <v>10</v>
          </cell>
          <cell r="AI224" t="str">
            <v>C</v>
          </cell>
          <cell r="AJ224">
            <v>4</v>
          </cell>
          <cell r="AK224" t="str">
            <v>C</v>
          </cell>
          <cell r="AL224">
            <v>4</v>
          </cell>
          <cell r="AM224" t="str">
            <v>C</v>
          </cell>
          <cell r="AN224">
            <v>10</v>
          </cell>
          <cell r="AO224">
            <v>0</v>
          </cell>
          <cell r="AP224">
            <v>12</v>
          </cell>
          <cell r="AQ224" t="str">
            <v>C</v>
          </cell>
          <cell r="AR224">
            <v>22</v>
          </cell>
          <cell r="AS224" t="str">
            <v>C</v>
          </cell>
          <cell r="AT224">
            <v>24</v>
          </cell>
          <cell r="AU224" t="str">
            <v>C</v>
          </cell>
          <cell r="AV224">
            <v>4</v>
          </cell>
          <cell r="AW224" t="str">
            <v>C</v>
          </cell>
          <cell r="AX224">
            <v>4</v>
          </cell>
          <cell r="AY224" t="str">
            <v>C</v>
          </cell>
          <cell r="AZ224">
            <v>4</v>
          </cell>
          <cell r="BA224" t="str">
            <v>C</v>
          </cell>
          <cell r="BB224">
            <v>4</v>
          </cell>
          <cell r="BC224">
            <v>0</v>
          </cell>
          <cell r="BD224">
            <v>12</v>
          </cell>
          <cell r="BE224" t="str">
            <v>A</v>
          </cell>
          <cell r="BF224">
            <v>4</v>
          </cell>
          <cell r="BG224" t="str">
            <v>A</v>
          </cell>
          <cell r="BH224">
            <v>4</v>
          </cell>
          <cell r="BI224" t="str">
            <v>A</v>
          </cell>
          <cell r="BJ224">
            <v>4</v>
          </cell>
          <cell r="BK224" t="str">
            <v>A</v>
          </cell>
          <cell r="BL224">
            <v>4</v>
          </cell>
          <cell r="BM224" t="str">
            <v>A</v>
          </cell>
          <cell r="BN224">
            <v>4</v>
          </cell>
          <cell r="BO224" t="str">
            <v>D</v>
          </cell>
          <cell r="BP224">
            <v>2</v>
          </cell>
          <cell r="BQ224">
            <v>10</v>
          </cell>
          <cell r="BR224">
            <v>1</v>
          </cell>
          <cell r="BS224">
            <v>0</v>
          </cell>
          <cell r="BT224">
            <v>16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27</v>
          </cell>
          <cell r="CA224">
            <v>168</v>
          </cell>
          <cell r="CB224">
            <v>56</v>
          </cell>
          <cell r="CC224">
            <v>0</v>
          </cell>
          <cell r="CD224">
            <v>2</v>
          </cell>
          <cell r="CE224">
            <v>7</v>
          </cell>
          <cell r="CF224">
            <v>140</v>
          </cell>
          <cell r="CG224">
            <v>8.5</v>
          </cell>
          <cell r="CH224">
            <v>112</v>
          </cell>
          <cell r="CI224">
            <v>70</v>
          </cell>
        </row>
        <row r="225">
          <cell r="A225" t="str">
            <v>A904</v>
          </cell>
          <cell r="B225" t="str">
            <v>Hoàng Lâm Bảo Quỳnh</v>
          </cell>
          <cell r="C225" t="str">
            <v>QCX</v>
          </cell>
          <cell r="D225">
            <v>0</v>
          </cell>
          <cell r="E225">
            <v>42858</v>
          </cell>
          <cell r="F225">
            <v>0</v>
          </cell>
          <cell r="G225" t="str">
            <v>NT7</v>
          </cell>
          <cell r="H225">
            <v>0</v>
          </cell>
          <cell r="I225" t="str">
            <v>A</v>
          </cell>
          <cell r="J225">
            <v>4</v>
          </cell>
          <cell r="K225" t="str">
            <v>D</v>
          </cell>
          <cell r="L225">
            <v>2</v>
          </cell>
          <cell r="M225">
            <v>0</v>
          </cell>
          <cell r="N225">
            <v>12</v>
          </cell>
          <cell r="O225" t="str">
            <v>A</v>
          </cell>
          <cell r="P225">
            <v>4</v>
          </cell>
          <cell r="Q225" t="str">
            <v>A</v>
          </cell>
          <cell r="R225">
            <v>4</v>
          </cell>
          <cell r="S225" t="str">
            <v>D</v>
          </cell>
          <cell r="T225">
            <v>0</v>
          </cell>
          <cell r="U225" t="str">
            <v>D</v>
          </cell>
          <cell r="V225">
            <v>2</v>
          </cell>
          <cell r="W225" t="str">
            <v>A</v>
          </cell>
          <cell r="X225">
            <v>4</v>
          </cell>
          <cell r="Y225" t="str">
            <v>A</v>
          </cell>
          <cell r="Z225">
            <v>4</v>
          </cell>
          <cell r="AA225">
            <v>0</v>
          </cell>
          <cell r="AB225">
            <v>8</v>
          </cell>
          <cell r="AC225" t="str">
            <v>A</v>
          </cell>
          <cell r="AD225">
            <v>4</v>
          </cell>
          <cell r="AE225" t="str">
            <v>A</v>
          </cell>
          <cell r="AF225">
            <v>4</v>
          </cell>
          <cell r="AG225" t="str">
            <v>A</v>
          </cell>
          <cell r="AH225">
            <v>4</v>
          </cell>
          <cell r="AI225" t="str">
            <v>A</v>
          </cell>
          <cell r="AJ225">
            <v>4</v>
          </cell>
          <cell r="AK225" t="str">
            <v>A</v>
          </cell>
          <cell r="AL225">
            <v>4</v>
          </cell>
          <cell r="AM225" t="str">
            <v>D</v>
          </cell>
          <cell r="AN225">
            <v>2</v>
          </cell>
          <cell r="AO225">
            <v>0</v>
          </cell>
          <cell r="AP225">
            <v>0</v>
          </cell>
          <cell r="AQ225" t="str">
            <v>A</v>
          </cell>
          <cell r="AR225">
            <v>4</v>
          </cell>
          <cell r="AS225" t="str">
            <v>A</v>
          </cell>
          <cell r="AT225">
            <v>4</v>
          </cell>
          <cell r="AU225" t="str">
            <v>A</v>
          </cell>
          <cell r="AV225">
            <v>4</v>
          </cell>
          <cell r="AW225" t="str">
            <v>A</v>
          </cell>
          <cell r="AX225">
            <v>4</v>
          </cell>
          <cell r="AY225" t="str">
            <v>D</v>
          </cell>
          <cell r="AZ225">
            <v>2</v>
          </cell>
          <cell r="BA225" t="str">
            <v>D</v>
          </cell>
          <cell r="BB225">
            <v>2</v>
          </cell>
          <cell r="BC225">
            <v>0</v>
          </cell>
          <cell r="BD225">
            <v>0</v>
          </cell>
          <cell r="BE225" t="str">
            <v>A</v>
          </cell>
          <cell r="BF225">
            <v>4</v>
          </cell>
          <cell r="BG225" t="str">
            <v>A</v>
          </cell>
          <cell r="BH225">
            <v>4</v>
          </cell>
          <cell r="BI225" t="str">
            <v>A</v>
          </cell>
          <cell r="BJ225">
            <v>4</v>
          </cell>
          <cell r="BK225" t="str">
            <v>A</v>
          </cell>
          <cell r="BL225">
            <v>4</v>
          </cell>
          <cell r="BM225" t="str">
            <v>A</v>
          </cell>
          <cell r="BN225">
            <v>4</v>
          </cell>
          <cell r="BO225" t="str">
            <v>D</v>
          </cell>
          <cell r="BP225">
            <v>0</v>
          </cell>
          <cell r="BQ225">
            <v>19</v>
          </cell>
          <cell r="BR225">
            <v>7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1</v>
          </cell>
          <cell r="BY225">
            <v>0</v>
          </cell>
          <cell r="BZ225">
            <v>27</v>
          </cell>
          <cell r="CA225">
            <v>86</v>
          </cell>
          <cell r="CB225">
            <v>20</v>
          </cell>
          <cell r="CC225">
            <v>0</v>
          </cell>
          <cell r="CD225">
            <v>1</v>
          </cell>
          <cell r="CE225">
            <v>1</v>
          </cell>
          <cell r="CF225">
            <v>70</v>
          </cell>
          <cell r="CG225">
            <v>1</v>
          </cell>
          <cell r="CH225">
            <v>16</v>
          </cell>
          <cell r="CI225">
            <v>70</v>
          </cell>
        </row>
        <row r="226">
          <cell r="A226" t="str">
            <v>A905</v>
          </cell>
          <cell r="B226" t="str">
            <v>Nguyễn Thanh Quân</v>
          </cell>
          <cell r="C226" t="str">
            <v>QCE</v>
          </cell>
          <cell r="D226">
            <v>0</v>
          </cell>
          <cell r="E226">
            <v>42858</v>
          </cell>
          <cell r="F226">
            <v>1</v>
          </cell>
          <cell r="G226" t="str">
            <v>NT7</v>
          </cell>
          <cell r="H226">
            <v>0</v>
          </cell>
          <cell r="I226" t="str">
            <v>R0</v>
          </cell>
          <cell r="J226">
            <v>0</v>
          </cell>
          <cell r="K226" t="str">
            <v>P</v>
          </cell>
          <cell r="L226">
            <v>0</v>
          </cell>
          <cell r="M226">
            <v>0</v>
          </cell>
          <cell r="N226">
            <v>0</v>
          </cell>
          <cell r="O226" t="str">
            <v>P</v>
          </cell>
          <cell r="P226">
            <v>0</v>
          </cell>
          <cell r="Q226" t="str">
            <v>D</v>
          </cell>
          <cell r="R226">
            <v>0</v>
          </cell>
          <cell r="S226" t="str">
            <v>D</v>
          </cell>
          <cell r="T226">
            <v>0</v>
          </cell>
          <cell r="U226" t="str">
            <v>D</v>
          </cell>
          <cell r="V226">
            <v>2</v>
          </cell>
          <cell r="W226" t="str">
            <v>D</v>
          </cell>
          <cell r="X226">
            <v>0</v>
          </cell>
          <cell r="Y226" t="str">
            <v>D</v>
          </cell>
          <cell r="Z226">
            <v>0</v>
          </cell>
          <cell r="AA226">
            <v>0</v>
          </cell>
          <cell r="AB226">
            <v>0</v>
          </cell>
          <cell r="AC226" t="str">
            <v>R0</v>
          </cell>
          <cell r="AD226">
            <v>0</v>
          </cell>
          <cell r="AE226" t="str">
            <v>D</v>
          </cell>
          <cell r="AF226">
            <v>3</v>
          </cell>
          <cell r="AG226" t="str">
            <v>D</v>
          </cell>
          <cell r="AH226">
            <v>2.5</v>
          </cell>
          <cell r="AI226" t="str">
            <v>D</v>
          </cell>
          <cell r="AJ226">
            <v>2.5</v>
          </cell>
          <cell r="AK226" t="str">
            <v>A</v>
          </cell>
          <cell r="AL226">
            <v>4</v>
          </cell>
          <cell r="AM226" t="str">
            <v>D</v>
          </cell>
          <cell r="AN226">
            <v>0</v>
          </cell>
          <cell r="AO226">
            <v>0</v>
          </cell>
          <cell r="AP226">
            <v>0</v>
          </cell>
          <cell r="AQ226" t="str">
            <v>R0</v>
          </cell>
          <cell r="AR226">
            <v>0</v>
          </cell>
          <cell r="AS226" t="str">
            <v>D</v>
          </cell>
          <cell r="AT226">
            <v>0</v>
          </cell>
          <cell r="AU226" t="str">
            <v>NV</v>
          </cell>
          <cell r="AV226">
            <v>0</v>
          </cell>
          <cell r="AW226" t="str">
            <v>NV</v>
          </cell>
          <cell r="AX226">
            <v>0</v>
          </cell>
          <cell r="AY226" t="str">
            <v>NV</v>
          </cell>
          <cell r="AZ226">
            <v>0</v>
          </cell>
          <cell r="BA226" t="str">
            <v>NV</v>
          </cell>
          <cell r="BB226">
            <v>0</v>
          </cell>
          <cell r="BC226">
            <v>0</v>
          </cell>
          <cell r="BD226">
            <v>0</v>
          </cell>
          <cell r="BE226" t="str">
            <v>NV</v>
          </cell>
          <cell r="BF226">
            <v>0</v>
          </cell>
          <cell r="BG226" t="str">
            <v>NV</v>
          </cell>
          <cell r="BH226">
            <v>0</v>
          </cell>
          <cell r="BI226" t="str">
            <v>NV</v>
          </cell>
          <cell r="BJ226">
            <v>0</v>
          </cell>
          <cell r="BK226" t="str">
            <v>NV</v>
          </cell>
          <cell r="BL226">
            <v>0</v>
          </cell>
          <cell r="BM226" t="str">
            <v>NV</v>
          </cell>
          <cell r="BN226">
            <v>0</v>
          </cell>
          <cell r="BO226" t="str">
            <v>NV</v>
          </cell>
          <cell r="BP226">
            <v>0</v>
          </cell>
          <cell r="BQ226">
            <v>1</v>
          </cell>
          <cell r="BR226">
            <v>10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1</v>
          </cell>
          <cell r="BY226">
            <v>2</v>
          </cell>
          <cell r="BZ226">
            <v>14</v>
          </cell>
          <cell r="CA226">
            <v>14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70</v>
          </cell>
        </row>
        <row r="227">
          <cell r="A227" t="str">
            <v>A906</v>
          </cell>
          <cell r="B227" t="str">
            <v>Trần Thị Bích Luyến</v>
          </cell>
          <cell r="C227" t="str">
            <v>QCX</v>
          </cell>
          <cell r="D227">
            <v>0</v>
          </cell>
          <cell r="E227">
            <v>42879</v>
          </cell>
          <cell r="F227">
            <v>2</v>
          </cell>
          <cell r="G227" t="str">
            <v>A</v>
          </cell>
          <cell r="H227">
            <v>4</v>
          </cell>
          <cell r="I227" t="str">
            <v>A</v>
          </cell>
          <cell r="J227">
            <v>4</v>
          </cell>
          <cell r="K227" t="str">
            <v>D</v>
          </cell>
          <cell r="L227">
            <v>2</v>
          </cell>
          <cell r="M227">
            <v>0</v>
          </cell>
          <cell r="N227">
            <v>8</v>
          </cell>
          <cell r="O227" t="str">
            <v>D</v>
          </cell>
          <cell r="P227">
            <v>2</v>
          </cell>
          <cell r="Q227" t="str">
            <v>A</v>
          </cell>
          <cell r="R227">
            <v>4</v>
          </cell>
          <cell r="S227" t="str">
            <v>A</v>
          </cell>
          <cell r="T227">
            <v>4</v>
          </cell>
          <cell r="U227" t="str">
            <v>A</v>
          </cell>
          <cell r="V227">
            <v>4</v>
          </cell>
          <cell r="W227" t="str">
            <v>NT7</v>
          </cell>
          <cell r="X227">
            <v>0</v>
          </cell>
          <cell r="Y227" t="str">
            <v>A</v>
          </cell>
          <cell r="Z227">
            <v>4</v>
          </cell>
          <cell r="AA227">
            <v>0</v>
          </cell>
          <cell r="AB227">
            <v>8</v>
          </cell>
          <cell r="AC227" t="str">
            <v>A</v>
          </cell>
          <cell r="AD227">
            <v>4</v>
          </cell>
          <cell r="AE227" t="str">
            <v>D</v>
          </cell>
          <cell r="AF227">
            <v>0</v>
          </cell>
          <cell r="AG227" t="str">
            <v>A</v>
          </cell>
          <cell r="AH227">
            <v>4</v>
          </cell>
          <cell r="AI227" t="str">
            <v>A</v>
          </cell>
          <cell r="AJ227">
            <v>4</v>
          </cell>
          <cell r="AK227" t="str">
            <v>A</v>
          </cell>
          <cell r="AL227">
            <v>4</v>
          </cell>
          <cell r="AM227" t="str">
            <v>D</v>
          </cell>
          <cell r="AN227">
            <v>2</v>
          </cell>
          <cell r="AO227">
            <v>0</v>
          </cell>
          <cell r="AP227">
            <v>0</v>
          </cell>
          <cell r="AQ227" t="str">
            <v>A</v>
          </cell>
          <cell r="AR227">
            <v>4</v>
          </cell>
          <cell r="AS227" t="str">
            <v>A</v>
          </cell>
          <cell r="AT227">
            <v>4</v>
          </cell>
          <cell r="AU227" t="str">
            <v>A</v>
          </cell>
          <cell r="AV227">
            <v>4</v>
          </cell>
          <cell r="AW227" t="str">
            <v>A</v>
          </cell>
          <cell r="AX227">
            <v>4</v>
          </cell>
          <cell r="AY227" t="str">
            <v>A</v>
          </cell>
          <cell r="AZ227">
            <v>4</v>
          </cell>
          <cell r="BA227" t="str">
            <v>D</v>
          </cell>
          <cell r="BB227">
            <v>2</v>
          </cell>
          <cell r="BC227">
            <v>0</v>
          </cell>
          <cell r="BD227">
            <v>0</v>
          </cell>
          <cell r="BE227" t="str">
            <v>A</v>
          </cell>
          <cell r="BF227">
            <v>4</v>
          </cell>
          <cell r="BG227" t="str">
            <v>D</v>
          </cell>
          <cell r="BH227">
            <v>0</v>
          </cell>
          <cell r="BI227" t="str">
            <v>A</v>
          </cell>
          <cell r="BJ227">
            <v>4</v>
          </cell>
          <cell r="BK227" t="str">
            <v>A</v>
          </cell>
          <cell r="BL227">
            <v>4</v>
          </cell>
          <cell r="BM227" t="str">
            <v>NT7</v>
          </cell>
          <cell r="BN227">
            <v>0</v>
          </cell>
          <cell r="BO227" t="str">
            <v>A</v>
          </cell>
          <cell r="BP227">
            <v>4</v>
          </cell>
          <cell r="BQ227">
            <v>19</v>
          </cell>
          <cell r="BR227">
            <v>6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2</v>
          </cell>
          <cell r="BY227">
            <v>0</v>
          </cell>
          <cell r="BZ227">
            <v>27</v>
          </cell>
          <cell r="CA227">
            <v>84</v>
          </cell>
          <cell r="CB227">
            <v>16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3</v>
          </cell>
          <cell r="CH227">
            <v>0</v>
          </cell>
          <cell r="CI227">
            <v>70</v>
          </cell>
        </row>
        <row r="228">
          <cell r="A228" t="str">
            <v>A910</v>
          </cell>
          <cell r="B228" t="str">
            <v>Trương Ngọc Thịnh</v>
          </cell>
          <cell r="C228" t="str">
            <v>Kho</v>
          </cell>
          <cell r="D228">
            <v>0</v>
          </cell>
          <cell r="E228">
            <v>42878</v>
          </cell>
          <cell r="F228">
            <v>1.5</v>
          </cell>
          <cell r="G228" t="str">
            <v>P5,D5</v>
          </cell>
          <cell r="H228">
            <v>0</v>
          </cell>
          <cell r="I228" t="str">
            <v>NT7</v>
          </cell>
          <cell r="J228">
            <v>0</v>
          </cell>
          <cell r="K228" t="str">
            <v>D</v>
          </cell>
          <cell r="L228">
            <v>0</v>
          </cell>
          <cell r="M228">
            <v>0</v>
          </cell>
          <cell r="N228">
            <v>0</v>
          </cell>
          <cell r="O228" t="str">
            <v>A</v>
          </cell>
          <cell r="P228">
            <v>4</v>
          </cell>
          <cell r="Q228" t="str">
            <v>D</v>
          </cell>
          <cell r="R228">
            <v>3</v>
          </cell>
          <cell r="S228" t="str">
            <v>A</v>
          </cell>
          <cell r="T228">
            <v>4</v>
          </cell>
          <cell r="U228" t="str">
            <v>D</v>
          </cell>
          <cell r="V228">
            <v>0</v>
          </cell>
          <cell r="W228" t="str">
            <v>D</v>
          </cell>
          <cell r="X228">
            <v>0</v>
          </cell>
          <cell r="Y228" t="str">
            <v>D</v>
          </cell>
          <cell r="Z228">
            <v>0</v>
          </cell>
          <cell r="AA228">
            <v>0</v>
          </cell>
          <cell r="AB228">
            <v>0</v>
          </cell>
          <cell r="AC228" t="str">
            <v>D</v>
          </cell>
          <cell r="AD228">
            <v>0</v>
          </cell>
          <cell r="AE228" t="str">
            <v>A</v>
          </cell>
          <cell r="AF228">
            <v>4</v>
          </cell>
          <cell r="AG228" t="str">
            <v>A</v>
          </cell>
          <cell r="AH228">
            <v>4</v>
          </cell>
          <cell r="AI228" t="str">
            <v>D</v>
          </cell>
          <cell r="AJ228">
            <v>0</v>
          </cell>
          <cell r="AK228" t="str">
            <v>A</v>
          </cell>
          <cell r="AL228">
            <v>4.5</v>
          </cell>
          <cell r="AM228" t="str">
            <v>D</v>
          </cell>
          <cell r="AN228">
            <v>0</v>
          </cell>
          <cell r="AO228">
            <v>0</v>
          </cell>
          <cell r="AP228">
            <v>0</v>
          </cell>
          <cell r="AQ228" t="str">
            <v>A</v>
          </cell>
          <cell r="AR228">
            <v>4</v>
          </cell>
          <cell r="AS228" t="str">
            <v>A</v>
          </cell>
          <cell r="AT228">
            <v>4</v>
          </cell>
          <cell r="AU228" t="str">
            <v>A</v>
          </cell>
          <cell r="AV228">
            <v>4.5</v>
          </cell>
          <cell r="AW228" t="str">
            <v>A</v>
          </cell>
          <cell r="AX228">
            <v>4.5</v>
          </cell>
          <cell r="AY228" t="str">
            <v>D</v>
          </cell>
          <cell r="AZ228">
            <v>1</v>
          </cell>
          <cell r="BA228" t="str">
            <v>D</v>
          </cell>
          <cell r="BB228">
            <v>1</v>
          </cell>
          <cell r="BC228">
            <v>0</v>
          </cell>
          <cell r="BD228">
            <v>0</v>
          </cell>
          <cell r="BE228" t="str">
            <v>A</v>
          </cell>
          <cell r="BF228">
            <v>4</v>
          </cell>
          <cell r="BG228" t="str">
            <v>D</v>
          </cell>
          <cell r="BH228">
            <v>1</v>
          </cell>
          <cell r="BI228" t="str">
            <v>A</v>
          </cell>
          <cell r="BJ228">
            <v>4.5</v>
          </cell>
          <cell r="BK228" t="str">
            <v>A</v>
          </cell>
          <cell r="BL228">
            <v>4.5</v>
          </cell>
          <cell r="BM228" t="str">
            <v>A</v>
          </cell>
          <cell r="BN228">
            <v>5</v>
          </cell>
          <cell r="BO228" t="str">
            <v>D</v>
          </cell>
          <cell r="BP228">
            <v>0</v>
          </cell>
          <cell r="BQ228">
            <v>13</v>
          </cell>
          <cell r="BR228">
            <v>12.5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1</v>
          </cell>
          <cell r="BY228">
            <v>0.5</v>
          </cell>
          <cell r="BZ228">
            <v>27</v>
          </cell>
          <cell r="CA228">
            <v>61.5</v>
          </cell>
          <cell r="CB228">
            <v>0</v>
          </cell>
          <cell r="CC228">
            <v>0</v>
          </cell>
          <cell r="CD228">
            <v>1</v>
          </cell>
          <cell r="CE228">
            <v>0</v>
          </cell>
          <cell r="CF228">
            <v>70</v>
          </cell>
          <cell r="CG228">
            <v>2</v>
          </cell>
          <cell r="CH228">
            <v>0</v>
          </cell>
          <cell r="CI228">
            <v>70</v>
          </cell>
        </row>
        <row r="229">
          <cell r="A229" t="str">
            <v>A911</v>
          </cell>
          <cell r="B229" t="str">
            <v>Bùi Thị Lụa</v>
          </cell>
          <cell r="C229" t="str">
            <v>QCX</v>
          </cell>
          <cell r="D229">
            <v>0</v>
          </cell>
          <cell r="E229">
            <v>42859</v>
          </cell>
          <cell r="F229">
            <v>5</v>
          </cell>
          <cell r="G229" t="str">
            <v>A</v>
          </cell>
          <cell r="H229">
            <v>4</v>
          </cell>
          <cell r="I229" t="str">
            <v>A</v>
          </cell>
          <cell r="J229">
            <v>4</v>
          </cell>
          <cell r="K229" t="str">
            <v>D</v>
          </cell>
          <cell r="L229">
            <v>2</v>
          </cell>
          <cell r="M229">
            <v>0</v>
          </cell>
          <cell r="N229">
            <v>8</v>
          </cell>
          <cell r="O229" t="str">
            <v>A</v>
          </cell>
          <cell r="P229">
            <v>4</v>
          </cell>
          <cell r="Q229" t="str">
            <v>A</v>
          </cell>
          <cell r="R229">
            <v>4</v>
          </cell>
          <cell r="S229" t="str">
            <v>A</v>
          </cell>
          <cell r="T229">
            <v>4</v>
          </cell>
          <cell r="U229" t="str">
            <v>A</v>
          </cell>
          <cell r="V229">
            <v>4</v>
          </cell>
          <cell r="W229" t="str">
            <v>A</v>
          </cell>
          <cell r="X229">
            <v>4</v>
          </cell>
          <cell r="Y229" t="str">
            <v>A</v>
          </cell>
          <cell r="Z229">
            <v>4</v>
          </cell>
          <cell r="AA229">
            <v>0</v>
          </cell>
          <cell r="AB229">
            <v>8</v>
          </cell>
          <cell r="AC229" t="str">
            <v>A</v>
          </cell>
          <cell r="AD229">
            <v>4</v>
          </cell>
          <cell r="AE229" t="str">
            <v>A</v>
          </cell>
          <cell r="AF229">
            <v>4</v>
          </cell>
          <cell r="AG229" t="str">
            <v>NT7</v>
          </cell>
          <cell r="AH229">
            <v>0</v>
          </cell>
          <cell r="AI229" t="str">
            <v>NT7</v>
          </cell>
          <cell r="AJ229">
            <v>0</v>
          </cell>
          <cell r="AK229" t="str">
            <v>A</v>
          </cell>
          <cell r="AL229">
            <v>4</v>
          </cell>
          <cell r="AM229" t="str">
            <v>D</v>
          </cell>
          <cell r="AN229">
            <v>0</v>
          </cell>
          <cell r="AO229">
            <v>0</v>
          </cell>
          <cell r="AP229">
            <v>0</v>
          </cell>
          <cell r="AQ229" t="str">
            <v>A</v>
          </cell>
          <cell r="AR229">
            <v>4</v>
          </cell>
          <cell r="AS229" t="str">
            <v>A</v>
          </cell>
          <cell r="AT229">
            <v>4</v>
          </cell>
          <cell r="AU229" t="str">
            <v>A</v>
          </cell>
          <cell r="AV229">
            <v>4</v>
          </cell>
          <cell r="AW229" t="str">
            <v>A</v>
          </cell>
          <cell r="AX229">
            <v>4</v>
          </cell>
          <cell r="AY229" t="str">
            <v>A</v>
          </cell>
          <cell r="AZ229">
            <v>4</v>
          </cell>
          <cell r="BA229" t="str">
            <v>A</v>
          </cell>
          <cell r="BB229">
            <v>4</v>
          </cell>
          <cell r="BC229">
            <v>0</v>
          </cell>
          <cell r="BD229">
            <v>0</v>
          </cell>
          <cell r="BE229" t="str">
            <v>A</v>
          </cell>
          <cell r="BF229">
            <v>4</v>
          </cell>
          <cell r="BG229" t="str">
            <v>D</v>
          </cell>
          <cell r="BH229">
            <v>0</v>
          </cell>
          <cell r="BI229" t="str">
            <v>A</v>
          </cell>
          <cell r="BJ229">
            <v>4</v>
          </cell>
          <cell r="BK229" t="str">
            <v>A</v>
          </cell>
          <cell r="BL229">
            <v>4</v>
          </cell>
          <cell r="BM229" t="str">
            <v>A</v>
          </cell>
          <cell r="BN229">
            <v>4</v>
          </cell>
          <cell r="BO229" t="str">
            <v>A</v>
          </cell>
          <cell r="BP229">
            <v>4</v>
          </cell>
          <cell r="BQ229">
            <v>22</v>
          </cell>
          <cell r="BR229">
            <v>3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2</v>
          </cell>
          <cell r="BY229">
            <v>0</v>
          </cell>
          <cell r="BZ229">
            <v>27</v>
          </cell>
          <cell r="CA229">
            <v>90</v>
          </cell>
          <cell r="CB229">
            <v>16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6</v>
          </cell>
          <cell r="CH229">
            <v>0</v>
          </cell>
          <cell r="CI229">
            <v>70</v>
          </cell>
        </row>
        <row r="230">
          <cell r="A230" t="str">
            <v>A918</v>
          </cell>
          <cell r="B230" t="str">
            <v>Nguyễn Phùng Vinh</v>
          </cell>
          <cell r="C230" t="str">
            <v>TN</v>
          </cell>
          <cell r="D230">
            <v>0</v>
          </cell>
          <cell r="E230">
            <v>42877</v>
          </cell>
          <cell r="F230">
            <v>1</v>
          </cell>
          <cell r="G230" t="str">
            <v>D</v>
          </cell>
          <cell r="H230">
            <v>0</v>
          </cell>
          <cell r="I230" t="str">
            <v>D</v>
          </cell>
          <cell r="J230">
            <v>0</v>
          </cell>
          <cell r="K230" t="str">
            <v>NT7</v>
          </cell>
          <cell r="L230">
            <v>0</v>
          </cell>
          <cell r="M230">
            <v>0</v>
          </cell>
          <cell r="N230">
            <v>0</v>
          </cell>
          <cell r="O230" t="str">
            <v>D</v>
          </cell>
          <cell r="P230">
            <v>0</v>
          </cell>
          <cell r="Q230" t="str">
            <v>D</v>
          </cell>
          <cell r="R230">
            <v>0</v>
          </cell>
          <cell r="S230" t="str">
            <v>P5,D5</v>
          </cell>
          <cell r="T230">
            <v>0</v>
          </cell>
          <cell r="U230" t="str">
            <v>D</v>
          </cell>
          <cell r="V230">
            <v>0</v>
          </cell>
          <cell r="W230" t="str">
            <v>D</v>
          </cell>
          <cell r="X230">
            <v>0</v>
          </cell>
          <cell r="Y230" t="str">
            <v>D</v>
          </cell>
          <cell r="Z230">
            <v>0</v>
          </cell>
          <cell r="AA230">
            <v>0</v>
          </cell>
          <cell r="AB230">
            <v>0</v>
          </cell>
          <cell r="AC230" t="str">
            <v>P5,D5</v>
          </cell>
          <cell r="AD230">
            <v>0</v>
          </cell>
          <cell r="AE230" t="str">
            <v>D</v>
          </cell>
          <cell r="AF230">
            <v>0</v>
          </cell>
          <cell r="AG230" t="str">
            <v>P5,D5</v>
          </cell>
          <cell r="AH230">
            <v>0</v>
          </cell>
          <cell r="AI230" t="str">
            <v>D</v>
          </cell>
          <cell r="AJ230">
            <v>0</v>
          </cell>
          <cell r="AK230" t="str">
            <v>D</v>
          </cell>
          <cell r="AL230">
            <v>0</v>
          </cell>
          <cell r="AM230" t="str">
            <v>D</v>
          </cell>
          <cell r="AN230">
            <v>0</v>
          </cell>
          <cell r="AO230">
            <v>0</v>
          </cell>
          <cell r="AP230">
            <v>0</v>
          </cell>
          <cell r="AQ230" t="str">
            <v>D</v>
          </cell>
          <cell r="AR230">
            <v>0</v>
          </cell>
          <cell r="AS230" t="str">
            <v>D</v>
          </cell>
          <cell r="AT230">
            <v>0</v>
          </cell>
          <cell r="AU230" t="str">
            <v>D</v>
          </cell>
          <cell r="AV230">
            <v>0</v>
          </cell>
          <cell r="AW230" t="str">
            <v>D</v>
          </cell>
          <cell r="AX230">
            <v>0</v>
          </cell>
          <cell r="AY230" t="str">
            <v>D</v>
          </cell>
          <cell r="AZ230">
            <v>0</v>
          </cell>
          <cell r="BA230" t="str">
            <v>NT7</v>
          </cell>
          <cell r="BB230">
            <v>0</v>
          </cell>
          <cell r="BC230">
            <v>0</v>
          </cell>
          <cell r="BD230">
            <v>0</v>
          </cell>
          <cell r="BE230" t="str">
            <v>P5,D5</v>
          </cell>
          <cell r="BF230">
            <v>0</v>
          </cell>
          <cell r="BG230" t="str">
            <v>D</v>
          </cell>
          <cell r="BH230">
            <v>0</v>
          </cell>
          <cell r="BI230" t="str">
            <v>D</v>
          </cell>
          <cell r="BJ230">
            <v>0</v>
          </cell>
          <cell r="BK230" t="str">
            <v>D</v>
          </cell>
          <cell r="BL230">
            <v>0</v>
          </cell>
          <cell r="BM230" t="str">
            <v>D</v>
          </cell>
          <cell r="BN230">
            <v>0</v>
          </cell>
          <cell r="BO230" t="str">
            <v>D</v>
          </cell>
          <cell r="BP230">
            <v>0</v>
          </cell>
          <cell r="BQ230">
            <v>0</v>
          </cell>
          <cell r="BR230">
            <v>23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2</v>
          </cell>
          <cell r="BY230">
            <v>2</v>
          </cell>
          <cell r="BZ230">
            <v>27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150</v>
          </cell>
        </row>
        <row r="231">
          <cell r="A231" t="str">
            <v>A921</v>
          </cell>
          <cell r="B231" t="str">
            <v>Nguyễn Nhựt Linh</v>
          </cell>
          <cell r="C231" t="str">
            <v>CII.1</v>
          </cell>
          <cell r="D231">
            <v>0</v>
          </cell>
          <cell r="E231">
            <v>42881</v>
          </cell>
          <cell r="F231">
            <v>0</v>
          </cell>
          <cell r="G231" t="str">
            <v>A</v>
          </cell>
          <cell r="H231">
            <v>4</v>
          </cell>
          <cell r="I231" t="str">
            <v>A</v>
          </cell>
          <cell r="J231">
            <v>4</v>
          </cell>
          <cell r="K231" t="str">
            <v>D</v>
          </cell>
          <cell r="L231">
            <v>2</v>
          </cell>
          <cell r="M231">
            <v>0</v>
          </cell>
          <cell r="N231">
            <v>0</v>
          </cell>
          <cell r="O231" t="str">
            <v>C</v>
          </cell>
          <cell r="P231">
            <v>4</v>
          </cell>
          <cell r="Q231" t="str">
            <v>C</v>
          </cell>
          <cell r="R231">
            <v>4</v>
          </cell>
          <cell r="S231" t="str">
            <v>C</v>
          </cell>
          <cell r="T231">
            <v>4</v>
          </cell>
          <cell r="U231" t="str">
            <v>C</v>
          </cell>
          <cell r="V231">
            <v>4</v>
          </cell>
          <cell r="W231" t="str">
            <v>C</v>
          </cell>
          <cell r="X231">
            <v>4</v>
          </cell>
          <cell r="Y231" t="str">
            <v>HH</v>
          </cell>
          <cell r="Z231">
            <v>0</v>
          </cell>
          <cell r="AA231">
            <v>0</v>
          </cell>
          <cell r="AB231">
            <v>12</v>
          </cell>
          <cell r="AC231" t="str">
            <v>A</v>
          </cell>
          <cell r="AD231">
            <v>4</v>
          </cell>
          <cell r="AE231" t="str">
            <v>A</v>
          </cell>
          <cell r="AF231">
            <v>4</v>
          </cell>
          <cell r="AG231" t="str">
            <v>A</v>
          </cell>
          <cell r="AH231">
            <v>4</v>
          </cell>
          <cell r="AI231" t="str">
            <v>A</v>
          </cell>
          <cell r="AJ231">
            <v>4</v>
          </cell>
          <cell r="AK231" t="str">
            <v>A</v>
          </cell>
          <cell r="AL231">
            <v>4</v>
          </cell>
          <cell r="AM231" t="str">
            <v>D</v>
          </cell>
          <cell r="AN231">
            <v>0</v>
          </cell>
          <cell r="AO231">
            <v>0</v>
          </cell>
          <cell r="AP231">
            <v>0</v>
          </cell>
          <cell r="AQ231" t="str">
            <v>C</v>
          </cell>
          <cell r="AR231">
            <v>4</v>
          </cell>
          <cell r="AS231" t="str">
            <v>C</v>
          </cell>
          <cell r="AT231">
            <v>4</v>
          </cell>
          <cell r="AU231" t="str">
            <v>C</v>
          </cell>
          <cell r="AV231">
            <v>4</v>
          </cell>
          <cell r="AW231" t="str">
            <v>C</v>
          </cell>
          <cell r="AX231">
            <v>4</v>
          </cell>
          <cell r="AY231" t="str">
            <v>C</v>
          </cell>
          <cell r="AZ231">
            <v>4</v>
          </cell>
          <cell r="BA231" t="str">
            <v>HH</v>
          </cell>
          <cell r="BB231">
            <v>0</v>
          </cell>
          <cell r="BC231">
            <v>0</v>
          </cell>
          <cell r="BD231">
            <v>0</v>
          </cell>
          <cell r="BE231" t="str">
            <v>A</v>
          </cell>
          <cell r="BF231">
            <v>4</v>
          </cell>
          <cell r="BG231" t="str">
            <v>A</v>
          </cell>
          <cell r="BH231">
            <v>4</v>
          </cell>
          <cell r="BI231" t="str">
            <v>A</v>
          </cell>
          <cell r="BJ231">
            <v>4</v>
          </cell>
          <cell r="BK231" t="str">
            <v>A</v>
          </cell>
          <cell r="BL231">
            <v>4</v>
          </cell>
          <cell r="BM231" t="str">
            <v>A</v>
          </cell>
          <cell r="BN231">
            <v>4</v>
          </cell>
          <cell r="BO231" t="str">
            <v>D</v>
          </cell>
          <cell r="BP231">
            <v>0</v>
          </cell>
          <cell r="BQ231">
            <v>12</v>
          </cell>
          <cell r="BR231">
            <v>3</v>
          </cell>
          <cell r="BS231">
            <v>0</v>
          </cell>
          <cell r="BT231">
            <v>10</v>
          </cell>
          <cell r="BU231">
            <v>0</v>
          </cell>
          <cell r="BV231">
            <v>0</v>
          </cell>
          <cell r="BW231">
            <v>2</v>
          </cell>
          <cell r="BX231">
            <v>0</v>
          </cell>
          <cell r="BY231">
            <v>0</v>
          </cell>
          <cell r="BZ231">
            <v>27</v>
          </cell>
          <cell r="CA231">
            <v>90</v>
          </cell>
          <cell r="CB231">
            <v>12</v>
          </cell>
          <cell r="CC231">
            <v>0</v>
          </cell>
          <cell r="CD231">
            <v>2</v>
          </cell>
          <cell r="CE231">
            <v>1</v>
          </cell>
          <cell r="CF231">
            <v>140</v>
          </cell>
          <cell r="CG231">
            <v>1</v>
          </cell>
          <cell r="CH231">
            <v>16</v>
          </cell>
          <cell r="CI231">
            <v>70</v>
          </cell>
        </row>
        <row r="232">
          <cell r="A232" t="str">
            <v>A922</v>
          </cell>
          <cell r="B232" t="str">
            <v>Hồ Thị Hiếu</v>
          </cell>
          <cell r="C232" t="str">
            <v>CI.1</v>
          </cell>
          <cell r="D232">
            <v>0</v>
          </cell>
          <cell r="E232">
            <v>42867</v>
          </cell>
          <cell r="F232">
            <v>1.5</v>
          </cell>
          <cell r="G232" t="str">
            <v>C</v>
          </cell>
          <cell r="H232">
            <v>4</v>
          </cell>
          <cell r="I232" t="str">
            <v>C</v>
          </cell>
          <cell r="J232">
            <v>4</v>
          </cell>
          <cell r="K232" t="str">
            <v>C</v>
          </cell>
          <cell r="L232">
            <v>4</v>
          </cell>
          <cell r="M232">
            <v>0</v>
          </cell>
          <cell r="N232">
            <v>0</v>
          </cell>
          <cell r="O232" t="str">
            <v>A</v>
          </cell>
          <cell r="P232">
            <v>4</v>
          </cell>
          <cell r="Q232" t="str">
            <v>A</v>
          </cell>
          <cell r="R232">
            <v>4</v>
          </cell>
          <cell r="S232" t="str">
            <v>A</v>
          </cell>
          <cell r="T232">
            <v>4</v>
          </cell>
          <cell r="U232" t="str">
            <v>A</v>
          </cell>
          <cell r="V232">
            <v>4</v>
          </cell>
          <cell r="W232" t="str">
            <v>A</v>
          </cell>
          <cell r="X232">
            <v>4</v>
          </cell>
          <cell r="Y232" t="str">
            <v>D</v>
          </cell>
          <cell r="Z232">
            <v>0</v>
          </cell>
          <cell r="AA232">
            <v>0</v>
          </cell>
          <cell r="AB232">
            <v>0</v>
          </cell>
          <cell r="AC232" t="str">
            <v>HH</v>
          </cell>
          <cell r="AD232">
            <v>0</v>
          </cell>
          <cell r="AE232" t="str">
            <v>C</v>
          </cell>
          <cell r="AF232">
            <v>4</v>
          </cell>
          <cell r="AG232" t="str">
            <v>C</v>
          </cell>
          <cell r="AH232">
            <v>4</v>
          </cell>
          <cell r="AI232" t="str">
            <v>C</v>
          </cell>
          <cell r="AJ232">
            <v>4</v>
          </cell>
          <cell r="AK232" t="str">
            <v>C</v>
          </cell>
          <cell r="AL232">
            <v>4</v>
          </cell>
          <cell r="AM232" t="str">
            <v>C</v>
          </cell>
          <cell r="AN232">
            <v>4</v>
          </cell>
          <cell r="AO232">
            <v>0</v>
          </cell>
          <cell r="AP232">
            <v>0</v>
          </cell>
          <cell r="AQ232" t="str">
            <v>P</v>
          </cell>
          <cell r="AR232">
            <v>0</v>
          </cell>
          <cell r="AS232" t="str">
            <v>A</v>
          </cell>
          <cell r="AT232">
            <v>4</v>
          </cell>
          <cell r="AU232" t="str">
            <v>A</v>
          </cell>
          <cell r="AV232">
            <v>4</v>
          </cell>
          <cell r="AW232" t="str">
            <v>D</v>
          </cell>
          <cell r="AX232">
            <v>1</v>
          </cell>
          <cell r="AY232" t="str">
            <v>A</v>
          </cell>
          <cell r="AZ232">
            <v>4</v>
          </cell>
          <cell r="BA232" t="str">
            <v>NT7</v>
          </cell>
          <cell r="BB232">
            <v>0</v>
          </cell>
          <cell r="BC232">
            <v>0</v>
          </cell>
          <cell r="BD232">
            <v>16</v>
          </cell>
          <cell r="BE232" t="str">
            <v>C</v>
          </cell>
          <cell r="BF232">
            <v>4</v>
          </cell>
          <cell r="BG232" t="str">
            <v>C</v>
          </cell>
          <cell r="BH232">
            <v>4</v>
          </cell>
          <cell r="BI232" t="str">
            <v>C</v>
          </cell>
          <cell r="BJ232">
            <v>4</v>
          </cell>
          <cell r="BK232" t="str">
            <v>NT7</v>
          </cell>
          <cell r="BL232">
            <v>0</v>
          </cell>
          <cell r="BM232" t="str">
            <v>C</v>
          </cell>
          <cell r="BN232">
            <v>4</v>
          </cell>
          <cell r="BO232" t="str">
            <v>HH</v>
          </cell>
          <cell r="BP232">
            <v>0</v>
          </cell>
          <cell r="BQ232">
            <v>8</v>
          </cell>
          <cell r="BR232">
            <v>2</v>
          </cell>
          <cell r="BS232">
            <v>0</v>
          </cell>
          <cell r="BT232">
            <v>12</v>
          </cell>
          <cell r="BU232">
            <v>0</v>
          </cell>
          <cell r="BV232">
            <v>0</v>
          </cell>
          <cell r="BW232">
            <v>2</v>
          </cell>
          <cell r="BX232">
            <v>2</v>
          </cell>
          <cell r="BY232">
            <v>1</v>
          </cell>
          <cell r="BZ232">
            <v>27</v>
          </cell>
          <cell r="CA232">
            <v>81</v>
          </cell>
          <cell r="CB232">
            <v>16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1.5</v>
          </cell>
          <cell r="CH232">
            <v>0</v>
          </cell>
          <cell r="CI232">
            <v>70</v>
          </cell>
        </row>
        <row r="233">
          <cell r="A233" t="str">
            <v>A925</v>
          </cell>
          <cell r="B233" t="str">
            <v>Đinh Thị Thùy Dương</v>
          </cell>
          <cell r="C233" t="str">
            <v>CI.1</v>
          </cell>
          <cell r="D233">
            <v>0</v>
          </cell>
          <cell r="E233">
            <v>42860</v>
          </cell>
          <cell r="F233">
            <v>1</v>
          </cell>
          <cell r="G233" t="str">
            <v>A</v>
          </cell>
          <cell r="H233">
            <v>4</v>
          </cell>
          <cell r="I233" t="str">
            <v>A</v>
          </cell>
          <cell r="J233">
            <v>4</v>
          </cell>
          <cell r="K233" t="str">
            <v>A</v>
          </cell>
          <cell r="L233">
            <v>4</v>
          </cell>
          <cell r="M233">
            <v>0</v>
          </cell>
          <cell r="N233">
            <v>0</v>
          </cell>
          <cell r="O233" t="str">
            <v>C</v>
          </cell>
          <cell r="P233">
            <v>4</v>
          </cell>
          <cell r="Q233" t="str">
            <v>C</v>
          </cell>
          <cell r="R233">
            <v>4</v>
          </cell>
          <cell r="S233" t="str">
            <v>NT7</v>
          </cell>
          <cell r="T233">
            <v>0</v>
          </cell>
          <cell r="U233" t="str">
            <v>C</v>
          </cell>
          <cell r="V233">
            <v>4</v>
          </cell>
          <cell r="W233" t="str">
            <v>C</v>
          </cell>
          <cell r="X233">
            <v>4</v>
          </cell>
          <cell r="Y233" t="str">
            <v>C</v>
          </cell>
          <cell r="Z233">
            <v>4</v>
          </cell>
          <cell r="AA233">
            <v>0</v>
          </cell>
          <cell r="AB233">
            <v>0</v>
          </cell>
          <cell r="AC233" t="str">
            <v>HH</v>
          </cell>
          <cell r="AD233">
            <v>0</v>
          </cell>
          <cell r="AE233" t="str">
            <v>D</v>
          </cell>
          <cell r="AF233">
            <v>0</v>
          </cell>
          <cell r="AG233" t="str">
            <v>A</v>
          </cell>
          <cell r="AH233">
            <v>4</v>
          </cell>
          <cell r="AI233" t="str">
            <v>A</v>
          </cell>
          <cell r="AJ233">
            <v>4</v>
          </cell>
          <cell r="AK233" t="str">
            <v>A</v>
          </cell>
          <cell r="AL233">
            <v>4</v>
          </cell>
          <cell r="AM233" t="str">
            <v>A</v>
          </cell>
          <cell r="AN233">
            <v>4</v>
          </cell>
          <cell r="AO233">
            <v>0</v>
          </cell>
          <cell r="AP233">
            <v>0</v>
          </cell>
          <cell r="AQ233" t="str">
            <v>HH</v>
          </cell>
          <cell r="AR233">
            <v>0</v>
          </cell>
          <cell r="AS233" t="str">
            <v>HH</v>
          </cell>
          <cell r="AT233">
            <v>0</v>
          </cell>
          <cell r="AU233" t="str">
            <v>C</v>
          </cell>
          <cell r="AV233">
            <v>4</v>
          </cell>
          <cell r="AW233" t="str">
            <v>C</v>
          </cell>
          <cell r="AX233">
            <v>4</v>
          </cell>
          <cell r="AY233" t="str">
            <v>C</v>
          </cell>
          <cell r="AZ233">
            <v>4</v>
          </cell>
          <cell r="BA233" t="str">
            <v>C</v>
          </cell>
          <cell r="BB233">
            <v>4</v>
          </cell>
          <cell r="BC233">
            <v>0</v>
          </cell>
          <cell r="BD233">
            <v>8</v>
          </cell>
          <cell r="BE233" t="str">
            <v>A</v>
          </cell>
          <cell r="BF233">
            <v>4</v>
          </cell>
          <cell r="BG233" t="str">
            <v>A</v>
          </cell>
          <cell r="BH233">
            <v>4</v>
          </cell>
          <cell r="BI233" t="str">
            <v>D</v>
          </cell>
          <cell r="BJ233">
            <v>1</v>
          </cell>
          <cell r="BK233" t="str">
            <v>A</v>
          </cell>
          <cell r="BL233">
            <v>4</v>
          </cell>
          <cell r="BM233" t="str">
            <v>A</v>
          </cell>
          <cell r="BN233">
            <v>4</v>
          </cell>
          <cell r="BO233" t="str">
            <v>NT7</v>
          </cell>
          <cell r="BP233">
            <v>0</v>
          </cell>
          <cell r="BQ233">
            <v>11</v>
          </cell>
          <cell r="BR233">
            <v>2</v>
          </cell>
          <cell r="BS233">
            <v>0</v>
          </cell>
          <cell r="BT233">
            <v>9</v>
          </cell>
          <cell r="BU233">
            <v>0</v>
          </cell>
          <cell r="BV233">
            <v>0</v>
          </cell>
          <cell r="BW233">
            <v>3</v>
          </cell>
          <cell r="BX233">
            <v>2</v>
          </cell>
          <cell r="BY233">
            <v>0</v>
          </cell>
          <cell r="BZ233">
            <v>27</v>
          </cell>
          <cell r="CA233">
            <v>81</v>
          </cell>
          <cell r="CB233">
            <v>8</v>
          </cell>
          <cell r="CC233">
            <v>0</v>
          </cell>
          <cell r="CD233">
            <v>0</v>
          </cell>
          <cell r="CE233">
            <v>1</v>
          </cell>
          <cell r="CF233">
            <v>0</v>
          </cell>
          <cell r="CG233">
            <v>2</v>
          </cell>
          <cell r="CH233">
            <v>16</v>
          </cell>
          <cell r="CI233">
            <v>70</v>
          </cell>
        </row>
        <row r="234">
          <cell r="A234" t="str">
            <v>A926</v>
          </cell>
          <cell r="B234" t="str">
            <v>Bùi Anh Tâm</v>
          </cell>
          <cell r="C234" t="str">
            <v>CI.1</v>
          </cell>
          <cell r="D234">
            <v>0</v>
          </cell>
          <cell r="E234">
            <v>42860</v>
          </cell>
          <cell r="F234">
            <v>1.5</v>
          </cell>
          <cell r="G234" t="str">
            <v>A</v>
          </cell>
          <cell r="H234">
            <v>4</v>
          </cell>
          <cell r="I234" t="str">
            <v>A</v>
          </cell>
          <cell r="J234">
            <v>4</v>
          </cell>
          <cell r="K234" t="str">
            <v>A</v>
          </cell>
          <cell r="L234">
            <v>4</v>
          </cell>
          <cell r="M234">
            <v>0</v>
          </cell>
          <cell r="N234">
            <v>8</v>
          </cell>
          <cell r="O234" t="str">
            <v>C</v>
          </cell>
          <cell r="P234">
            <v>4</v>
          </cell>
          <cell r="Q234" t="str">
            <v>C</v>
          </cell>
          <cell r="R234">
            <v>4</v>
          </cell>
          <cell r="S234" t="str">
            <v>C</v>
          </cell>
          <cell r="T234">
            <v>4</v>
          </cell>
          <cell r="U234" t="str">
            <v>C</v>
          </cell>
          <cell r="V234">
            <v>4</v>
          </cell>
          <cell r="W234" t="str">
            <v>P</v>
          </cell>
          <cell r="X234">
            <v>0</v>
          </cell>
          <cell r="Y234" t="str">
            <v>P</v>
          </cell>
          <cell r="Z234">
            <v>0</v>
          </cell>
          <cell r="AA234">
            <v>0</v>
          </cell>
          <cell r="AB234">
            <v>0</v>
          </cell>
          <cell r="AC234" t="str">
            <v>D</v>
          </cell>
          <cell r="AD234">
            <v>0</v>
          </cell>
          <cell r="AE234" t="str">
            <v>D</v>
          </cell>
          <cell r="AF234">
            <v>0</v>
          </cell>
          <cell r="AG234" t="str">
            <v>A</v>
          </cell>
          <cell r="AH234">
            <v>4</v>
          </cell>
          <cell r="AI234" t="str">
            <v>A</v>
          </cell>
          <cell r="AJ234">
            <v>4</v>
          </cell>
          <cell r="AK234" t="str">
            <v>A</v>
          </cell>
          <cell r="AL234">
            <v>4</v>
          </cell>
          <cell r="AM234" t="str">
            <v>A</v>
          </cell>
          <cell r="AN234">
            <v>4</v>
          </cell>
          <cell r="AO234">
            <v>0</v>
          </cell>
          <cell r="AP234">
            <v>0</v>
          </cell>
          <cell r="AQ234" t="str">
            <v>HH</v>
          </cell>
          <cell r="AR234">
            <v>0</v>
          </cell>
          <cell r="AS234" t="str">
            <v>HH</v>
          </cell>
          <cell r="AT234">
            <v>0</v>
          </cell>
          <cell r="AU234" t="str">
            <v>C</v>
          </cell>
          <cell r="AV234">
            <v>4</v>
          </cell>
          <cell r="AW234" t="str">
            <v>C</v>
          </cell>
          <cell r="AX234">
            <v>4</v>
          </cell>
          <cell r="AY234" t="str">
            <v>NT7</v>
          </cell>
          <cell r="AZ234">
            <v>0</v>
          </cell>
          <cell r="BA234" t="str">
            <v>B</v>
          </cell>
          <cell r="BB234">
            <v>0</v>
          </cell>
          <cell r="BC234">
            <v>0</v>
          </cell>
          <cell r="BD234">
            <v>0</v>
          </cell>
          <cell r="BE234" t="str">
            <v>NT7</v>
          </cell>
          <cell r="BF234">
            <v>0</v>
          </cell>
          <cell r="BG234" t="str">
            <v>A</v>
          </cell>
          <cell r="BH234">
            <v>4</v>
          </cell>
          <cell r="BI234" t="str">
            <v>D</v>
          </cell>
          <cell r="BJ234">
            <v>0</v>
          </cell>
          <cell r="BK234" t="str">
            <v>P5,D5</v>
          </cell>
          <cell r="BL234">
            <v>0</v>
          </cell>
          <cell r="BM234" t="str">
            <v>D</v>
          </cell>
          <cell r="BN234">
            <v>1</v>
          </cell>
          <cell r="BO234" t="str">
            <v>D</v>
          </cell>
          <cell r="BP234">
            <v>0</v>
          </cell>
          <cell r="BQ234">
            <v>8</v>
          </cell>
          <cell r="BR234">
            <v>5.5</v>
          </cell>
          <cell r="BS234">
            <v>1</v>
          </cell>
          <cell r="BT234">
            <v>6</v>
          </cell>
          <cell r="BU234">
            <v>0</v>
          </cell>
          <cell r="BV234">
            <v>0</v>
          </cell>
          <cell r="BW234">
            <v>2</v>
          </cell>
          <cell r="BX234">
            <v>2</v>
          </cell>
          <cell r="BY234">
            <v>2.5</v>
          </cell>
          <cell r="BZ234">
            <v>27</v>
          </cell>
          <cell r="CA234">
            <v>57</v>
          </cell>
          <cell r="CB234">
            <v>8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70</v>
          </cell>
        </row>
        <row r="235">
          <cell r="A235" t="str">
            <v>A928</v>
          </cell>
          <cell r="B235" t="str">
            <v>Huỳnh Thị Diễm</v>
          </cell>
          <cell r="C235" t="str">
            <v>CI.1</v>
          </cell>
          <cell r="D235">
            <v>0</v>
          </cell>
          <cell r="E235">
            <v>42863</v>
          </cell>
          <cell r="F235">
            <v>0</v>
          </cell>
          <cell r="G235" t="str">
            <v>P5,B5</v>
          </cell>
          <cell r="H235">
            <v>0</v>
          </cell>
          <cell r="I235" t="str">
            <v>C</v>
          </cell>
          <cell r="J235">
            <v>4</v>
          </cell>
          <cell r="K235" t="str">
            <v>C</v>
          </cell>
          <cell r="L235">
            <v>4</v>
          </cell>
          <cell r="M235">
            <v>0</v>
          </cell>
          <cell r="N235">
            <v>0</v>
          </cell>
          <cell r="O235" t="str">
            <v>A</v>
          </cell>
          <cell r="P235">
            <v>4</v>
          </cell>
          <cell r="Q235" t="str">
            <v>A</v>
          </cell>
          <cell r="R235">
            <v>4</v>
          </cell>
          <cell r="S235" t="str">
            <v>A</v>
          </cell>
          <cell r="T235">
            <v>4</v>
          </cell>
          <cell r="U235" t="str">
            <v>A</v>
          </cell>
          <cell r="V235">
            <v>4</v>
          </cell>
          <cell r="W235" t="str">
            <v>A</v>
          </cell>
          <cell r="X235">
            <v>4</v>
          </cell>
          <cell r="Y235" t="str">
            <v>A</v>
          </cell>
          <cell r="Z235">
            <v>4</v>
          </cell>
          <cell r="AA235">
            <v>0</v>
          </cell>
          <cell r="AB235">
            <v>0</v>
          </cell>
          <cell r="AC235" t="str">
            <v>HH</v>
          </cell>
          <cell r="AD235">
            <v>0</v>
          </cell>
          <cell r="AE235" t="str">
            <v>C</v>
          </cell>
          <cell r="AF235">
            <v>4</v>
          </cell>
          <cell r="AG235" t="str">
            <v>C</v>
          </cell>
          <cell r="AH235">
            <v>4</v>
          </cell>
          <cell r="AI235" t="str">
            <v>C</v>
          </cell>
          <cell r="AJ235">
            <v>4</v>
          </cell>
          <cell r="AK235" t="str">
            <v>B</v>
          </cell>
          <cell r="AL235">
            <v>3</v>
          </cell>
          <cell r="AM235" t="str">
            <v>C</v>
          </cell>
          <cell r="AN235">
            <v>4</v>
          </cell>
          <cell r="AO235">
            <v>0</v>
          </cell>
          <cell r="AP235">
            <v>0</v>
          </cell>
          <cell r="AQ235" t="str">
            <v>A</v>
          </cell>
          <cell r="AR235">
            <v>4</v>
          </cell>
          <cell r="AS235" t="str">
            <v>A</v>
          </cell>
          <cell r="AT235">
            <v>4</v>
          </cell>
          <cell r="AU235" t="str">
            <v>A</v>
          </cell>
          <cell r="AV235">
            <v>4</v>
          </cell>
          <cell r="AW235" t="str">
            <v>D</v>
          </cell>
          <cell r="AX235">
            <v>1</v>
          </cell>
          <cell r="AY235" t="str">
            <v>NT7</v>
          </cell>
          <cell r="AZ235">
            <v>0</v>
          </cell>
          <cell r="BA235" t="str">
            <v>A</v>
          </cell>
          <cell r="BB235">
            <v>4</v>
          </cell>
          <cell r="BC235">
            <v>0</v>
          </cell>
          <cell r="BD235">
            <v>16</v>
          </cell>
          <cell r="BE235" t="str">
            <v>C</v>
          </cell>
          <cell r="BF235">
            <v>4</v>
          </cell>
          <cell r="BG235" t="str">
            <v>C</v>
          </cell>
          <cell r="BH235">
            <v>4</v>
          </cell>
          <cell r="BI235" t="str">
            <v>C</v>
          </cell>
          <cell r="BJ235">
            <v>4</v>
          </cell>
          <cell r="BK235" t="str">
            <v>C</v>
          </cell>
          <cell r="BL235">
            <v>4</v>
          </cell>
          <cell r="BM235" t="str">
            <v>C</v>
          </cell>
          <cell r="BN235">
            <v>4</v>
          </cell>
          <cell r="BO235" t="str">
            <v>HH</v>
          </cell>
          <cell r="BP235">
            <v>0</v>
          </cell>
          <cell r="BQ235">
            <v>10</v>
          </cell>
          <cell r="BR235">
            <v>1</v>
          </cell>
          <cell r="BS235">
            <v>1.5</v>
          </cell>
          <cell r="BT235">
            <v>11</v>
          </cell>
          <cell r="BU235">
            <v>0</v>
          </cell>
          <cell r="BV235">
            <v>0</v>
          </cell>
          <cell r="BW235">
            <v>2</v>
          </cell>
          <cell r="BX235">
            <v>1</v>
          </cell>
          <cell r="BY235">
            <v>0.5</v>
          </cell>
          <cell r="BZ235">
            <v>27</v>
          </cell>
          <cell r="CA235">
            <v>88</v>
          </cell>
          <cell r="CB235">
            <v>16</v>
          </cell>
          <cell r="CC235">
            <v>0</v>
          </cell>
          <cell r="CD235">
            <v>1</v>
          </cell>
          <cell r="CE235">
            <v>0</v>
          </cell>
          <cell r="CF235">
            <v>70</v>
          </cell>
          <cell r="CG235">
            <v>0.5</v>
          </cell>
          <cell r="CH235">
            <v>0</v>
          </cell>
          <cell r="CI235">
            <v>70</v>
          </cell>
        </row>
        <row r="236">
          <cell r="A236" t="str">
            <v>A929</v>
          </cell>
          <cell r="B236" t="str">
            <v>Trần Thị Muội</v>
          </cell>
          <cell r="C236" t="str">
            <v>CI.1</v>
          </cell>
          <cell r="D236">
            <v>0</v>
          </cell>
          <cell r="E236">
            <v>42866</v>
          </cell>
          <cell r="F236">
            <v>1</v>
          </cell>
          <cell r="G236" t="str">
            <v>A</v>
          </cell>
          <cell r="H236">
            <v>4</v>
          </cell>
          <cell r="I236" t="str">
            <v>A</v>
          </cell>
          <cell r="J236">
            <v>4</v>
          </cell>
          <cell r="K236" t="str">
            <v>A</v>
          </cell>
          <cell r="L236">
            <v>4</v>
          </cell>
          <cell r="M236">
            <v>0</v>
          </cell>
          <cell r="N236">
            <v>0</v>
          </cell>
          <cell r="O236" t="str">
            <v>C</v>
          </cell>
          <cell r="P236">
            <v>4</v>
          </cell>
          <cell r="Q236" t="str">
            <v>C</v>
          </cell>
          <cell r="R236">
            <v>4</v>
          </cell>
          <cell r="S236" t="str">
            <v>C</v>
          </cell>
          <cell r="T236">
            <v>4</v>
          </cell>
          <cell r="U236" t="str">
            <v>C</v>
          </cell>
          <cell r="V236">
            <v>4</v>
          </cell>
          <cell r="W236" t="str">
            <v>C</v>
          </cell>
          <cell r="X236">
            <v>4</v>
          </cell>
          <cell r="Y236" t="str">
            <v>NT7</v>
          </cell>
          <cell r="Z236">
            <v>0</v>
          </cell>
          <cell r="AA236">
            <v>0</v>
          </cell>
          <cell r="AB236">
            <v>0</v>
          </cell>
          <cell r="AC236" t="str">
            <v>HH</v>
          </cell>
          <cell r="AD236">
            <v>0</v>
          </cell>
          <cell r="AE236" t="str">
            <v>D</v>
          </cell>
          <cell r="AF236">
            <v>0</v>
          </cell>
          <cell r="AG236" t="str">
            <v>A</v>
          </cell>
          <cell r="AH236">
            <v>4</v>
          </cell>
          <cell r="AI236" t="str">
            <v>A</v>
          </cell>
          <cell r="AJ236">
            <v>4</v>
          </cell>
          <cell r="AK236" t="str">
            <v>A</v>
          </cell>
          <cell r="AL236">
            <v>4</v>
          </cell>
          <cell r="AM236" t="str">
            <v>A</v>
          </cell>
          <cell r="AN236">
            <v>4</v>
          </cell>
          <cell r="AO236">
            <v>0</v>
          </cell>
          <cell r="AP236">
            <v>0</v>
          </cell>
          <cell r="AQ236" t="str">
            <v>HH</v>
          </cell>
          <cell r="AR236">
            <v>0</v>
          </cell>
          <cell r="AS236" t="str">
            <v>HH</v>
          </cell>
          <cell r="AT236">
            <v>0</v>
          </cell>
          <cell r="AU236" t="str">
            <v>C</v>
          </cell>
          <cell r="AV236">
            <v>4</v>
          </cell>
          <cell r="AW236" t="str">
            <v>C</v>
          </cell>
          <cell r="AX236">
            <v>4</v>
          </cell>
          <cell r="AY236" t="str">
            <v>C</v>
          </cell>
          <cell r="AZ236">
            <v>4</v>
          </cell>
          <cell r="BA236" t="str">
            <v>C</v>
          </cell>
          <cell r="BB236">
            <v>4</v>
          </cell>
          <cell r="BC236">
            <v>0</v>
          </cell>
          <cell r="BD236">
            <v>8</v>
          </cell>
          <cell r="BE236" t="str">
            <v>P5,D5</v>
          </cell>
          <cell r="BF236">
            <v>0</v>
          </cell>
          <cell r="BG236" t="str">
            <v>P</v>
          </cell>
          <cell r="BH236">
            <v>0</v>
          </cell>
          <cell r="BI236" t="str">
            <v>P5,D5</v>
          </cell>
          <cell r="BJ236">
            <v>0</v>
          </cell>
          <cell r="BK236" t="str">
            <v>A</v>
          </cell>
          <cell r="BL236">
            <v>4</v>
          </cell>
          <cell r="BM236" t="str">
            <v>A</v>
          </cell>
          <cell r="BN236">
            <v>4</v>
          </cell>
          <cell r="BO236" t="str">
            <v>D</v>
          </cell>
          <cell r="BP236">
            <v>0</v>
          </cell>
          <cell r="BQ236">
            <v>9</v>
          </cell>
          <cell r="BR236">
            <v>3</v>
          </cell>
          <cell r="BS236">
            <v>0</v>
          </cell>
          <cell r="BT236">
            <v>9</v>
          </cell>
          <cell r="BU236">
            <v>0</v>
          </cell>
          <cell r="BV236">
            <v>0</v>
          </cell>
          <cell r="BW236">
            <v>3</v>
          </cell>
          <cell r="BX236">
            <v>1</v>
          </cell>
          <cell r="BY236">
            <v>2</v>
          </cell>
          <cell r="BZ236">
            <v>27</v>
          </cell>
          <cell r="CA236">
            <v>72</v>
          </cell>
          <cell r="CB236">
            <v>8</v>
          </cell>
          <cell r="CC236">
            <v>0</v>
          </cell>
          <cell r="CD236">
            <v>1</v>
          </cell>
          <cell r="CE236">
            <v>1</v>
          </cell>
          <cell r="CF236">
            <v>70</v>
          </cell>
          <cell r="CG236">
            <v>0</v>
          </cell>
          <cell r="CH236">
            <v>16</v>
          </cell>
          <cell r="CI236">
            <v>70</v>
          </cell>
        </row>
        <row r="237">
          <cell r="A237" t="str">
            <v>A930</v>
          </cell>
          <cell r="B237" t="str">
            <v>Trương Thị Giàu</v>
          </cell>
          <cell r="C237" t="str">
            <v>CI.1</v>
          </cell>
          <cell r="D237">
            <v>0</v>
          </cell>
          <cell r="E237">
            <v>42866</v>
          </cell>
          <cell r="F237">
            <v>2.5</v>
          </cell>
          <cell r="G237" t="str">
            <v>A</v>
          </cell>
          <cell r="H237">
            <v>4</v>
          </cell>
          <cell r="I237" t="str">
            <v>A</v>
          </cell>
          <cell r="J237">
            <v>4</v>
          </cell>
          <cell r="K237" t="str">
            <v>A</v>
          </cell>
          <cell r="L237">
            <v>4</v>
          </cell>
          <cell r="M237">
            <v>0</v>
          </cell>
          <cell r="N237">
            <v>0</v>
          </cell>
          <cell r="O237" t="str">
            <v>C</v>
          </cell>
          <cell r="P237">
            <v>4</v>
          </cell>
          <cell r="Q237" t="str">
            <v>C</v>
          </cell>
          <cell r="R237">
            <v>4</v>
          </cell>
          <cell r="S237" t="str">
            <v>C</v>
          </cell>
          <cell r="T237">
            <v>4</v>
          </cell>
          <cell r="U237" t="str">
            <v>C</v>
          </cell>
          <cell r="V237">
            <v>4</v>
          </cell>
          <cell r="W237" t="str">
            <v>B</v>
          </cell>
          <cell r="X237">
            <v>0</v>
          </cell>
          <cell r="Y237" t="str">
            <v>C</v>
          </cell>
          <cell r="Z237">
            <v>4</v>
          </cell>
          <cell r="AA237">
            <v>0</v>
          </cell>
          <cell r="AB237">
            <v>0</v>
          </cell>
          <cell r="AC237" t="str">
            <v>HH</v>
          </cell>
          <cell r="AD237">
            <v>0</v>
          </cell>
          <cell r="AE237" t="str">
            <v>D</v>
          </cell>
          <cell r="AF237">
            <v>0</v>
          </cell>
          <cell r="AG237" t="str">
            <v>A</v>
          </cell>
          <cell r="AH237">
            <v>4</v>
          </cell>
          <cell r="AI237" t="str">
            <v>A</v>
          </cell>
          <cell r="AJ237">
            <v>4</v>
          </cell>
          <cell r="AK237" t="str">
            <v>A</v>
          </cell>
          <cell r="AL237">
            <v>4</v>
          </cell>
          <cell r="AM237" t="str">
            <v>A</v>
          </cell>
          <cell r="AN237">
            <v>4</v>
          </cell>
          <cell r="AO237">
            <v>0</v>
          </cell>
          <cell r="AP237">
            <v>0</v>
          </cell>
          <cell r="AQ237" t="str">
            <v>HH</v>
          </cell>
          <cell r="AR237">
            <v>0</v>
          </cell>
          <cell r="AS237" t="str">
            <v>HH</v>
          </cell>
          <cell r="AT237">
            <v>0</v>
          </cell>
          <cell r="AU237" t="str">
            <v>C</v>
          </cell>
          <cell r="AV237">
            <v>4</v>
          </cell>
          <cell r="AW237" t="str">
            <v>C</v>
          </cell>
          <cell r="AX237">
            <v>4</v>
          </cell>
          <cell r="AY237" t="str">
            <v>C</v>
          </cell>
          <cell r="AZ237">
            <v>4</v>
          </cell>
          <cell r="BA237" t="str">
            <v>C</v>
          </cell>
          <cell r="BB237">
            <v>4</v>
          </cell>
          <cell r="BC237">
            <v>0</v>
          </cell>
          <cell r="BD237">
            <v>8</v>
          </cell>
          <cell r="BE237" t="str">
            <v>A</v>
          </cell>
          <cell r="BF237">
            <v>4</v>
          </cell>
          <cell r="BG237" t="str">
            <v>A</v>
          </cell>
          <cell r="BH237">
            <v>4</v>
          </cell>
          <cell r="BI237" t="str">
            <v>D</v>
          </cell>
          <cell r="BJ237">
            <v>1.5</v>
          </cell>
          <cell r="BK237" t="str">
            <v>NT7</v>
          </cell>
          <cell r="BL237">
            <v>0</v>
          </cell>
          <cell r="BM237" t="str">
            <v>A</v>
          </cell>
          <cell r="BN237">
            <v>4</v>
          </cell>
          <cell r="BO237" t="str">
            <v>D</v>
          </cell>
          <cell r="BP237">
            <v>0</v>
          </cell>
          <cell r="BQ237">
            <v>10</v>
          </cell>
          <cell r="BR237">
            <v>3</v>
          </cell>
          <cell r="BS237">
            <v>1</v>
          </cell>
          <cell r="BT237">
            <v>9</v>
          </cell>
          <cell r="BU237">
            <v>0</v>
          </cell>
          <cell r="BV237">
            <v>0</v>
          </cell>
          <cell r="BW237">
            <v>3</v>
          </cell>
          <cell r="BX237">
            <v>1</v>
          </cell>
          <cell r="BY237">
            <v>0</v>
          </cell>
          <cell r="BZ237">
            <v>27</v>
          </cell>
          <cell r="CA237">
            <v>77.5</v>
          </cell>
          <cell r="CB237">
            <v>8</v>
          </cell>
          <cell r="CC237">
            <v>0</v>
          </cell>
          <cell r="CD237">
            <v>1</v>
          </cell>
          <cell r="CE237">
            <v>0</v>
          </cell>
          <cell r="CF237">
            <v>70</v>
          </cell>
          <cell r="CG237">
            <v>3.5</v>
          </cell>
          <cell r="CH237">
            <v>0</v>
          </cell>
          <cell r="CI237">
            <v>70</v>
          </cell>
        </row>
        <row r="238">
          <cell r="A238" t="str">
            <v>A931</v>
          </cell>
          <cell r="B238" t="str">
            <v>Cao Văn Phú</v>
          </cell>
          <cell r="C238" t="str">
            <v>CI.1</v>
          </cell>
          <cell r="D238">
            <v>0</v>
          </cell>
          <cell r="E238">
            <v>42872</v>
          </cell>
          <cell r="F238">
            <v>0.5</v>
          </cell>
          <cell r="G238" t="str">
            <v>D</v>
          </cell>
          <cell r="H238">
            <v>2</v>
          </cell>
          <cell r="I238" t="str">
            <v>NT7</v>
          </cell>
          <cell r="J238">
            <v>0</v>
          </cell>
          <cell r="K238" t="str">
            <v>D</v>
          </cell>
          <cell r="L238">
            <v>0</v>
          </cell>
          <cell r="M238">
            <v>0</v>
          </cell>
          <cell r="N238">
            <v>0</v>
          </cell>
          <cell r="O238" t="str">
            <v>D</v>
          </cell>
          <cell r="P238">
            <v>2</v>
          </cell>
          <cell r="Q238" t="str">
            <v>D</v>
          </cell>
          <cell r="R238">
            <v>2.5</v>
          </cell>
          <cell r="S238" t="str">
            <v>D</v>
          </cell>
          <cell r="T238">
            <v>2</v>
          </cell>
          <cell r="U238" t="str">
            <v>D</v>
          </cell>
          <cell r="V238">
            <v>0</v>
          </cell>
          <cell r="W238" t="str">
            <v>D</v>
          </cell>
          <cell r="X238">
            <v>0</v>
          </cell>
          <cell r="Y238" t="str">
            <v>D</v>
          </cell>
          <cell r="Z238">
            <v>0</v>
          </cell>
          <cell r="AA238">
            <v>0</v>
          </cell>
          <cell r="AB238">
            <v>0</v>
          </cell>
          <cell r="AC238" t="str">
            <v>D</v>
          </cell>
          <cell r="AD238">
            <v>0</v>
          </cell>
          <cell r="AE238" t="str">
            <v>D</v>
          </cell>
          <cell r="AF238">
            <v>0</v>
          </cell>
          <cell r="AG238" t="str">
            <v>D</v>
          </cell>
          <cell r="AH238">
            <v>2</v>
          </cell>
          <cell r="AI238" t="str">
            <v>D</v>
          </cell>
          <cell r="AJ238">
            <v>0</v>
          </cell>
          <cell r="AK238" t="str">
            <v>D</v>
          </cell>
          <cell r="AL238">
            <v>2</v>
          </cell>
          <cell r="AM238" t="str">
            <v>D</v>
          </cell>
          <cell r="AN238">
            <v>0</v>
          </cell>
          <cell r="AO238">
            <v>0</v>
          </cell>
          <cell r="AP238">
            <v>0</v>
          </cell>
          <cell r="AQ238" t="str">
            <v>P5,D5</v>
          </cell>
          <cell r="AR238">
            <v>0</v>
          </cell>
          <cell r="AS238" t="str">
            <v>D</v>
          </cell>
          <cell r="AT238">
            <v>0</v>
          </cell>
          <cell r="AU238" t="str">
            <v>D</v>
          </cell>
          <cell r="AV238">
            <v>0</v>
          </cell>
          <cell r="AW238" t="str">
            <v>D</v>
          </cell>
          <cell r="AX238">
            <v>2</v>
          </cell>
          <cell r="AY238" t="str">
            <v>D</v>
          </cell>
          <cell r="AZ238">
            <v>2</v>
          </cell>
          <cell r="BA238" t="str">
            <v>D</v>
          </cell>
          <cell r="BB238">
            <v>2</v>
          </cell>
          <cell r="BC238">
            <v>0</v>
          </cell>
          <cell r="BD238">
            <v>0</v>
          </cell>
          <cell r="BE238" t="str">
            <v>D</v>
          </cell>
          <cell r="BF238">
            <v>2</v>
          </cell>
          <cell r="BG238" t="str">
            <v>D</v>
          </cell>
          <cell r="BH238">
            <v>2</v>
          </cell>
          <cell r="BI238" t="str">
            <v>D</v>
          </cell>
          <cell r="BJ238">
            <v>2</v>
          </cell>
          <cell r="BK238" t="str">
            <v>D</v>
          </cell>
          <cell r="BL238">
            <v>2</v>
          </cell>
          <cell r="BM238" t="str">
            <v>D</v>
          </cell>
          <cell r="BN238">
            <v>0</v>
          </cell>
          <cell r="BO238" t="str">
            <v>D</v>
          </cell>
          <cell r="BP238">
            <v>0</v>
          </cell>
          <cell r="BQ238">
            <v>0</v>
          </cell>
          <cell r="BR238">
            <v>25.5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1</v>
          </cell>
          <cell r="BY238">
            <v>0.5</v>
          </cell>
          <cell r="BZ238">
            <v>27</v>
          </cell>
          <cell r="CA238">
            <v>26.5</v>
          </cell>
          <cell r="CB238">
            <v>0</v>
          </cell>
          <cell r="CC238">
            <v>0</v>
          </cell>
          <cell r="CD238">
            <v>1</v>
          </cell>
          <cell r="CE238">
            <v>0</v>
          </cell>
          <cell r="CF238">
            <v>150</v>
          </cell>
          <cell r="CG238">
            <v>1</v>
          </cell>
          <cell r="CH238">
            <v>0</v>
          </cell>
          <cell r="CI238">
            <v>150</v>
          </cell>
        </row>
        <row r="239">
          <cell r="A239" t="str">
            <v>A932</v>
          </cell>
          <cell r="B239" t="str">
            <v>Nguyễn Giang Hải</v>
          </cell>
          <cell r="C239" t="str">
            <v>CI.1</v>
          </cell>
          <cell r="D239">
            <v>0</v>
          </cell>
          <cell r="E239">
            <v>42872</v>
          </cell>
          <cell r="F239">
            <v>2</v>
          </cell>
          <cell r="G239" t="str">
            <v>A</v>
          </cell>
          <cell r="H239">
            <v>4</v>
          </cell>
          <cell r="I239" t="str">
            <v>A</v>
          </cell>
          <cell r="J239">
            <v>4</v>
          </cell>
          <cell r="K239" t="str">
            <v>A</v>
          </cell>
          <cell r="L239">
            <v>4</v>
          </cell>
          <cell r="M239">
            <v>0</v>
          </cell>
          <cell r="N239">
            <v>8</v>
          </cell>
          <cell r="O239" t="str">
            <v>C</v>
          </cell>
          <cell r="P239">
            <v>4</v>
          </cell>
          <cell r="Q239" t="str">
            <v>C</v>
          </cell>
          <cell r="R239">
            <v>4</v>
          </cell>
          <cell r="S239" t="str">
            <v>C</v>
          </cell>
          <cell r="T239">
            <v>4</v>
          </cell>
          <cell r="U239" t="str">
            <v>C</v>
          </cell>
          <cell r="V239">
            <v>4</v>
          </cell>
          <cell r="W239" t="str">
            <v>C</v>
          </cell>
          <cell r="X239">
            <v>4</v>
          </cell>
          <cell r="Y239" t="str">
            <v>C</v>
          </cell>
          <cell r="Z239">
            <v>4</v>
          </cell>
          <cell r="AA239">
            <v>0</v>
          </cell>
          <cell r="AB239">
            <v>0</v>
          </cell>
          <cell r="AC239" t="str">
            <v>D</v>
          </cell>
          <cell r="AD239">
            <v>0</v>
          </cell>
          <cell r="AE239" t="str">
            <v>A</v>
          </cell>
          <cell r="AF239">
            <v>4</v>
          </cell>
          <cell r="AG239" t="str">
            <v>A</v>
          </cell>
          <cell r="AH239">
            <v>4</v>
          </cell>
          <cell r="AI239" t="str">
            <v>A</v>
          </cell>
          <cell r="AJ239">
            <v>4</v>
          </cell>
          <cell r="AK239" t="str">
            <v>A</v>
          </cell>
          <cell r="AL239">
            <v>4</v>
          </cell>
          <cell r="AM239" t="str">
            <v>A</v>
          </cell>
          <cell r="AN239">
            <v>4</v>
          </cell>
          <cell r="AO239">
            <v>0</v>
          </cell>
          <cell r="AP239">
            <v>0</v>
          </cell>
          <cell r="AQ239" t="str">
            <v>HH</v>
          </cell>
          <cell r="AR239">
            <v>0</v>
          </cell>
          <cell r="AS239" t="str">
            <v>HH</v>
          </cell>
          <cell r="AT239">
            <v>0</v>
          </cell>
          <cell r="AU239" t="str">
            <v>C</v>
          </cell>
          <cell r="AV239">
            <v>4</v>
          </cell>
          <cell r="AW239" t="str">
            <v>C</v>
          </cell>
          <cell r="AX239">
            <v>4</v>
          </cell>
          <cell r="AY239" t="str">
            <v>C</v>
          </cell>
          <cell r="AZ239">
            <v>4</v>
          </cell>
          <cell r="BA239" t="str">
            <v>C</v>
          </cell>
          <cell r="BB239">
            <v>4</v>
          </cell>
          <cell r="BC239">
            <v>0</v>
          </cell>
          <cell r="BD239">
            <v>8</v>
          </cell>
          <cell r="BE239" t="str">
            <v>A</v>
          </cell>
          <cell r="BF239">
            <v>4</v>
          </cell>
          <cell r="BG239" t="str">
            <v>A</v>
          </cell>
          <cell r="BH239">
            <v>4</v>
          </cell>
          <cell r="BI239" t="str">
            <v>D</v>
          </cell>
          <cell r="BJ239">
            <v>1</v>
          </cell>
          <cell r="BK239" t="str">
            <v>A</v>
          </cell>
          <cell r="BL239">
            <v>4</v>
          </cell>
          <cell r="BM239" t="str">
            <v>A</v>
          </cell>
          <cell r="BN239">
            <v>4</v>
          </cell>
          <cell r="BO239" t="str">
            <v>NT7</v>
          </cell>
          <cell r="BP239">
            <v>0</v>
          </cell>
          <cell r="BQ239">
            <v>12</v>
          </cell>
          <cell r="BR239">
            <v>2</v>
          </cell>
          <cell r="BS239">
            <v>0</v>
          </cell>
          <cell r="BT239">
            <v>10</v>
          </cell>
          <cell r="BU239">
            <v>0</v>
          </cell>
          <cell r="BV239">
            <v>0</v>
          </cell>
          <cell r="BW239">
            <v>2</v>
          </cell>
          <cell r="BX239">
            <v>1</v>
          </cell>
          <cell r="BY239">
            <v>0</v>
          </cell>
          <cell r="BZ239">
            <v>27</v>
          </cell>
          <cell r="CA239">
            <v>89</v>
          </cell>
          <cell r="CB239">
            <v>16</v>
          </cell>
          <cell r="CC239">
            <v>0</v>
          </cell>
          <cell r="CD239">
            <v>1</v>
          </cell>
          <cell r="CE239">
            <v>1</v>
          </cell>
          <cell r="CF239">
            <v>70</v>
          </cell>
          <cell r="CG239">
            <v>3</v>
          </cell>
          <cell r="CH239">
            <v>16</v>
          </cell>
          <cell r="CI239">
            <v>70</v>
          </cell>
        </row>
        <row r="240">
          <cell r="A240" t="str">
            <v>A933</v>
          </cell>
          <cell r="B240" t="str">
            <v>Nguyễn Minh Mẫn</v>
          </cell>
          <cell r="C240" t="str">
            <v>EN</v>
          </cell>
          <cell r="D240">
            <v>0</v>
          </cell>
          <cell r="E240">
            <v>42874</v>
          </cell>
          <cell r="F240">
            <v>0</v>
          </cell>
          <cell r="G240" t="str">
            <v>C</v>
          </cell>
          <cell r="H240">
            <v>4</v>
          </cell>
          <cell r="I240" t="str">
            <v>C</v>
          </cell>
          <cell r="J240">
            <v>4</v>
          </cell>
          <cell r="K240" t="str">
            <v>C</v>
          </cell>
          <cell r="L240">
            <v>4</v>
          </cell>
          <cell r="M240">
            <v>0</v>
          </cell>
          <cell r="N240">
            <v>0</v>
          </cell>
          <cell r="O240" t="str">
            <v>A</v>
          </cell>
          <cell r="P240">
            <v>4</v>
          </cell>
          <cell r="Q240" t="str">
            <v>A</v>
          </cell>
          <cell r="R240">
            <v>4</v>
          </cell>
          <cell r="S240" t="str">
            <v>A</v>
          </cell>
          <cell r="T240">
            <v>4</v>
          </cell>
          <cell r="U240" t="str">
            <v>A</v>
          </cell>
          <cell r="V240">
            <v>4</v>
          </cell>
          <cell r="W240" t="str">
            <v>A</v>
          </cell>
          <cell r="X240">
            <v>4</v>
          </cell>
          <cell r="Y240" t="str">
            <v>D</v>
          </cell>
          <cell r="Z240">
            <v>0</v>
          </cell>
          <cell r="AA240">
            <v>0</v>
          </cell>
          <cell r="AB240">
            <v>0</v>
          </cell>
          <cell r="AC240" t="str">
            <v>C</v>
          </cell>
          <cell r="AD240">
            <v>4</v>
          </cell>
          <cell r="AE240" t="str">
            <v>C</v>
          </cell>
          <cell r="AF240">
            <v>4</v>
          </cell>
          <cell r="AG240" t="str">
            <v>NT7</v>
          </cell>
          <cell r="AH240">
            <v>0</v>
          </cell>
          <cell r="AI240" t="str">
            <v>C</v>
          </cell>
          <cell r="AJ240">
            <v>4</v>
          </cell>
          <cell r="AK240" t="str">
            <v>C</v>
          </cell>
          <cell r="AL240">
            <v>4</v>
          </cell>
          <cell r="AM240" t="str">
            <v>C</v>
          </cell>
          <cell r="AN240">
            <v>4</v>
          </cell>
          <cell r="AO240">
            <v>0</v>
          </cell>
          <cell r="AP240">
            <v>0</v>
          </cell>
          <cell r="AQ240" t="str">
            <v>A</v>
          </cell>
          <cell r="AR240">
            <v>4</v>
          </cell>
          <cell r="AS240" t="str">
            <v>A</v>
          </cell>
          <cell r="AT240">
            <v>4</v>
          </cell>
          <cell r="AU240" t="str">
            <v>A</v>
          </cell>
          <cell r="AV240">
            <v>4</v>
          </cell>
          <cell r="AW240" t="str">
            <v>A</v>
          </cell>
          <cell r="AX240">
            <v>4</v>
          </cell>
          <cell r="AY240" t="str">
            <v>A</v>
          </cell>
          <cell r="AZ240">
            <v>4</v>
          </cell>
          <cell r="BA240" t="str">
            <v>A</v>
          </cell>
          <cell r="BB240">
            <v>4</v>
          </cell>
          <cell r="BC240">
            <v>0</v>
          </cell>
          <cell r="BD240">
            <v>0</v>
          </cell>
          <cell r="BE240" t="str">
            <v>C</v>
          </cell>
          <cell r="BF240">
            <v>4</v>
          </cell>
          <cell r="BG240" t="str">
            <v>C</v>
          </cell>
          <cell r="BH240">
            <v>4</v>
          </cell>
          <cell r="BI240" t="str">
            <v>C</v>
          </cell>
          <cell r="BJ240">
            <v>4</v>
          </cell>
          <cell r="BK240" t="str">
            <v>C</v>
          </cell>
          <cell r="BL240">
            <v>4</v>
          </cell>
          <cell r="BM240" t="str">
            <v>C</v>
          </cell>
          <cell r="BN240">
            <v>4</v>
          </cell>
          <cell r="BO240" t="str">
            <v>C</v>
          </cell>
          <cell r="BP240">
            <v>4</v>
          </cell>
          <cell r="BQ240">
            <v>11</v>
          </cell>
          <cell r="BR240">
            <v>1</v>
          </cell>
          <cell r="BS240">
            <v>0</v>
          </cell>
          <cell r="BT240">
            <v>14</v>
          </cell>
          <cell r="BU240">
            <v>0</v>
          </cell>
          <cell r="BV240">
            <v>0</v>
          </cell>
          <cell r="BW240">
            <v>0</v>
          </cell>
          <cell r="BX240">
            <v>1</v>
          </cell>
          <cell r="BY240">
            <v>0</v>
          </cell>
          <cell r="BZ240">
            <v>27</v>
          </cell>
          <cell r="CA240">
            <v>100</v>
          </cell>
          <cell r="CB240">
            <v>0</v>
          </cell>
          <cell r="CC240">
            <v>0</v>
          </cell>
          <cell r="CD240">
            <v>1</v>
          </cell>
          <cell r="CE240">
            <v>0</v>
          </cell>
          <cell r="CF240">
            <v>70</v>
          </cell>
          <cell r="CG240">
            <v>1</v>
          </cell>
          <cell r="CH240">
            <v>0</v>
          </cell>
          <cell r="CI240">
            <v>70</v>
          </cell>
        </row>
        <row r="241">
          <cell r="A241" t="str">
            <v>A934</v>
          </cell>
          <cell r="B241" t="str">
            <v>Lê Hoàng Tuấn An</v>
          </cell>
          <cell r="C241" t="str">
            <v>EN</v>
          </cell>
          <cell r="D241">
            <v>0</v>
          </cell>
          <cell r="E241">
            <v>42870</v>
          </cell>
          <cell r="F241">
            <v>0.5</v>
          </cell>
          <cell r="G241" t="str">
            <v>A</v>
          </cell>
          <cell r="H241">
            <v>4</v>
          </cell>
          <cell r="I241" t="str">
            <v>A</v>
          </cell>
          <cell r="J241">
            <v>4</v>
          </cell>
          <cell r="K241" t="str">
            <v>NT7</v>
          </cell>
          <cell r="L241">
            <v>0</v>
          </cell>
          <cell r="M241">
            <v>0</v>
          </cell>
          <cell r="N241">
            <v>0</v>
          </cell>
          <cell r="O241" t="str">
            <v>A</v>
          </cell>
          <cell r="P241">
            <v>4</v>
          </cell>
          <cell r="Q241" t="str">
            <v>D</v>
          </cell>
          <cell r="R241">
            <v>2</v>
          </cell>
          <cell r="S241" t="str">
            <v>A</v>
          </cell>
          <cell r="T241">
            <v>4</v>
          </cell>
          <cell r="U241" t="str">
            <v>A</v>
          </cell>
          <cell r="V241">
            <v>4</v>
          </cell>
          <cell r="W241" t="str">
            <v>A</v>
          </cell>
          <cell r="X241">
            <v>4</v>
          </cell>
          <cell r="Y241" t="str">
            <v>P</v>
          </cell>
          <cell r="Z241">
            <v>0</v>
          </cell>
          <cell r="AA241">
            <v>0</v>
          </cell>
          <cell r="AB241">
            <v>0</v>
          </cell>
          <cell r="AC241" t="str">
            <v>P5,D5</v>
          </cell>
          <cell r="AD241">
            <v>0</v>
          </cell>
          <cell r="AE241" t="str">
            <v>A</v>
          </cell>
          <cell r="AF241">
            <v>4</v>
          </cell>
          <cell r="AG241" t="str">
            <v>A</v>
          </cell>
          <cell r="AH241">
            <v>4</v>
          </cell>
          <cell r="AI241" t="str">
            <v>A</v>
          </cell>
          <cell r="AJ241">
            <v>4</v>
          </cell>
          <cell r="AK241" t="str">
            <v>A</v>
          </cell>
          <cell r="AL241">
            <v>4</v>
          </cell>
          <cell r="AM241" t="str">
            <v>A</v>
          </cell>
          <cell r="AN241">
            <v>4</v>
          </cell>
          <cell r="AO241">
            <v>0</v>
          </cell>
          <cell r="AP241">
            <v>0</v>
          </cell>
          <cell r="AQ241" t="str">
            <v>A</v>
          </cell>
          <cell r="AR241">
            <v>4</v>
          </cell>
          <cell r="AS241" t="str">
            <v>C</v>
          </cell>
          <cell r="AT241">
            <v>4</v>
          </cell>
          <cell r="AU241" t="str">
            <v>C</v>
          </cell>
          <cell r="AV241">
            <v>4</v>
          </cell>
          <cell r="AW241" t="str">
            <v>C</v>
          </cell>
          <cell r="AX241">
            <v>4</v>
          </cell>
          <cell r="AY241" t="str">
            <v>C</v>
          </cell>
          <cell r="AZ241">
            <v>4</v>
          </cell>
          <cell r="BA241" t="str">
            <v>C</v>
          </cell>
          <cell r="BB241">
            <v>4</v>
          </cell>
          <cell r="BC241">
            <v>0</v>
          </cell>
          <cell r="BD241">
            <v>0</v>
          </cell>
          <cell r="BE241" t="str">
            <v>A</v>
          </cell>
          <cell r="BF241">
            <v>4</v>
          </cell>
          <cell r="BG241" t="str">
            <v>R0</v>
          </cell>
          <cell r="BH241">
            <v>0</v>
          </cell>
          <cell r="BI241" t="str">
            <v>R0</v>
          </cell>
          <cell r="BJ241">
            <v>0</v>
          </cell>
          <cell r="BK241" t="str">
            <v>NT7</v>
          </cell>
          <cell r="BL241">
            <v>0</v>
          </cell>
          <cell r="BM241" t="str">
            <v>R0</v>
          </cell>
          <cell r="BN241">
            <v>0</v>
          </cell>
          <cell r="BO241" t="str">
            <v>R0</v>
          </cell>
          <cell r="BP241">
            <v>0</v>
          </cell>
          <cell r="BQ241">
            <v>13</v>
          </cell>
          <cell r="BR241">
            <v>1.5</v>
          </cell>
          <cell r="BS241">
            <v>0</v>
          </cell>
          <cell r="BT241">
            <v>5</v>
          </cell>
          <cell r="BU241">
            <v>0</v>
          </cell>
          <cell r="BV241">
            <v>0</v>
          </cell>
          <cell r="BW241">
            <v>0</v>
          </cell>
          <cell r="BX241">
            <v>2</v>
          </cell>
          <cell r="BY241">
            <v>1.5</v>
          </cell>
          <cell r="BZ241">
            <v>23</v>
          </cell>
          <cell r="CA241">
            <v>74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70</v>
          </cell>
        </row>
        <row r="242">
          <cell r="A242" t="str">
            <v>A935</v>
          </cell>
          <cell r="B242" t="str">
            <v>Nguyễn Thị Thanh Thúy</v>
          </cell>
          <cell r="C242" t="str">
            <v>EN</v>
          </cell>
          <cell r="D242">
            <v>0</v>
          </cell>
          <cell r="E242">
            <v>42870</v>
          </cell>
          <cell r="F242">
            <v>4</v>
          </cell>
          <cell r="G242" t="str">
            <v>TS</v>
          </cell>
          <cell r="H242">
            <v>0</v>
          </cell>
          <cell r="I242" t="str">
            <v>TS</v>
          </cell>
          <cell r="J242">
            <v>0</v>
          </cell>
          <cell r="K242" t="str">
            <v>TS</v>
          </cell>
          <cell r="L242">
            <v>0</v>
          </cell>
          <cell r="M242">
            <v>0</v>
          </cell>
          <cell r="N242">
            <v>0</v>
          </cell>
          <cell r="O242" t="str">
            <v>TS</v>
          </cell>
          <cell r="P242">
            <v>0</v>
          </cell>
          <cell r="Q242" t="str">
            <v>TS</v>
          </cell>
          <cell r="R242">
            <v>0</v>
          </cell>
          <cell r="S242" t="str">
            <v>TS</v>
          </cell>
          <cell r="T242">
            <v>0</v>
          </cell>
          <cell r="U242" t="str">
            <v>TS</v>
          </cell>
          <cell r="V242">
            <v>0</v>
          </cell>
          <cell r="W242" t="str">
            <v>TS</v>
          </cell>
          <cell r="X242">
            <v>0</v>
          </cell>
          <cell r="Y242" t="str">
            <v>TS</v>
          </cell>
          <cell r="Z242">
            <v>0</v>
          </cell>
          <cell r="AA242">
            <v>0</v>
          </cell>
          <cell r="AB242">
            <v>0</v>
          </cell>
          <cell r="AC242" t="str">
            <v>TS</v>
          </cell>
          <cell r="AD242">
            <v>0</v>
          </cell>
          <cell r="AE242" t="str">
            <v>TS</v>
          </cell>
          <cell r="AF242">
            <v>0</v>
          </cell>
          <cell r="AG242" t="str">
            <v>TS</v>
          </cell>
          <cell r="AH242">
            <v>0</v>
          </cell>
          <cell r="AI242" t="str">
            <v>TS</v>
          </cell>
          <cell r="AJ242">
            <v>0</v>
          </cell>
          <cell r="AK242" t="str">
            <v>TS</v>
          </cell>
          <cell r="AL242">
            <v>0</v>
          </cell>
          <cell r="AM242" t="str">
            <v>TS</v>
          </cell>
          <cell r="AN242">
            <v>0</v>
          </cell>
          <cell r="AO242">
            <v>0</v>
          </cell>
          <cell r="AP242">
            <v>0</v>
          </cell>
          <cell r="AQ242" t="str">
            <v>TS</v>
          </cell>
          <cell r="AR242">
            <v>0</v>
          </cell>
          <cell r="AS242" t="str">
            <v>TS</v>
          </cell>
          <cell r="AT242">
            <v>0</v>
          </cell>
          <cell r="AU242" t="str">
            <v>TS</v>
          </cell>
          <cell r="AV242">
            <v>0</v>
          </cell>
          <cell r="AW242" t="str">
            <v>TS</v>
          </cell>
          <cell r="AX242">
            <v>0</v>
          </cell>
          <cell r="AY242" t="str">
            <v>TS</v>
          </cell>
          <cell r="AZ242">
            <v>0</v>
          </cell>
          <cell r="BA242" t="str">
            <v>TS</v>
          </cell>
          <cell r="BB242">
            <v>0</v>
          </cell>
          <cell r="BC242">
            <v>0</v>
          </cell>
          <cell r="BD242">
            <v>0</v>
          </cell>
          <cell r="BE242" t="str">
            <v>TS</v>
          </cell>
          <cell r="BF242">
            <v>0</v>
          </cell>
          <cell r="BG242" t="str">
            <v>TS</v>
          </cell>
          <cell r="BH242">
            <v>0</v>
          </cell>
          <cell r="BI242" t="str">
            <v>TS</v>
          </cell>
          <cell r="BJ242">
            <v>0</v>
          </cell>
          <cell r="BK242" t="str">
            <v>TS</v>
          </cell>
          <cell r="BL242">
            <v>0</v>
          </cell>
          <cell r="BM242" t="str">
            <v>TS</v>
          </cell>
          <cell r="BN242">
            <v>0</v>
          </cell>
          <cell r="BO242" t="str">
            <v>TS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5</v>
          </cell>
          <cell r="CH242">
            <v>0</v>
          </cell>
          <cell r="CI242">
            <v>70</v>
          </cell>
        </row>
        <row r="243">
          <cell r="A243" t="str">
            <v>A940</v>
          </cell>
          <cell r="B243" t="str">
            <v>Hoàng Thị Quý</v>
          </cell>
          <cell r="C243" t="str">
            <v>Gián tiếp</v>
          </cell>
          <cell r="D243">
            <v>0</v>
          </cell>
          <cell r="E243">
            <v>42892</v>
          </cell>
          <cell r="F243">
            <v>2.5</v>
          </cell>
          <cell r="G243" t="str">
            <v>D</v>
          </cell>
          <cell r="H243">
            <v>0</v>
          </cell>
          <cell r="I243" t="str">
            <v>D</v>
          </cell>
          <cell r="J243">
            <v>0</v>
          </cell>
          <cell r="K243" t="str">
            <v>D</v>
          </cell>
          <cell r="L243">
            <v>0</v>
          </cell>
          <cell r="M243">
            <v>0</v>
          </cell>
          <cell r="N243">
            <v>0</v>
          </cell>
          <cell r="O243" t="str">
            <v>D</v>
          </cell>
          <cell r="P243">
            <v>0</v>
          </cell>
          <cell r="Q243" t="str">
            <v>D</v>
          </cell>
          <cell r="R243">
            <v>0</v>
          </cell>
          <cell r="S243" t="str">
            <v>D</v>
          </cell>
          <cell r="T243">
            <v>0</v>
          </cell>
          <cell r="U243" t="str">
            <v>D</v>
          </cell>
          <cell r="V243">
            <v>0</v>
          </cell>
          <cell r="W243" t="str">
            <v>D</v>
          </cell>
          <cell r="X243">
            <v>0</v>
          </cell>
          <cell r="Y243" t="str">
            <v>NT7</v>
          </cell>
          <cell r="Z243">
            <v>0</v>
          </cell>
          <cell r="AA243">
            <v>0</v>
          </cell>
          <cell r="AB243">
            <v>0</v>
          </cell>
          <cell r="AC243" t="str">
            <v>P</v>
          </cell>
          <cell r="AD243">
            <v>0</v>
          </cell>
          <cell r="AE243" t="str">
            <v>D</v>
          </cell>
          <cell r="AF243">
            <v>0</v>
          </cell>
          <cell r="AG243" t="str">
            <v>D</v>
          </cell>
          <cell r="AH243">
            <v>0</v>
          </cell>
          <cell r="AI243" t="str">
            <v>D</v>
          </cell>
          <cell r="AJ243">
            <v>0</v>
          </cell>
          <cell r="AK243" t="str">
            <v>D</v>
          </cell>
          <cell r="AL243">
            <v>0</v>
          </cell>
          <cell r="AM243" t="str">
            <v>D</v>
          </cell>
          <cell r="AN243">
            <v>0</v>
          </cell>
          <cell r="AO243">
            <v>0</v>
          </cell>
          <cell r="AP243">
            <v>0</v>
          </cell>
          <cell r="AQ243" t="str">
            <v>D</v>
          </cell>
          <cell r="AR243">
            <v>0</v>
          </cell>
          <cell r="AS243" t="str">
            <v>D</v>
          </cell>
          <cell r="AT243">
            <v>0</v>
          </cell>
          <cell r="AU243" t="str">
            <v>D</v>
          </cell>
          <cell r="AV243">
            <v>0</v>
          </cell>
          <cell r="AW243" t="str">
            <v>D</v>
          </cell>
          <cell r="AX243">
            <v>0</v>
          </cell>
          <cell r="AY243" t="str">
            <v>D</v>
          </cell>
          <cell r="AZ243">
            <v>0</v>
          </cell>
          <cell r="BA243" t="str">
            <v>NT7</v>
          </cell>
          <cell r="BB243">
            <v>0</v>
          </cell>
          <cell r="BC243">
            <v>0</v>
          </cell>
          <cell r="BD243">
            <v>0</v>
          </cell>
          <cell r="BE243" t="str">
            <v>D</v>
          </cell>
          <cell r="BF243">
            <v>0</v>
          </cell>
          <cell r="BG243" t="str">
            <v>D</v>
          </cell>
          <cell r="BH243">
            <v>0</v>
          </cell>
          <cell r="BI243" t="str">
            <v>D</v>
          </cell>
          <cell r="BJ243">
            <v>0</v>
          </cell>
          <cell r="BK243" t="str">
            <v>D</v>
          </cell>
          <cell r="BL243">
            <v>0</v>
          </cell>
          <cell r="BM243" t="str">
            <v>D</v>
          </cell>
          <cell r="BN243">
            <v>0</v>
          </cell>
          <cell r="BO243" t="str">
            <v>D</v>
          </cell>
          <cell r="BP243">
            <v>0</v>
          </cell>
          <cell r="BQ243">
            <v>0</v>
          </cell>
          <cell r="BR243">
            <v>24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2</v>
          </cell>
          <cell r="BY243">
            <v>1</v>
          </cell>
          <cell r="BZ243">
            <v>27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2.5</v>
          </cell>
          <cell r="CH243">
            <v>0</v>
          </cell>
          <cell r="CI243">
            <v>150</v>
          </cell>
        </row>
        <row r="244">
          <cell r="A244" t="str">
            <v>A941</v>
          </cell>
          <cell r="B244" t="str">
            <v>Dương Văn Phú</v>
          </cell>
          <cell r="C244" t="str">
            <v>CII.4</v>
          </cell>
          <cell r="D244">
            <v>0</v>
          </cell>
          <cell r="E244">
            <v>42887</v>
          </cell>
          <cell r="F244">
            <v>6.5</v>
          </cell>
          <cell r="G244" t="str">
            <v>A</v>
          </cell>
          <cell r="H244">
            <v>4</v>
          </cell>
          <cell r="I244" t="str">
            <v>A</v>
          </cell>
          <cell r="J244">
            <v>4</v>
          </cell>
          <cell r="K244" t="str">
            <v>A</v>
          </cell>
          <cell r="L244">
            <v>4</v>
          </cell>
          <cell r="M244">
            <v>0</v>
          </cell>
          <cell r="N244">
            <v>12</v>
          </cell>
          <cell r="O244" t="str">
            <v>A</v>
          </cell>
          <cell r="P244">
            <v>4</v>
          </cell>
          <cell r="Q244" t="str">
            <v>A</v>
          </cell>
          <cell r="R244">
            <v>4</v>
          </cell>
          <cell r="S244" t="str">
            <v>A</v>
          </cell>
          <cell r="T244">
            <v>4</v>
          </cell>
          <cell r="U244" t="str">
            <v>A</v>
          </cell>
          <cell r="V244">
            <v>4</v>
          </cell>
          <cell r="W244" t="str">
            <v>A</v>
          </cell>
          <cell r="X244">
            <v>4</v>
          </cell>
          <cell r="Y244" t="str">
            <v>A</v>
          </cell>
          <cell r="Z244">
            <v>4</v>
          </cell>
          <cell r="AA244">
            <v>0</v>
          </cell>
          <cell r="AB244">
            <v>12</v>
          </cell>
          <cell r="AC244" t="str">
            <v>A</v>
          </cell>
          <cell r="AD244">
            <v>4</v>
          </cell>
          <cell r="AE244" t="str">
            <v>A</v>
          </cell>
          <cell r="AF244">
            <v>4</v>
          </cell>
          <cell r="AG244" t="str">
            <v>A</v>
          </cell>
          <cell r="AH244">
            <v>4</v>
          </cell>
          <cell r="AI244" t="str">
            <v>A</v>
          </cell>
          <cell r="AJ244">
            <v>4</v>
          </cell>
          <cell r="AK244" t="str">
            <v>A</v>
          </cell>
          <cell r="AL244">
            <v>4</v>
          </cell>
          <cell r="AM244" t="str">
            <v>A</v>
          </cell>
          <cell r="AN244">
            <v>4</v>
          </cell>
          <cell r="AO244">
            <v>0</v>
          </cell>
          <cell r="AP244">
            <v>12</v>
          </cell>
          <cell r="AQ244" t="str">
            <v>A</v>
          </cell>
          <cell r="AR244">
            <v>4</v>
          </cell>
          <cell r="AS244" t="str">
            <v>A</v>
          </cell>
          <cell r="AT244">
            <v>4</v>
          </cell>
          <cell r="AU244" t="str">
            <v>A</v>
          </cell>
          <cell r="AV244">
            <v>4</v>
          </cell>
          <cell r="AW244" t="str">
            <v>D</v>
          </cell>
          <cell r="AX244">
            <v>1.5</v>
          </cell>
          <cell r="AY244" t="str">
            <v>A</v>
          </cell>
          <cell r="AZ244">
            <v>4</v>
          </cell>
          <cell r="BA244" t="str">
            <v>A</v>
          </cell>
          <cell r="BB244">
            <v>4</v>
          </cell>
          <cell r="BC244">
            <v>0</v>
          </cell>
          <cell r="BD244">
            <v>12</v>
          </cell>
          <cell r="BE244" t="str">
            <v>A</v>
          </cell>
          <cell r="BF244">
            <v>4</v>
          </cell>
          <cell r="BG244" t="str">
            <v>A</v>
          </cell>
          <cell r="BH244">
            <v>6</v>
          </cell>
          <cell r="BI244" t="str">
            <v>A</v>
          </cell>
          <cell r="BJ244">
            <v>6</v>
          </cell>
          <cell r="BK244" t="str">
            <v>A</v>
          </cell>
          <cell r="BL244">
            <v>6</v>
          </cell>
          <cell r="BM244" t="str">
            <v>A</v>
          </cell>
          <cell r="BN244">
            <v>6</v>
          </cell>
          <cell r="BO244" t="str">
            <v>A</v>
          </cell>
          <cell r="BP244">
            <v>4</v>
          </cell>
          <cell r="BQ244">
            <v>26</v>
          </cell>
          <cell r="BR244">
            <v>1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27</v>
          </cell>
          <cell r="CA244">
            <v>113.5</v>
          </cell>
          <cell r="CB244">
            <v>48</v>
          </cell>
          <cell r="CC244">
            <v>0</v>
          </cell>
          <cell r="CD244">
            <v>2</v>
          </cell>
          <cell r="CE244">
            <v>4</v>
          </cell>
          <cell r="CF244">
            <v>140</v>
          </cell>
          <cell r="CG244">
            <v>7.5</v>
          </cell>
          <cell r="CH244">
            <v>64</v>
          </cell>
          <cell r="CI244">
            <v>70</v>
          </cell>
        </row>
        <row r="245">
          <cell r="A245" t="str">
            <v>A944</v>
          </cell>
          <cell r="B245" t="str">
            <v>Nguyễn Văn Tuấn</v>
          </cell>
          <cell r="C245" t="str">
            <v>EN</v>
          </cell>
          <cell r="D245">
            <v>0</v>
          </cell>
          <cell r="E245">
            <v>42894</v>
          </cell>
          <cell r="F245">
            <v>4</v>
          </cell>
          <cell r="G245" t="str">
            <v>A</v>
          </cell>
          <cell r="H245">
            <v>4</v>
          </cell>
          <cell r="I245" t="str">
            <v>A</v>
          </cell>
          <cell r="J245">
            <v>7</v>
          </cell>
          <cell r="K245" t="str">
            <v>A</v>
          </cell>
          <cell r="L245">
            <v>4</v>
          </cell>
          <cell r="M245">
            <v>0</v>
          </cell>
          <cell r="N245">
            <v>0</v>
          </cell>
          <cell r="O245" t="str">
            <v>C</v>
          </cell>
          <cell r="P245">
            <v>4</v>
          </cell>
          <cell r="Q245" t="str">
            <v>C</v>
          </cell>
          <cell r="R245">
            <v>4</v>
          </cell>
          <cell r="S245" t="str">
            <v>C</v>
          </cell>
          <cell r="T245">
            <v>4</v>
          </cell>
          <cell r="U245" t="str">
            <v>C</v>
          </cell>
          <cell r="V245">
            <v>4</v>
          </cell>
          <cell r="W245" t="str">
            <v>C</v>
          </cell>
          <cell r="X245">
            <v>4</v>
          </cell>
          <cell r="Y245" t="str">
            <v>C</v>
          </cell>
          <cell r="Z245">
            <v>4</v>
          </cell>
          <cell r="AA245">
            <v>0</v>
          </cell>
          <cell r="AB245">
            <v>0</v>
          </cell>
          <cell r="AC245" t="str">
            <v>A</v>
          </cell>
          <cell r="AD245">
            <v>4</v>
          </cell>
          <cell r="AE245" t="str">
            <v>A</v>
          </cell>
          <cell r="AF245">
            <v>4</v>
          </cell>
          <cell r="AG245" t="str">
            <v>A</v>
          </cell>
          <cell r="AH245">
            <v>4</v>
          </cell>
          <cell r="AI245" t="str">
            <v>D</v>
          </cell>
          <cell r="AJ245">
            <v>3.5</v>
          </cell>
          <cell r="AK245" t="str">
            <v>A</v>
          </cell>
          <cell r="AL245">
            <v>4</v>
          </cell>
          <cell r="AM245" t="str">
            <v>A</v>
          </cell>
          <cell r="AN245">
            <v>4</v>
          </cell>
          <cell r="AO245">
            <v>0</v>
          </cell>
          <cell r="AP245">
            <v>0</v>
          </cell>
          <cell r="AQ245" t="str">
            <v>C</v>
          </cell>
          <cell r="AR245">
            <v>4</v>
          </cell>
          <cell r="AS245" t="str">
            <v>C</v>
          </cell>
          <cell r="AT245">
            <v>4</v>
          </cell>
          <cell r="AU245" t="str">
            <v>C</v>
          </cell>
          <cell r="AV245">
            <v>4</v>
          </cell>
          <cell r="AW245" t="str">
            <v>C</v>
          </cell>
          <cell r="AX245">
            <v>4</v>
          </cell>
          <cell r="AY245" t="str">
            <v>C</v>
          </cell>
          <cell r="AZ245">
            <v>4</v>
          </cell>
          <cell r="BA245" t="str">
            <v>C</v>
          </cell>
          <cell r="BB245">
            <v>4</v>
          </cell>
          <cell r="BC245">
            <v>0</v>
          </cell>
          <cell r="BD245">
            <v>0</v>
          </cell>
          <cell r="BE245" t="str">
            <v>A</v>
          </cell>
          <cell r="BF245">
            <v>4</v>
          </cell>
          <cell r="BG245" t="str">
            <v>A</v>
          </cell>
          <cell r="BH245">
            <v>6</v>
          </cell>
          <cell r="BI245" t="str">
            <v>A</v>
          </cell>
          <cell r="BJ245">
            <v>7</v>
          </cell>
          <cell r="BK245" t="str">
            <v>A</v>
          </cell>
          <cell r="BL245">
            <v>7</v>
          </cell>
          <cell r="BM245" t="str">
            <v>A</v>
          </cell>
          <cell r="BN245">
            <v>7</v>
          </cell>
          <cell r="BO245" t="str">
            <v>A</v>
          </cell>
          <cell r="BP245">
            <v>4</v>
          </cell>
          <cell r="BQ245">
            <v>14</v>
          </cell>
          <cell r="BR245">
            <v>1</v>
          </cell>
          <cell r="BS245">
            <v>0</v>
          </cell>
          <cell r="BT245">
            <v>12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27</v>
          </cell>
          <cell r="CA245">
            <v>121.5</v>
          </cell>
          <cell r="CB245">
            <v>0</v>
          </cell>
          <cell r="CC245">
            <v>0</v>
          </cell>
          <cell r="CD245">
            <v>2</v>
          </cell>
          <cell r="CE245">
            <v>0</v>
          </cell>
          <cell r="CF245">
            <v>140</v>
          </cell>
          <cell r="CG245">
            <v>5</v>
          </cell>
          <cell r="CH245">
            <v>0</v>
          </cell>
          <cell r="CI245">
            <v>70</v>
          </cell>
        </row>
        <row r="246">
          <cell r="A246" t="str">
            <v>A945</v>
          </cell>
          <cell r="B246" t="str">
            <v>Hồ Thị Liên</v>
          </cell>
          <cell r="C246" t="str">
            <v>QCE</v>
          </cell>
          <cell r="D246">
            <v>0</v>
          </cell>
          <cell r="E246">
            <v>42894</v>
          </cell>
          <cell r="F246">
            <v>0</v>
          </cell>
          <cell r="G246" t="str">
            <v>D</v>
          </cell>
          <cell r="H246">
            <v>0</v>
          </cell>
          <cell r="I246" t="str">
            <v>A</v>
          </cell>
          <cell r="J246">
            <v>4</v>
          </cell>
          <cell r="K246" t="str">
            <v>D</v>
          </cell>
          <cell r="L246">
            <v>0</v>
          </cell>
          <cell r="M246">
            <v>0</v>
          </cell>
          <cell r="N246">
            <v>12</v>
          </cell>
          <cell r="O246" t="str">
            <v>A</v>
          </cell>
          <cell r="P246">
            <v>4</v>
          </cell>
          <cell r="Q246" t="str">
            <v>D</v>
          </cell>
          <cell r="R246">
            <v>0</v>
          </cell>
          <cell r="S246" t="str">
            <v>A</v>
          </cell>
          <cell r="T246">
            <v>4</v>
          </cell>
          <cell r="U246" t="str">
            <v>D</v>
          </cell>
          <cell r="V246">
            <v>0</v>
          </cell>
          <cell r="W246" t="str">
            <v>A</v>
          </cell>
          <cell r="X246">
            <v>4</v>
          </cell>
          <cell r="Y246" t="str">
            <v>D</v>
          </cell>
          <cell r="Z246">
            <v>0</v>
          </cell>
          <cell r="AA246">
            <v>0</v>
          </cell>
          <cell r="AB246">
            <v>0</v>
          </cell>
          <cell r="AC246" t="str">
            <v>D</v>
          </cell>
          <cell r="AD246">
            <v>0</v>
          </cell>
          <cell r="AE246" t="str">
            <v>NT7</v>
          </cell>
          <cell r="AF246">
            <v>0</v>
          </cell>
          <cell r="AG246" t="str">
            <v>D</v>
          </cell>
          <cell r="AH246">
            <v>3</v>
          </cell>
          <cell r="AI246" t="str">
            <v>D</v>
          </cell>
          <cell r="AJ246">
            <v>0</v>
          </cell>
          <cell r="AK246" t="str">
            <v>D</v>
          </cell>
          <cell r="AL246">
            <v>0</v>
          </cell>
          <cell r="AM246" t="str">
            <v>D</v>
          </cell>
          <cell r="AN246">
            <v>0</v>
          </cell>
          <cell r="AO246">
            <v>0</v>
          </cell>
          <cell r="AP246">
            <v>7</v>
          </cell>
          <cell r="AQ246" t="str">
            <v>D</v>
          </cell>
          <cell r="AR246">
            <v>0</v>
          </cell>
          <cell r="AS246" t="str">
            <v>D</v>
          </cell>
          <cell r="AT246">
            <v>0</v>
          </cell>
          <cell r="AU246" t="str">
            <v>A</v>
          </cell>
          <cell r="AV246">
            <v>4</v>
          </cell>
          <cell r="AW246" t="str">
            <v>D</v>
          </cell>
          <cell r="AX246">
            <v>0</v>
          </cell>
          <cell r="AY246" t="str">
            <v>A</v>
          </cell>
          <cell r="AZ246">
            <v>4</v>
          </cell>
          <cell r="BA246" t="str">
            <v>A</v>
          </cell>
          <cell r="BB246">
            <v>4</v>
          </cell>
          <cell r="BC246">
            <v>0</v>
          </cell>
          <cell r="BD246">
            <v>8</v>
          </cell>
          <cell r="BE246" t="str">
            <v>A</v>
          </cell>
          <cell r="BF246">
            <v>4</v>
          </cell>
          <cell r="BG246" t="str">
            <v>A</v>
          </cell>
          <cell r="BH246">
            <v>4</v>
          </cell>
          <cell r="BI246" t="str">
            <v>A</v>
          </cell>
          <cell r="BJ246">
            <v>4</v>
          </cell>
          <cell r="BK246" t="str">
            <v>A</v>
          </cell>
          <cell r="BL246">
            <v>4</v>
          </cell>
          <cell r="BM246" t="str">
            <v>A</v>
          </cell>
          <cell r="BN246">
            <v>4</v>
          </cell>
          <cell r="BO246" t="str">
            <v>D</v>
          </cell>
          <cell r="BP246">
            <v>0</v>
          </cell>
          <cell r="BQ246">
            <v>12</v>
          </cell>
          <cell r="BR246">
            <v>14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1</v>
          </cell>
          <cell r="BY246">
            <v>0</v>
          </cell>
          <cell r="BZ246">
            <v>27</v>
          </cell>
          <cell r="CA246">
            <v>51</v>
          </cell>
          <cell r="CB246">
            <v>27</v>
          </cell>
          <cell r="CC246">
            <v>0</v>
          </cell>
          <cell r="CD246">
            <v>1</v>
          </cell>
          <cell r="CE246">
            <v>1</v>
          </cell>
          <cell r="CF246">
            <v>70</v>
          </cell>
          <cell r="CG246">
            <v>1</v>
          </cell>
          <cell r="CH246">
            <v>16</v>
          </cell>
          <cell r="CI246">
            <v>70</v>
          </cell>
        </row>
        <row r="247">
          <cell r="A247" t="str">
            <v>A946</v>
          </cell>
          <cell r="B247" t="str">
            <v>Đoàn Huỳnh Như</v>
          </cell>
          <cell r="C247" t="str">
            <v>QCX</v>
          </cell>
          <cell r="D247">
            <v>0</v>
          </cell>
          <cell r="E247">
            <v>42895</v>
          </cell>
          <cell r="F247">
            <v>2</v>
          </cell>
          <cell r="G247" t="str">
            <v>D</v>
          </cell>
          <cell r="H247">
            <v>2</v>
          </cell>
          <cell r="I247" t="str">
            <v>D</v>
          </cell>
          <cell r="J247">
            <v>0</v>
          </cell>
          <cell r="K247" t="str">
            <v>NT7</v>
          </cell>
          <cell r="L247">
            <v>0</v>
          </cell>
          <cell r="M247">
            <v>0</v>
          </cell>
          <cell r="N247">
            <v>0</v>
          </cell>
          <cell r="O247" t="str">
            <v>A</v>
          </cell>
          <cell r="P247">
            <v>4</v>
          </cell>
          <cell r="Q247" t="str">
            <v>A</v>
          </cell>
          <cell r="R247">
            <v>4</v>
          </cell>
          <cell r="S247" t="str">
            <v>A</v>
          </cell>
          <cell r="T247">
            <v>4</v>
          </cell>
          <cell r="U247" t="str">
            <v>D</v>
          </cell>
          <cell r="V247">
            <v>2</v>
          </cell>
          <cell r="W247" t="str">
            <v>A</v>
          </cell>
          <cell r="X247">
            <v>4</v>
          </cell>
          <cell r="Y247" t="str">
            <v>A</v>
          </cell>
          <cell r="Z247">
            <v>4</v>
          </cell>
          <cell r="AA247">
            <v>0</v>
          </cell>
          <cell r="AB247">
            <v>8</v>
          </cell>
          <cell r="AC247" t="str">
            <v>C</v>
          </cell>
          <cell r="AD247">
            <v>4</v>
          </cell>
          <cell r="AE247" t="str">
            <v>C</v>
          </cell>
          <cell r="AF247">
            <v>4</v>
          </cell>
          <cell r="AG247" t="str">
            <v>C</v>
          </cell>
          <cell r="AH247">
            <v>4</v>
          </cell>
          <cell r="AI247" t="str">
            <v>C</v>
          </cell>
          <cell r="AJ247">
            <v>4</v>
          </cell>
          <cell r="AK247" t="str">
            <v>P5,B5</v>
          </cell>
          <cell r="AL247">
            <v>0</v>
          </cell>
          <cell r="AM247" t="str">
            <v>C</v>
          </cell>
          <cell r="AN247">
            <v>4</v>
          </cell>
          <cell r="AO247">
            <v>0</v>
          </cell>
          <cell r="AP247">
            <v>0</v>
          </cell>
          <cell r="AQ247" t="str">
            <v>A</v>
          </cell>
          <cell r="AR247">
            <v>4</v>
          </cell>
          <cell r="AS247" t="str">
            <v>A</v>
          </cell>
          <cell r="AT247">
            <v>4</v>
          </cell>
          <cell r="AU247" t="str">
            <v>P5,D5</v>
          </cell>
          <cell r="AV247">
            <v>0</v>
          </cell>
          <cell r="AW247" t="str">
            <v>A</v>
          </cell>
          <cell r="AX247">
            <v>4</v>
          </cell>
          <cell r="AY247" t="str">
            <v>D</v>
          </cell>
          <cell r="AZ247">
            <v>2</v>
          </cell>
          <cell r="BA247" t="str">
            <v>D</v>
          </cell>
          <cell r="BB247">
            <v>2</v>
          </cell>
          <cell r="BC247">
            <v>0</v>
          </cell>
          <cell r="BD247">
            <v>0</v>
          </cell>
          <cell r="BE247" t="str">
            <v>A</v>
          </cell>
          <cell r="BF247">
            <v>4</v>
          </cell>
          <cell r="BG247" t="str">
            <v>A</v>
          </cell>
          <cell r="BH247">
            <v>4</v>
          </cell>
          <cell r="BI247" t="str">
            <v>A</v>
          </cell>
          <cell r="BJ247">
            <v>4</v>
          </cell>
          <cell r="BK247" t="str">
            <v>A</v>
          </cell>
          <cell r="BL247">
            <v>4</v>
          </cell>
          <cell r="BM247" t="str">
            <v>D</v>
          </cell>
          <cell r="BN247">
            <v>2</v>
          </cell>
          <cell r="BO247" t="str">
            <v>A</v>
          </cell>
          <cell r="BP247">
            <v>4</v>
          </cell>
          <cell r="BQ247">
            <v>13</v>
          </cell>
          <cell r="BR247">
            <v>6.5</v>
          </cell>
          <cell r="BS247">
            <v>0.5</v>
          </cell>
          <cell r="BT247">
            <v>5</v>
          </cell>
          <cell r="BU247">
            <v>0</v>
          </cell>
          <cell r="BV247">
            <v>0</v>
          </cell>
          <cell r="BW247">
            <v>0</v>
          </cell>
          <cell r="BX247">
            <v>1</v>
          </cell>
          <cell r="BY247">
            <v>1</v>
          </cell>
          <cell r="BZ247">
            <v>27</v>
          </cell>
          <cell r="CA247">
            <v>82</v>
          </cell>
          <cell r="CB247">
            <v>8</v>
          </cell>
          <cell r="CC247">
            <v>0</v>
          </cell>
          <cell r="CD247">
            <v>1</v>
          </cell>
          <cell r="CE247">
            <v>0</v>
          </cell>
          <cell r="CF247">
            <v>70</v>
          </cell>
          <cell r="CG247">
            <v>2</v>
          </cell>
          <cell r="CH247">
            <v>0</v>
          </cell>
          <cell r="CI247">
            <v>70</v>
          </cell>
        </row>
        <row r="248">
          <cell r="A248" t="str">
            <v>A947</v>
          </cell>
          <cell r="B248" t="str">
            <v>Phạm Văn Hào</v>
          </cell>
          <cell r="C248" t="str">
            <v>CII.4</v>
          </cell>
          <cell r="D248">
            <v>0</v>
          </cell>
          <cell r="E248">
            <v>42900</v>
          </cell>
          <cell r="F248">
            <v>0</v>
          </cell>
          <cell r="G248" t="str">
            <v>A</v>
          </cell>
          <cell r="H248">
            <v>4</v>
          </cell>
          <cell r="I248" t="str">
            <v>A</v>
          </cell>
          <cell r="J248">
            <v>4</v>
          </cell>
          <cell r="K248" t="str">
            <v>A</v>
          </cell>
          <cell r="L248">
            <v>4</v>
          </cell>
          <cell r="M248">
            <v>0</v>
          </cell>
          <cell r="N248">
            <v>12</v>
          </cell>
          <cell r="O248" t="str">
            <v>NT7</v>
          </cell>
          <cell r="P248">
            <v>0</v>
          </cell>
          <cell r="Q248" t="str">
            <v>A</v>
          </cell>
          <cell r="R248">
            <v>4</v>
          </cell>
          <cell r="S248" t="str">
            <v>A</v>
          </cell>
          <cell r="T248">
            <v>4</v>
          </cell>
          <cell r="U248" t="str">
            <v>D</v>
          </cell>
          <cell r="V248">
            <v>0</v>
          </cell>
          <cell r="W248" t="str">
            <v>A</v>
          </cell>
          <cell r="X248">
            <v>4</v>
          </cell>
          <cell r="Y248" t="str">
            <v>A</v>
          </cell>
          <cell r="Z248">
            <v>4</v>
          </cell>
          <cell r="AA248">
            <v>0</v>
          </cell>
          <cell r="AB248">
            <v>12</v>
          </cell>
          <cell r="AC248" t="str">
            <v>D</v>
          </cell>
          <cell r="AD248">
            <v>0</v>
          </cell>
          <cell r="AE248" t="str">
            <v>A</v>
          </cell>
          <cell r="AF248">
            <v>4</v>
          </cell>
          <cell r="AG248" t="str">
            <v>D</v>
          </cell>
          <cell r="AH248">
            <v>0</v>
          </cell>
          <cell r="AI248" t="str">
            <v>A</v>
          </cell>
          <cell r="AJ248">
            <v>4</v>
          </cell>
          <cell r="AK248" t="str">
            <v>A</v>
          </cell>
          <cell r="AL248">
            <v>4</v>
          </cell>
          <cell r="AM248" t="str">
            <v>A</v>
          </cell>
          <cell r="AN248">
            <v>4</v>
          </cell>
          <cell r="AO248">
            <v>0</v>
          </cell>
          <cell r="AP248">
            <v>11</v>
          </cell>
          <cell r="AQ248" t="str">
            <v>A</v>
          </cell>
          <cell r="AR248">
            <v>4</v>
          </cell>
          <cell r="AS248" t="str">
            <v>A</v>
          </cell>
          <cell r="AT248">
            <v>4</v>
          </cell>
          <cell r="AU248" t="str">
            <v>A</v>
          </cell>
          <cell r="AV248">
            <v>4</v>
          </cell>
          <cell r="AW248" t="str">
            <v>D</v>
          </cell>
          <cell r="AX248">
            <v>1.5</v>
          </cell>
          <cell r="AY248" t="str">
            <v>A</v>
          </cell>
          <cell r="AZ248">
            <v>4</v>
          </cell>
          <cell r="BA248" t="str">
            <v>A</v>
          </cell>
          <cell r="BB248">
            <v>4</v>
          </cell>
          <cell r="BC248">
            <v>0</v>
          </cell>
          <cell r="BD248">
            <v>12</v>
          </cell>
          <cell r="BE248" t="str">
            <v>A</v>
          </cell>
          <cell r="BF248">
            <v>4</v>
          </cell>
          <cell r="BG248" t="str">
            <v>A</v>
          </cell>
          <cell r="BH248">
            <v>6</v>
          </cell>
          <cell r="BI248" t="str">
            <v>A</v>
          </cell>
          <cell r="BJ248">
            <v>6</v>
          </cell>
          <cell r="BK248" t="str">
            <v>A</v>
          </cell>
          <cell r="BL248">
            <v>6</v>
          </cell>
          <cell r="BM248" t="str">
            <v>A</v>
          </cell>
          <cell r="BN248">
            <v>8</v>
          </cell>
          <cell r="BO248" t="str">
            <v>A</v>
          </cell>
          <cell r="BP248">
            <v>4</v>
          </cell>
          <cell r="BQ248">
            <v>22</v>
          </cell>
          <cell r="BR248">
            <v>4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1</v>
          </cell>
          <cell r="BY248">
            <v>0</v>
          </cell>
          <cell r="BZ248">
            <v>27</v>
          </cell>
          <cell r="CA248">
            <v>99.5</v>
          </cell>
          <cell r="CB248">
            <v>47</v>
          </cell>
          <cell r="CC248">
            <v>0</v>
          </cell>
          <cell r="CD248">
            <v>1</v>
          </cell>
          <cell r="CE248">
            <v>3</v>
          </cell>
          <cell r="CF248">
            <v>70</v>
          </cell>
          <cell r="CG248">
            <v>1</v>
          </cell>
          <cell r="CH248">
            <v>48</v>
          </cell>
          <cell r="CI248">
            <v>70</v>
          </cell>
        </row>
        <row r="249">
          <cell r="A249" t="str">
            <v>A948</v>
          </cell>
          <cell r="B249" t="str">
            <v>Trần Văn Thấm</v>
          </cell>
          <cell r="C249" t="str">
            <v>CII.4</v>
          </cell>
          <cell r="D249">
            <v>0</v>
          </cell>
          <cell r="E249">
            <v>42900</v>
          </cell>
          <cell r="F249">
            <v>0</v>
          </cell>
          <cell r="G249" t="str">
            <v>A</v>
          </cell>
          <cell r="H249">
            <v>4</v>
          </cell>
          <cell r="I249" t="str">
            <v>A</v>
          </cell>
          <cell r="J249">
            <v>4</v>
          </cell>
          <cell r="K249" t="str">
            <v>A</v>
          </cell>
          <cell r="L249">
            <v>4</v>
          </cell>
          <cell r="M249">
            <v>0</v>
          </cell>
          <cell r="N249">
            <v>12</v>
          </cell>
          <cell r="O249" t="str">
            <v>D</v>
          </cell>
          <cell r="P249">
            <v>0</v>
          </cell>
          <cell r="Q249" t="str">
            <v>D</v>
          </cell>
          <cell r="R249">
            <v>0</v>
          </cell>
          <cell r="S249" t="str">
            <v>A</v>
          </cell>
          <cell r="T249">
            <v>3</v>
          </cell>
          <cell r="U249" t="str">
            <v>D</v>
          </cell>
          <cell r="V249">
            <v>0</v>
          </cell>
          <cell r="W249" t="str">
            <v>A</v>
          </cell>
          <cell r="X249">
            <v>4</v>
          </cell>
          <cell r="Y249" t="str">
            <v>NT7</v>
          </cell>
          <cell r="Z249">
            <v>0</v>
          </cell>
          <cell r="AA249">
            <v>0</v>
          </cell>
          <cell r="AB249">
            <v>0</v>
          </cell>
          <cell r="AC249" t="str">
            <v>D</v>
          </cell>
          <cell r="AD249">
            <v>0</v>
          </cell>
          <cell r="AE249" t="str">
            <v>A</v>
          </cell>
          <cell r="AF249">
            <v>4</v>
          </cell>
          <cell r="AG249" t="str">
            <v>A</v>
          </cell>
          <cell r="AH249">
            <v>4</v>
          </cell>
          <cell r="AI249" t="str">
            <v>A</v>
          </cell>
          <cell r="AJ249">
            <v>4</v>
          </cell>
          <cell r="AK249" t="str">
            <v>NT7</v>
          </cell>
          <cell r="AL249">
            <v>0</v>
          </cell>
          <cell r="AM249" t="str">
            <v>A</v>
          </cell>
          <cell r="AN249">
            <v>4</v>
          </cell>
          <cell r="AO249">
            <v>0</v>
          </cell>
          <cell r="AP249">
            <v>11</v>
          </cell>
          <cell r="AQ249" t="str">
            <v>A</v>
          </cell>
          <cell r="AR249">
            <v>4</v>
          </cell>
          <cell r="AS249" t="str">
            <v>D</v>
          </cell>
          <cell r="AT249">
            <v>0</v>
          </cell>
          <cell r="AU249" t="str">
            <v>A</v>
          </cell>
          <cell r="AV249">
            <v>4</v>
          </cell>
          <cell r="AW249" t="str">
            <v>D</v>
          </cell>
          <cell r="AX249">
            <v>0</v>
          </cell>
          <cell r="AY249" t="str">
            <v>P</v>
          </cell>
          <cell r="AZ249">
            <v>0</v>
          </cell>
          <cell r="BA249" t="str">
            <v>A</v>
          </cell>
          <cell r="BB249">
            <v>4</v>
          </cell>
          <cell r="BC249">
            <v>0</v>
          </cell>
          <cell r="BD249">
            <v>9</v>
          </cell>
          <cell r="BE249" t="str">
            <v>D</v>
          </cell>
          <cell r="BF249">
            <v>0</v>
          </cell>
          <cell r="BG249" t="str">
            <v>A</v>
          </cell>
          <cell r="BH249">
            <v>4</v>
          </cell>
          <cell r="BI249" t="str">
            <v>A</v>
          </cell>
          <cell r="BJ249">
            <v>5</v>
          </cell>
          <cell r="BK249" t="str">
            <v>A</v>
          </cell>
          <cell r="BL249">
            <v>5</v>
          </cell>
          <cell r="BM249" t="str">
            <v>D</v>
          </cell>
          <cell r="BN249">
            <v>3</v>
          </cell>
          <cell r="BO249" t="str">
            <v>R0</v>
          </cell>
          <cell r="BP249">
            <v>0</v>
          </cell>
          <cell r="BQ249">
            <v>15</v>
          </cell>
          <cell r="BR249">
            <v>8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2</v>
          </cell>
          <cell r="BY249">
            <v>1</v>
          </cell>
          <cell r="BZ249">
            <v>26</v>
          </cell>
          <cell r="CA249">
            <v>64</v>
          </cell>
          <cell r="CB249">
            <v>32</v>
          </cell>
          <cell r="CC249">
            <v>0</v>
          </cell>
          <cell r="CD249">
            <v>0</v>
          </cell>
          <cell r="CE249">
            <v>1</v>
          </cell>
          <cell r="CF249">
            <v>0</v>
          </cell>
          <cell r="CG249">
            <v>0</v>
          </cell>
          <cell r="CH249">
            <v>16</v>
          </cell>
          <cell r="CI249">
            <v>70</v>
          </cell>
        </row>
        <row r="250">
          <cell r="A250" t="str">
            <v>A950</v>
          </cell>
          <cell r="B250" t="str">
            <v>Nguyễn Minh Hiền</v>
          </cell>
          <cell r="C250" t="str">
            <v>CI.1</v>
          </cell>
          <cell r="D250">
            <v>0</v>
          </cell>
          <cell r="E250">
            <v>42905</v>
          </cell>
          <cell r="F250">
            <v>3</v>
          </cell>
          <cell r="G250" t="str">
            <v>C</v>
          </cell>
          <cell r="H250">
            <v>4</v>
          </cell>
          <cell r="I250" t="str">
            <v>C</v>
          </cell>
          <cell r="J250">
            <v>4</v>
          </cell>
          <cell r="K250" t="str">
            <v>C</v>
          </cell>
          <cell r="L250">
            <v>4</v>
          </cell>
          <cell r="M250">
            <v>0</v>
          </cell>
          <cell r="N250">
            <v>0</v>
          </cell>
          <cell r="O250" t="str">
            <v>A</v>
          </cell>
          <cell r="P250">
            <v>4</v>
          </cell>
          <cell r="Q250" t="str">
            <v>A</v>
          </cell>
          <cell r="R250">
            <v>4</v>
          </cell>
          <cell r="S250" t="str">
            <v>A</v>
          </cell>
          <cell r="T250">
            <v>4</v>
          </cell>
          <cell r="U250" t="str">
            <v>A</v>
          </cell>
          <cell r="V250">
            <v>4</v>
          </cell>
          <cell r="W250" t="str">
            <v>A</v>
          </cell>
          <cell r="X250">
            <v>4</v>
          </cell>
          <cell r="Y250" t="str">
            <v>A</v>
          </cell>
          <cell r="Z250">
            <v>4</v>
          </cell>
          <cell r="AA250">
            <v>0</v>
          </cell>
          <cell r="AB250">
            <v>0</v>
          </cell>
          <cell r="AC250" t="str">
            <v>HH</v>
          </cell>
          <cell r="AD250">
            <v>0</v>
          </cell>
          <cell r="AE250" t="str">
            <v>C</v>
          </cell>
          <cell r="AF250">
            <v>4</v>
          </cell>
          <cell r="AG250" t="str">
            <v>C</v>
          </cell>
          <cell r="AH250">
            <v>4</v>
          </cell>
          <cell r="AI250" t="str">
            <v>C</v>
          </cell>
          <cell r="AJ250">
            <v>4</v>
          </cell>
          <cell r="AK250" t="str">
            <v>C</v>
          </cell>
          <cell r="AL250">
            <v>4</v>
          </cell>
          <cell r="AM250" t="str">
            <v>C</v>
          </cell>
          <cell r="AN250">
            <v>4</v>
          </cell>
          <cell r="AO250">
            <v>0</v>
          </cell>
          <cell r="AP250">
            <v>0</v>
          </cell>
          <cell r="AQ250" t="str">
            <v>D</v>
          </cell>
          <cell r="AR250">
            <v>1</v>
          </cell>
          <cell r="AS250" t="str">
            <v>D</v>
          </cell>
          <cell r="AT250">
            <v>3.5</v>
          </cell>
          <cell r="AU250" t="str">
            <v>A</v>
          </cell>
          <cell r="AV250">
            <v>4</v>
          </cell>
          <cell r="AW250" t="str">
            <v>D</v>
          </cell>
          <cell r="AX250">
            <v>1</v>
          </cell>
          <cell r="AY250" t="str">
            <v>A</v>
          </cell>
          <cell r="AZ250">
            <v>4</v>
          </cell>
          <cell r="BA250" t="str">
            <v>A</v>
          </cell>
          <cell r="BB250">
            <v>4</v>
          </cell>
          <cell r="BC250">
            <v>0</v>
          </cell>
          <cell r="BD250">
            <v>16</v>
          </cell>
          <cell r="BE250" t="str">
            <v>C</v>
          </cell>
          <cell r="BF250">
            <v>4</v>
          </cell>
          <cell r="BG250" t="str">
            <v>C</v>
          </cell>
          <cell r="BH250">
            <v>4</v>
          </cell>
          <cell r="BI250" t="str">
            <v>C</v>
          </cell>
          <cell r="BJ250">
            <v>4</v>
          </cell>
          <cell r="BK250" t="str">
            <v>C</v>
          </cell>
          <cell r="BL250">
            <v>4</v>
          </cell>
          <cell r="BM250" t="str">
            <v>C</v>
          </cell>
          <cell r="BN250">
            <v>4</v>
          </cell>
          <cell r="BO250" t="str">
            <v>HH</v>
          </cell>
          <cell r="BP250">
            <v>0</v>
          </cell>
          <cell r="BQ250">
            <v>9</v>
          </cell>
          <cell r="BR250">
            <v>3</v>
          </cell>
          <cell r="BS250">
            <v>0</v>
          </cell>
          <cell r="BT250">
            <v>13</v>
          </cell>
          <cell r="BU250">
            <v>0</v>
          </cell>
          <cell r="BV250">
            <v>0</v>
          </cell>
          <cell r="BW250">
            <v>2</v>
          </cell>
          <cell r="BX250">
            <v>0</v>
          </cell>
          <cell r="BY250">
            <v>0</v>
          </cell>
          <cell r="BZ250">
            <v>27</v>
          </cell>
          <cell r="CA250">
            <v>93.5</v>
          </cell>
          <cell r="CB250">
            <v>16</v>
          </cell>
          <cell r="CC250">
            <v>0</v>
          </cell>
          <cell r="CD250">
            <v>2</v>
          </cell>
          <cell r="CE250">
            <v>1</v>
          </cell>
          <cell r="CF250">
            <v>140</v>
          </cell>
          <cell r="CG250">
            <v>4</v>
          </cell>
          <cell r="CH250">
            <v>16</v>
          </cell>
          <cell r="CI250">
            <v>70</v>
          </cell>
        </row>
        <row r="251">
          <cell r="A251" t="str">
            <v>A951</v>
          </cell>
          <cell r="B251" t="str">
            <v>Nguyễn Văn Tuấn</v>
          </cell>
          <cell r="C251" t="str">
            <v>CI.1</v>
          </cell>
          <cell r="D251">
            <v>0</v>
          </cell>
          <cell r="E251">
            <v>42905</v>
          </cell>
          <cell r="F251">
            <v>4</v>
          </cell>
          <cell r="G251" t="str">
            <v>A</v>
          </cell>
          <cell r="H251">
            <v>4</v>
          </cell>
          <cell r="I251" t="str">
            <v>A</v>
          </cell>
          <cell r="J251">
            <v>4</v>
          </cell>
          <cell r="K251" t="str">
            <v>A</v>
          </cell>
          <cell r="L251">
            <v>4</v>
          </cell>
          <cell r="M251">
            <v>0</v>
          </cell>
          <cell r="N251">
            <v>8</v>
          </cell>
          <cell r="O251" t="str">
            <v>C</v>
          </cell>
          <cell r="P251">
            <v>4</v>
          </cell>
          <cell r="Q251" t="str">
            <v>C</v>
          </cell>
          <cell r="R251">
            <v>4</v>
          </cell>
          <cell r="S251" t="str">
            <v>C</v>
          </cell>
          <cell r="T251">
            <v>4</v>
          </cell>
          <cell r="U251" t="str">
            <v>C</v>
          </cell>
          <cell r="V251">
            <v>4</v>
          </cell>
          <cell r="W251" t="str">
            <v>C</v>
          </cell>
          <cell r="X251">
            <v>4</v>
          </cell>
          <cell r="Y251" t="str">
            <v>B</v>
          </cell>
          <cell r="Z251">
            <v>2</v>
          </cell>
          <cell r="AA251">
            <v>0</v>
          </cell>
          <cell r="AB251">
            <v>0</v>
          </cell>
          <cell r="AC251" t="str">
            <v>NT7</v>
          </cell>
          <cell r="AD251">
            <v>0</v>
          </cell>
          <cell r="AE251" t="str">
            <v>A</v>
          </cell>
          <cell r="AF251">
            <v>4</v>
          </cell>
          <cell r="AG251" t="str">
            <v>A</v>
          </cell>
          <cell r="AH251">
            <v>4</v>
          </cell>
          <cell r="AI251" t="str">
            <v>A</v>
          </cell>
          <cell r="AJ251">
            <v>4</v>
          </cell>
          <cell r="AK251" t="str">
            <v>A</v>
          </cell>
          <cell r="AL251">
            <v>4</v>
          </cell>
          <cell r="AM251" t="str">
            <v>A</v>
          </cell>
          <cell r="AN251">
            <v>4</v>
          </cell>
          <cell r="AO251">
            <v>0</v>
          </cell>
          <cell r="AP251">
            <v>0</v>
          </cell>
          <cell r="AQ251" t="str">
            <v>HH</v>
          </cell>
          <cell r="AR251">
            <v>0</v>
          </cell>
          <cell r="AS251" t="str">
            <v>HH</v>
          </cell>
          <cell r="AT251">
            <v>0</v>
          </cell>
          <cell r="AU251" t="str">
            <v>C</v>
          </cell>
          <cell r="AV251">
            <v>4</v>
          </cell>
          <cell r="AW251" t="str">
            <v>B</v>
          </cell>
          <cell r="AX251">
            <v>0</v>
          </cell>
          <cell r="AY251" t="str">
            <v>C</v>
          </cell>
          <cell r="AZ251">
            <v>4</v>
          </cell>
          <cell r="BA251" t="str">
            <v>C</v>
          </cell>
          <cell r="BB251">
            <v>4</v>
          </cell>
          <cell r="BC251">
            <v>0</v>
          </cell>
          <cell r="BD251">
            <v>8</v>
          </cell>
          <cell r="BE251" t="str">
            <v>A</v>
          </cell>
          <cell r="BF251">
            <v>4</v>
          </cell>
          <cell r="BG251" t="str">
            <v>A</v>
          </cell>
          <cell r="BH251">
            <v>4</v>
          </cell>
          <cell r="BI251" t="str">
            <v>A</v>
          </cell>
          <cell r="BJ251">
            <v>4</v>
          </cell>
          <cell r="BK251" t="str">
            <v>A</v>
          </cell>
          <cell r="BL251">
            <v>4</v>
          </cell>
          <cell r="BM251" t="str">
            <v>A</v>
          </cell>
          <cell r="BN251">
            <v>4</v>
          </cell>
          <cell r="BO251" t="str">
            <v>D</v>
          </cell>
          <cell r="BP251">
            <v>0</v>
          </cell>
          <cell r="BQ251">
            <v>13</v>
          </cell>
          <cell r="BR251">
            <v>1</v>
          </cell>
          <cell r="BS251">
            <v>2</v>
          </cell>
          <cell r="BT251">
            <v>8</v>
          </cell>
          <cell r="BU251">
            <v>0</v>
          </cell>
          <cell r="BV251">
            <v>0</v>
          </cell>
          <cell r="BW251">
            <v>2</v>
          </cell>
          <cell r="BX251">
            <v>1</v>
          </cell>
          <cell r="BY251">
            <v>0</v>
          </cell>
          <cell r="BZ251">
            <v>27</v>
          </cell>
          <cell r="CA251">
            <v>86</v>
          </cell>
          <cell r="CB251">
            <v>16</v>
          </cell>
          <cell r="CC251">
            <v>0</v>
          </cell>
          <cell r="CD251">
            <v>1</v>
          </cell>
          <cell r="CE251">
            <v>1</v>
          </cell>
          <cell r="CF251">
            <v>150</v>
          </cell>
          <cell r="CG251">
            <v>5</v>
          </cell>
          <cell r="CH251">
            <v>16</v>
          </cell>
          <cell r="CI251">
            <v>150</v>
          </cell>
        </row>
        <row r="252">
          <cell r="A252" t="str">
            <v>A955</v>
          </cell>
          <cell r="B252" t="str">
            <v>Đỗ Vũ Anh Thùy</v>
          </cell>
          <cell r="C252" t="str">
            <v>Gián tiếp</v>
          </cell>
          <cell r="D252">
            <v>0</v>
          </cell>
          <cell r="E252">
            <v>42922</v>
          </cell>
          <cell r="F252">
            <v>2</v>
          </cell>
          <cell r="G252" t="str">
            <v>D</v>
          </cell>
          <cell r="H252">
            <v>0</v>
          </cell>
          <cell r="I252" t="str">
            <v>D</v>
          </cell>
          <cell r="J252">
            <v>0</v>
          </cell>
          <cell r="K252" t="str">
            <v>D</v>
          </cell>
          <cell r="L252">
            <v>0</v>
          </cell>
          <cell r="M252">
            <v>0</v>
          </cell>
          <cell r="N252">
            <v>0</v>
          </cell>
          <cell r="O252" t="str">
            <v>D</v>
          </cell>
          <cell r="P252">
            <v>0</v>
          </cell>
          <cell r="Q252" t="str">
            <v>D</v>
          </cell>
          <cell r="R252">
            <v>0</v>
          </cell>
          <cell r="S252" t="str">
            <v>D</v>
          </cell>
          <cell r="T252">
            <v>0</v>
          </cell>
          <cell r="U252" t="str">
            <v>D</v>
          </cell>
          <cell r="V252">
            <v>0</v>
          </cell>
          <cell r="W252" t="str">
            <v>D</v>
          </cell>
          <cell r="X252">
            <v>0</v>
          </cell>
          <cell r="Y252" t="str">
            <v>NT7</v>
          </cell>
          <cell r="Z252">
            <v>0</v>
          </cell>
          <cell r="AA252">
            <v>0</v>
          </cell>
          <cell r="AB252">
            <v>0</v>
          </cell>
          <cell r="AC252" t="str">
            <v>D</v>
          </cell>
          <cell r="AD252">
            <v>0</v>
          </cell>
          <cell r="AE252" t="str">
            <v>D</v>
          </cell>
          <cell r="AF252">
            <v>0</v>
          </cell>
          <cell r="AG252" t="str">
            <v>D</v>
          </cell>
          <cell r="AH252">
            <v>0</v>
          </cell>
          <cell r="AI252" t="str">
            <v>D</v>
          </cell>
          <cell r="AJ252">
            <v>0</v>
          </cell>
          <cell r="AK252" t="str">
            <v>D</v>
          </cell>
          <cell r="AL252">
            <v>0</v>
          </cell>
          <cell r="AM252" t="str">
            <v>D</v>
          </cell>
          <cell r="AN252">
            <v>0</v>
          </cell>
          <cell r="AO252">
            <v>0</v>
          </cell>
          <cell r="AP252">
            <v>0</v>
          </cell>
          <cell r="AQ252" t="str">
            <v>D</v>
          </cell>
          <cell r="AR252">
            <v>0</v>
          </cell>
          <cell r="AS252" t="str">
            <v>D</v>
          </cell>
          <cell r="AT252">
            <v>0</v>
          </cell>
          <cell r="AU252" t="str">
            <v>D</v>
          </cell>
          <cell r="AV252">
            <v>0</v>
          </cell>
          <cell r="AW252" t="str">
            <v>D</v>
          </cell>
          <cell r="AX252">
            <v>0</v>
          </cell>
          <cell r="AY252" t="str">
            <v>D</v>
          </cell>
          <cell r="AZ252">
            <v>0</v>
          </cell>
          <cell r="BA252" t="str">
            <v>NT7</v>
          </cell>
          <cell r="BB252">
            <v>0</v>
          </cell>
          <cell r="BC252">
            <v>0</v>
          </cell>
          <cell r="BD252">
            <v>0</v>
          </cell>
          <cell r="BE252" t="str">
            <v>D</v>
          </cell>
          <cell r="BF252">
            <v>0</v>
          </cell>
          <cell r="BG252" t="str">
            <v>D</v>
          </cell>
          <cell r="BH252">
            <v>0</v>
          </cell>
          <cell r="BI252" t="str">
            <v>D</v>
          </cell>
          <cell r="BJ252">
            <v>0</v>
          </cell>
          <cell r="BK252" t="str">
            <v>D</v>
          </cell>
          <cell r="BL252">
            <v>0</v>
          </cell>
          <cell r="BM252" t="str">
            <v>D</v>
          </cell>
          <cell r="BN252">
            <v>0</v>
          </cell>
          <cell r="BO252" t="str">
            <v>D</v>
          </cell>
          <cell r="BP252">
            <v>0</v>
          </cell>
          <cell r="BQ252">
            <v>0</v>
          </cell>
          <cell r="BR252">
            <v>25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2</v>
          </cell>
          <cell r="BY252">
            <v>0</v>
          </cell>
          <cell r="BZ252">
            <v>27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3</v>
          </cell>
          <cell r="CH252">
            <v>0</v>
          </cell>
          <cell r="CI252">
            <v>0</v>
          </cell>
        </row>
        <row r="253">
          <cell r="A253" t="str">
            <v>A956</v>
          </cell>
          <cell r="B253" t="str">
            <v>Phan Ngọc Thanh Trí</v>
          </cell>
          <cell r="C253" t="str">
            <v>Gián tiếp</v>
          </cell>
          <cell r="D253">
            <v>0</v>
          </cell>
          <cell r="E253">
            <v>42922</v>
          </cell>
          <cell r="F253">
            <v>0</v>
          </cell>
          <cell r="G253" t="str">
            <v>D</v>
          </cell>
          <cell r="H253">
            <v>0</v>
          </cell>
          <cell r="I253" t="str">
            <v>D</v>
          </cell>
          <cell r="J253">
            <v>0</v>
          </cell>
          <cell r="K253" t="str">
            <v>D</v>
          </cell>
          <cell r="L253">
            <v>0</v>
          </cell>
          <cell r="M253">
            <v>0</v>
          </cell>
          <cell r="N253">
            <v>0</v>
          </cell>
          <cell r="O253" t="str">
            <v>D</v>
          </cell>
          <cell r="P253">
            <v>0</v>
          </cell>
          <cell r="Q253" t="str">
            <v>D</v>
          </cell>
          <cell r="R253">
            <v>0</v>
          </cell>
          <cell r="S253" t="str">
            <v>D</v>
          </cell>
          <cell r="T253">
            <v>0</v>
          </cell>
          <cell r="U253" t="str">
            <v>D</v>
          </cell>
          <cell r="V253">
            <v>0</v>
          </cell>
          <cell r="W253" t="str">
            <v>D</v>
          </cell>
          <cell r="X253">
            <v>0</v>
          </cell>
          <cell r="Y253" t="str">
            <v>NT7</v>
          </cell>
          <cell r="Z253">
            <v>0</v>
          </cell>
          <cell r="AA253">
            <v>0</v>
          </cell>
          <cell r="AB253">
            <v>0</v>
          </cell>
          <cell r="AC253" t="str">
            <v>P</v>
          </cell>
          <cell r="AD253">
            <v>0</v>
          </cell>
          <cell r="AE253" t="str">
            <v>D</v>
          </cell>
          <cell r="AF253">
            <v>0</v>
          </cell>
          <cell r="AG253" t="str">
            <v>D</v>
          </cell>
          <cell r="AH253">
            <v>0</v>
          </cell>
          <cell r="AI253" t="str">
            <v>D</v>
          </cell>
          <cell r="AJ253">
            <v>0</v>
          </cell>
          <cell r="AK253" t="str">
            <v>D</v>
          </cell>
          <cell r="AL253">
            <v>0</v>
          </cell>
          <cell r="AM253" t="str">
            <v>D</v>
          </cell>
          <cell r="AN253">
            <v>0</v>
          </cell>
          <cell r="AO253">
            <v>0</v>
          </cell>
          <cell r="AP253">
            <v>0</v>
          </cell>
          <cell r="AQ253" t="str">
            <v>D</v>
          </cell>
          <cell r="AR253">
            <v>0</v>
          </cell>
          <cell r="AS253" t="str">
            <v>D</v>
          </cell>
          <cell r="AT253">
            <v>0</v>
          </cell>
          <cell r="AU253" t="str">
            <v>D</v>
          </cell>
          <cell r="AV253">
            <v>0</v>
          </cell>
          <cell r="AW253" t="str">
            <v>R5,D5</v>
          </cell>
          <cell r="AX253">
            <v>0</v>
          </cell>
          <cell r="AY253" t="str">
            <v>D</v>
          </cell>
          <cell r="AZ253">
            <v>0</v>
          </cell>
          <cell r="BA253" t="str">
            <v>NT7</v>
          </cell>
          <cell r="BB253">
            <v>0</v>
          </cell>
          <cell r="BC253">
            <v>0</v>
          </cell>
          <cell r="BD253">
            <v>0</v>
          </cell>
          <cell r="BE253" t="str">
            <v>D</v>
          </cell>
          <cell r="BF253">
            <v>0</v>
          </cell>
          <cell r="BG253" t="str">
            <v>D</v>
          </cell>
          <cell r="BH253">
            <v>0</v>
          </cell>
          <cell r="BI253" t="str">
            <v>R0</v>
          </cell>
          <cell r="BJ253">
            <v>0</v>
          </cell>
          <cell r="BK253" t="str">
            <v>D</v>
          </cell>
          <cell r="BL253">
            <v>0</v>
          </cell>
          <cell r="BM253" t="str">
            <v>R0</v>
          </cell>
          <cell r="BN253">
            <v>0</v>
          </cell>
          <cell r="BO253" t="str">
            <v>D</v>
          </cell>
          <cell r="BP253">
            <v>0</v>
          </cell>
          <cell r="BQ253">
            <v>0</v>
          </cell>
          <cell r="BR253">
            <v>21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2</v>
          </cell>
          <cell r="BY253">
            <v>1</v>
          </cell>
          <cell r="BZ253">
            <v>24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1</v>
          </cell>
          <cell r="CF253">
            <v>0</v>
          </cell>
          <cell r="CG253">
            <v>0</v>
          </cell>
          <cell r="CH253">
            <v>16</v>
          </cell>
          <cell r="CI253">
            <v>150</v>
          </cell>
        </row>
        <row r="254">
          <cell r="A254" t="str">
            <v>A957</v>
          </cell>
          <cell r="B254" t="str">
            <v>Trần Út Nhỏ</v>
          </cell>
          <cell r="C254" t="str">
            <v>SON</v>
          </cell>
          <cell r="D254">
            <v>0</v>
          </cell>
          <cell r="E254">
            <v>42919</v>
          </cell>
          <cell r="F254">
            <v>2</v>
          </cell>
          <cell r="G254" t="str">
            <v>A</v>
          </cell>
          <cell r="H254">
            <v>4</v>
          </cell>
          <cell r="I254" t="str">
            <v>A</v>
          </cell>
          <cell r="J254">
            <v>4</v>
          </cell>
          <cell r="K254" t="str">
            <v>A</v>
          </cell>
          <cell r="L254">
            <v>4</v>
          </cell>
          <cell r="M254">
            <v>0</v>
          </cell>
          <cell r="N254">
            <v>12</v>
          </cell>
          <cell r="O254" t="str">
            <v>A</v>
          </cell>
          <cell r="P254">
            <v>4</v>
          </cell>
          <cell r="Q254" t="str">
            <v>A</v>
          </cell>
          <cell r="R254">
            <v>4</v>
          </cell>
          <cell r="S254" t="str">
            <v>A</v>
          </cell>
          <cell r="T254">
            <v>4</v>
          </cell>
          <cell r="U254" t="str">
            <v>A</v>
          </cell>
          <cell r="V254">
            <v>4</v>
          </cell>
          <cell r="W254" t="str">
            <v>A</v>
          </cell>
          <cell r="X254">
            <v>4</v>
          </cell>
          <cell r="Y254" t="str">
            <v>A</v>
          </cell>
          <cell r="Z254">
            <v>4</v>
          </cell>
          <cell r="AA254">
            <v>0</v>
          </cell>
          <cell r="AB254">
            <v>0</v>
          </cell>
          <cell r="AC254" t="str">
            <v>A</v>
          </cell>
          <cell r="AD254">
            <v>4</v>
          </cell>
          <cell r="AE254" t="str">
            <v>A</v>
          </cell>
          <cell r="AF254">
            <v>4</v>
          </cell>
          <cell r="AG254" t="str">
            <v>A</v>
          </cell>
          <cell r="AH254">
            <v>4</v>
          </cell>
          <cell r="AI254" t="str">
            <v>A</v>
          </cell>
          <cell r="AJ254">
            <v>4</v>
          </cell>
          <cell r="AK254" t="str">
            <v>A</v>
          </cell>
          <cell r="AL254">
            <v>4</v>
          </cell>
          <cell r="AM254" t="str">
            <v>A</v>
          </cell>
          <cell r="AN254">
            <v>4</v>
          </cell>
          <cell r="AO254">
            <v>0</v>
          </cell>
          <cell r="AP254">
            <v>0</v>
          </cell>
          <cell r="AQ254" t="str">
            <v>D</v>
          </cell>
          <cell r="AR254">
            <v>0</v>
          </cell>
          <cell r="AS254" t="str">
            <v>A</v>
          </cell>
          <cell r="AT254">
            <v>4</v>
          </cell>
          <cell r="AU254" t="str">
            <v>A</v>
          </cell>
          <cell r="AV254">
            <v>4</v>
          </cell>
          <cell r="AW254" t="str">
            <v>D</v>
          </cell>
          <cell r="AX254">
            <v>1</v>
          </cell>
          <cell r="AY254" t="str">
            <v>A</v>
          </cell>
          <cell r="AZ254">
            <v>4</v>
          </cell>
          <cell r="BA254" t="str">
            <v>A</v>
          </cell>
          <cell r="BB254">
            <v>4</v>
          </cell>
          <cell r="BC254">
            <v>0</v>
          </cell>
          <cell r="BD254">
            <v>8</v>
          </cell>
          <cell r="BE254" t="str">
            <v>A</v>
          </cell>
          <cell r="BF254">
            <v>4</v>
          </cell>
          <cell r="BG254" t="str">
            <v>A</v>
          </cell>
          <cell r="BH254">
            <v>4</v>
          </cell>
          <cell r="BI254" t="str">
            <v>A</v>
          </cell>
          <cell r="BJ254">
            <v>4</v>
          </cell>
          <cell r="BK254" t="str">
            <v>A</v>
          </cell>
          <cell r="BL254">
            <v>4</v>
          </cell>
          <cell r="BM254" t="str">
            <v>A</v>
          </cell>
          <cell r="BN254">
            <v>4</v>
          </cell>
          <cell r="BO254" t="str">
            <v>D</v>
          </cell>
          <cell r="BP254">
            <v>0</v>
          </cell>
          <cell r="BQ254">
            <v>24</v>
          </cell>
          <cell r="BR254">
            <v>3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27</v>
          </cell>
          <cell r="CA254">
            <v>97</v>
          </cell>
          <cell r="CB254">
            <v>20</v>
          </cell>
          <cell r="CC254">
            <v>0</v>
          </cell>
          <cell r="CD254">
            <v>2</v>
          </cell>
          <cell r="CE254">
            <v>1</v>
          </cell>
          <cell r="CF254">
            <v>140</v>
          </cell>
          <cell r="CG254">
            <v>3</v>
          </cell>
          <cell r="CH254">
            <v>16</v>
          </cell>
          <cell r="CI254">
            <v>70</v>
          </cell>
        </row>
        <row r="255">
          <cell r="A255" t="str">
            <v>A960</v>
          </cell>
          <cell r="B255" t="str">
            <v>Dương Thị Diệu Hiền</v>
          </cell>
          <cell r="C255" t="str">
            <v>EN</v>
          </cell>
          <cell r="D255">
            <v>0</v>
          </cell>
          <cell r="E255">
            <v>42930</v>
          </cell>
          <cell r="F255">
            <v>2</v>
          </cell>
          <cell r="G255" t="str">
            <v>A</v>
          </cell>
          <cell r="H255">
            <v>4</v>
          </cell>
          <cell r="I255" t="str">
            <v>A</v>
          </cell>
          <cell r="J255">
            <v>4</v>
          </cell>
          <cell r="K255" t="str">
            <v>A</v>
          </cell>
          <cell r="L255">
            <v>4</v>
          </cell>
          <cell r="M255">
            <v>0</v>
          </cell>
          <cell r="N255">
            <v>8</v>
          </cell>
          <cell r="O255" t="str">
            <v>C</v>
          </cell>
          <cell r="P255">
            <v>4</v>
          </cell>
          <cell r="Q255" t="str">
            <v>C</v>
          </cell>
          <cell r="R255">
            <v>4</v>
          </cell>
          <cell r="S255" t="str">
            <v>C</v>
          </cell>
          <cell r="T255">
            <v>4</v>
          </cell>
          <cell r="U255" t="str">
            <v>C</v>
          </cell>
          <cell r="V255">
            <v>4</v>
          </cell>
          <cell r="W255" t="str">
            <v>C</v>
          </cell>
          <cell r="X255">
            <v>4</v>
          </cell>
          <cell r="Y255" t="str">
            <v>C</v>
          </cell>
          <cell r="Z255">
            <v>4</v>
          </cell>
          <cell r="AA255">
            <v>0</v>
          </cell>
          <cell r="AB255">
            <v>0</v>
          </cell>
          <cell r="AC255" t="str">
            <v>A</v>
          </cell>
          <cell r="AD255">
            <v>4</v>
          </cell>
          <cell r="AE255" t="str">
            <v>A</v>
          </cell>
          <cell r="AF255">
            <v>4</v>
          </cell>
          <cell r="AG255" t="str">
            <v>NT7</v>
          </cell>
          <cell r="AH255">
            <v>0</v>
          </cell>
          <cell r="AI255" t="str">
            <v>A</v>
          </cell>
          <cell r="AJ255">
            <v>4</v>
          </cell>
          <cell r="AK255" t="str">
            <v>A</v>
          </cell>
          <cell r="AL255">
            <v>4</v>
          </cell>
          <cell r="AM255" t="str">
            <v>A</v>
          </cell>
          <cell r="AN255">
            <v>4</v>
          </cell>
          <cell r="AO255">
            <v>0</v>
          </cell>
          <cell r="AP255">
            <v>16</v>
          </cell>
          <cell r="AQ255" t="str">
            <v>C</v>
          </cell>
          <cell r="AR255">
            <v>4</v>
          </cell>
          <cell r="AS255" t="str">
            <v>C</v>
          </cell>
          <cell r="AT255">
            <v>4</v>
          </cell>
          <cell r="AU255" t="str">
            <v>C</v>
          </cell>
          <cell r="AV255">
            <v>4</v>
          </cell>
          <cell r="AW255" t="str">
            <v>C</v>
          </cell>
          <cell r="AX255">
            <v>4</v>
          </cell>
          <cell r="AY255" t="str">
            <v>C</v>
          </cell>
          <cell r="AZ255">
            <v>4</v>
          </cell>
          <cell r="BA255" t="str">
            <v>C</v>
          </cell>
          <cell r="BB255">
            <v>4</v>
          </cell>
          <cell r="BC255">
            <v>0</v>
          </cell>
          <cell r="BD255">
            <v>0</v>
          </cell>
          <cell r="BE255" t="str">
            <v>A</v>
          </cell>
          <cell r="BF255">
            <v>4</v>
          </cell>
          <cell r="BG255" t="str">
            <v>A</v>
          </cell>
          <cell r="BH255">
            <v>4</v>
          </cell>
          <cell r="BI255" t="str">
            <v>A</v>
          </cell>
          <cell r="BJ255">
            <v>4</v>
          </cell>
          <cell r="BK255" t="str">
            <v>A</v>
          </cell>
          <cell r="BL255">
            <v>4</v>
          </cell>
          <cell r="BM255" t="str">
            <v>A</v>
          </cell>
          <cell r="BN255">
            <v>4</v>
          </cell>
          <cell r="BO255" t="str">
            <v>A</v>
          </cell>
          <cell r="BP255">
            <v>4</v>
          </cell>
          <cell r="BQ255">
            <v>14</v>
          </cell>
          <cell r="BR255">
            <v>0</v>
          </cell>
          <cell r="BS255">
            <v>0</v>
          </cell>
          <cell r="BT255">
            <v>12</v>
          </cell>
          <cell r="BU255">
            <v>0</v>
          </cell>
          <cell r="BV255">
            <v>0</v>
          </cell>
          <cell r="BW255">
            <v>0</v>
          </cell>
          <cell r="BX255">
            <v>1</v>
          </cell>
          <cell r="BY255">
            <v>0</v>
          </cell>
          <cell r="BZ255">
            <v>27</v>
          </cell>
          <cell r="CA255">
            <v>104</v>
          </cell>
          <cell r="CB255">
            <v>24</v>
          </cell>
          <cell r="CC255">
            <v>0</v>
          </cell>
          <cell r="CD255">
            <v>1</v>
          </cell>
          <cell r="CE255">
            <v>1</v>
          </cell>
          <cell r="CF255">
            <v>70</v>
          </cell>
          <cell r="CG255">
            <v>3</v>
          </cell>
          <cell r="CH255">
            <v>16</v>
          </cell>
          <cell r="CI255">
            <v>70</v>
          </cell>
        </row>
        <row r="256">
          <cell r="A256" t="str">
            <v>A963</v>
          </cell>
          <cell r="B256" t="str">
            <v>Hoàng Thị Bé</v>
          </cell>
          <cell r="C256" t="str">
            <v>QCX</v>
          </cell>
          <cell r="D256">
            <v>0</v>
          </cell>
          <cell r="E256">
            <v>42940</v>
          </cell>
          <cell r="F256">
            <v>1.5</v>
          </cell>
          <cell r="G256" t="str">
            <v>A</v>
          </cell>
          <cell r="H256">
            <v>4</v>
          </cell>
          <cell r="I256" t="str">
            <v>A</v>
          </cell>
          <cell r="J256">
            <v>4</v>
          </cell>
          <cell r="K256" t="str">
            <v>D</v>
          </cell>
          <cell r="L256">
            <v>2</v>
          </cell>
          <cell r="M256">
            <v>0</v>
          </cell>
          <cell r="N256">
            <v>12</v>
          </cell>
          <cell r="O256" t="str">
            <v>A</v>
          </cell>
          <cell r="P256">
            <v>4</v>
          </cell>
          <cell r="Q256" t="str">
            <v>A</v>
          </cell>
          <cell r="R256">
            <v>4</v>
          </cell>
          <cell r="S256" t="str">
            <v>A</v>
          </cell>
          <cell r="T256">
            <v>4</v>
          </cell>
          <cell r="U256" t="str">
            <v>D</v>
          </cell>
          <cell r="V256">
            <v>2</v>
          </cell>
          <cell r="W256" t="str">
            <v>A</v>
          </cell>
          <cell r="X256">
            <v>4</v>
          </cell>
          <cell r="Y256" t="str">
            <v>A</v>
          </cell>
          <cell r="Z256">
            <v>4</v>
          </cell>
          <cell r="AA256">
            <v>0</v>
          </cell>
          <cell r="AB256">
            <v>8</v>
          </cell>
          <cell r="AC256" t="str">
            <v>A</v>
          </cell>
          <cell r="AD256">
            <v>4</v>
          </cell>
          <cell r="AE256" t="str">
            <v>D</v>
          </cell>
          <cell r="AF256">
            <v>0</v>
          </cell>
          <cell r="AG256" t="str">
            <v>A</v>
          </cell>
          <cell r="AH256">
            <v>4</v>
          </cell>
          <cell r="AI256" t="str">
            <v>A</v>
          </cell>
          <cell r="AJ256">
            <v>4</v>
          </cell>
          <cell r="AK256" t="str">
            <v>A</v>
          </cell>
          <cell r="AL256">
            <v>4</v>
          </cell>
          <cell r="AM256" t="str">
            <v>D</v>
          </cell>
          <cell r="AN256">
            <v>0</v>
          </cell>
          <cell r="AO256">
            <v>0</v>
          </cell>
          <cell r="AP256">
            <v>0</v>
          </cell>
          <cell r="AQ256" t="str">
            <v>C</v>
          </cell>
          <cell r="AR256">
            <v>4</v>
          </cell>
          <cell r="AS256" t="str">
            <v>C</v>
          </cell>
          <cell r="AT256">
            <v>4</v>
          </cell>
          <cell r="AU256" t="str">
            <v>C</v>
          </cell>
          <cell r="AV256">
            <v>4</v>
          </cell>
          <cell r="AW256" t="str">
            <v>C</v>
          </cell>
          <cell r="AX256">
            <v>4</v>
          </cell>
          <cell r="AY256" t="str">
            <v>C</v>
          </cell>
          <cell r="AZ256">
            <v>4</v>
          </cell>
          <cell r="BA256" t="str">
            <v>C</v>
          </cell>
          <cell r="BB256">
            <v>4</v>
          </cell>
          <cell r="BC256">
            <v>0</v>
          </cell>
          <cell r="BD256">
            <v>8</v>
          </cell>
          <cell r="BE256" t="str">
            <v>C</v>
          </cell>
          <cell r="BF256">
            <v>4</v>
          </cell>
          <cell r="BG256" t="str">
            <v>C</v>
          </cell>
          <cell r="BH256">
            <v>4</v>
          </cell>
          <cell r="BI256" t="str">
            <v>C</v>
          </cell>
          <cell r="BJ256">
            <v>4</v>
          </cell>
          <cell r="BK256" t="str">
            <v>C</v>
          </cell>
          <cell r="BL256">
            <v>4</v>
          </cell>
          <cell r="BM256" t="str">
            <v>C</v>
          </cell>
          <cell r="BN256">
            <v>4</v>
          </cell>
          <cell r="BO256" t="str">
            <v>C</v>
          </cell>
          <cell r="BP256">
            <v>6</v>
          </cell>
          <cell r="BQ256">
            <v>11</v>
          </cell>
          <cell r="BR256">
            <v>4</v>
          </cell>
          <cell r="BS256">
            <v>0</v>
          </cell>
          <cell r="BT256">
            <v>12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27</v>
          </cell>
          <cell r="CA256">
            <v>98</v>
          </cell>
          <cell r="CB256">
            <v>28</v>
          </cell>
          <cell r="CC256">
            <v>0</v>
          </cell>
          <cell r="CD256">
            <v>2</v>
          </cell>
          <cell r="CE256">
            <v>1</v>
          </cell>
          <cell r="CF256">
            <v>140</v>
          </cell>
          <cell r="CG256">
            <v>2.5</v>
          </cell>
          <cell r="CH256">
            <v>16</v>
          </cell>
          <cell r="CI256">
            <v>70</v>
          </cell>
        </row>
        <row r="257">
          <cell r="A257" t="str">
            <v>A964</v>
          </cell>
          <cell r="B257" t="str">
            <v>Lê Văn Thành</v>
          </cell>
          <cell r="C257" t="str">
            <v>CII.4</v>
          </cell>
          <cell r="D257">
            <v>0</v>
          </cell>
          <cell r="E257">
            <v>42940</v>
          </cell>
          <cell r="F257">
            <v>2.5</v>
          </cell>
          <cell r="G257" t="str">
            <v>A</v>
          </cell>
          <cell r="H257">
            <v>4</v>
          </cell>
          <cell r="I257" t="str">
            <v>A</v>
          </cell>
          <cell r="J257">
            <v>4</v>
          </cell>
          <cell r="K257" t="str">
            <v>A</v>
          </cell>
          <cell r="L257">
            <v>4</v>
          </cell>
          <cell r="M257">
            <v>0</v>
          </cell>
          <cell r="N257">
            <v>12</v>
          </cell>
          <cell r="O257" t="str">
            <v>D</v>
          </cell>
          <cell r="P257">
            <v>0</v>
          </cell>
          <cell r="Q257" t="str">
            <v>A</v>
          </cell>
          <cell r="R257">
            <v>4</v>
          </cell>
          <cell r="S257" t="str">
            <v>A</v>
          </cell>
          <cell r="T257">
            <v>4</v>
          </cell>
          <cell r="U257" t="str">
            <v>A</v>
          </cell>
          <cell r="V257">
            <v>4</v>
          </cell>
          <cell r="W257" t="str">
            <v>A</v>
          </cell>
          <cell r="X257">
            <v>4</v>
          </cell>
          <cell r="Y257" t="str">
            <v>A</v>
          </cell>
          <cell r="Z257">
            <v>4</v>
          </cell>
          <cell r="AA257">
            <v>0</v>
          </cell>
          <cell r="AB257">
            <v>0</v>
          </cell>
          <cell r="AC257" t="str">
            <v>P</v>
          </cell>
          <cell r="AD257">
            <v>0</v>
          </cell>
          <cell r="AE257" t="str">
            <v>P</v>
          </cell>
          <cell r="AF257">
            <v>0</v>
          </cell>
          <cell r="AG257" t="str">
            <v>NT7</v>
          </cell>
          <cell r="AH257">
            <v>0</v>
          </cell>
          <cell r="AI257" t="str">
            <v>NT7</v>
          </cell>
          <cell r="AJ257">
            <v>0</v>
          </cell>
          <cell r="AK257" t="str">
            <v>A</v>
          </cell>
          <cell r="AL257">
            <v>4</v>
          </cell>
          <cell r="AM257" t="str">
            <v>A</v>
          </cell>
          <cell r="AN257">
            <v>4</v>
          </cell>
          <cell r="AO257">
            <v>0</v>
          </cell>
          <cell r="AP257">
            <v>11</v>
          </cell>
          <cell r="AQ257" t="str">
            <v>R0</v>
          </cell>
          <cell r="AR257">
            <v>0</v>
          </cell>
          <cell r="AS257" t="str">
            <v>R0</v>
          </cell>
          <cell r="AT257">
            <v>0</v>
          </cell>
          <cell r="AU257" t="str">
            <v>R0</v>
          </cell>
          <cell r="AV257">
            <v>0</v>
          </cell>
          <cell r="AW257" t="str">
            <v>R0</v>
          </cell>
          <cell r="AX257">
            <v>0</v>
          </cell>
          <cell r="AY257" t="str">
            <v>R0</v>
          </cell>
          <cell r="AZ257">
            <v>0</v>
          </cell>
          <cell r="BA257" t="str">
            <v>R0</v>
          </cell>
          <cell r="BB257">
            <v>0</v>
          </cell>
          <cell r="BC257">
            <v>0</v>
          </cell>
          <cell r="BD257">
            <v>0</v>
          </cell>
          <cell r="BE257" t="str">
            <v>R0</v>
          </cell>
          <cell r="BF257">
            <v>0</v>
          </cell>
          <cell r="BG257" t="str">
            <v>R0</v>
          </cell>
          <cell r="BH257">
            <v>0</v>
          </cell>
          <cell r="BI257" t="str">
            <v>A</v>
          </cell>
          <cell r="BJ257">
            <v>5</v>
          </cell>
          <cell r="BK257" t="str">
            <v>A</v>
          </cell>
          <cell r="BL257">
            <v>6</v>
          </cell>
          <cell r="BM257" t="str">
            <v>A</v>
          </cell>
          <cell r="BN257">
            <v>8</v>
          </cell>
          <cell r="BO257" t="str">
            <v>A</v>
          </cell>
          <cell r="BP257">
            <v>3</v>
          </cell>
          <cell r="BQ257">
            <v>14</v>
          </cell>
          <cell r="BR257">
            <v>1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2</v>
          </cell>
          <cell r="BY257">
            <v>2</v>
          </cell>
          <cell r="BZ257">
            <v>19</v>
          </cell>
          <cell r="CA257">
            <v>62</v>
          </cell>
          <cell r="CB257">
            <v>23</v>
          </cell>
          <cell r="CC257">
            <v>0</v>
          </cell>
          <cell r="CD257">
            <v>0</v>
          </cell>
          <cell r="CE257">
            <v>1</v>
          </cell>
          <cell r="CF257">
            <v>0</v>
          </cell>
          <cell r="CG257">
            <v>1.5</v>
          </cell>
          <cell r="CH257">
            <v>16</v>
          </cell>
          <cell r="CI257">
            <v>70</v>
          </cell>
        </row>
        <row r="258">
          <cell r="A258" t="str">
            <v>A965</v>
          </cell>
          <cell r="B258" t="str">
            <v>Nguyễn Thị Hiền</v>
          </cell>
          <cell r="C258" t="str">
            <v>Gián tiếp</v>
          </cell>
          <cell r="D258">
            <v>0</v>
          </cell>
          <cell r="E258">
            <v>42936</v>
          </cell>
          <cell r="F258">
            <v>1</v>
          </cell>
          <cell r="G258" t="str">
            <v>D</v>
          </cell>
          <cell r="H258">
            <v>0</v>
          </cell>
          <cell r="I258" t="str">
            <v>D</v>
          </cell>
          <cell r="J258">
            <v>0</v>
          </cell>
          <cell r="K258" t="str">
            <v>NT7</v>
          </cell>
          <cell r="L258">
            <v>0</v>
          </cell>
          <cell r="M258">
            <v>0</v>
          </cell>
          <cell r="N258">
            <v>0</v>
          </cell>
          <cell r="O258" t="str">
            <v>P</v>
          </cell>
          <cell r="P258">
            <v>0</v>
          </cell>
          <cell r="Q258" t="str">
            <v>P</v>
          </cell>
          <cell r="R258">
            <v>0</v>
          </cell>
          <cell r="S258" t="str">
            <v>D</v>
          </cell>
          <cell r="T258">
            <v>0</v>
          </cell>
          <cell r="U258" t="str">
            <v>D</v>
          </cell>
          <cell r="V258">
            <v>0</v>
          </cell>
          <cell r="W258" t="str">
            <v>D</v>
          </cell>
          <cell r="X258">
            <v>0</v>
          </cell>
          <cell r="Y258" t="str">
            <v>D</v>
          </cell>
          <cell r="Z258">
            <v>0</v>
          </cell>
          <cell r="AA258">
            <v>0</v>
          </cell>
          <cell r="AB258">
            <v>0</v>
          </cell>
          <cell r="AC258" t="str">
            <v>D</v>
          </cell>
          <cell r="AD258">
            <v>0</v>
          </cell>
          <cell r="AE258" t="str">
            <v>D</v>
          </cell>
          <cell r="AF258">
            <v>0</v>
          </cell>
          <cell r="AG258" t="str">
            <v>D</v>
          </cell>
          <cell r="AH258">
            <v>0</v>
          </cell>
          <cell r="AI258" t="str">
            <v>D</v>
          </cell>
          <cell r="AJ258">
            <v>0</v>
          </cell>
          <cell r="AK258" t="str">
            <v>D</v>
          </cell>
          <cell r="AL258">
            <v>0</v>
          </cell>
          <cell r="AM258" t="str">
            <v>D</v>
          </cell>
          <cell r="AN258">
            <v>0</v>
          </cell>
          <cell r="AO258">
            <v>0</v>
          </cell>
          <cell r="AP258">
            <v>0</v>
          </cell>
          <cell r="AQ258" t="str">
            <v>NT7</v>
          </cell>
          <cell r="AR258">
            <v>0</v>
          </cell>
          <cell r="AS258" t="str">
            <v>R0</v>
          </cell>
          <cell r="AT258">
            <v>0</v>
          </cell>
          <cell r="AU258" t="str">
            <v>D</v>
          </cell>
          <cell r="AV258">
            <v>0</v>
          </cell>
          <cell r="AW258" t="str">
            <v>D</v>
          </cell>
          <cell r="AX258">
            <v>0</v>
          </cell>
          <cell r="AY258" t="str">
            <v>D</v>
          </cell>
          <cell r="AZ258">
            <v>0</v>
          </cell>
          <cell r="BA258" t="str">
            <v>D</v>
          </cell>
          <cell r="BB258">
            <v>0</v>
          </cell>
          <cell r="BC258">
            <v>0</v>
          </cell>
          <cell r="BD258">
            <v>0</v>
          </cell>
          <cell r="BE258" t="str">
            <v>D</v>
          </cell>
          <cell r="BF258">
            <v>0</v>
          </cell>
          <cell r="BG258" t="str">
            <v>D</v>
          </cell>
          <cell r="BH258">
            <v>0</v>
          </cell>
          <cell r="BI258" t="str">
            <v>D</v>
          </cell>
          <cell r="BJ258">
            <v>0</v>
          </cell>
          <cell r="BK258" t="str">
            <v>D</v>
          </cell>
          <cell r="BL258">
            <v>0</v>
          </cell>
          <cell r="BM258" t="str">
            <v>D</v>
          </cell>
          <cell r="BN258">
            <v>0</v>
          </cell>
          <cell r="BO258" t="str">
            <v>D</v>
          </cell>
          <cell r="BP258">
            <v>0</v>
          </cell>
          <cell r="BQ258">
            <v>0</v>
          </cell>
          <cell r="BR258">
            <v>22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2</v>
          </cell>
          <cell r="BY258">
            <v>2</v>
          </cell>
          <cell r="BZ258">
            <v>26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150</v>
          </cell>
        </row>
        <row r="259">
          <cell r="A259" t="str">
            <v>A967</v>
          </cell>
          <cell r="B259" t="str">
            <v>Nguyễn Thị Kiều Trang</v>
          </cell>
          <cell r="C259" t="str">
            <v>CI.1</v>
          </cell>
          <cell r="D259">
            <v>0</v>
          </cell>
          <cell r="E259">
            <v>42936</v>
          </cell>
          <cell r="F259">
            <v>2</v>
          </cell>
          <cell r="G259" t="str">
            <v>A</v>
          </cell>
          <cell r="H259">
            <v>4</v>
          </cell>
          <cell r="I259" t="str">
            <v>A</v>
          </cell>
          <cell r="J259">
            <v>4</v>
          </cell>
          <cell r="K259" t="str">
            <v>A</v>
          </cell>
          <cell r="L259">
            <v>4</v>
          </cell>
          <cell r="M259">
            <v>0</v>
          </cell>
          <cell r="N259">
            <v>12</v>
          </cell>
          <cell r="O259" t="str">
            <v>C</v>
          </cell>
          <cell r="P259">
            <v>4</v>
          </cell>
          <cell r="Q259" t="str">
            <v>C</v>
          </cell>
          <cell r="R259">
            <v>4</v>
          </cell>
          <cell r="S259" t="str">
            <v>C</v>
          </cell>
          <cell r="T259">
            <v>4</v>
          </cell>
          <cell r="U259" t="str">
            <v>C</v>
          </cell>
          <cell r="V259">
            <v>4</v>
          </cell>
          <cell r="W259" t="str">
            <v>C</v>
          </cell>
          <cell r="X259">
            <v>4</v>
          </cell>
          <cell r="Y259" t="str">
            <v>C</v>
          </cell>
          <cell r="Z259">
            <v>4</v>
          </cell>
          <cell r="AA259">
            <v>0</v>
          </cell>
          <cell r="AB259">
            <v>0</v>
          </cell>
          <cell r="AC259" t="str">
            <v>NT7</v>
          </cell>
          <cell r="AD259">
            <v>0</v>
          </cell>
          <cell r="AE259" t="str">
            <v>D</v>
          </cell>
          <cell r="AF259">
            <v>0</v>
          </cell>
          <cell r="AG259" t="str">
            <v>A</v>
          </cell>
          <cell r="AH259">
            <v>4</v>
          </cell>
          <cell r="AI259" t="str">
            <v>A</v>
          </cell>
          <cell r="AJ259">
            <v>4</v>
          </cell>
          <cell r="AK259" t="str">
            <v>A</v>
          </cell>
          <cell r="AL259">
            <v>4</v>
          </cell>
          <cell r="AM259" t="str">
            <v>A</v>
          </cell>
          <cell r="AN259">
            <v>4</v>
          </cell>
          <cell r="AO259">
            <v>0</v>
          </cell>
          <cell r="AP259">
            <v>0</v>
          </cell>
          <cell r="AQ259" t="str">
            <v>HH</v>
          </cell>
          <cell r="AR259">
            <v>0</v>
          </cell>
          <cell r="AS259" t="str">
            <v>HH</v>
          </cell>
          <cell r="AT259">
            <v>0</v>
          </cell>
          <cell r="AU259" t="str">
            <v>C</v>
          </cell>
          <cell r="AV259">
            <v>4</v>
          </cell>
          <cell r="AW259" t="str">
            <v>C</v>
          </cell>
          <cell r="AX259">
            <v>4</v>
          </cell>
          <cell r="AY259" t="str">
            <v>C</v>
          </cell>
          <cell r="AZ259">
            <v>4</v>
          </cell>
          <cell r="BA259" t="str">
            <v>C</v>
          </cell>
          <cell r="BB259">
            <v>4</v>
          </cell>
          <cell r="BC259">
            <v>0</v>
          </cell>
          <cell r="BD259">
            <v>8</v>
          </cell>
          <cell r="BE259" t="str">
            <v>A</v>
          </cell>
          <cell r="BF259">
            <v>4</v>
          </cell>
          <cell r="BG259" t="str">
            <v>A</v>
          </cell>
          <cell r="BH259">
            <v>4</v>
          </cell>
          <cell r="BI259" t="str">
            <v>D</v>
          </cell>
          <cell r="BJ259">
            <v>0</v>
          </cell>
          <cell r="BK259" t="str">
            <v>A</v>
          </cell>
          <cell r="BL259">
            <v>4</v>
          </cell>
          <cell r="BM259" t="str">
            <v>A</v>
          </cell>
          <cell r="BN259">
            <v>4</v>
          </cell>
          <cell r="BO259" t="str">
            <v>NT7</v>
          </cell>
          <cell r="BP259">
            <v>0</v>
          </cell>
          <cell r="BQ259">
            <v>11</v>
          </cell>
          <cell r="BR259">
            <v>2</v>
          </cell>
          <cell r="BS259">
            <v>0</v>
          </cell>
          <cell r="BT259">
            <v>10</v>
          </cell>
          <cell r="BU259">
            <v>0</v>
          </cell>
          <cell r="BV259">
            <v>0</v>
          </cell>
          <cell r="BW259">
            <v>2</v>
          </cell>
          <cell r="BX259">
            <v>2</v>
          </cell>
          <cell r="BY259">
            <v>0</v>
          </cell>
          <cell r="BZ259">
            <v>27</v>
          </cell>
          <cell r="CA259">
            <v>84</v>
          </cell>
          <cell r="CB259">
            <v>20</v>
          </cell>
          <cell r="CC259">
            <v>0</v>
          </cell>
          <cell r="CD259">
            <v>0</v>
          </cell>
          <cell r="CE259">
            <v>2</v>
          </cell>
          <cell r="CF259">
            <v>0</v>
          </cell>
          <cell r="CG259">
            <v>3</v>
          </cell>
          <cell r="CH259">
            <v>32</v>
          </cell>
          <cell r="CI259">
            <v>70</v>
          </cell>
        </row>
        <row r="260">
          <cell r="A260" t="str">
            <v>A968</v>
          </cell>
          <cell r="B260" t="str">
            <v>Lê Thị Trúc Cẩm</v>
          </cell>
          <cell r="C260" t="str">
            <v>CI.1</v>
          </cell>
          <cell r="D260">
            <v>0</v>
          </cell>
          <cell r="E260">
            <v>42936</v>
          </cell>
          <cell r="F260">
            <v>2</v>
          </cell>
          <cell r="G260" t="str">
            <v>A</v>
          </cell>
          <cell r="H260">
            <v>4</v>
          </cell>
          <cell r="I260" t="str">
            <v>A</v>
          </cell>
          <cell r="J260">
            <v>4</v>
          </cell>
          <cell r="K260" t="str">
            <v>A</v>
          </cell>
          <cell r="L260">
            <v>4</v>
          </cell>
          <cell r="M260">
            <v>0</v>
          </cell>
          <cell r="N260">
            <v>12</v>
          </cell>
          <cell r="O260" t="str">
            <v>C</v>
          </cell>
          <cell r="P260">
            <v>4</v>
          </cell>
          <cell r="Q260" t="str">
            <v>C</v>
          </cell>
          <cell r="R260">
            <v>4</v>
          </cell>
          <cell r="S260" t="str">
            <v>C</v>
          </cell>
          <cell r="T260">
            <v>4</v>
          </cell>
          <cell r="U260" t="str">
            <v>C</v>
          </cell>
          <cell r="V260">
            <v>4</v>
          </cell>
          <cell r="W260" t="str">
            <v>C</v>
          </cell>
          <cell r="X260">
            <v>4</v>
          </cell>
          <cell r="Y260" t="str">
            <v>C</v>
          </cell>
          <cell r="Z260">
            <v>4</v>
          </cell>
          <cell r="AA260">
            <v>0</v>
          </cell>
          <cell r="AB260">
            <v>0</v>
          </cell>
          <cell r="AC260" t="str">
            <v>HH</v>
          </cell>
          <cell r="AD260">
            <v>0</v>
          </cell>
          <cell r="AE260" t="str">
            <v>NT7</v>
          </cell>
          <cell r="AF260">
            <v>0</v>
          </cell>
          <cell r="AG260" t="str">
            <v>NT7</v>
          </cell>
          <cell r="AH260">
            <v>0</v>
          </cell>
          <cell r="AI260" t="str">
            <v>A</v>
          </cell>
          <cell r="AJ260">
            <v>4</v>
          </cell>
          <cell r="AK260" t="str">
            <v>A</v>
          </cell>
          <cell r="AL260">
            <v>4</v>
          </cell>
          <cell r="AM260" t="str">
            <v>A</v>
          </cell>
          <cell r="AN260">
            <v>4</v>
          </cell>
          <cell r="AO260">
            <v>0</v>
          </cell>
          <cell r="AP260">
            <v>0</v>
          </cell>
          <cell r="AQ260" t="str">
            <v>HH</v>
          </cell>
          <cell r="AR260">
            <v>0</v>
          </cell>
          <cell r="AS260" t="str">
            <v>HH</v>
          </cell>
          <cell r="AT260">
            <v>0</v>
          </cell>
          <cell r="AU260" t="str">
            <v>C</v>
          </cell>
          <cell r="AV260">
            <v>4</v>
          </cell>
          <cell r="AW260" t="str">
            <v>C</v>
          </cell>
          <cell r="AX260">
            <v>4</v>
          </cell>
          <cell r="AY260" t="str">
            <v>C</v>
          </cell>
          <cell r="AZ260">
            <v>4</v>
          </cell>
          <cell r="BA260" t="str">
            <v>C</v>
          </cell>
          <cell r="BB260">
            <v>4</v>
          </cell>
          <cell r="BC260">
            <v>0</v>
          </cell>
          <cell r="BD260">
            <v>8</v>
          </cell>
          <cell r="BE260" t="str">
            <v>A</v>
          </cell>
          <cell r="BF260">
            <v>4</v>
          </cell>
          <cell r="BG260" t="str">
            <v>A</v>
          </cell>
          <cell r="BH260">
            <v>4</v>
          </cell>
          <cell r="BI260" t="str">
            <v>D</v>
          </cell>
          <cell r="BJ260">
            <v>1</v>
          </cell>
          <cell r="BK260" t="str">
            <v>A</v>
          </cell>
          <cell r="BL260">
            <v>4</v>
          </cell>
          <cell r="BM260" t="str">
            <v>P5,D5</v>
          </cell>
          <cell r="BN260">
            <v>0</v>
          </cell>
          <cell r="BO260" t="str">
            <v>D</v>
          </cell>
          <cell r="BP260">
            <v>0</v>
          </cell>
          <cell r="BQ260">
            <v>9</v>
          </cell>
          <cell r="BR260">
            <v>2.5</v>
          </cell>
          <cell r="BS260">
            <v>0</v>
          </cell>
          <cell r="BT260">
            <v>10</v>
          </cell>
          <cell r="BU260">
            <v>0</v>
          </cell>
          <cell r="BV260">
            <v>0</v>
          </cell>
          <cell r="BW260">
            <v>3</v>
          </cell>
          <cell r="BX260">
            <v>2</v>
          </cell>
          <cell r="BY260">
            <v>0.5</v>
          </cell>
          <cell r="BZ260">
            <v>27</v>
          </cell>
          <cell r="CA260">
            <v>77</v>
          </cell>
          <cell r="CB260">
            <v>20</v>
          </cell>
          <cell r="CC260">
            <v>0</v>
          </cell>
          <cell r="CD260">
            <v>0</v>
          </cell>
          <cell r="CE260">
            <v>2</v>
          </cell>
          <cell r="CF260">
            <v>0</v>
          </cell>
          <cell r="CG260">
            <v>2.5</v>
          </cell>
          <cell r="CH260">
            <v>32</v>
          </cell>
          <cell r="CI260">
            <v>70</v>
          </cell>
        </row>
        <row r="261">
          <cell r="A261" t="str">
            <v>A969</v>
          </cell>
          <cell r="B261" t="str">
            <v>Dương Trúc Phương</v>
          </cell>
          <cell r="C261" t="str">
            <v>EN</v>
          </cell>
          <cell r="D261">
            <v>0</v>
          </cell>
          <cell r="E261">
            <v>42936</v>
          </cell>
          <cell r="F261">
            <v>3</v>
          </cell>
          <cell r="G261" t="str">
            <v>C</v>
          </cell>
          <cell r="H261">
            <v>4</v>
          </cell>
          <cell r="I261" t="str">
            <v>C</v>
          </cell>
          <cell r="J261">
            <v>4</v>
          </cell>
          <cell r="K261" t="str">
            <v>C</v>
          </cell>
          <cell r="L261">
            <v>4</v>
          </cell>
          <cell r="M261">
            <v>0</v>
          </cell>
          <cell r="N261">
            <v>0</v>
          </cell>
          <cell r="O261" t="str">
            <v>A</v>
          </cell>
          <cell r="P261">
            <v>4</v>
          </cell>
          <cell r="Q261" t="str">
            <v>A</v>
          </cell>
          <cell r="R261">
            <v>4</v>
          </cell>
          <cell r="S261" t="str">
            <v>A</v>
          </cell>
          <cell r="T261">
            <v>4</v>
          </cell>
          <cell r="U261" t="str">
            <v>A</v>
          </cell>
          <cell r="V261">
            <v>4</v>
          </cell>
          <cell r="W261" t="str">
            <v>A</v>
          </cell>
          <cell r="X261">
            <v>4</v>
          </cell>
          <cell r="Y261" t="str">
            <v>A</v>
          </cell>
          <cell r="Z261">
            <v>4</v>
          </cell>
          <cell r="AA261">
            <v>0</v>
          </cell>
          <cell r="AB261">
            <v>8</v>
          </cell>
          <cell r="AC261" t="str">
            <v>C</v>
          </cell>
          <cell r="AD261">
            <v>4</v>
          </cell>
          <cell r="AE261" t="str">
            <v>C</v>
          </cell>
          <cell r="AF261">
            <v>4</v>
          </cell>
          <cell r="AG261" t="str">
            <v>C</v>
          </cell>
          <cell r="AH261">
            <v>4</v>
          </cell>
          <cell r="AI261" t="str">
            <v>C</v>
          </cell>
          <cell r="AJ261">
            <v>4</v>
          </cell>
          <cell r="AK261" t="str">
            <v>C</v>
          </cell>
          <cell r="AL261">
            <v>4</v>
          </cell>
          <cell r="AM261" t="str">
            <v>C</v>
          </cell>
          <cell r="AN261">
            <v>4</v>
          </cell>
          <cell r="AO261">
            <v>0</v>
          </cell>
          <cell r="AP261">
            <v>8</v>
          </cell>
          <cell r="AQ261" t="str">
            <v>A</v>
          </cell>
          <cell r="AR261">
            <v>4</v>
          </cell>
          <cell r="AS261" t="str">
            <v>A</v>
          </cell>
          <cell r="AT261">
            <v>4</v>
          </cell>
          <cell r="AU261" t="str">
            <v>A</v>
          </cell>
          <cell r="AV261">
            <v>4</v>
          </cell>
          <cell r="AW261" t="str">
            <v>D</v>
          </cell>
          <cell r="AX261">
            <v>2</v>
          </cell>
          <cell r="AY261" t="str">
            <v>A</v>
          </cell>
          <cell r="AZ261">
            <v>4</v>
          </cell>
          <cell r="BA261" t="str">
            <v>A</v>
          </cell>
          <cell r="BB261">
            <v>4</v>
          </cell>
          <cell r="BC261">
            <v>0</v>
          </cell>
          <cell r="BD261">
            <v>0</v>
          </cell>
          <cell r="BE261" t="str">
            <v>C</v>
          </cell>
          <cell r="BF261">
            <v>4</v>
          </cell>
          <cell r="BG261" t="str">
            <v>C</v>
          </cell>
          <cell r="BH261">
            <v>4</v>
          </cell>
          <cell r="BI261" t="str">
            <v>C</v>
          </cell>
          <cell r="BJ261">
            <v>4</v>
          </cell>
          <cell r="BK261" t="str">
            <v>C</v>
          </cell>
          <cell r="BL261">
            <v>4</v>
          </cell>
          <cell r="BM261" t="str">
            <v>C</v>
          </cell>
          <cell r="BN261">
            <v>4</v>
          </cell>
          <cell r="BO261" t="str">
            <v>C</v>
          </cell>
          <cell r="BP261">
            <v>4</v>
          </cell>
          <cell r="BQ261">
            <v>11</v>
          </cell>
          <cell r="BR261">
            <v>1</v>
          </cell>
          <cell r="BS261">
            <v>0</v>
          </cell>
          <cell r="BT261">
            <v>15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27</v>
          </cell>
          <cell r="CA261">
            <v>106</v>
          </cell>
          <cell r="CB261">
            <v>16</v>
          </cell>
          <cell r="CC261">
            <v>0</v>
          </cell>
          <cell r="CD261">
            <v>2</v>
          </cell>
          <cell r="CE261">
            <v>0</v>
          </cell>
          <cell r="CF261">
            <v>140</v>
          </cell>
          <cell r="CG261">
            <v>4</v>
          </cell>
          <cell r="CH261">
            <v>0</v>
          </cell>
          <cell r="CI261">
            <v>70</v>
          </cell>
        </row>
        <row r="262">
          <cell r="A262" t="str">
            <v>A970</v>
          </cell>
          <cell r="B262" t="str">
            <v>Thạch Út Mười</v>
          </cell>
          <cell r="C262" t="str">
            <v>Kho</v>
          </cell>
          <cell r="D262">
            <v>0</v>
          </cell>
          <cell r="E262">
            <v>42934</v>
          </cell>
          <cell r="F262">
            <v>2</v>
          </cell>
          <cell r="G262" t="str">
            <v>D</v>
          </cell>
          <cell r="H262">
            <v>5</v>
          </cell>
          <cell r="I262" t="str">
            <v>D</v>
          </cell>
          <cell r="J262">
            <v>2</v>
          </cell>
          <cell r="K262" t="str">
            <v>D</v>
          </cell>
          <cell r="L262">
            <v>1.5</v>
          </cell>
          <cell r="M262">
            <v>0</v>
          </cell>
          <cell r="N262">
            <v>0</v>
          </cell>
          <cell r="O262" t="str">
            <v>D</v>
          </cell>
          <cell r="P262">
            <v>3.5</v>
          </cell>
          <cell r="Q262" t="str">
            <v>D</v>
          </cell>
          <cell r="R262">
            <v>2</v>
          </cell>
          <cell r="S262" t="str">
            <v>D</v>
          </cell>
          <cell r="T262">
            <v>5</v>
          </cell>
          <cell r="U262" t="str">
            <v>D</v>
          </cell>
          <cell r="V262">
            <v>2.5</v>
          </cell>
          <cell r="W262" t="str">
            <v>D</v>
          </cell>
          <cell r="X262">
            <v>2</v>
          </cell>
          <cell r="Y262" t="str">
            <v>D</v>
          </cell>
          <cell r="Z262">
            <v>2.5</v>
          </cell>
          <cell r="AA262">
            <v>0</v>
          </cell>
          <cell r="AB262">
            <v>0</v>
          </cell>
          <cell r="AC262" t="str">
            <v>D</v>
          </cell>
          <cell r="AD262">
            <v>1</v>
          </cell>
          <cell r="AE262" t="str">
            <v>D</v>
          </cell>
          <cell r="AF262">
            <v>1.5</v>
          </cell>
          <cell r="AG262" t="str">
            <v>D</v>
          </cell>
          <cell r="AH262">
            <v>2</v>
          </cell>
          <cell r="AI262" t="str">
            <v>D</v>
          </cell>
          <cell r="AJ262">
            <v>3</v>
          </cell>
          <cell r="AK262" t="str">
            <v>D</v>
          </cell>
          <cell r="AL262">
            <v>6.5</v>
          </cell>
          <cell r="AM262" t="str">
            <v>D</v>
          </cell>
          <cell r="AN262">
            <v>3</v>
          </cell>
          <cell r="AO262">
            <v>0</v>
          </cell>
          <cell r="AP262">
            <v>0</v>
          </cell>
          <cell r="AQ262" t="str">
            <v>D</v>
          </cell>
          <cell r="AR262">
            <v>3</v>
          </cell>
          <cell r="AS262" t="str">
            <v>D</v>
          </cell>
          <cell r="AT262">
            <v>2</v>
          </cell>
          <cell r="AU262" t="str">
            <v>D</v>
          </cell>
          <cell r="AV262">
            <v>2</v>
          </cell>
          <cell r="AW262" t="str">
            <v>D</v>
          </cell>
          <cell r="AX262">
            <v>1</v>
          </cell>
          <cell r="AY262" t="str">
            <v>D</v>
          </cell>
          <cell r="AZ262">
            <v>2</v>
          </cell>
          <cell r="BA262" t="str">
            <v>D</v>
          </cell>
          <cell r="BB262">
            <v>2</v>
          </cell>
          <cell r="BC262">
            <v>0</v>
          </cell>
          <cell r="BD262">
            <v>0</v>
          </cell>
          <cell r="BE262" t="str">
            <v>D</v>
          </cell>
          <cell r="BF262">
            <v>5.5</v>
          </cell>
          <cell r="BG262" t="str">
            <v>D</v>
          </cell>
          <cell r="BH262">
            <v>4</v>
          </cell>
          <cell r="BI262" t="str">
            <v>D</v>
          </cell>
          <cell r="BJ262">
            <v>2</v>
          </cell>
          <cell r="BK262" t="str">
            <v>D</v>
          </cell>
          <cell r="BL262">
            <v>4</v>
          </cell>
          <cell r="BM262" t="str">
            <v>D</v>
          </cell>
          <cell r="BN262">
            <v>4</v>
          </cell>
          <cell r="BO262" t="str">
            <v>NT7</v>
          </cell>
          <cell r="BP262">
            <v>0</v>
          </cell>
          <cell r="BQ262">
            <v>0</v>
          </cell>
          <cell r="BR262">
            <v>26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1</v>
          </cell>
          <cell r="BY262">
            <v>0</v>
          </cell>
          <cell r="BZ262">
            <v>27</v>
          </cell>
          <cell r="CA262">
            <v>74.5</v>
          </cell>
          <cell r="CB262">
            <v>0</v>
          </cell>
          <cell r="CC262">
            <v>0</v>
          </cell>
          <cell r="CD262">
            <v>1</v>
          </cell>
          <cell r="CE262">
            <v>0</v>
          </cell>
          <cell r="CF262">
            <v>70</v>
          </cell>
          <cell r="CG262">
            <v>3</v>
          </cell>
          <cell r="CH262">
            <v>0</v>
          </cell>
          <cell r="CI262">
            <v>70</v>
          </cell>
        </row>
        <row r="263">
          <cell r="A263" t="str">
            <v>A971</v>
          </cell>
          <cell r="B263" t="str">
            <v>Phan Khánh Phi</v>
          </cell>
          <cell r="C263" t="str">
            <v>CII.4</v>
          </cell>
          <cell r="D263">
            <v>0</v>
          </cell>
          <cell r="E263">
            <v>42934</v>
          </cell>
          <cell r="F263">
            <v>1</v>
          </cell>
          <cell r="G263" t="str">
            <v>A</v>
          </cell>
          <cell r="H263">
            <v>4</v>
          </cell>
          <cell r="I263" t="str">
            <v>A</v>
          </cell>
          <cell r="J263">
            <v>4</v>
          </cell>
          <cell r="K263" t="str">
            <v>A</v>
          </cell>
          <cell r="L263">
            <v>4</v>
          </cell>
          <cell r="M263">
            <v>0</v>
          </cell>
          <cell r="N263">
            <v>12</v>
          </cell>
          <cell r="O263" t="str">
            <v>A</v>
          </cell>
          <cell r="P263">
            <v>4</v>
          </cell>
          <cell r="Q263" t="str">
            <v>C</v>
          </cell>
          <cell r="R263">
            <v>4</v>
          </cell>
          <cell r="S263" t="str">
            <v>C</v>
          </cell>
          <cell r="T263">
            <v>4</v>
          </cell>
          <cell r="U263" t="str">
            <v>C</v>
          </cell>
          <cell r="V263">
            <v>4</v>
          </cell>
          <cell r="W263" t="str">
            <v>C</v>
          </cell>
          <cell r="X263">
            <v>4</v>
          </cell>
          <cell r="Y263" t="str">
            <v>C</v>
          </cell>
          <cell r="Z263">
            <v>4</v>
          </cell>
          <cell r="AA263">
            <v>0</v>
          </cell>
          <cell r="AB263">
            <v>12</v>
          </cell>
          <cell r="AC263" t="str">
            <v>A</v>
          </cell>
          <cell r="AD263">
            <v>4</v>
          </cell>
          <cell r="AE263" t="str">
            <v>A</v>
          </cell>
          <cell r="AF263">
            <v>4</v>
          </cell>
          <cell r="AG263" t="str">
            <v>A</v>
          </cell>
          <cell r="AH263">
            <v>4</v>
          </cell>
          <cell r="AI263" t="str">
            <v>A</v>
          </cell>
          <cell r="AJ263">
            <v>4</v>
          </cell>
          <cell r="AK263" t="str">
            <v>A</v>
          </cell>
          <cell r="AL263">
            <v>4</v>
          </cell>
          <cell r="AM263" t="str">
            <v>A</v>
          </cell>
          <cell r="AN263">
            <v>4</v>
          </cell>
          <cell r="AO263">
            <v>0</v>
          </cell>
          <cell r="AP263">
            <v>8</v>
          </cell>
          <cell r="AQ263" t="str">
            <v>C</v>
          </cell>
          <cell r="AR263">
            <v>4</v>
          </cell>
          <cell r="AS263" t="str">
            <v>C</v>
          </cell>
          <cell r="AT263">
            <v>4</v>
          </cell>
          <cell r="AU263" t="str">
            <v>NT7</v>
          </cell>
          <cell r="AV263">
            <v>0</v>
          </cell>
          <cell r="AW263" t="str">
            <v>C</v>
          </cell>
          <cell r="AX263">
            <v>4</v>
          </cell>
          <cell r="AY263" t="str">
            <v>C</v>
          </cell>
          <cell r="AZ263">
            <v>4</v>
          </cell>
          <cell r="BA263" t="str">
            <v>C</v>
          </cell>
          <cell r="BB263">
            <v>4</v>
          </cell>
          <cell r="BC263">
            <v>0</v>
          </cell>
          <cell r="BD263">
            <v>12</v>
          </cell>
          <cell r="BE263" t="str">
            <v>C</v>
          </cell>
          <cell r="BF263">
            <v>4</v>
          </cell>
          <cell r="BG263" t="str">
            <v>C</v>
          </cell>
          <cell r="BH263">
            <v>4</v>
          </cell>
          <cell r="BI263" t="str">
            <v>C</v>
          </cell>
          <cell r="BJ263">
            <v>4</v>
          </cell>
          <cell r="BK263" t="str">
            <v>C</v>
          </cell>
          <cell r="BL263">
            <v>4</v>
          </cell>
          <cell r="BM263" t="str">
            <v>C</v>
          </cell>
          <cell r="BN263">
            <v>4</v>
          </cell>
          <cell r="BO263" t="str">
            <v>NT7</v>
          </cell>
          <cell r="BP263">
            <v>0</v>
          </cell>
          <cell r="BQ263">
            <v>10</v>
          </cell>
          <cell r="BR263">
            <v>0</v>
          </cell>
          <cell r="BS263">
            <v>0</v>
          </cell>
          <cell r="BT263">
            <v>15</v>
          </cell>
          <cell r="BU263">
            <v>0</v>
          </cell>
          <cell r="BV263">
            <v>0</v>
          </cell>
          <cell r="BW263">
            <v>0</v>
          </cell>
          <cell r="BX263">
            <v>2</v>
          </cell>
          <cell r="BY263">
            <v>0</v>
          </cell>
          <cell r="BZ263">
            <v>27</v>
          </cell>
          <cell r="CA263">
            <v>100</v>
          </cell>
          <cell r="CB263">
            <v>44</v>
          </cell>
          <cell r="CC263">
            <v>0</v>
          </cell>
          <cell r="CD263">
            <v>0</v>
          </cell>
          <cell r="CE263">
            <v>4</v>
          </cell>
          <cell r="CF263">
            <v>0</v>
          </cell>
          <cell r="CG263">
            <v>2</v>
          </cell>
          <cell r="CH263">
            <v>64</v>
          </cell>
          <cell r="CI263">
            <v>70</v>
          </cell>
        </row>
        <row r="264">
          <cell r="A264" t="str">
            <v>A972</v>
          </cell>
          <cell r="B264" t="str">
            <v>Nguyễn Thị Bích Tuyền</v>
          </cell>
          <cell r="C264" t="str">
            <v>CII.4</v>
          </cell>
          <cell r="D264">
            <v>0</v>
          </cell>
          <cell r="E264">
            <v>42934</v>
          </cell>
          <cell r="F264">
            <v>0</v>
          </cell>
          <cell r="G264" t="str">
            <v>D</v>
          </cell>
          <cell r="H264">
            <v>0</v>
          </cell>
          <cell r="I264" t="str">
            <v>A</v>
          </cell>
          <cell r="J264">
            <v>4</v>
          </cell>
          <cell r="K264" t="str">
            <v>A</v>
          </cell>
          <cell r="L264">
            <v>4</v>
          </cell>
          <cell r="M264">
            <v>0</v>
          </cell>
          <cell r="N264">
            <v>0</v>
          </cell>
          <cell r="O264" t="str">
            <v>C</v>
          </cell>
          <cell r="P264">
            <v>4</v>
          </cell>
          <cell r="Q264" t="str">
            <v>C</v>
          </cell>
          <cell r="R264">
            <v>4</v>
          </cell>
          <cell r="S264" t="str">
            <v>C</v>
          </cell>
          <cell r="T264">
            <v>4</v>
          </cell>
          <cell r="U264" t="str">
            <v>C</v>
          </cell>
          <cell r="V264">
            <v>4</v>
          </cell>
          <cell r="W264" t="str">
            <v>C</v>
          </cell>
          <cell r="X264">
            <v>4</v>
          </cell>
          <cell r="Y264" t="str">
            <v>C</v>
          </cell>
          <cell r="Z264">
            <v>4</v>
          </cell>
          <cell r="AA264">
            <v>0</v>
          </cell>
          <cell r="AB264">
            <v>0</v>
          </cell>
          <cell r="AC264" t="str">
            <v>A</v>
          </cell>
          <cell r="AD264">
            <v>4</v>
          </cell>
          <cell r="AE264" t="str">
            <v>A</v>
          </cell>
          <cell r="AF264">
            <v>4</v>
          </cell>
          <cell r="AG264" t="str">
            <v>A</v>
          </cell>
          <cell r="AH264">
            <v>4</v>
          </cell>
          <cell r="AI264" t="str">
            <v>A</v>
          </cell>
          <cell r="AJ264">
            <v>4</v>
          </cell>
          <cell r="AK264" t="str">
            <v>A</v>
          </cell>
          <cell r="AL264">
            <v>4</v>
          </cell>
          <cell r="AM264" t="str">
            <v>A</v>
          </cell>
          <cell r="AN264">
            <v>4</v>
          </cell>
          <cell r="AO264">
            <v>0</v>
          </cell>
          <cell r="AP264">
            <v>0</v>
          </cell>
          <cell r="AQ264" t="str">
            <v>C</v>
          </cell>
          <cell r="AR264">
            <v>4</v>
          </cell>
          <cell r="AS264" t="str">
            <v>C</v>
          </cell>
          <cell r="AT264">
            <v>4</v>
          </cell>
          <cell r="AU264" t="str">
            <v>NT7</v>
          </cell>
          <cell r="AV264">
            <v>0</v>
          </cell>
          <cell r="AW264" t="str">
            <v>C</v>
          </cell>
          <cell r="AX264">
            <v>4</v>
          </cell>
          <cell r="AY264" t="str">
            <v>C</v>
          </cell>
          <cell r="AZ264">
            <v>4</v>
          </cell>
          <cell r="BA264" t="str">
            <v>C</v>
          </cell>
          <cell r="BB264">
            <v>4</v>
          </cell>
          <cell r="BC264">
            <v>0</v>
          </cell>
          <cell r="BD264">
            <v>12</v>
          </cell>
          <cell r="BE264" t="str">
            <v>C</v>
          </cell>
          <cell r="BF264">
            <v>4</v>
          </cell>
          <cell r="BG264" t="str">
            <v>C</v>
          </cell>
          <cell r="BH264">
            <v>4</v>
          </cell>
          <cell r="BI264" t="str">
            <v>C</v>
          </cell>
          <cell r="BJ264">
            <v>4</v>
          </cell>
          <cell r="BK264" t="str">
            <v>C</v>
          </cell>
          <cell r="BL264">
            <v>4</v>
          </cell>
          <cell r="BM264" t="str">
            <v>C</v>
          </cell>
          <cell r="BN264">
            <v>4</v>
          </cell>
          <cell r="BO264" t="str">
            <v>NT7</v>
          </cell>
          <cell r="BP264">
            <v>0</v>
          </cell>
          <cell r="BQ264">
            <v>8</v>
          </cell>
          <cell r="BR264">
            <v>1</v>
          </cell>
          <cell r="BS264">
            <v>0</v>
          </cell>
          <cell r="BT264">
            <v>16</v>
          </cell>
          <cell r="BU264">
            <v>0</v>
          </cell>
          <cell r="BV264">
            <v>0</v>
          </cell>
          <cell r="BW264">
            <v>0</v>
          </cell>
          <cell r="BX264">
            <v>2</v>
          </cell>
          <cell r="BY264">
            <v>0</v>
          </cell>
          <cell r="BZ264">
            <v>27</v>
          </cell>
          <cell r="CA264">
            <v>96</v>
          </cell>
          <cell r="CB264">
            <v>12</v>
          </cell>
          <cell r="CC264">
            <v>0</v>
          </cell>
          <cell r="CD264">
            <v>0</v>
          </cell>
          <cell r="CE264">
            <v>2</v>
          </cell>
          <cell r="CF264">
            <v>0</v>
          </cell>
          <cell r="CG264">
            <v>1</v>
          </cell>
          <cell r="CH264">
            <v>32</v>
          </cell>
          <cell r="CI264">
            <v>70</v>
          </cell>
        </row>
        <row r="265">
          <cell r="A265" t="str">
            <v>A975</v>
          </cell>
          <cell r="B265" t="str">
            <v>Trương Văn Thuận</v>
          </cell>
          <cell r="C265" t="str">
            <v>CI.1</v>
          </cell>
          <cell r="D265">
            <v>0</v>
          </cell>
          <cell r="E265">
            <v>42944</v>
          </cell>
          <cell r="F265">
            <v>0</v>
          </cell>
          <cell r="G265" t="str">
            <v>D</v>
          </cell>
          <cell r="H265">
            <v>2</v>
          </cell>
          <cell r="I265" t="str">
            <v>A</v>
          </cell>
          <cell r="J265">
            <v>4</v>
          </cell>
          <cell r="K265" t="str">
            <v>A</v>
          </cell>
          <cell r="L265">
            <v>4</v>
          </cell>
          <cell r="M265">
            <v>0</v>
          </cell>
          <cell r="N265">
            <v>12</v>
          </cell>
          <cell r="O265" t="str">
            <v>A</v>
          </cell>
          <cell r="P265">
            <v>4</v>
          </cell>
          <cell r="Q265" t="str">
            <v>A</v>
          </cell>
          <cell r="R265">
            <v>4</v>
          </cell>
          <cell r="S265" t="str">
            <v>D</v>
          </cell>
          <cell r="T265">
            <v>0</v>
          </cell>
          <cell r="U265" t="str">
            <v>D</v>
          </cell>
          <cell r="V265">
            <v>3</v>
          </cell>
          <cell r="W265" t="str">
            <v>A</v>
          </cell>
          <cell r="X265">
            <v>4</v>
          </cell>
          <cell r="Y265" t="str">
            <v>A</v>
          </cell>
          <cell r="Z265">
            <v>4</v>
          </cell>
          <cell r="AA265">
            <v>0</v>
          </cell>
          <cell r="AB265">
            <v>0</v>
          </cell>
          <cell r="AC265" t="str">
            <v>B</v>
          </cell>
          <cell r="AD265">
            <v>2</v>
          </cell>
          <cell r="AE265" t="str">
            <v>C</v>
          </cell>
          <cell r="AF265">
            <v>4</v>
          </cell>
          <cell r="AG265" t="str">
            <v>C</v>
          </cell>
          <cell r="AH265">
            <v>4</v>
          </cell>
          <cell r="AI265" t="str">
            <v>C</v>
          </cell>
          <cell r="AJ265">
            <v>4</v>
          </cell>
          <cell r="AK265" t="str">
            <v>C</v>
          </cell>
          <cell r="AL265">
            <v>4</v>
          </cell>
          <cell r="AM265" t="str">
            <v>C</v>
          </cell>
          <cell r="AN265">
            <v>4</v>
          </cell>
          <cell r="AO265">
            <v>0</v>
          </cell>
          <cell r="AP265">
            <v>0</v>
          </cell>
          <cell r="AQ265" t="str">
            <v>D</v>
          </cell>
          <cell r="AR265">
            <v>1</v>
          </cell>
          <cell r="AS265" t="str">
            <v>A</v>
          </cell>
          <cell r="AT265">
            <v>4.5</v>
          </cell>
          <cell r="AU265" t="str">
            <v>D</v>
          </cell>
          <cell r="AV265">
            <v>0</v>
          </cell>
          <cell r="AW265" t="str">
            <v>D</v>
          </cell>
          <cell r="AX265">
            <v>1</v>
          </cell>
          <cell r="AY265" t="str">
            <v>A</v>
          </cell>
          <cell r="AZ265">
            <v>4</v>
          </cell>
          <cell r="BA265" t="str">
            <v>A</v>
          </cell>
          <cell r="BB265">
            <v>4</v>
          </cell>
          <cell r="BC265">
            <v>0</v>
          </cell>
          <cell r="BD265">
            <v>16</v>
          </cell>
          <cell r="BE265" t="str">
            <v>C</v>
          </cell>
          <cell r="BF265">
            <v>4</v>
          </cell>
          <cell r="BG265" t="str">
            <v>NT7</v>
          </cell>
          <cell r="BH265">
            <v>0</v>
          </cell>
          <cell r="BI265" t="str">
            <v>C</v>
          </cell>
          <cell r="BJ265">
            <v>4</v>
          </cell>
          <cell r="BK265" t="str">
            <v>C</v>
          </cell>
          <cell r="BL265">
            <v>4</v>
          </cell>
          <cell r="BM265" t="str">
            <v>C</v>
          </cell>
          <cell r="BN265">
            <v>4</v>
          </cell>
          <cell r="BO265" t="str">
            <v>HH</v>
          </cell>
          <cell r="BP265">
            <v>0</v>
          </cell>
          <cell r="BQ265">
            <v>9</v>
          </cell>
          <cell r="BR265">
            <v>6</v>
          </cell>
          <cell r="BS265">
            <v>1</v>
          </cell>
          <cell r="BT265">
            <v>9</v>
          </cell>
          <cell r="BU265">
            <v>0</v>
          </cell>
          <cell r="BV265">
            <v>0</v>
          </cell>
          <cell r="BW265">
            <v>1</v>
          </cell>
          <cell r="BX265">
            <v>1</v>
          </cell>
          <cell r="BY265">
            <v>0</v>
          </cell>
          <cell r="BZ265">
            <v>27</v>
          </cell>
          <cell r="CA265">
            <v>81.5</v>
          </cell>
          <cell r="CB265">
            <v>28</v>
          </cell>
          <cell r="CC265">
            <v>0</v>
          </cell>
          <cell r="CD265">
            <v>1</v>
          </cell>
          <cell r="CE265">
            <v>2</v>
          </cell>
          <cell r="CF265">
            <v>70</v>
          </cell>
          <cell r="CG265">
            <v>1</v>
          </cell>
          <cell r="CH265">
            <v>32</v>
          </cell>
          <cell r="CI265">
            <v>70</v>
          </cell>
        </row>
        <row r="266">
          <cell r="A266" t="str">
            <v>A976</v>
          </cell>
          <cell r="B266" t="str">
            <v>Tăng Văn Tưởng</v>
          </cell>
          <cell r="C266" t="str">
            <v>CI.1</v>
          </cell>
          <cell r="D266">
            <v>0</v>
          </cell>
          <cell r="E266">
            <v>42948</v>
          </cell>
          <cell r="F266">
            <v>0</v>
          </cell>
          <cell r="G266" t="str">
            <v>C</v>
          </cell>
          <cell r="H266">
            <v>4</v>
          </cell>
          <cell r="I266" t="str">
            <v>C</v>
          </cell>
          <cell r="J266">
            <v>4</v>
          </cell>
          <cell r="K266" t="str">
            <v>C</v>
          </cell>
          <cell r="L266">
            <v>4</v>
          </cell>
          <cell r="M266">
            <v>0</v>
          </cell>
          <cell r="N266">
            <v>12</v>
          </cell>
          <cell r="O266" t="str">
            <v>C</v>
          </cell>
          <cell r="P266">
            <v>4</v>
          </cell>
          <cell r="Q266" t="str">
            <v>C</v>
          </cell>
          <cell r="R266">
            <v>4</v>
          </cell>
          <cell r="S266" t="str">
            <v>C</v>
          </cell>
          <cell r="T266">
            <v>4</v>
          </cell>
          <cell r="U266" t="str">
            <v>C</v>
          </cell>
          <cell r="V266">
            <v>4</v>
          </cell>
          <cell r="W266" t="str">
            <v>C</v>
          </cell>
          <cell r="X266">
            <v>4</v>
          </cell>
          <cell r="Y266" t="str">
            <v>C</v>
          </cell>
          <cell r="Z266">
            <v>4</v>
          </cell>
          <cell r="AA266">
            <v>0</v>
          </cell>
          <cell r="AB266">
            <v>0</v>
          </cell>
          <cell r="AC266" t="str">
            <v>D</v>
          </cell>
          <cell r="AD266">
            <v>2.5</v>
          </cell>
          <cell r="AE266" t="str">
            <v>A</v>
          </cell>
          <cell r="AF266">
            <v>4</v>
          </cell>
          <cell r="AG266" t="str">
            <v>A</v>
          </cell>
          <cell r="AH266">
            <v>4</v>
          </cell>
          <cell r="AI266" t="str">
            <v>A</v>
          </cell>
          <cell r="AJ266">
            <v>4</v>
          </cell>
          <cell r="AK266" t="str">
            <v>A</v>
          </cell>
          <cell r="AL266">
            <v>4</v>
          </cell>
          <cell r="AM266" t="str">
            <v>A</v>
          </cell>
          <cell r="AN266">
            <v>4</v>
          </cell>
          <cell r="AO266">
            <v>0</v>
          </cell>
          <cell r="AP266">
            <v>0</v>
          </cell>
          <cell r="AQ266" t="str">
            <v>HH</v>
          </cell>
          <cell r="AR266">
            <v>0</v>
          </cell>
          <cell r="AS266" t="str">
            <v>C</v>
          </cell>
          <cell r="AT266">
            <v>4</v>
          </cell>
          <cell r="AU266" t="str">
            <v>C</v>
          </cell>
          <cell r="AV266">
            <v>4</v>
          </cell>
          <cell r="AW266" t="str">
            <v>C</v>
          </cell>
          <cell r="AX266">
            <v>4</v>
          </cell>
          <cell r="AY266" t="str">
            <v>C</v>
          </cell>
          <cell r="AZ266">
            <v>4</v>
          </cell>
          <cell r="BA266" t="str">
            <v>C</v>
          </cell>
          <cell r="BB266">
            <v>4</v>
          </cell>
          <cell r="BC266">
            <v>0</v>
          </cell>
          <cell r="BD266">
            <v>8</v>
          </cell>
          <cell r="BE266" t="str">
            <v>A</v>
          </cell>
          <cell r="BF266">
            <v>4</v>
          </cell>
          <cell r="BG266" t="str">
            <v>A</v>
          </cell>
          <cell r="BH266">
            <v>4</v>
          </cell>
          <cell r="BI266" t="str">
            <v>A</v>
          </cell>
          <cell r="BJ266">
            <v>4</v>
          </cell>
          <cell r="BK266" t="str">
            <v>A</v>
          </cell>
          <cell r="BL266">
            <v>4</v>
          </cell>
          <cell r="BM266" t="str">
            <v>A</v>
          </cell>
          <cell r="BN266">
            <v>4</v>
          </cell>
          <cell r="BO266" t="str">
            <v>P5,D5</v>
          </cell>
          <cell r="BP266">
            <v>0</v>
          </cell>
          <cell r="BQ266">
            <v>10</v>
          </cell>
          <cell r="BR266">
            <v>1.5</v>
          </cell>
          <cell r="BS266">
            <v>0</v>
          </cell>
          <cell r="BT266">
            <v>14</v>
          </cell>
          <cell r="BU266">
            <v>0</v>
          </cell>
          <cell r="BV266">
            <v>0</v>
          </cell>
          <cell r="BW266">
            <v>1</v>
          </cell>
          <cell r="BX266">
            <v>0</v>
          </cell>
          <cell r="BY266">
            <v>0.5</v>
          </cell>
          <cell r="BZ266">
            <v>27</v>
          </cell>
          <cell r="CA266">
            <v>98.5</v>
          </cell>
          <cell r="CB266">
            <v>20</v>
          </cell>
          <cell r="CC266">
            <v>0</v>
          </cell>
          <cell r="CD266">
            <v>2</v>
          </cell>
          <cell r="CE266">
            <v>3</v>
          </cell>
          <cell r="CF266">
            <v>140</v>
          </cell>
          <cell r="CG266">
            <v>0.5</v>
          </cell>
          <cell r="CH266">
            <v>48</v>
          </cell>
          <cell r="CI266">
            <v>70</v>
          </cell>
        </row>
        <row r="267">
          <cell r="A267" t="str">
            <v>A977</v>
          </cell>
          <cell r="B267" t="str">
            <v>Nguyễn Kim Anh</v>
          </cell>
          <cell r="C267" t="str">
            <v>QCX</v>
          </cell>
          <cell r="D267">
            <v>0</v>
          </cell>
          <cell r="E267">
            <v>42948</v>
          </cell>
          <cell r="F267">
            <v>3.5</v>
          </cell>
          <cell r="G267" t="str">
            <v>C</v>
          </cell>
          <cell r="H267">
            <v>4</v>
          </cell>
          <cell r="I267" t="str">
            <v>C</v>
          </cell>
          <cell r="J267">
            <v>4</v>
          </cell>
          <cell r="K267" t="str">
            <v>NT7</v>
          </cell>
          <cell r="L267">
            <v>0</v>
          </cell>
          <cell r="M267">
            <v>0</v>
          </cell>
          <cell r="N267">
            <v>0</v>
          </cell>
          <cell r="O267" t="str">
            <v>A</v>
          </cell>
          <cell r="P267">
            <v>4</v>
          </cell>
          <cell r="Q267" t="str">
            <v>A</v>
          </cell>
          <cell r="R267">
            <v>4</v>
          </cell>
          <cell r="S267" t="str">
            <v>A</v>
          </cell>
          <cell r="T267">
            <v>4</v>
          </cell>
          <cell r="U267" t="str">
            <v>D</v>
          </cell>
          <cell r="V267">
            <v>0</v>
          </cell>
          <cell r="W267" t="str">
            <v>NT7</v>
          </cell>
          <cell r="X267">
            <v>0</v>
          </cell>
          <cell r="Y267" t="str">
            <v>P5,D5</v>
          </cell>
          <cell r="Z267">
            <v>0</v>
          </cell>
          <cell r="AA267">
            <v>0</v>
          </cell>
          <cell r="AB267">
            <v>0</v>
          </cell>
          <cell r="AC267" t="str">
            <v>C</v>
          </cell>
          <cell r="AD267">
            <v>4</v>
          </cell>
          <cell r="AE267" t="str">
            <v>C</v>
          </cell>
          <cell r="AF267">
            <v>4</v>
          </cell>
          <cell r="AG267" t="str">
            <v>C</v>
          </cell>
          <cell r="AH267">
            <v>4</v>
          </cell>
          <cell r="AI267" t="str">
            <v>C</v>
          </cell>
          <cell r="AJ267">
            <v>4</v>
          </cell>
          <cell r="AK267" t="str">
            <v>C</v>
          </cell>
          <cell r="AL267">
            <v>4</v>
          </cell>
          <cell r="AM267" t="str">
            <v>C</v>
          </cell>
          <cell r="AN267">
            <v>4</v>
          </cell>
          <cell r="AO267">
            <v>0</v>
          </cell>
          <cell r="AP267">
            <v>0</v>
          </cell>
          <cell r="AQ267" t="str">
            <v>A</v>
          </cell>
          <cell r="AR267">
            <v>4</v>
          </cell>
          <cell r="AS267" t="str">
            <v>A</v>
          </cell>
          <cell r="AT267">
            <v>4</v>
          </cell>
          <cell r="AU267" t="str">
            <v>A</v>
          </cell>
          <cell r="AV267">
            <v>4</v>
          </cell>
          <cell r="AW267" t="str">
            <v>A</v>
          </cell>
          <cell r="AX267">
            <v>4</v>
          </cell>
          <cell r="AY267" t="str">
            <v>A</v>
          </cell>
          <cell r="AZ267">
            <v>4</v>
          </cell>
          <cell r="BA267" t="str">
            <v>D</v>
          </cell>
          <cell r="BB267">
            <v>0</v>
          </cell>
          <cell r="BC267">
            <v>0</v>
          </cell>
          <cell r="BD267">
            <v>0</v>
          </cell>
          <cell r="BE267" t="str">
            <v>C</v>
          </cell>
          <cell r="BF267">
            <v>4</v>
          </cell>
          <cell r="BG267" t="str">
            <v>C</v>
          </cell>
          <cell r="BH267">
            <v>4</v>
          </cell>
          <cell r="BI267" t="str">
            <v>C</v>
          </cell>
          <cell r="BJ267">
            <v>4</v>
          </cell>
          <cell r="BK267" t="str">
            <v>C</v>
          </cell>
          <cell r="BL267">
            <v>4</v>
          </cell>
          <cell r="BM267" t="str">
            <v>C</v>
          </cell>
          <cell r="BN267">
            <v>4</v>
          </cell>
          <cell r="BO267" t="str">
            <v>C</v>
          </cell>
          <cell r="BP267">
            <v>6</v>
          </cell>
          <cell r="BQ267">
            <v>8</v>
          </cell>
          <cell r="BR267">
            <v>2.5</v>
          </cell>
          <cell r="BS267">
            <v>0</v>
          </cell>
          <cell r="BT267">
            <v>14</v>
          </cell>
          <cell r="BU267">
            <v>0</v>
          </cell>
          <cell r="BV267">
            <v>0</v>
          </cell>
          <cell r="BW267">
            <v>0</v>
          </cell>
          <cell r="BX267">
            <v>2</v>
          </cell>
          <cell r="BY267">
            <v>0.5</v>
          </cell>
          <cell r="BZ267">
            <v>27</v>
          </cell>
          <cell r="CA267">
            <v>90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4</v>
          </cell>
          <cell r="CH267">
            <v>0</v>
          </cell>
          <cell r="CI267">
            <v>70</v>
          </cell>
        </row>
        <row r="268">
          <cell r="A268" t="str">
            <v>A978</v>
          </cell>
          <cell r="B268" t="str">
            <v>Thạch Thị Trang</v>
          </cell>
          <cell r="C268" t="str">
            <v>QCX</v>
          </cell>
          <cell r="D268">
            <v>0</v>
          </cell>
          <cell r="E268">
            <v>42948</v>
          </cell>
          <cell r="F268">
            <v>0.5</v>
          </cell>
          <cell r="G268" t="str">
            <v>A</v>
          </cell>
          <cell r="H268">
            <v>4</v>
          </cell>
          <cell r="I268" t="str">
            <v>A</v>
          </cell>
          <cell r="J268">
            <v>4</v>
          </cell>
          <cell r="K268" t="str">
            <v>D</v>
          </cell>
          <cell r="L268">
            <v>2</v>
          </cell>
          <cell r="M268">
            <v>0</v>
          </cell>
          <cell r="N268">
            <v>12</v>
          </cell>
          <cell r="O268" t="str">
            <v>A</v>
          </cell>
          <cell r="P268">
            <v>4</v>
          </cell>
          <cell r="Q268" t="str">
            <v>P5,D5</v>
          </cell>
          <cell r="R268">
            <v>0</v>
          </cell>
          <cell r="S268" t="str">
            <v>A</v>
          </cell>
          <cell r="T268">
            <v>4</v>
          </cell>
          <cell r="U268" t="str">
            <v>D</v>
          </cell>
          <cell r="V268">
            <v>2</v>
          </cell>
          <cell r="W268" t="str">
            <v>A</v>
          </cell>
          <cell r="X268">
            <v>4</v>
          </cell>
          <cell r="Y268" t="str">
            <v>A</v>
          </cell>
          <cell r="Z268">
            <v>4</v>
          </cell>
          <cell r="AA268">
            <v>0</v>
          </cell>
          <cell r="AB268">
            <v>8</v>
          </cell>
          <cell r="AC268" t="str">
            <v>A</v>
          </cell>
          <cell r="AD268">
            <v>4</v>
          </cell>
          <cell r="AE268" t="str">
            <v>A</v>
          </cell>
          <cell r="AF268">
            <v>4</v>
          </cell>
          <cell r="AG268" t="str">
            <v>A</v>
          </cell>
          <cell r="AH268">
            <v>4</v>
          </cell>
          <cell r="AI268" t="str">
            <v>A</v>
          </cell>
          <cell r="AJ268">
            <v>4</v>
          </cell>
          <cell r="AK268" t="str">
            <v>A</v>
          </cell>
          <cell r="AL268">
            <v>4</v>
          </cell>
          <cell r="AM268" t="str">
            <v>D</v>
          </cell>
          <cell r="AN268">
            <v>2</v>
          </cell>
          <cell r="AO268">
            <v>0</v>
          </cell>
          <cell r="AP268">
            <v>0</v>
          </cell>
          <cell r="AQ268" t="str">
            <v>C</v>
          </cell>
          <cell r="AR268">
            <v>4</v>
          </cell>
          <cell r="AS268" t="str">
            <v>C</v>
          </cell>
          <cell r="AT268">
            <v>4</v>
          </cell>
          <cell r="AU268" t="str">
            <v>C</v>
          </cell>
          <cell r="AV268">
            <v>4</v>
          </cell>
          <cell r="AW268" t="str">
            <v>C</v>
          </cell>
          <cell r="AX268">
            <v>4</v>
          </cell>
          <cell r="AY268" t="str">
            <v>C</v>
          </cell>
          <cell r="AZ268">
            <v>4</v>
          </cell>
          <cell r="BA268" t="str">
            <v>C</v>
          </cell>
          <cell r="BB268">
            <v>4</v>
          </cell>
          <cell r="BC268">
            <v>0</v>
          </cell>
          <cell r="BD268">
            <v>8</v>
          </cell>
          <cell r="BE268" t="str">
            <v>C</v>
          </cell>
          <cell r="BF268">
            <v>4</v>
          </cell>
          <cell r="BG268" t="str">
            <v>C</v>
          </cell>
          <cell r="BH268">
            <v>4</v>
          </cell>
          <cell r="BI268" t="str">
            <v>C</v>
          </cell>
          <cell r="BJ268">
            <v>4</v>
          </cell>
          <cell r="BK268" t="str">
            <v>C</v>
          </cell>
          <cell r="BL268">
            <v>4</v>
          </cell>
          <cell r="BM268" t="str">
            <v>C</v>
          </cell>
          <cell r="BN268">
            <v>4</v>
          </cell>
          <cell r="BO268" t="str">
            <v>C</v>
          </cell>
          <cell r="BP268">
            <v>6</v>
          </cell>
          <cell r="BQ268">
            <v>11</v>
          </cell>
          <cell r="BR268">
            <v>3.5</v>
          </cell>
          <cell r="BS268">
            <v>0</v>
          </cell>
          <cell r="BT268">
            <v>12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0.5</v>
          </cell>
          <cell r="BZ268">
            <v>27</v>
          </cell>
          <cell r="CA268">
            <v>100</v>
          </cell>
          <cell r="CB268">
            <v>28</v>
          </cell>
          <cell r="CC268">
            <v>0</v>
          </cell>
          <cell r="CD268">
            <v>2</v>
          </cell>
          <cell r="CE268">
            <v>1</v>
          </cell>
          <cell r="CF268">
            <v>140</v>
          </cell>
          <cell r="CG268">
            <v>1</v>
          </cell>
          <cell r="CH268">
            <v>16</v>
          </cell>
          <cell r="CI268">
            <v>70</v>
          </cell>
        </row>
        <row r="269">
          <cell r="A269" t="str">
            <v>A981</v>
          </cell>
          <cell r="B269" t="str">
            <v>Hồ Tấn Tuy</v>
          </cell>
          <cell r="C269" t="str">
            <v>Gián tiếp</v>
          </cell>
          <cell r="D269">
            <v>0</v>
          </cell>
          <cell r="E269">
            <v>42956</v>
          </cell>
          <cell r="F269">
            <v>0</v>
          </cell>
          <cell r="G269" t="str">
            <v>D</v>
          </cell>
          <cell r="H269">
            <v>0</v>
          </cell>
          <cell r="I269" t="str">
            <v>D</v>
          </cell>
          <cell r="J269">
            <v>0</v>
          </cell>
          <cell r="K269" t="str">
            <v>D</v>
          </cell>
          <cell r="L269">
            <v>0</v>
          </cell>
          <cell r="M269">
            <v>0</v>
          </cell>
          <cell r="N269">
            <v>0</v>
          </cell>
          <cell r="O269" t="str">
            <v>D</v>
          </cell>
          <cell r="P269">
            <v>0</v>
          </cell>
          <cell r="Q269" t="str">
            <v>D</v>
          </cell>
          <cell r="R269">
            <v>0</v>
          </cell>
          <cell r="S269" t="str">
            <v>D</v>
          </cell>
          <cell r="T269">
            <v>0</v>
          </cell>
          <cell r="U269" t="str">
            <v>D</v>
          </cell>
          <cell r="V269">
            <v>0</v>
          </cell>
          <cell r="W269" t="str">
            <v>D</v>
          </cell>
          <cell r="X269">
            <v>0</v>
          </cell>
          <cell r="Y269" t="str">
            <v>NT7</v>
          </cell>
          <cell r="Z269">
            <v>0</v>
          </cell>
          <cell r="AA269">
            <v>0</v>
          </cell>
          <cell r="AB269">
            <v>0</v>
          </cell>
          <cell r="AC269" t="str">
            <v>D</v>
          </cell>
          <cell r="AD269">
            <v>0</v>
          </cell>
          <cell r="AE269" t="str">
            <v>D</v>
          </cell>
          <cell r="AF269">
            <v>0</v>
          </cell>
          <cell r="AG269" t="str">
            <v>D</v>
          </cell>
          <cell r="AH269">
            <v>0</v>
          </cell>
          <cell r="AI269" t="str">
            <v>D</v>
          </cell>
          <cell r="AJ269">
            <v>0</v>
          </cell>
          <cell r="AK269" t="str">
            <v>D</v>
          </cell>
          <cell r="AL269">
            <v>0</v>
          </cell>
          <cell r="AM269" t="str">
            <v>D</v>
          </cell>
          <cell r="AN269">
            <v>0</v>
          </cell>
          <cell r="AO269">
            <v>0</v>
          </cell>
          <cell r="AP269">
            <v>0</v>
          </cell>
          <cell r="AQ269" t="str">
            <v>D</v>
          </cell>
          <cell r="AR269">
            <v>0</v>
          </cell>
          <cell r="AS269" t="str">
            <v>D</v>
          </cell>
          <cell r="AT269">
            <v>0</v>
          </cell>
          <cell r="AU269" t="str">
            <v>D</v>
          </cell>
          <cell r="AV269">
            <v>0</v>
          </cell>
          <cell r="AW269" t="str">
            <v>D</v>
          </cell>
          <cell r="AX269">
            <v>0</v>
          </cell>
          <cell r="AY269" t="str">
            <v>D</v>
          </cell>
          <cell r="AZ269">
            <v>0</v>
          </cell>
          <cell r="BA269" t="str">
            <v>NT7</v>
          </cell>
          <cell r="BB269">
            <v>0</v>
          </cell>
          <cell r="BC269">
            <v>0</v>
          </cell>
          <cell r="BD269">
            <v>0</v>
          </cell>
          <cell r="BE269" t="str">
            <v>P5,D5</v>
          </cell>
          <cell r="BF269">
            <v>0</v>
          </cell>
          <cell r="BG269" t="str">
            <v>D</v>
          </cell>
          <cell r="BH269">
            <v>0</v>
          </cell>
          <cell r="BI269" t="str">
            <v>D</v>
          </cell>
          <cell r="BJ269">
            <v>0</v>
          </cell>
          <cell r="BK269" t="str">
            <v>D</v>
          </cell>
          <cell r="BL269">
            <v>1</v>
          </cell>
          <cell r="BM269" t="str">
            <v>D</v>
          </cell>
          <cell r="BN269">
            <v>0</v>
          </cell>
          <cell r="BO269" t="str">
            <v>D</v>
          </cell>
          <cell r="BP269">
            <v>0</v>
          </cell>
          <cell r="BQ269">
            <v>0</v>
          </cell>
          <cell r="BR269">
            <v>24.5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2</v>
          </cell>
          <cell r="BY269">
            <v>0.5</v>
          </cell>
          <cell r="BZ269">
            <v>27</v>
          </cell>
          <cell r="CA269">
            <v>1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0.5</v>
          </cell>
          <cell r="CH269">
            <v>0</v>
          </cell>
          <cell r="CI269">
            <v>150</v>
          </cell>
        </row>
        <row r="270">
          <cell r="A270" t="str">
            <v>A982</v>
          </cell>
          <cell r="B270" t="str">
            <v>Nguyễn Hoàng Tuấn</v>
          </cell>
          <cell r="C270" t="str">
            <v>KHUON</v>
          </cell>
          <cell r="D270">
            <v>0</v>
          </cell>
          <cell r="E270">
            <v>42957</v>
          </cell>
          <cell r="F270">
            <v>1</v>
          </cell>
          <cell r="G270" t="str">
            <v>A</v>
          </cell>
          <cell r="H270">
            <v>4</v>
          </cell>
          <cell r="I270" t="str">
            <v>A</v>
          </cell>
          <cell r="J270">
            <v>4</v>
          </cell>
          <cell r="K270" t="str">
            <v>A</v>
          </cell>
          <cell r="L270">
            <v>4</v>
          </cell>
          <cell r="M270">
            <v>0</v>
          </cell>
          <cell r="N270">
            <v>12</v>
          </cell>
          <cell r="O270" t="str">
            <v>C</v>
          </cell>
          <cell r="P270">
            <v>4</v>
          </cell>
          <cell r="Q270" t="str">
            <v>C</v>
          </cell>
          <cell r="R270">
            <v>4</v>
          </cell>
          <cell r="S270" t="str">
            <v>C</v>
          </cell>
          <cell r="T270">
            <v>4</v>
          </cell>
          <cell r="U270" t="str">
            <v>B</v>
          </cell>
          <cell r="V270">
            <v>1</v>
          </cell>
          <cell r="W270" t="str">
            <v>C</v>
          </cell>
          <cell r="X270">
            <v>4</v>
          </cell>
          <cell r="Y270" t="str">
            <v>C</v>
          </cell>
          <cell r="Z270">
            <v>4</v>
          </cell>
          <cell r="AA270">
            <v>0</v>
          </cell>
          <cell r="AB270">
            <v>0</v>
          </cell>
          <cell r="AC270" t="str">
            <v>A</v>
          </cell>
          <cell r="AD270">
            <v>4</v>
          </cell>
          <cell r="AE270" t="str">
            <v>A</v>
          </cell>
          <cell r="AF270">
            <v>4</v>
          </cell>
          <cell r="AG270" t="str">
            <v>A</v>
          </cell>
          <cell r="AH270">
            <v>4</v>
          </cell>
          <cell r="AI270" t="str">
            <v>A</v>
          </cell>
          <cell r="AJ270">
            <v>4</v>
          </cell>
          <cell r="AK270" t="str">
            <v>A</v>
          </cell>
          <cell r="AL270">
            <v>4</v>
          </cell>
          <cell r="AM270" t="str">
            <v>A</v>
          </cell>
          <cell r="AN270">
            <v>4</v>
          </cell>
          <cell r="AO270">
            <v>0</v>
          </cell>
          <cell r="AP270">
            <v>0</v>
          </cell>
          <cell r="AQ270" t="str">
            <v>C</v>
          </cell>
          <cell r="AR270">
            <v>4</v>
          </cell>
          <cell r="AS270" t="str">
            <v>C</v>
          </cell>
          <cell r="AT270">
            <v>4</v>
          </cell>
          <cell r="AU270" t="str">
            <v>C</v>
          </cell>
          <cell r="AV270">
            <v>4</v>
          </cell>
          <cell r="AW270" t="str">
            <v>C</v>
          </cell>
          <cell r="AX270">
            <v>5</v>
          </cell>
          <cell r="AY270" t="str">
            <v>C</v>
          </cell>
          <cell r="AZ270">
            <v>4</v>
          </cell>
          <cell r="BA270" t="str">
            <v>C</v>
          </cell>
          <cell r="BB270">
            <v>4</v>
          </cell>
          <cell r="BC270">
            <v>0</v>
          </cell>
          <cell r="BD270">
            <v>12</v>
          </cell>
          <cell r="BE270" t="str">
            <v>C</v>
          </cell>
          <cell r="BF270">
            <v>4</v>
          </cell>
          <cell r="BG270" t="str">
            <v>C</v>
          </cell>
          <cell r="BH270">
            <v>4</v>
          </cell>
          <cell r="BI270" t="str">
            <v>C</v>
          </cell>
          <cell r="BJ270">
            <v>4</v>
          </cell>
          <cell r="BK270" t="str">
            <v>C</v>
          </cell>
          <cell r="BL270">
            <v>4</v>
          </cell>
          <cell r="BM270" t="str">
            <v>C</v>
          </cell>
          <cell r="BN270">
            <v>4</v>
          </cell>
          <cell r="BO270" t="str">
            <v>C</v>
          </cell>
          <cell r="BP270">
            <v>4</v>
          </cell>
          <cell r="BQ270">
            <v>9</v>
          </cell>
          <cell r="BR270">
            <v>0</v>
          </cell>
          <cell r="BS270">
            <v>1</v>
          </cell>
          <cell r="BT270">
            <v>17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27</v>
          </cell>
          <cell r="CA270">
            <v>106</v>
          </cell>
          <cell r="CB270">
            <v>24</v>
          </cell>
          <cell r="CC270">
            <v>0</v>
          </cell>
          <cell r="CD270">
            <v>2</v>
          </cell>
          <cell r="CE270">
            <v>3</v>
          </cell>
          <cell r="CF270">
            <v>0</v>
          </cell>
          <cell r="CG270">
            <v>2</v>
          </cell>
          <cell r="CH270">
            <v>48</v>
          </cell>
          <cell r="CI270">
            <v>70</v>
          </cell>
        </row>
        <row r="271">
          <cell r="A271" t="str">
            <v>A983</v>
          </cell>
          <cell r="B271" t="str">
            <v>Nguyễn Đức Thành</v>
          </cell>
          <cell r="C271" t="str">
            <v>CI.1</v>
          </cell>
          <cell r="D271">
            <v>0</v>
          </cell>
          <cell r="E271">
            <v>42959</v>
          </cell>
          <cell r="F271">
            <v>0</v>
          </cell>
          <cell r="G271" t="str">
            <v>C</v>
          </cell>
          <cell r="H271">
            <v>4</v>
          </cell>
          <cell r="I271" t="str">
            <v>C</v>
          </cell>
          <cell r="J271">
            <v>4</v>
          </cell>
          <cell r="K271" t="str">
            <v>C</v>
          </cell>
          <cell r="L271">
            <v>4</v>
          </cell>
          <cell r="M271">
            <v>0</v>
          </cell>
          <cell r="N271">
            <v>0</v>
          </cell>
          <cell r="O271" t="str">
            <v>A</v>
          </cell>
          <cell r="P271">
            <v>4</v>
          </cell>
          <cell r="Q271" t="str">
            <v>A</v>
          </cell>
          <cell r="R271">
            <v>4</v>
          </cell>
          <cell r="S271" t="str">
            <v>A</v>
          </cell>
          <cell r="T271">
            <v>4</v>
          </cell>
          <cell r="U271" t="str">
            <v>A</v>
          </cell>
          <cell r="V271">
            <v>4</v>
          </cell>
          <cell r="W271" t="str">
            <v>A</v>
          </cell>
          <cell r="X271">
            <v>4</v>
          </cell>
          <cell r="Y271" t="str">
            <v>A</v>
          </cell>
          <cell r="Z271">
            <v>4</v>
          </cell>
          <cell r="AA271">
            <v>0</v>
          </cell>
          <cell r="AB271">
            <v>0</v>
          </cell>
          <cell r="AC271" t="str">
            <v>HH</v>
          </cell>
          <cell r="AD271">
            <v>0</v>
          </cell>
          <cell r="AE271" t="str">
            <v>C</v>
          </cell>
          <cell r="AF271">
            <v>4</v>
          </cell>
          <cell r="AG271" t="str">
            <v>C</v>
          </cell>
          <cell r="AH271">
            <v>4</v>
          </cell>
          <cell r="AI271" t="str">
            <v>C</v>
          </cell>
          <cell r="AJ271">
            <v>4</v>
          </cell>
          <cell r="AK271" t="str">
            <v>C</v>
          </cell>
          <cell r="AL271">
            <v>4</v>
          </cell>
          <cell r="AM271" t="str">
            <v>C</v>
          </cell>
          <cell r="AN271">
            <v>4</v>
          </cell>
          <cell r="AO271">
            <v>0</v>
          </cell>
          <cell r="AP271">
            <v>0</v>
          </cell>
          <cell r="AQ271" t="str">
            <v>D</v>
          </cell>
          <cell r="AR271">
            <v>1</v>
          </cell>
          <cell r="AS271" t="str">
            <v>D</v>
          </cell>
          <cell r="AT271">
            <v>0</v>
          </cell>
          <cell r="AU271" t="str">
            <v>A</v>
          </cell>
          <cell r="AV271">
            <v>4</v>
          </cell>
          <cell r="AW271" t="str">
            <v>D</v>
          </cell>
          <cell r="AX271">
            <v>1</v>
          </cell>
          <cell r="AY271" t="str">
            <v>A</v>
          </cell>
          <cell r="AZ271">
            <v>4</v>
          </cell>
          <cell r="BA271" t="str">
            <v>A</v>
          </cell>
          <cell r="BB271">
            <v>4</v>
          </cell>
          <cell r="BC271">
            <v>0</v>
          </cell>
          <cell r="BD271">
            <v>8</v>
          </cell>
          <cell r="BE271" t="str">
            <v>C</v>
          </cell>
          <cell r="BF271">
            <v>4</v>
          </cell>
          <cell r="BG271" t="str">
            <v>C</v>
          </cell>
          <cell r="BH271">
            <v>4</v>
          </cell>
          <cell r="BI271" t="str">
            <v>C</v>
          </cell>
          <cell r="BJ271">
            <v>4</v>
          </cell>
          <cell r="BK271" t="str">
            <v>C</v>
          </cell>
          <cell r="BL271">
            <v>4</v>
          </cell>
          <cell r="BM271" t="str">
            <v>C</v>
          </cell>
          <cell r="BN271">
            <v>4</v>
          </cell>
          <cell r="BO271" t="str">
            <v>HH</v>
          </cell>
          <cell r="BP271">
            <v>0</v>
          </cell>
          <cell r="BQ271">
            <v>9</v>
          </cell>
          <cell r="BR271">
            <v>3</v>
          </cell>
          <cell r="BS271">
            <v>0</v>
          </cell>
          <cell r="BT271">
            <v>13</v>
          </cell>
          <cell r="BU271">
            <v>0</v>
          </cell>
          <cell r="BV271">
            <v>0</v>
          </cell>
          <cell r="BW271">
            <v>2</v>
          </cell>
          <cell r="BX271">
            <v>0</v>
          </cell>
          <cell r="BY271">
            <v>0</v>
          </cell>
          <cell r="BZ271">
            <v>27</v>
          </cell>
          <cell r="CA271">
            <v>90</v>
          </cell>
          <cell r="CB271">
            <v>8</v>
          </cell>
          <cell r="CC271">
            <v>0</v>
          </cell>
          <cell r="CD271">
            <v>2</v>
          </cell>
          <cell r="CE271">
            <v>1</v>
          </cell>
          <cell r="CF271">
            <v>300</v>
          </cell>
          <cell r="CG271">
            <v>1</v>
          </cell>
          <cell r="CH271">
            <v>16</v>
          </cell>
          <cell r="CI271">
            <v>150</v>
          </cell>
        </row>
        <row r="272">
          <cell r="A272" t="str">
            <v>A985</v>
          </cell>
          <cell r="B272" t="str">
            <v>Nguyễn Văn Tiện</v>
          </cell>
          <cell r="C272" t="str">
            <v>CI.1</v>
          </cell>
          <cell r="D272">
            <v>0</v>
          </cell>
          <cell r="E272">
            <v>42962</v>
          </cell>
          <cell r="F272">
            <v>0</v>
          </cell>
          <cell r="G272" t="str">
            <v>C</v>
          </cell>
          <cell r="H272">
            <v>4</v>
          </cell>
          <cell r="I272" t="str">
            <v>C</v>
          </cell>
          <cell r="J272">
            <v>4</v>
          </cell>
          <cell r="K272" t="str">
            <v>C</v>
          </cell>
          <cell r="L272">
            <v>4</v>
          </cell>
          <cell r="M272">
            <v>0</v>
          </cell>
          <cell r="N272">
            <v>0</v>
          </cell>
          <cell r="O272" t="str">
            <v>C</v>
          </cell>
          <cell r="P272">
            <v>4</v>
          </cell>
          <cell r="Q272" t="str">
            <v>C</v>
          </cell>
          <cell r="R272">
            <v>4</v>
          </cell>
          <cell r="S272" t="str">
            <v>C</v>
          </cell>
          <cell r="T272">
            <v>4</v>
          </cell>
          <cell r="U272" t="str">
            <v>C</v>
          </cell>
          <cell r="V272">
            <v>4</v>
          </cell>
          <cell r="W272" t="str">
            <v>C</v>
          </cell>
          <cell r="X272">
            <v>4</v>
          </cell>
          <cell r="Y272" t="str">
            <v>C</v>
          </cell>
          <cell r="Z272">
            <v>4</v>
          </cell>
          <cell r="AA272">
            <v>0</v>
          </cell>
          <cell r="AB272">
            <v>0</v>
          </cell>
          <cell r="AC272" t="str">
            <v>D</v>
          </cell>
          <cell r="AD272">
            <v>0</v>
          </cell>
          <cell r="AE272" t="str">
            <v>D</v>
          </cell>
          <cell r="AF272">
            <v>0</v>
          </cell>
          <cell r="AG272" t="str">
            <v>A</v>
          </cell>
          <cell r="AH272">
            <v>4</v>
          </cell>
          <cell r="AI272" t="str">
            <v>A</v>
          </cell>
          <cell r="AJ272">
            <v>4</v>
          </cell>
          <cell r="AK272" t="str">
            <v>A</v>
          </cell>
          <cell r="AL272">
            <v>4</v>
          </cell>
          <cell r="AM272" t="str">
            <v>A</v>
          </cell>
          <cell r="AN272">
            <v>4</v>
          </cell>
          <cell r="AO272">
            <v>0</v>
          </cell>
          <cell r="AP272">
            <v>0</v>
          </cell>
          <cell r="AQ272" t="str">
            <v>HH</v>
          </cell>
          <cell r="AR272">
            <v>0</v>
          </cell>
          <cell r="AS272" t="str">
            <v>HH</v>
          </cell>
          <cell r="AT272">
            <v>0</v>
          </cell>
          <cell r="AU272" t="str">
            <v>C</v>
          </cell>
          <cell r="AV272">
            <v>4</v>
          </cell>
          <cell r="AW272" t="str">
            <v>B</v>
          </cell>
          <cell r="AX272">
            <v>0</v>
          </cell>
          <cell r="AY272" t="str">
            <v>C</v>
          </cell>
          <cell r="AZ272">
            <v>4</v>
          </cell>
          <cell r="BA272" t="str">
            <v>C</v>
          </cell>
          <cell r="BB272">
            <v>4</v>
          </cell>
          <cell r="BC272">
            <v>0</v>
          </cell>
          <cell r="BD272">
            <v>8</v>
          </cell>
          <cell r="BE272" t="str">
            <v>A</v>
          </cell>
          <cell r="BF272">
            <v>4</v>
          </cell>
          <cell r="BG272" t="str">
            <v>A</v>
          </cell>
          <cell r="BH272">
            <v>4</v>
          </cell>
          <cell r="BI272" t="str">
            <v>A</v>
          </cell>
          <cell r="BJ272">
            <v>4</v>
          </cell>
          <cell r="BK272" t="str">
            <v>A</v>
          </cell>
          <cell r="BL272">
            <v>4</v>
          </cell>
          <cell r="BM272" t="str">
            <v>A</v>
          </cell>
          <cell r="BN272">
            <v>4</v>
          </cell>
          <cell r="BO272" t="str">
            <v>D</v>
          </cell>
          <cell r="BP272">
            <v>0</v>
          </cell>
          <cell r="BQ272">
            <v>9</v>
          </cell>
          <cell r="BR272">
            <v>3</v>
          </cell>
          <cell r="BS272">
            <v>1</v>
          </cell>
          <cell r="BT272">
            <v>12</v>
          </cell>
          <cell r="BU272">
            <v>0</v>
          </cell>
          <cell r="BV272">
            <v>0</v>
          </cell>
          <cell r="BW272">
            <v>2</v>
          </cell>
          <cell r="BX272">
            <v>0</v>
          </cell>
          <cell r="BY272">
            <v>0</v>
          </cell>
          <cell r="BZ272">
            <v>27</v>
          </cell>
          <cell r="CA272">
            <v>84</v>
          </cell>
          <cell r="CB272">
            <v>8</v>
          </cell>
          <cell r="CC272">
            <v>0</v>
          </cell>
          <cell r="CD272">
            <v>2</v>
          </cell>
          <cell r="CE272">
            <v>1</v>
          </cell>
          <cell r="CF272">
            <v>140</v>
          </cell>
          <cell r="CG272">
            <v>1</v>
          </cell>
          <cell r="CH272">
            <v>16</v>
          </cell>
          <cell r="CI272">
            <v>70</v>
          </cell>
        </row>
        <row r="273">
          <cell r="A273" t="str">
            <v>A986</v>
          </cell>
          <cell r="B273" t="str">
            <v>Nguyễn Huỳnh Yến Nhi</v>
          </cell>
          <cell r="C273" t="str">
            <v>CII.4</v>
          </cell>
          <cell r="D273">
            <v>0</v>
          </cell>
          <cell r="E273">
            <v>42964</v>
          </cell>
          <cell r="F273">
            <v>1</v>
          </cell>
          <cell r="G273" t="str">
            <v>NT7</v>
          </cell>
          <cell r="H273">
            <v>0</v>
          </cell>
          <cell r="I273" t="str">
            <v>C</v>
          </cell>
          <cell r="J273">
            <v>4</v>
          </cell>
          <cell r="K273" t="str">
            <v>C</v>
          </cell>
          <cell r="L273">
            <v>4</v>
          </cell>
          <cell r="M273">
            <v>0</v>
          </cell>
          <cell r="N273">
            <v>0</v>
          </cell>
          <cell r="O273" t="str">
            <v>A</v>
          </cell>
          <cell r="P273">
            <v>4</v>
          </cell>
          <cell r="Q273" t="str">
            <v>A</v>
          </cell>
          <cell r="R273">
            <v>4</v>
          </cell>
          <cell r="S273" t="str">
            <v>A</v>
          </cell>
          <cell r="T273">
            <v>4</v>
          </cell>
          <cell r="U273" t="str">
            <v>D</v>
          </cell>
          <cell r="V273">
            <v>0</v>
          </cell>
          <cell r="W273" t="str">
            <v>A</v>
          </cell>
          <cell r="X273">
            <v>4</v>
          </cell>
          <cell r="Y273" t="str">
            <v>A</v>
          </cell>
          <cell r="Z273">
            <v>4</v>
          </cell>
          <cell r="AA273">
            <v>0</v>
          </cell>
          <cell r="AB273">
            <v>0</v>
          </cell>
          <cell r="AC273" t="str">
            <v>NT7</v>
          </cell>
          <cell r="AD273">
            <v>0</v>
          </cell>
          <cell r="AE273" t="str">
            <v>C</v>
          </cell>
          <cell r="AF273">
            <v>4</v>
          </cell>
          <cell r="AG273" t="str">
            <v>C</v>
          </cell>
          <cell r="AH273">
            <v>4</v>
          </cell>
          <cell r="AI273" t="str">
            <v>C</v>
          </cell>
          <cell r="AJ273">
            <v>4</v>
          </cell>
          <cell r="AK273" t="str">
            <v>C</v>
          </cell>
          <cell r="AL273">
            <v>4</v>
          </cell>
          <cell r="AM273" t="str">
            <v>C</v>
          </cell>
          <cell r="AN273">
            <v>4</v>
          </cell>
          <cell r="AO273">
            <v>0</v>
          </cell>
          <cell r="AP273">
            <v>0</v>
          </cell>
          <cell r="AQ273" t="str">
            <v>A</v>
          </cell>
          <cell r="AR273">
            <v>4</v>
          </cell>
          <cell r="AS273" t="str">
            <v>A</v>
          </cell>
          <cell r="AT273">
            <v>4</v>
          </cell>
          <cell r="AU273" t="str">
            <v>D</v>
          </cell>
          <cell r="AV273">
            <v>0</v>
          </cell>
          <cell r="AW273" t="str">
            <v>A</v>
          </cell>
          <cell r="AX273">
            <v>4</v>
          </cell>
          <cell r="AY273" t="str">
            <v>A</v>
          </cell>
          <cell r="AZ273">
            <v>4</v>
          </cell>
          <cell r="BA273" t="str">
            <v>A</v>
          </cell>
          <cell r="BB273">
            <v>4</v>
          </cell>
          <cell r="BC273">
            <v>0</v>
          </cell>
          <cell r="BD273">
            <v>12</v>
          </cell>
          <cell r="BE273" t="str">
            <v>A</v>
          </cell>
          <cell r="BF273">
            <v>4</v>
          </cell>
          <cell r="BG273" t="str">
            <v>A</v>
          </cell>
          <cell r="BH273">
            <v>4</v>
          </cell>
          <cell r="BI273" t="str">
            <v>A</v>
          </cell>
          <cell r="BJ273">
            <v>4</v>
          </cell>
          <cell r="BK273" t="str">
            <v>A</v>
          </cell>
          <cell r="BL273">
            <v>4</v>
          </cell>
          <cell r="BM273" t="str">
            <v>A</v>
          </cell>
          <cell r="BN273">
            <v>4</v>
          </cell>
          <cell r="BO273" t="str">
            <v>A</v>
          </cell>
          <cell r="BP273">
            <v>4</v>
          </cell>
          <cell r="BQ273">
            <v>16</v>
          </cell>
          <cell r="BR273">
            <v>2</v>
          </cell>
          <cell r="BS273">
            <v>0</v>
          </cell>
          <cell r="BT273">
            <v>7</v>
          </cell>
          <cell r="BU273">
            <v>0</v>
          </cell>
          <cell r="BV273">
            <v>0</v>
          </cell>
          <cell r="BW273">
            <v>0</v>
          </cell>
          <cell r="BX273">
            <v>2</v>
          </cell>
          <cell r="BY273">
            <v>0</v>
          </cell>
          <cell r="BZ273">
            <v>27</v>
          </cell>
          <cell r="CA273">
            <v>92</v>
          </cell>
          <cell r="CB273">
            <v>12</v>
          </cell>
          <cell r="CC273">
            <v>0</v>
          </cell>
          <cell r="CD273">
            <v>0</v>
          </cell>
          <cell r="CE273">
            <v>1</v>
          </cell>
          <cell r="CF273">
            <v>0</v>
          </cell>
          <cell r="CG273">
            <v>2</v>
          </cell>
          <cell r="CH273">
            <v>16</v>
          </cell>
          <cell r="CI273">
            <v>70</v>
          </cell>
        </row>
        <row r="274">
          <cell r="A274" t="str">
            <v>A987</v>
          </cell>
          <cell r="B274" t="str">
            <v>Lê Thị Thu Trang</v>
          </cell>
          <cell r="C274" t="str">
            <v>EN</v>
          </cell>
          <cell r="D274">
            <v>0</v>
          </cell>
          <cell r="E274">
            <v>42964</v>
          </cell>
          <cell r="F274">
            <v>4</v>
          </cell>
          <cell r="G274" t="str">
            <v>A</v>
          </cell>
          <cell r="H274">
            <v>4</v>
          </cell>
          <cell r="I274" t="str">
            <v>A</v>
          </cell>
          <cell r="J274">
            <v>4</v>
          </cell>
          <cell r="K274" t="str">
            <v>A</v>
          </cell>
          <cell r="L274">
            <v>4</v>
          </cell>
          <cell r="M274">
            <v>0</v>
          </cell>
          <cell r="N274">
            <v>8</v>
          </cell>
          <cell r="O274" t="str">
            <v>C</v>
          </cell>
          <cell r="P274">
            <v>4</v>
          </cell>
          <cell r="Q274" t="str">
            <v>C</v>
          </cell>
          <cell r="R274">
            <v>4</v>
          </cell>
          <cell r="S274" t="str">
            <v>C</v>
          </cell>
          <cell r="T274">
            <v>4</v>
          </cell>
          <cell r="U274" t="str">
            <v>C</v>
          </cell>
          <cell r="V274">
            <v>4</v>
          </cell>
          <cell r="W274" t="str">
            <v>C</v>
          </cell>
          <cell r="X274">
            <v>4</v>
          </cell>
          <cell r="Y274" t="str">
            <v>C</v>
          </cell>
          <cell r="Z274">
            <v>4</v>
          </cell>
          <cell r="AA274">
            <v>0</v>
          </cell>
          <cell r="AB274">
            <v>0</v>
          </cell>
          <cell r="AC274" t="str">
            <v>A</v>
          </cell>
          <cell r="AD274">
            <v>4</v>
          </cell>
          <cell r="AE274" t="str">
            <v>D</v>
          </cell>
          <cell r="AF274">
            <v>3.5</v>
          </cell>
          <cell r="AG274" t="str">
            <v>A</v>
          </cell>
          <cell r="AH274">
            <v>4</v>
          </cell>
          <cell r="AI274" t="str">
            <v>A</v>
          </cell>
          <cell r="AJ274">
            <v>4</v>
          </cell>
          <cell r="AK274" t="str">
            <v>A</v>
          </cell>
          <cell r="AL274">
            <v>4</v>
          </cell>
          <cell r="AM274" t="str">
            <v>A</v>
          </cell>
          <cell r="AN274">
            <v>4</v>
          </cell>
          <cell r="AO274">
            <v>0</v>
          </cell>
          <cell r="AP274">
            <v>16</v>
          </cell>
          <cell r="AQ274" t="str">
            <v>C</v>
          </cell>
          <cell r="AR274">
            <v>4</v>
          </cell>
          <cell r="AS274" t="str">
            <v>C</v>
          </cell>
          <cell r="AT274">
            <v>4</v>
          </cell>
          <cell r="AU274" t="str">
            <v>C</v>
          </cell>
          <cell r="AV274">
            <v>4</v>
          </cell>
          <cell r="AW274" t="str">
            <v>C</v>
          </cell>
          <cell r="AX274">
            <v>4</v>
          </cell>
          <cell r="AY274" t="str">
            <v>C</v>
          </cell>
          <cell r="AZ274">
            <v>4</v>
          </cell>
          <cell r="BA274" t="str">
            <v>C</v>
          </cell>
          <cell r="BB274">
            <v>4</v>
          </cell>
          <cell r="BC274">
            <v>0</v>
          </cell>
          <cell r="BD274">
            <v>0</v>
          </cell>
          <cell r="BE274" t="str">
            <v>NT7</v>
          </cell>
          <cell r="BF274">
            <v>0</v>
          </cell>
          <cell r="BG274" t="str">
            <v>A</v>
          </cell>
          <cell r="BH274">
            <v>4</v>
          </cell>
          <cell r="BI274" t="str">
            <v>A</v>
          </cell>
          <cell r="BJ274">
            <v>4</v>
          </cell>
          <cell r="BK274" t="str">
            <v>A</v>
          </cell>
          <cell r="BL274">
            <v>4</v>
          </cell>
          <cell r="BM274" t="str">
            <v>A</v>
          </cell>
          <cell r="BN274">
            <v>4</v>
          </cell>
          <cell r="BO274" t="str">
            <v>A</v>
          </cell>
          <cell r="BP274">
            <v>4</v>
          </cell>
          <cell r="BQ274">
            <v>13</v>
          </cell>
          <cell r="BR274">
            <v>1</v>
          </cell>
          <cell r="BS274">
            <v>0</v>
          </cell>
          <cell r="BT274">
            <v>12</v>
          </cell>
          <cell r="BU274">
            <v>0</v>
          </cell>
          <cell r="BV274">
            <v>0</v>
          </cell>
          <cell r="BW274">
            <v>0</v>
          </cell>
          <cell r="BX274">
            <v>1</v>
          </cell>
          <cell r="BY274">
            <v>0</v>
          </cell>
          <cell r="BZ274">
            <v>27</v>
          </cell>
          <cell r="CA274">
            <v>103.5</v>
          </cell>
          <cell r="CB274">
            <v>24</v>
          </cell>
          <cell r="CC274">
            <v>0</v>
          </cell>
          <cell r="CD274">
            <v>1</v>
          </cell>
          <cell r="CE274">
            <v>1</v>
          </cell>
          <cell r="CF274">
            <v>70</v>
          </cell>
          <cell r="CG274">
            <v>5</v>
          </cell>
          <cell r="CH274">
            <v>16</v>
          </cell>
          <cell r="CI274">
            <v>70</v>
          </cell>
        </row>
        <row r="275">
          <cell r="A275" t="str">
            <v>A988</v>
          </cell>
          <cell r="B275" t="str">
            <v>Huỳnh Vũ Ý Nhi</v>
          </cell>
          <cell r="C275" t="str">
            <v>QCE</v>
          </cell>
          <cell r="D275">
            <v>0</v>
          </cell>
          <cell r="E275">
            <v>42968</v>
          </cell>
          <cell r="F275">
            <v>1.5</v>
          </cell>
          <cell r="G275" t="str">
            <v>D</v>
          </cell>
          <cell r="H275">
            <v>2</v>
          </cell>
          <cell r="I275" t="str">
            <v>A</v>
          </cell>
          <cell r="J275">
            <v>4</v>
          </cell>
          <cell r="K275" t="str">
            <v>D</v>
          </cell>
          <cell r="L275">
            <v>2</v>
          </cell>
          <cell r="M275">
            <v>0</v>
          </cell>
          <cell r="N275">
            <v>0</v>
          </cell>
          <cell r="O275" t="str">
            <v>D</v>
          </cell>
          <cell r="P275">
            <v>3</v>
          </cell>
          <cell r="Q275" t="str">
            <v>D</v>
          </cell>
          <cell r="R275">
            <v>3</v>
          </cell>
          <cell r="S275" t="str">
            <v>D</v>
          </cell>
          <cell r="T275">
            <v>0.5</v>
          </cell>
          <cell r="U275" t="str">
            <v>D</v>
          </cell>
          <cell r="V275">
            <v>0</v>
          </cell>
          <cell r="W275" t="str">
            <v>D</v>
          </cell>
          <cell r="X275">
            <v>2</v>
          </cell>
          <cell r="Y275" t="str">
            <v>D</v>
          </cell>
          <cell r="Z275">
            <v>0</v>
          </cell>
          <cell r="AA275">
            <v>0</v>
          </cell>
          <cell r="AB275">
            <v>0</v>
          </cell>
          <cell r="AC275" t="str">
            <v>D</v>
          </cell>
          <cell r="AD275">
            <v>0.5</v>
          </cell>
          <cell r="AE275" t="str">
            <v>D</v>
          </cell>
          <cell r="AF275">
            <v>0.5</v>
          </cell>
          <cell r="AG275" t="str">
            <v>D</v>
          </cell>
          <cell r="AH275">
            <v>2</v>
          </cell>
          <cell r="AI275" t="str">
            <v>D</v>
          </cell>
          <cell r="AJ275">
            <v>2.5</v>
          </cell>
          <cell r="AK275" t="str">
            <v>D</v>
          </cell>
          <cell r="AL275">
            <v>0.5</v>
          </cell>
          <cell r="AM275" t="str">
            <v>D</v>
          </cell>
          <cell r="AN275">
            <v>0.5</v>
          </cell>
          <cell r="AO275">
            <v>0</v>
          </cell>
          <cell r="AP275">
            <v>0</v>
          </cell>
          <cell r="AQ275" t="str">
            <v>D</v>
          </cell>
          <cell r="AR275">
            <v>1</v>
          </cell>
          <cell r="AS275" t="str">
            <v>D</v>
          </cell>
          <cell r="AT275">
            <v>1.5</v>
          </cell>
          <cell r="AU275" t="str">
            <v>D</v>
          </cell>
          <cell r="AV275">
            <v>1.5</v>
          </cell>
          <cell r="AW275" t="str">
            <v>D</v>
          </cell>
          <cell r="AX275">
            <v>0</v>
          </cell>
          <cell r="AY275" t="str">
            <v>D</v>
          </cell>
          <cell r="AZ275">
            <v>1.5</v>
          </cell>
          <cell r="BA275" t="str">
            <v>D</v>
          </cell>
          <cell r="BB275">
            <v>0</v>
          </cell>
          <cell r="BC275">
            <v>0</v>
          </cell>
          <cell r="BD275">
            <v>0</v>
          </cell>
          <cell r="BE275" t="str">
            <v>D</v>
          </cell>
          <cell r="BF275">
            <v>2.5</v>
          </cell>
          <cell r="BG275" t="str">
            <v>D</v>
          </cell>
          <cell r="BH275">
            <v>3.5</v>
          </cell>
          <cell r="BI275" t="str">
            <v>D</v>
          </cell>
          <cell r="BJ275">
            <v>0.5</v>
          </cell>
          <cell r="BK275" t="str">
            <v>D</v>
          </cell>
          <cell r="BL275">
            <v>3</v>
          </cell>
          <cell r="BM275" t="str">
            <v>D</v>
          </cell>
          <cell r="BN275">
            <v>0</v>
          </cell>
          <cell r="BO275" t="str">
            <v>NT7</v>
          </cell>
          <cell r="BP275">
            <v>0</v>
          </cell>
          <cell r="BQ275">
            <v>1</v>
          </cell>
          <cell r="BR275">
            <v>25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1</v>
          </cell>
          <cell r="BY275">
            <v>0</v>
          </cell>
          <cell r="BZ275">
            <v>27</v>
          </cell>
          <cell r="CA275">
            <v>38</v>
          </cell>
          <cell r="CB275">
            <v>0</v>
          </cell>
          <cell r="CC275">
            <v>0</v>
          </cell>
          <cell r="CD275">
            <v>1</v>
          </cell>
          <cell r="CE275">
            <v>0</v>
          </cell>
          <cell r="CF275">
            <v>70</v>
          </cell>
          <cell r="CG275">
            <v>2.5</v>
          </cell>
          <cell r="CH275">
            <v>0</v>
          </cell>
          <cell r="CI275">
            <v>70</v>
          </cell>
        </row>
        <row r="276">
          <cell r="A276" t="str">
            <v>A989</v>
          </cell>
          <cell r="B276" t="str">
            <v>Hoàng Văn Quốc Trưởng</v>
          </cell>
          <cell r="C276" t="str">
            <v>CI.1</v>
          </cell>
          <cell r="D276">
            <v>0</v>
          </cell>
          <cell r="E276">
            <v>42970</v>
          </cell>
          <cell r="F276">
            <v>3</v>
          </cell>
          <cell r="G276" t="str">
            <v>A</v>
          </cell>
          <cell r="H276">
            <v>4</v>
          </cell>
          <cell r="I276" t="str">
            <v>A</v>
          </cell>
          <cell r="J276">
            <v>4.5</v>
          </cell>
          <cell r="K276" t="str">
            <v>A</v>
          </cell>
          <cell r="L276">
            <v>4.5</v>
          </cell>
          <cell r="M276">
            <v>0</v>
          </cell>
          <cell r="N276">
            <v>12</v>
          </cell>
          <cell r="O276" t="str">
            <v>A</v>
          </cell>
          <cell r="P276">
            <v>4</v>
          </cell>
          <cell r="Q276" t="str">
            <v>A</v>
          </cell>
          <cell r="R276">
            <v>4</v>
          </cell>
          <cell r="S276" t="str">
            <v>D</v>
          </cell>
          <cell r="T276">
            <v>2</v>
          </cell>
          <cell r="U276" t="str">
            <v>D</v>
          </cell>
          <cell r="V276">
            <v>2</v>
          </cell>
          <cell r="W276" t="str">
            <v>A</v>
          </cell>
          <cell r="X276">
            <v>4</v>
          </cell>
          <cell r="Y276" t="str">
            <v>A</v>
          </cell>
          <cell r="Z276">
            <v>4</v>
          </cell>
          <cell r="AA276">
            <v>0</v>
          </cell>
          <cell r="AB276">
            <v>0</v>
          </cell>
          <cell r="AC276" t="str">
            <v>HH</v>
          </cell>
          <cell r="AD276">
            <v>0</v>
          </cell>
          <cell r="AE276" t="str">
            <v>C</v>
          </cell>
          <cell r="AF276">
            <v>4</v>
          </cell>
          <cell r="AG276" t="str">
            <v>C</v>
          </cell>
          <cell r="AH276">
            <v>4</v>
          </cell>
          <cell r="AI276" t="str">
            <v>C</v>
          </cell>
          <cell r="AJ276">
            <v>4</v>
          </cell>
          <cell r="AK276" t="str">
            <v>C</v>
          </cell>
          <cell r="AL276">
            <v>4</v>
          </cell>
          <cell r="AM276" t="str">
            <v>C</v>
          </cell>
          <cell r="AN276">
            <v>4</v>
          </cell>
          <cell r="AO276">
            <v>0</v>
          </cell>
          <cell r="AP276">
            <v>0</v>
          </cell>
          <cell r="AQ276" t="str">
            <v>A</v>
          </cell>
          <cell r="AR276">
            <v>4</v>
          </cell>
          <cell r="AS276" t="str">
            <v>D</v>
          </cell>
          <cell r="AT276">
            <v>2.5</v>
          </cell>
          <cell r="AU276" t="str">
            <v>D</v>
          </cell>
          <cell r="AV276">
            <v>2</v>
          </cell>
          <cell r="AW276" t="str">
            <v>D</v>
          </cell>
          <cell r="AX276">
            <v>0</v>
          </cell>
          <cell r="AY276" t="str">
            <v>D</v>
          </cell>
          <cell r="AZ276">
            <v>2</v>
          </cell>
          <cell r="BA276" t="str">
            <v>D</v>
          </cell>
          <cell r="BB276">
            <v>2</v>
          </cell>
          <cell r="BC276">
            <v>0</v>
          </cell>
          <cell r="BD276">
            <v>10</v>
          </cell>
          <cell r="BE276" t="str">
            <v>D</v>
          </cell>
          <cell r="BF276">
            <v>2</v>
          </cell>
          <cell r="BG276" t="str">
            <v>D</v>
          </cell>
          <cell r="BH276">
            <v>2</v>
          </cell>
          <cell r="BI276" t="str">
            <v>D</v>
          </cell>
          <cell r="BJ276">
            <v>2</v>
          </cell>
          <cell r="BK276" t="str">
            <v>D</v>
          </cell>
          <cell r="BL276">
            <v>2</v>
          </cell>
          <cell r="BM276" t="str">
            <v>D</v>
          </cell>
          <cell r="BN276">
            <v>2</v>
          </cell>
          <cell r="BO276" t="str">
            <v>D</v>
          </cell>
          <cell r="BP276">
            <v>0</v>
          </cell>
          <cell r="BQ276">
            <v>8</v>
          </cell>
          <cell r="BR276">
            <v>13</v>
          </cell>
          <cell r="BS276">
            <v>0</v>
          </cell>
          <cell r="BT276">
            <v>5</v>
          </cell>
          <cell r="BU276">
            <v>0</v>
          </cell>
          <cell r="BV276">
            <v>0</v>
          </cell>
          <cell r="BW276">
            <v>1</v>
          </cell>
          <cell r="BX276">
            <v>0</v>
          </cell>
          <cell r="BY276">
            <v>0</v>
          </cell>
          <cell r="BZ276">
            <v>27</v>
          </cell>
          <cell r="CA276">
            <v>75.5</v>
          </cell>
          <cell r="CB276">
            <v>22</v>
          </cell>
          <cell r="CC276">
            <v>0</v>
          </cell>
          <cell r="CD276">
            <v>2</v>
          </cell>
          <cell r="CE276">
            <v>1</v>
          </cell>
          <cell r="CF276">
            <v>140</v>
          </cell>
          <cell r="CG276">
            <v>4</v>
          </cell>
          <cell r="CH276">
            <v>16</v>
          </cell>
          <cell r="CI276">
            <v>70</v>
          </cell>
        </row>
        <row r="277">
          <cell r="A277" t="str">
            <v>A991</v>
          </cell>
          <cell r="B277" t="str">
            <v>Nguyễn Hoàn Kiếm</v>
          </cell>
          <cell r="C277" t="str">
            <v>CII.1</v>
          </cell>
          <cell r="D277">
            <v>0</v>
          </cell>
          <cell r="E277">
            <v>42982</v>
          </cell>
          <cell r="F277">
            <v>1.5</v>
          </cell>
          <cell r="G277" t="str">
            <v>A</v>
          </cell>
          <cell r="H277">
            <v>4</v>
          </cell>
          <cell r="I277" t="str">
            <v>A</v>
          </cell>
          <cell r="J277">
            <v>4</v>
          </cell>
          <cell r="K277" t="str">
            <v>D</v>
          </cell>
          <cell r="L277">
            <v>2</v>
          </cell>
          <cell r="M277">
            <v>0</v>
          </cell>
          <cell r="N277">
            <v>0</v>
          </cell>
          <cell r="O277" t="str">
            <v>D</v>
          </cell>
          <cell r="P277">
            <v>0</v>
          </cell>
          <cell r="Q277" t="str">
            <v>D</v>
          </cell>
          <cell r="R277">
            <v>1</v>
          </cell>
          <cell r="S277" t="str">
            <v>D</v>
          </cell>
          <cell r="T277">
            <v>0</v>
          </cell>
          <cell r="U277" t="str">
            <v>A</v>
          </cell>
          <cell r="V277">
            <v>4</v>
          </cell>
          <cell r="W277" t="str">
            <v>D</v>
          </cell>
          <cell r="X277">
            <v>0</v>
          </cell>
          <cell r="Y277" t="str">
            <v>NT7</v>
          </cell>
          <cell r="Z277">
            <v>0</v>
          </cell>
          <cell r="AA277">
            <v>0</v>
          </cell>
          <cell r="AB277">
            <v>0</v>
          </cell>
          <cell r="AC277" t="str">
            <v>D</v>
          </cell>
          <cell r="AD277">
            <v>1</v>
          </cell>
          <cell r="AE277" t="str">
            <v>D</v>
          </cell>
          <cell r="AF277">
            <v>1</v>
          </cell>
          <cell r="AG277" t="str">
            <v>A</v>
          </cell>
          <cell r="AH277">
            <v>4</v>
          </cell>
          <cell r="AI277" t="str">
            <v>D</v>
          </cell>
          <cell r="AJ277">
            <v>0</v>
          </cell>
          <cell r="AK277" t="str">
            <v>C</v>
          </cell>
          <cell r="AL277">
            <v>7</v>
          </cell>
          <cell r="AM277" t="str">
            <v>NT7</v>
          </cell>
          <cell r="AN277">
            <v>0</v>
          </cell>
          <cell r="AO277">
            <v>0</v>
          </cell>
          <cell r="AP277">
            <v>0</v>
          </cell>
          <cell r="AQ277" t="str">
            <v>C</v>
          </cell>
          <cell r="AR277">
            <v>4</v>
          </cell>
          <cell r="AS277" t="str">
            <v>C</v>
          </cell>
          <cell r="AT277">
            <v>4</v>
          </cell>
          <cell r="AU277" t="str">
            <v>C</v>
          </cell>
          <cell r="AV277">
            <v>4</v>
          </cell>
          <cell r="AW277" t="str">
            <v>C</v>
          </cell>
          <cell r="AX277">
            <v>4</v>
          </cell>
          <cell r="AY277" t="str">
            <v>C</v>
          </cell>
          <cell r="AZ277">
            <v>4</v>
          </cell>
          <cell r="BA277" t="str">
            <v>HH</v>
          </cell>
          <cell r="BB277">
            <v>0</v>
          </cell>
          <cell r="BC277">
            <v>0</v>
          </cell>
          <cell r="BD277">
            <v>0</v>
          </cell>
          <cell r="BE277" t="str">
            <v>C</v>
          </cell>
          <cell r="BF277">
            <v>4</v>
          </cell>
          <cell r="BG277" t="str">
            <v>C</v>
          </cell>
          <cell r="BH277">
            <v>4</v>
          </cell>
          <cell r="BI277" t="str">
            <v>C</v>
          </cell>
          <cell r="BJ277">
            <v>4</v>
          </cell>
          <cell r="BK277" t="str">
            <v>C</v>
          </cell>
          <cell r="BL277">
            <v>4</v>
          </cell>
          <cell r="BM277" t="str">
            <v>C</v>
          </cell>
          <cell r="BN277">
            <v>4</v>
          </cell>
          <cell r="BO277" t="str">
            <v>C</v>
          </cell>
          <cell r="BP277">
            <v>4</v>
          </cell>
          <cell r="BQ277">
            <v>4</v>
          </cell>
          <cell r="BR277">
            <v>8</v>
          </cell>
          <cell r="BS277">
            <v>0</v>
          </cell>
          <cell r="BT277">
            <v>12</v>
          </cell>
          <cell r="BU277">
            <v>0</v>
          </cell>
          <cell r="BV277">
            <v>0</v>
          </cell>
          <cell r="BW277">
            <v>1</v>
          </cell>
          <cell r="BX277">
            <v>2</v>
          </cell>
          <cell r="BY277">
            <v>0</v>
          </cell>
          <cell r="BZ277">
            <v>27</v>
          </cell>
          <cell r="CA277">
            <v>72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2.5</v>
          </cell>
          <cell r="CH277">
            <v>0</v>
          </cell>
          <cell r="CI277">
            <v>70</v>
          </cell>
        </row>
        <row r="278">
          <cell r="A278" t="str">
            <v>A993</v>
          </cell>
          <cell r="B278" t="str">
            <v>Đinh Thị Mỹ Linh</v>
          </cell>
          <cell r="C278" t="str">
            <v>QCX</v>
          </cell>
          <cell r="D278">
            <v>0</v>
          </cell>
          <cell r="E278">
            <v>42983</v>
          </cell>
          <cell r="F278">
            <v>1.5</v>
          </cell>
          <cell r="G278" t="str">
            <v>A</v>
          </cell>
          <cell r="H278">
            <v>4</v>
          </cell>
          <cell r="I278" t="str">
            <v>D</v>
          </cell>
          <cell r="J278">
            <v>3</v>
          </cell>
          <cell r="K278" t="str">
            <v>D</v>
          </cell>
          <cell r="L278">
            <v>2</v>
          </cell>
          <cell r="M278">
            <v>0</v>
          </cell>
          <cell r="N278">
            <v>8</v>
          </cell>
          <cell r="O278" t="str">
            <v>C</v>
          </cell>
          <cell r="P278">
            <v>4</v>
          </cell>
          <cell r="Q278" t="str">
            <v>C</v>
          </cell>
          <cell r="R278">
            <v>4</v>
          </cell>
          <cell r="S278" t="str">
            <v>C</v>
          </cell>
          <cell r="T278">
            <v>4</v>
          </cell>
          <cell r="U278" t="str">
            <v>C</v>
          </cell>
          <cell r="V278">
            <v>4</v>
          </cell>
          <cell r="W278" t="str">
            <v>C</v>
          </cell>
          <cell r="X278">
            <v>4</v>
          </cell>
          <cell r="Y278" t="str">
            <v>NT7</v>
          </cell>
          <cell r="Z278">
            <v>0</v>
          </cell>
          <cell r="AA278">
            <v>0</v>
          </cell>
          <cell r="AB278">
            <v>8</v>
          </cell>
          <cell r="AC278" t="str">
            <v>A</v>
          </cell>
          <cell r="AD278">
            <v>4</v>
          </cell>
          <cell r="AE278" t="str">
            <v>D</v>
          </cell>
          <cell r="AF278">
            <v>2</v>
          </cell>
          <cell r="AG278" t="str">
            <v>A</v>
          </cell>
          <cell r="AH278">
            <v>4</v>
          </cell>
          <cell r="AI278" t="str">
            <v>A</v>
          </cell>
          <cell r="AJ278">
            <v>4</v>
          </cell>
          <cell r="AK278" t="str">
            <v>A</v>
          </cell>
          <cell r="AL278">
            <v>4</v>
          </cell>
          <cell r="AM278" t="str">
            <v>D</v>
          </cell>
          <cell r="AN278">
            <v>0</v>
          </cell>
          <cell r="AO278">
            <v>0</v>
          </cell>
          <cell r="AP278">
            <v>0</v>
          </cell>
          <cell r="AQ278" t="str">
            <v>C</v>
          </cell>
          <cell r="AR278">
            <v>4</v>
          </cell>
          <cell r="AS278" t="str">
            <v>C</v>
          </cell>
          <cell r="AT278">
            <v>4</v>
          </cell>
          <cell r="AU278" t="str">
            <v>C</v>
          </cell>
          <cell r="AV278">
            <v>4</v>
          </cell>
          <cell r="AW278" t="str">
            <v>C</v>
          </cell>
          <cell r="AX278">
            <v>4</v>
          </cell>
          <cell r="AY278" t="str">
            <v>C</v>
          </cell>
          <cell r="AZ278">
            <v>4</v>
          </cell>
          <cell r="BA278" t="str">
            <v>NT7</v>
          </cell>
          <cell r="BB278">
            <v>0</v>
          </cell>
          <cell r="BC278">
            <v>0</v>
          </cell>
          <cell r="BD278">
            <v>0</v>
          </cell>
          <cell r="BE278" t="str">
            <v>D</v>
          </cell>
          <cell r="BF278">
            <v>0</v>
          </cell>
          <cell r="BG278" t="str">
            <v>A</v>
          </cell>
          <cell r="BH278">
            <v>4</v>
          </cell>
          <cell r="BI278" t="str">
            <v>A</v>
          </cell>
          <cell r="BJ278">
            <v>4</v>
          </cell>
          <cell r="BK278" t="str">
            <v>A</v>
          </cell>
          <cell r="BL278">
            <v>4</v>
          </cell>
          <cell r="BM278" t="str">
            <v>A</v>
          </cell>
          <cell r="BN278">
            <v>4</v>
          </cell>
          <cell r="BO278" t="str">
            <v>A</v>
          </cell>
          <cell r="BP278">
            <v>4</v>
          </cell>
          <cell r="BQ278">
            <v>10</v>
          </cell>
          <cell r="BR278">
            <v>5</v>
          </cell>
          <cell r="BS278">
            <v>0</v>
          </cell>
          <cell r="BT278">
            <v>10</v>
          </cell>
          <cell r="BU278">
            <v>0</v>
          </cell>
          <cell r="BV278">
            <v>0</v>
          </cell>
          <cell r="BW278">
            <v>0</v>
          </cell>
          <cell r="BX278">
            <v>2</v>
          </cell>
          <cell r="BY278">
            <v>0</v>
          </cell>
          <cell r="BZ278">
            <v>27</v>
          </cell>
          <cell r="CA278">
            <v>87</v>
          </cell>
          <cell r="CB278">
            <v>16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2.5</v>
          </cell>
          <cell r="CH278">
            <v>0</v>
          </cell>
          <cell r="CI278">
            <v>70</v>
          </cell>
        </row>
        <row r="279">
          <cell r="A279" t="str">
            <v>A995</v>
          </cell>
          <cell r="B279" t="str">
            <v>Lê Vũ Thuật</v>
          </cell>
          <cell r="C279" t="str">
            <v>Gián tiếp</v>
          </cell>
          <cell r="D279">
            <v>0</v>
          </cell>
          <cell r="E279">
            <v>42985</v>
          </cell>
          <cell r="F279">
            <v>0</v>
          </cell>
          <cell r="G279" t="str">
            <v>D</v>
          </cell>
          <cell r="H279">
            <v>0</v>
          </cell>
          <cell r="I279" t="str">
            <v>D</v>
          </cell>
          <cell r="J279">
            <v>0</v>
          </cell>
          <cell r="K279" t="str">
            <v>D</v>
          </cell>
          <cell r="L279">
            <v>0</v>
          </cell>
          <cell r="M279">
            <v>0</v>
          </cell>
          <cell r="N279">
            <v>0</v>
          </cell>
          <cell r="O279" t="str">
            <v>D</v>
          </cell>
          <cell r="P279">
            <v>0</v>
          </cell>
          <cell r="Q279" t="str">
            <v>D</v>
          </cell>
          <cell r="R279">
            <v>0</v>
          </cell>
          <cell r="S279" t="str">
            <v>D</v>
          </cell>
          <cell r="T279">
            <v>0</v>
          </cell>
          <cell r="U279" t="str">
            <v>D</v>
          </cell>
          <cell r="V279">
            <v>0</v>
          </cell>
          <cell r="W279" t="str">
            <v>D</v>
          </cell>
          <cell r="X279">
            <v>0</v>
          </cell>
          <cell r="Y279" t="str">
            <v>NT7</v>
          </cell>
          <cell r="Z279">
            <v>0</v>
          </cell>
          <cell r="AA279">
            <v>0</v>
          </cell>
          <cell r="AB279">
            <v>0</v>
          </cell>
          <cell r="AC279" t="str">
            <v>D</v>
          </cell>
          <cell r="AD279">
            <v>0</v>
          </cell>
          <cell r="AE279" t="str">
            <v>D</v>
          </cell>
          <cell r="AF279">
            <v>0</v>
          </cell>
          <cell r="AG279" t="str">
            <v>D</v>
          </cell>
          <cell r="AH279">
            <v>0</v>
          </cell>
          <cell r="AI279" t="str">
            <v>D</v>
          </cell>
          <cell r="AJ279">
            <v>0</v>
          </cell>
          <cell r="AK279" t="str">
            <v>P5,D5</v>
          </cell>
          <cell r="AL279">
            <v>0</v>
          </cell>
          <cell r="AM279" t="str">
            <v>D</v>
          </cell>
          <cell r="AN279">
            <v>0</v>
          </cell>
          <cell r="AO279">
            <v>0</v>
          </cell>
          <cell r="AP279">
            <v>0</v>
          </cell>
          <cell r="AQ279" t="str">
            <v>D</v>
          </cell>
          <cell r="AR279">
            <v>0</v>
          </cell>
          <cell r="AS279" t="str">
            <v>D</v>
          </cell>
          <cell r="AT279">
            <v>0</v>
          </cell>
          <cell r="AU279" t="str">
            <v>D</v>
          </cell>
          <cell r="AV279">
            <v>0</v>
          </cell>
          <cell r="AW279" t="str">
            <v>D</v>
          </cell>
          <cell r="AX279">
            <v>0</v>
          </cell>
          <cell r="AY279" t="str">
            <v>D</v>
          </cell>
          <cell r="AZ279">
            <v>0</v>
          </cell>
          <cell r="BA279" t="str">
            <v>NT7</v>
          </cell>
          <cell r="BB279">
            <v>0</v>
          </cell>
          <cell r="BC279">
            <v>0</v>
          </cell>
          <cell r="BD279">
            <v>0</v>
          </cell>
          <cell r="BE279" t="str">
            <v>D</v>
          </cell>
          <cell r="BF279">
            <v>0</v>
          </cell>
          <cell r="BG279" t="str">
            <v>D</v>
          </cell>
          <cell r="BH279">
            <v>0</v>
          </cell>
          <cell r="BI279" t="str">
            <v>D</v>
          </cell>
          <cell r="BJ279">
            <v>0</v>
          </cell>
          <cell r="BK279" t="str">
            <v>D</v>
          </cell>
          <cell r="BL279">
            <v>0</v>
          </cell>
          <cell r="BM279" t="str">
            <v>D</v>
          </cell>
          <cell r="BN279">
            <v>0</v>
          </cell>
          <cell r="BO279" t="str">
            <v>D</v>
          </cell>
          <cell r="BP279">
            <v>0</v>
          </cell>
          <cell r="BQ279">
            <v>0</v>
          </cell>
          <cell r="BR279">
            <v>24.5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2</v>
          </cell>
          <cell r="BY279">
            <v>0.5</v>
          </cell>
          <cell r="BZ279">
            <v>27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0.5</v>
          </cell>
          <cell r="CH279">
            <v>0</v>
          </cell>
          <cell r="CI279">
            <v>150</v>
          </cell>
        </row>
        <row r="280">
          <cell r="A280" t="str">
            <v>A997</v>
          </cell>
          <cell r="B280" t="str">
            <v>Võ Tấn Tài</v>
          </cell>
          <cell r="C280" t="str">
            <v>EN</v>
          </cell>
          <cell r="D280">
            <v>0</v>
          </cell>
          <cell r="E280">
            <v>42993</v>
          </cell>
          <cell r="F280">
            <v>1</v>
          </cell>
          <cell r="G280" t="str">
            <v>A</v>
          </cell>
          <cell r="H280">
            <v>4</v>
          </cell>
          <cell r="I280" t="str">
            <v>A</v>
          </cell>
          <cell r="J280">
            <v>4</v>
          </cell>
          <cell r="K280" t="str">
            <v>NT7</v>
          </cell>
          <cell r="L280">
            <v>0</v>
          </cell>
          <cell r="M280">
            <v>0</v>
          </cell>
          <cell r="N280">
            <v>0</v>
          </cell>
          <cell r="O280" t="str">
            <v>C</v>
          </cell>
          <cell r="P280">
            <v>4</v>
          </cell>
          <cell r="Q280" t="str">
            <v>C</v>
          </cell>
          <cell r="R280">
            <v>4</v>
          </cell>
          <cell r="S280" t="str">
            <v>C</v>
          </cell>
          <cell r="T280">
            <v>4</v>
          </cell>
          <cell r="U280" t="str">
            <v>C</v>
          </cell>
          <cell r="V280">
            <v>4</v>
          </cell>
          <cell r="W280" t="str">
            <v>C</v>
          </cell>
          <cell r="X280">
            <v>4</v>
          </cell>
          <cell r="Y280" t="str">
            <v>C</v>
          </cell>
          <cell r="Z280">
            <v>4</v>
          </cell>
          <cell r="AA280">
            <v>0</v>
          </cell>
          <cell r="AB280">
            <v>0</v>
          </cell>
          <cell r="AC280" t="str">
            <v>A</v>
          </cell>
          <cell r="AD280">
            <v>4</v>
          </cell>
          <cell r="AE280" t="str">
            <v>A</v>
          </cell>
          <cell r="AF280">
            <v>4</v>
          </cell>
          <cell r="AG280" t="str">
            <v>A</v>
          </cell>
          <cell r="AH280">
            <v>4</v>
          </cell>
          <cell r="AI280" t="str">
            <v>A</v>
          </cell>
          <cell r="AJ280">
            <v>4</v>
          </cell>
          <cell r="AK280" t="str">
            <v>A</v>
          </cell>
          <cell r="AL280">
            <v>4</v>
          </cell>
          <cell r="AM280" t="str">
            <v>A</v>
          </cell>
          <cell r="AN280">
            <v>4</v>
          </cell>
          <cell r="AO280">
            <v>0</v>
          </cell>
          <cell r="AP280">
            <v>0</v>
          </cell>
          <cell r="AQ280" t="str">
            <v>C</v>
          </cell>
          <cell r="AR280">
            <v>4</v>
          </cell>
          <cell r="AS280" t="str">
            <v>C</v>
          </cell>
          <cell r="AT280">
            <v>4</v>
          </cell>
          <cell r="AU280" t="str">
            <v>C</v>
          </cell>
          <cell r="AV280">
            <v>4</v>
          </cell>
          <cell r="AW280" t="str">
            <v>C</v>
          </cell>
          <cell r="AX280">
            <v>4</v>
          </cell>
          <cell r="AY280" t="str">
            <v>C</v>
          </cell>
          <cell r="AZ280">
            <v>4</v>
          </cell>
          <cell r="BA280" t="str">
            <v>C</v>
          </cell>
          <cell r="BB280">
            <v>4</v>
          </cell>
          <cell r="BC280">
            <v>0</v>
          </cell>
          <cell r="BD280">
            <v>0</v>
          </cell>
          <cell r="BE280" t="str">
            <v>C</v>
          </cell>
          <cell r="BF280">
            <v>4</v>
          </cell>
          <cell r="BG280" t="str">
            <v>C</v>
          </cell>
          <cell r="BH280">
            <v>4</v>
          </cell>
          <cell r="BI280" t="str">
            <v>C</v>
          </cell>
          <cell r="BJ280">
            <v>4</v>
          </cell>
          <cell r="BK280" t="str">
            <v>C</v>
          </cell>
          <cell r="BL280">
            <v>4</v>
          </cell>
          <cell r="BM280" t="str">
            <v>C</v>
          </cell>
          <cell r="BN280">
            <v>4</v>
          </cell>
          <cell r="BO280" t="str">
            <v>C</v>
          </cell>
          <cell r="BP280">
            <v>4</v>
          </cell>
          <cell r="BQ280">
            <v>8</v>
          </cell>
          <cell r="BR280">
            <v>0</v>
          </cell>
          <cell r="BS280">
            <v>0</v>
          </cell>
          <cell r="BT280">
            <v>18</v>
          </cell>
          <cell r="BU280">
            <v>0</v>
          </cell>
          <cell r="BV280">
            <v>0</v>
          </cell>
          <cell r="BW280">
            <v>0</v>
          </cell>
          <cell r="BX280">
            <v>1</v>
          </cell>
          <cell r="BY280">
            <v>0</v>
          </cell>
          <cell r="BZ280">
            <v>27</v>
          </cell>
          <cell r="CA280">
            <v>104</v>
          </cell>
          <cell r="CB280">
            <v>0</v>
          </cell>
          <cell r="CC280">
            <v>0</v>
          </cell>
          <cell r="CD280">
            <v>1</v>
          </cell>
          <cell r="CE280">
            <v>0</v>
          </cell>
          <cell r="CF280">
            <v>70</v>
          </cell>
          <cell r="CG280">
            <v>2</v>
          </cell>
          <cell r="CH280">
            <v>0</v>
          </cell>
          <cell r="CI280">
            <v>70</v>
          </cell>
        </row>
        <row r="281">
          <cell r="A281" t="str">
            <v>A998</v>
          </cell>
          <cell r="B281" t="str">
            <v>Trương Thanh Phong</v>
          </cell>
          <cell r="C281" t="str">
            <v>EN</v>
          </cell>
          <cell r="D281">
            <v>0</v>
          </cell>
          <cell r="E281">
            <v>42993</v>
          </cell>
          <cell r="F281">
            <v>2</v>
          </cell>
          <cell r="G281" t="str">
            <v>C</v>
          </cell>
          <cell r="H281">
            <v>4</v>
          </cell>
          <cell r="I281" t="str">
            <v>C</v>
          </cell>
          <cell r="J281">
            <v>4</v>
          </cell>
          <cell r="K281" t="str">
            <v>C</v>
          </cell>
          <cell r="L281">
            <v>4</v>
          </cell>
          <cell r="M281">
            <v>0</v>
          </cell>
          <cell r="N281">
            <v>0</v>
          </cell>
          <cell r="O281" t="str">
            <v>C</v>
          </cell>
          <cell r="P281">
            <v>4</v>
          </cell>
          <cell r="Q281" t="str">
            <v>C</v>
          </cell>
          <cell r="R281">
            <v>4</v>
          </cell>
          <cell r="S281" t="str">
            <v>C</v>
          </cell>
          <cell r="T281">
            <v>4</v>
          </cell>
          <cell r="U281" t="str">
            <v>C</v>
          </cell>
          <cell r="V281">
            <v>4</v>
          </cell>
          <cell r="W281" t="str">
            <v>C</v>
          </cell>
          <cell r="X281">
            <v>4</v>
          </cell>
          <cell r="Y281" t="str">
            <v>C</v>
          </cell>
          <cell r="Z281">
            <v>4</v>
          </cell>
          <cell r="AA281">
            <v>0</v>
          </cell>
          <cell r="AB281">
            <v>0</v>
          </cell>
          <cell r="AC281" t="str">
            <v>C</v>
          </cell>
          <cell r="AD281">
            <v>4</v>
          </cell>
          <cell r="AE281" t="str">
            <v>C</v>
          </cell>
          <cell r="AF281">
            <v>4</v>
          </cell>
          <cell r="AG281" t="str">
            <v>C</v>
          </cell>
          <cell r="AH281">
            <v>4</v>
          </cell>
          <cell r="AI281" t="str">
            <v>C</v>
          </cell>
          <cell r="AJ281">
            <v>4</v>
          </cell>
          <cell r="AK281" t="str">
            <v>C</v>
          </cell>
          <cell r="AL281">
            <v>4</v>
          </cell>
          <cell r="AM281" t="str">
            <v>C</v>
          </cell>
          <cell r="AN281">
            <v>4</v>
          </cell>
          <cell r="AO281">
            <v>0</v>
          </cell>
          <cell r="AP281">
            <v>0</v>
          </cell>
          <cell r="AQ281" t="str">
            <v>A</v>
          </cell>
          <cell r="AR281">
            <v>4</v>
          </cell>
          <cell r="AS281" t="str">
            <v>A</v>
          </cell>
          <cell r="AT281">
            <v>4</v>
          </cell>
          <cell r="AU281" t="str">
            <v>A</v>
          </cell>
          <cell r="AV281">
            <v>4</v>
          </cell>
          <cell r="AW281" t="str">
            <v>A</v>
          </cell>
          <cell r="AX281">
            <v>4</v>
          </cell>
          <cell r="AY281" t="str">
            <v>A</v>
          </cell>
          <cell r="AZ281">
            <v>4</v>
          </cell>
          <cell r="BA281" t="str">
            <v>A</v>
          </cell>
          <cell r="BB281">
            <v>4</v>
          </cell>
          <cell r="BC281">
            <v>0</v>
          </cell>
          <cell r="BD281">
            <v>0</v>
          </cell>
          <cell r="BE281" t="str">
            <v>C</v>
          </cell>
          <cell r="BF281">
            <v>4</v>
          </cell>
          <cell r="BG281" t="str">
            <v>C</v>
          </cell>
          <cell r="BH281">
            <v>4</v>
          </cell>
          <cell r="BI281" t="str">
            <v>C</v>
          </cell>
          <cell r="BJ281">
            <v>4</v>
          </cell>
          <cell r="BK281" t="str">
            <v>C</v>
          </cell>
          <cell r="BL281">
            <v>4</v>
          </cell>
          <cell r="BM281" t="str">
            <v>C</v>
          </cell>
          <cell r="BN281">
            <v>4</v>
          </cell>
          <cell r="BO281" t="str">
            <v>C</v>
          </cell>
          <cell r="BP281">
            <v>4</v>
          </cell>
          <cell r="BQ281">
            <v>6</v>
          </cell>
          <cell r="BR281">
            <v>0</v>
          </cell>
          <cell r="BS281">
            <v>0</v>
          </cell>
          <cell r="BT281">
            <v>21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27</v>
          </cell>
          <cell r="CA281">
            <v>108</v>
          </cell>
          <cell r="CB281">
            <v>0</v>
          </cell>
          <cell r="CC281">
            <v>0</v>
          </cell>
          <cell r="CD281">
            <v>2</v>
          </cell>
          <cell r="CE281">
            <v>0</v>
          </cell>
          <cell r="CF281">
            <v>140</v>
          </cell>
          <cell r="CG281">
            <v>3</v>
          </cell>
          <cell r="CH281">
            <v>0</v>
          </cell>
          <cell r="CI281">
            <v>70</v>
          </cell>
        </row>
        <row r="282">
          <cell r="A282" t="str">
            <v>A1007</v>
          </cell>
          <cell r="B282" t="str">
            <v>Ngô Văn Ba</v>
          </cell>
          <cell r="C282" t="str">
            <v>CII.1</v>
          </cell>
          <cell r="D282">
            <v>0</v>
          </cell>
          <cell r="E282">
            <v>43009</v>
          </cell>
          <cell r="F282">
            <v>4</v>
          </cell>
          <cell r="G282" t="str">
            <v>C</v>
          </cell>
          <cell r="H282">
            <v>4</v>
          </cell>
          <cell r="I282" t="str">
            <v>C</v>
          </cell>
          <cell r="J282">
            <v>4</v>
          </cell>
          <cell r="K282" t="str">
            <v>HH</v>
          </cell>
          <cell r="L282">
            <v>0</v>
          </cell>
          <cell r="M282">
            <v>0</v>
          </cell>
          <cell r="N282">
            <v>0</v>
          </cell>
          <cell r="O282" t="str">
            <v>A</v>
          </cell>
          <cell r="P282">
            <v>4</v>
          </cell>
          <cell r="Q282" t="str">
            <v>A</v>
          </cell>
          <cell r="R282">
            <v>4</v>
          </cell>
          <cell r="S282" t="str">
            <v>A</v>
          </cell>
          <cell r="T282">
            <v>4</v>
          </cell>
          <cell r="U282" t="str">
            <v>A</v>
          </cell>
          <cell r="V282">
            <v>4</v>
          </cell>
          <cell r="W282" t="str">
            <v>A</v>
          </cell>
          <cell r="X282">
            <v>4</v>
          </cell>
          <cell r="Y282" t="str">
            <v>D</v>
          </cell>
          <cell r="Z282">
            <v>2.5</v>
          </cell>
          <cell r="AA282">
            <v>0</v>
          </cell>
          <cell r="AB282">
            <v>0</v>
          </cell>
          <cell r="AC282" t="str">
            <v>C</v>
          </cell>
          <cell r="AD282">
            <v>4</v>
          </cell>
          <cell r="AE282" t="str">
            <v>C</v>
          </cell>
          <cell r="AF282">
            <v>4</v>
          </cell>
          <cell r="AG282" t="str">
            <v>C</v>
          </cell>
          <cell r="AH282">
            <v>4</v>
          </cell>
          <cell r="AI282" t="str">
            <v>C</v>
          </cell>
          <cell r="AJ282">
            <v>4</v>
          </cell>
          <cell r="AK282" t="str">
            <v>C</v>
          </cell>
          <cell r="AL282">
            <v>4</v>
          </cell>
          <cell r="AM282" t="str">
            <v>NT7</v>
          </cell>
          <cell r="AN282">
            <v>0</v>
          </cell>
          <cell r="AO282">
            <v>0</v>
          </cell>
          <cell r="AP282">
            <v>0</v>
          </cell>
          <cell r="AQ282" t="str">
            <v>A</v>
          </cell>
          <cell r="AR282">
            <v>4</v>
          </cell>
          <cell r="AS282" t="str">
            <v>A</v>
          </cell>
          <cell r="AT282">
            <v>4</v>
          </cell>
          <cell r="AU282" t="str">
            <v>A</v>
          </cell>
          <cell r="AV282">
            <v>4</v>
          </cell>
          <cell r="AW282" t="str">
            <v>A</v>
          </cell>
          <cell r="AX282">
            <v>4</v>
          </cell>
          <cell r="AY282" t="str">
            <v>A</v>
          </cell>
          <cell r="AZ282">
            <v>4</v>
          </cell>
          <cell r="BA282" t="str">
            <v>D</v>
          </cell>
          <cell r="BB282">
            <v>1</v>
          </cell>
          <cell r="BC282">
            <v>0</v>
          </cell>
          <cell r="BD282">
            <v>0</v>
          </cell>
          <cell r="BE282" t="str">
            <v>NT7</v>
          </cell>
          <cell r="BF282">
            <v>0</v>
          </cell>
          <cell r="BG282" t="str">
            <v>A</v>
          </cell>
          <cell r="BH282">
            <v>4</v>
          </cell>
          <cell r="BI282" t="str">
            <v>A</v>
          </cell>
          <cell r="BJ282">
            <v>4</v>
          </cell>
          <cell r="BK282" t="str">
            <v>A</v>
          </cell>
          <cell r="BL282">
            <v>4</v>
          </cell>
          <cell r="BM282" t="str">
            <v>A</v>
          </cell>
          <cell r="BN282">
            <v>4</v>
          </cell>
          <cell r="BO282" t="str">
            <v>D</v>
          </cell>
          <cell r="BP282">
            <v>0</v>
          </cell>
          <cell r="BQ282">
            <v>14</v>
          </cell>
          <cell r="BR282">
            <v>3</v>
          </cell>
          <cell r="BS282">
            <v>0</v>
          </cell>
          <cell r="BT282">
            <v>7</v>
          </cell>
          <cell r="BU282">
            <v>0</v>
          </cell>
          <cell r="BV282">
            <v>0</v>
          </cell>
          <cell r="BW282">
            <v>1</v>
          </cell>
          <cell r="BX282">
            <v>2</v>
          </cell>
          <cell r="BY282">
            <v>0</v>
          </cell>
          <cell r="BZ282">
            <v>27</v>
          </cell>
          <cell r="CA282">
            <v>87.5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5</v>
          </cell>
          <cell r="CH282">
            <v>0</v>
          </cell>
          <cell r="CI282">
            <v>150</v>
          </cell>
        </row>
        <row r="283">
          <cell r="A283" t="str">
            <v>A1008</v>
          </cell>
          <cell r="B283" t="str">
            <v>Nguyễn Thiện Tâm</v>
          </cell>
          <cell r="C283" t="str">
            <v>CD</v>
          </cell>
          <cell r="D283">
            <v>0</v>
          </cell>
          <cell r="E283">
            <v>43009</v>
          </cell>
          <cell r="F283">
            <v>2</v>
          </cell>
          <cell r="G283" t="str">
            <v>A</v>
          </cell>
          <cell r="H283">
            <v>4</v>
          </cell>
          <cell r="I283" t="str">
            <v>A</v>
          </cell>
          <cell r="J283">
            <v>4</v>
          </cell>
          <cell r="K283" t="str">
            <v>A</v>
          </cell>
          <cell r="L283">
            <v>4</v>
          </cell>
          <cell r="M283">
            <v>0</v>
          </cell>
          <cell r="N283">
            <v>0</v>
          </cell>
          <cell r="O283" t="str">
            <v>A</v>
          </cell>
          <cell r="P283">
            <v>4</v>
          </cell>
          <cell r="Q283" t="str">
            <v>A</v>
          </cell>
          <cell r="R283">
            <v>4</v>
          </cell>
          <cell r="S283" t="str">
            <v>A</v>
          </cell>
          <cell r="T283">
            <v>4</v>
          </cell>
          <cell r="U283" t="str">
            <v>D</v>
          </cell>
          <cell r="V283">
            <v>2</v>
          </cell>
          <cell r="W283" t="str">
            <v>A</v>
          </cell>
          <cell r="X283">
            <v>4</v>
          </cell>
          <cell r="Y283" t="str">
            <v>D</v>
          </cell>
          <cell r="Z283">
            <v>0</v>
          </cell>
          <cell r="AA283">
            <v>0</v>
          </cell>
          <cell r="AB283">
            <v>12</v>
          </cell>
          <cell r="AC283" t="str">
            <v>D</v>
          </cell>
          <cell r="AD283">
            <v>2</v>
          </cell>
          <cell r="AE283" t="str">
            <v>A</v>
          </cell>
          <cell r="AF283">
            <v>8</v>
          </cell>
          <cell r="AG283" t="str">
            <v>A</v>
          </cell>
          <cell r="AH283">
            <v>4</v>
          </cell>
          <cell r="AI283" t="str">
            <v>A</v>
          </cell>
          <cell r="AJ283">
            <v>4</v>
          </cell>
          <cell r="AK283" t="str">
            <v>D</v>
          </cell>
          <cell r="AL283">
            <v>3</v>
          </cell>
          <cell r="AM283" t="str">
            <v>A</v>
          </cell>
          <cell r="AN283">
            <v>4</v>
          </cell>
          <cell r="AO283">
            <v>0</v>
          </cell>
          <cell r="AP283">
            <v>11</v>
          </cell>
          <cell r="AQ283" t="str">
            <v>A</v>
          </cell>
          <cell r="AR283">
            <v>4</v>
          </cell>
          <cell r="AS283" t="str">
            <v>NT7</v>
          </cell>
          <cell r="AT283">
            <v>0</v>
          </cell>
          <cell r="AU283" t="str">
            <v>A</v>
          </cell>
          <cell r="AV283">
            <v>4</v>
          </cell>
          <cell r="AW283" t="str">
            <v>A</v>
          </cell>
          <cell r="AX283">
            <v>4</v>
          </cell>
          <cell r="AY283" t="str">
            <v>D</v>
          </cell>
          <cell r="AZ283">
            <v>2.5</v>
          </cell>
          <cell r="BA283" t="str">
            <v>D</v>
          </cell>
          <cell r="BB283">
            <v>2</v>
          </cell>
          <cell r="BC283">
            <v>0</v>
          </cell>
          <cell r="BD283">
            <v>5</v>
          </cell>
          <cell r="BE283" t="str">
            <v>A</v>
          </cell>
          <cell r="BF283">
            <v>4</v>
          </cell>
          <cell r="BG283" t="str">
            <v>A</v>
          </cell>
          <cell r="BH283">
            <v>8</v>
          </cell>
          <cell r="BI283" t="str">
            <v>A</v>
          </cell>
          <cell r="BJ283">
            <v>8</v>
          </cell>
          <cell r="BK283" t="str">
            <v>A</v>
          </cell>
          <cell r="BL283">
            <v>8</v>
          </cell>
          <cell r="BM283" t="str">
            <v>D</v>
          </cell>
          <cell r="BN283">
            <v>1</v>
          </cell>
          <cell r="BO283" t="str">
            <v>A</v>
          </cell>
          <cell r="BP283">
            <v>4</v>
          </cell>
          <cell r="BQ283">
            <v>19</v>
          </cell>
          <cell r="BR283">
            <v>7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1</v>
          </cell>
          <cell r="BY283">
            <v>0</v>
          </cell>
          <cell r="BZ283">
            <v>27</v>
          </cell>
          <cell r="CA283">
            <v>104.5</v>
          </cell>
          <cell r="CB283">
            <v>28</v>
          </cell>
          <cell r="CC283">
            <v>0</v>
          </cell>
          <cell r="CD283">
            <v>1</v>
          </cell>
          <cell r="CE283">
            <v>1</v>
          </cell>
          <cell r="CF283">
            <v>70</v>
          </cell>
          <cell r="CG283">
            <v>3</v>
          </cell>
          <cell r="CH283">
            <v>16</v>
          </cell>
          <cell r="CI283">
            <v>70</v>
          </cell>
        </row>
        <row r="284">
          <cell r="A284" t="str">
            <v>A1013</v>
          </cell>
          <cell r="B284" t="str">
            <v>Hữu Thị Sà Phép</v>
          </cell>
          <cell r="C284" t="str">
            <v>QCX</v>
          </cell>
          <cell r="D284">
            <v>0</v>
          </cell>
          <cell r="E284">
            <v>43009</v>
          </cell>
          <cell r="F284">
            <v>0</v>
          </cell>
          <cell r="G284" t="str">
            <v>C</v>
          </cell>
          <cell r="H284">
            <v>4</v>
          </cell>
          <cell r="I284" t="str">
            <v>C</v>
          </cell>
          <cell r="J284">
            <v>4</v>
          </cell>
          <cell r="K284" t="str">
            <v>NT7</v>
          </cell>
          <cell r="L284">
            <v>0</v>
          </cell>
          <cell r="M284">
            <v>0</v>
          </cell>
          <cell r="N284">
            <v>0</v>
          </cell>
          <cell r="O284" t="str">
            <v>A</v>
          </cell>
          <cell r="P284">
            <v>4</v>
          </cell>
          <cell r="Q284" t="str">
            <v>A</v>
          </cell>
          <cell r="R284">
            <v>4</v>
          </cell>
          <cell r="S284" t="str">
            <v>A</v>
          </cell>
          <cell r="T284">
            <v>4</v>
          </cell>
          <cell r="U284" t="str">
            <v>D</v>
          </cell>
          <cell r="V284">
            <v>2</v>
          </cell>
          <cell r="W284" t="str">
            <v>A</v>
          </cell>
          <cell r="X284">
            <v>4</v>
          </cell>
          <cell r="Y284" t="str">
            <v>A</v>
          </cell>
          <cell r="Z284">
            <v>4</v>
          </cell>
          <cell r="AA284">
            <v>0</v>
          </cell>
          <cell r="AB284">
            <v>8</v>
          </cell>
          <cell r="AC284" t="str">
            <v>C</v>
          </cell>
          <cell r="AD284">
            <v>4</v>
          </cell>
          <cell r="AE284" t="str">
            <v>C</v>
          </cell>
          <cell r="AF284">
            <v>4</v>
          </cell>
          <cell r="AG284" t="str">
            <v>C</v>
          </cell>
          <cell r="AH284">
            <v>4</v>
          </cell>
          <cell r="AI284" t="str">
            <v>C</v>
          </cell>
          <cell r="AJ284">
            <v>4</v>
          </cell>
          <cell r="AK284" t="str">
            <v>C</v>
          </cell>
          <cell r="AL284">
            <v>4</v>
          </cell>
          <cell r="AM284" t="str">
            <v>C</v>
          </cell>
          <cell r="AN284">
            <v>4</v>
          </cell>
          <cell r="AO284">
            <v>0</v>
          </cell>
          <cell r="AP284">
            <v>0</v>
          </cell>
          <cell r="AQ284" t="str">
            <v>NT7</v>
          </cell>
          <cell r="AR284">
            <v>0</v>
          </cell>
          <cell r="AS284" t="str">
            <v>A</v>
          </cell>
          <cell r="AT284">
            <v>4</v>
          </cell>
          <cell r="AU284" t="str">
            <v>A</v>
          </cell>
          <cell r="AV284">
            <v>4</v>
          </cell>
          <cell r="AW284" t="str">
            <v>A</v>
          </cell>
          <cell r="AX284">
            <v>4</v>
          </cell>
          <cell r="AY284" t="str">
            <v>A</v>
          </cell>
          <cell r="AZ284">
            <v>4</v>
          </cell>
          <cell r="BA284" t="str">
            <v>D</v>
          </cell>
          <cell r="BB284">
            <v>2</v>
          </cell>
          <cell r="BC284">
            <v>0</v>
          </cell>
          <cell r="BD284">
            <v>0</v>
          </cell>
          <cell r="BE284" t="str">
            <v>C</v>
          </cell>
          <cell r="BF284">
            <v>4</v>
          </cell>
          <cell r="BG284" t="str">
            <v>C</v>
          </cell>
          <cell r="BH284">
            <v>4</v>
          </cell>
          <cell r="BI284" t="str">
            <v>C</v>
          </cell>
          <cell r="BJ284">
            <v>4</v>
          </cell>
          <cell r="BK284" t="str">
            <v>C</v>
          </cell>
          <cell r="BL284">
            <v>4</v>
          </cell>
          <cell r="BM284" t="str">
            <v>C</v>
          </cell>
          <cell r="BN284">
            <v>4</v>
          </cell>
          <cell r="BO284" t="str">
            <v>C</v>
          </cell>
          <cell r="BP284">
            <v>6</v>
          </cell>
          <cell r="BQ284">
            <v>9</v>
          </cell>
          <cell r="BR284">
            <v>2</v>
          </cell>
          <cell r="BS284">
            <v>0</v>
          </cell>
          <cell r="BT284">
            <v>14</v>
          </cell>
          <cell r="BU284">
            <v>0</v>
          </cell>
          <cell r="BV284">
            <v>0</v>
          </cell>
          <cell r="BW284">
            <v>0</v>
          </cell>
          <cell r="BX284">
            <v>2</v>
          </cell>
          <cell r="BY284">
            <v>0</v>
          </cell>
          <cell r="BZ284">
            <v>27</v>
          </cell>
          <cell r="CA284">
            <v>98</v>
          </cell>
          <cell r="CB284">
            <v>8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1</v>
          </cell>
          <cell r="CH284">
            <v>0</v>
          </cell>
          <cell r="CI284">
            <v>70</v>
          </cell>
        </row>
        <row r="285">
          <cell r="A285" t="str">
            <v>A1016</v>
          </cell>
          <cell r="B285" t="str">
            <v>Trần Thiên Tân</v>
          </cell>
          <cell r="C285" t="str">
            <v>EN</v>
          </cell>
          <cell r="D285">
            <v>0</v>
          </cell>
          <cell r="E285">
            <v>42746</v>
          </cell>
          <cell r="F285">
            <v>1</v>
          </cell>
          <cell r="G285" t="str">
            <v>C</v>
          </cell>
          <cell r="H285">
            <v>4</v>
          </cell>
          <cell r="I285" t="str">
            <v>C</v>
          </cell>
          <cell r="J285">
            <v>4</v>
          </cell>
          <cell r="K285" t="str">
            <v>C</v>
          </cell>
          <cell r="L285">
            <v>4</v>
          </cell>
          <cell r="M285">
            <v>0</v>
          </cell>
          <cell r="N285">
            <v>0</v>
          </cell>
          <cell r="O285" t="str">
            <v>A</v>
          </cell>
          <cell r="P285">
            <v>4</v>
          </cell>
          <cell r="Q285" t="str">
            <v>A</v>
          </cell>
          <cell r="R285">
            <v>4</v>
          </cell>
          <cell r="S285" t="str">
            <v>A</v>
          </cell>
          <cell r="T285">
            <v>4</v>
          </cell>
          <cell r="U285" t="str">
            <v>A</v>
          </cell>
          <cell r="V285">
            <v>4</v>
          </cell>
          <cell r="W285" t="str">
            <v>A</v>
          </cell>
          <cell r="X285">
            <v>4</v>
          </cell>
          <cell r="Y285" t="str">
            <v>A</v>
          </cell>
          <cell r="Z285">
            <v>4</v>
          </cell>
          <cell r="AA285">
            <v>0</v>
          </cell>
          <cell r="AB285">
            <v>12</v>
          </cell>
          <cell r="AC285" t="str">
            <v>C</v>
          </cell>
          <cell r="AD285">
            <v>4</v>
          </cell>
          <cell r="AE285" t="str">
            <v>C</v>
          </cell>
          <cell r="AF285">
            <v>4</v>
          </cell>
          <cell r="AG285" t="str">
            <v>C</v>
          </cell>
          <cell r="AH285">
            <v>4</v>
          </cell>
          <cell r="AI285" t="str">
            <v>C</v>
          </cell>
          <cell r="AJ285">
            <v>4</v>
          </cell>
          <cell r="AK285" t="str">
            <v>C</v>
          </cell>
          <cell r="AL285">
            <v>4</v>
          </cell>
          <cell r="AM285" t="str">
            <v>C</v>
          </cell>
          <cell r="AN285">
            <v>4</v>
          </cell>
          <cell r="AO285">
            <v>0</v>
          </cell>
          <cell r="AP285">
            <v>0</v>
          </cell>
          <cell r="AQ285" t="str">
            <v>A</v>
          </cell>
          <cell r="AR285">
            <v>4</v>
          </cell>
          <cell r="AS285" t="str">
            <v>A</v>
          </cell>
          <cell r="AT285">
            <v>4</v>
          </cell>
          <cell r="AU285" t="str">
            <v>A</v>
          </cell>
          <cell r="AV285">
            <v>4</v>
          </cell>
          <cell r="AW285" t="str">
            <v>A</v>
          </cell>
          <cell r="AX285">
            <v>4</v>
          </cell>
          <cell r="AY285" t="str">
            <v>A</v>
          </cell>
          <cell r="AZ285">
            <v>4</v>
          </cell>
          <cell r="BA285" t="str">
            <v>D</v>
          </cell>
          <cell r="BB285">
            <v>2</v>
          </cell>
          <cell r="BC285">
            <v>0</v>
          </cell>
          <cell r="BD285">
            <v>0</v>
          </cell>
          <cell r="BE285" t="str">
            <v>C</v>
          </cell>
          <cell r="BF285">
            <v>4</v>
          </cell>
          <cell r="BG285" t="str">
            <v>C</v>
          </cell>
          <cell r="BH285">
            <v>4</v>
          </cell>
          <cell r="BI285" t="str">
            <v>C</v>
          </cell>
          <cell r="BJ285">
            <v>4</v>
          </cell>
          <cell r="BK285" t="str">
            <v>C</v>
          </cell>
          <cell r="BL285">
            <v>4</v>
          </cell>
          <cell r="BM285" t="str">
            <v>C</v>
          </cell>
          <cell r="BN285">
            <v>4</v>
          </cell>
          <cell r="BO285" t="str">
            <v>C</v>
          </cell>
          <cell r="BP285">
            <v>4</v>
          </cell>
          <cell r="BQ285">
            <v>11</v>
          </cell>
          <cell r="BR285">
            <v>1</v>
          </cell>
          <cell r="BS285">
            <v>0</v>
          </cell>
          <cell r="BT285">
            <v>15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27</v>
          </cell>
          <cell r="CA285">
            <v>106</v>
          </cell>
          <cell r="CB285">
            <v>12</v>
          </cell>
          <cell r="CC285">
            <v>0</v>
          </cell>
          <cell r="CD285">
            <v>2</v>
          </cell>
          <cell r="CE285">
            <v>1</v>
          </cell>
          <cell r="CF285">
            <v>140</v>
          </cell>
          <cell r="CG285">
            <v>2</v>
          </cell>
          <cell r="CH285">
            <v>16</v>
          </cell>
          <cell r="CI285">
            <v>70</v>
          </cell>
        </row>
        <row r="286">
          <cell r="A286" t="str">
            <v>A1018</v>
          </cell>
          <cell r="B286" t="str">
            <v>Nguyễn Văn Đạm</v>
          </cell>
          <cell r="C286" t="str">
            <v>EN</v>
          </cell>
          <cell r="D286">
            <v>0</v>
          </cell>
          <cell r="E286" t="str">
            <v>14/11/2017</v>
          </cell>
          <cell r="F286">
            <v>1</v>
          </cell>
          <cell r="G286" t="str">
            <v>C</v>
          </cell>
          <cell r="H286">
            <v>4</v>
          </cell>
          <cell r="I286" t="str">
            <v>C</v>
          </cell>
          <cell r="J286">
            <v>4</v>
          </cell>
          <cell r="K286" t="str">
            <v>C</v>
          </cell>
          <cell r="L286">
            <v>4</v>
          </cell>
          <cell r="M286">
            <v>0</v>
          </cell>
          <cell r="N286">
            <v>0</v>
          </cell>
          <cell r="O286" t="str">
            <v>A</v>
          </cell>
          <cell r="P286">
            <v>4</v>
          </cell>
          <cell r="Q286" t="str">
            <v>A</v>
          </cell>
          <cell r="R286">
            <v>4</v>
          </cell>
          <cell r="S286" t="str">
            <v>A</v>
          </cell>
          <cell r="T286">
            <v>4</v>
          </cell>
          <cell r="U286" t="str">
            <v>D</v>
          </cell>
          <cell r="V286">
            <v>2</v>
          </cell>
          <cell r="W286" t="str">
            <v>NT7</v>
          </cell>
          <cell r="X286">
            <v>0</v>
          </cell>
          <cell r="Y286" t="str">
            <v>A</v>
          </cell>
          <cell r="Z286">
            <v>4</v>
          </cell>
          <cell r="AA286">
            <v>0</v>
          </cell>
          <cell r="AB286">
            <v>0</v>
          </cell>
          <cell r="AC286" t="str">
            <v>C</v>
          </cell>
          <cell r="AD286">
            <v>4</v>
          </cell>
          <cell r="AE286" t="str">
            <v>C</v>
          </cell>
          <cell r="AF286">
            <v>4</v>
          </cell>
          <cell r="AG286" t="str">
            <v>C</v>
          </cell>
          <cell r="AH286">
            <v>4</v>
          </cell>
          <cell r="AI286" t="str">
            <v>C</v>
          </cell>
          <cell r="AJ286">
            <v>4</v>
          </cell>
          <cell r="AK286" t="str">
            <v>C</v>
          </cell>
          <cell r="AL286">
            <v>4</v>
          </cell>
          <cell r="AM286" t="str">
            <v>C</v>
          </cell>
          <cell r="AN286">
            <v>4</v>
          </cell>
          <cell r="AO286">
            <v>0</v>
          </cell>
          <cell r="AP286">
            <v>0</v>
          </cell>
          <cell r="AQ286" t="str">
            <v>A</v>
          </cell>
          <cell r="AR286">
            <v>4</v>
          </cell>
          <cell r="AS286" t="str">
            <v>C</v>
          </cell>
          <cell r="AT286">
            <v>4</v>
          </cell>
          <cell r="AU286" t="str">
            <v>C</v>
          </cell>
          <cell r="AV286">
            <v>4</v>
          </cell>
          <cell r="AW286" t="str">
            <v>C</v>
          </cell>
          <cell r="AX286">
            <v>4</v>
          </cell>
          <cell r="AY286" t="str">
            <v>C</v>
          </cell>
          <cell r="AZ286">
            <v>4</v>
          </cell>
          <cell r="BA286" t="str">
            <v>C</v>
          </cell>
          <cell r="BB286">
            <v>4</v>
          </cell>
          <cell r="BC286">
            <v>0</v>
          </cell>
          <cell r="BD286">
            <v>0</v>
          </cell>
          <cell r="BE286" t="str">
            <v>C</v>
          </cell>
          <cell r="BF286">
            <v>4</v>
          </cell>
          <cell r="BG286" t="str">
            <v>C</v>
          </cell>
          <cell r="BH286">
            <v>4</v>
          </cell>
          <cell r="BI286" t="str">
            <v>C</v>
          </cell>
          <cell r="BJ286">
            <v>4</v>
          </cell>
          <cell r="BK286" t="str">
            <v>C</v>
          </cell>
          <cell r="BL286">
            <v>4</v>
          </cell>
          <cell r="BM286" t="str">
            <v>C</v>
          </cell>
          <cell r="BN286">
            <v>4</v>
          </cell>
          <cell r="BO286" t="str">
            <v>C</v>
          </cell>
          <cell r="BP286">
            <v>4</v>
          </cell>
          <cell r="BQ286">
            <v>5</v>
          </cell>
          <cell r="BR286">
            <v>1</v>
          </cell>
          <cell r="BS286">
            <v>0</v>
          </cell>
          <cell r="BT286">
            <v>20</v>
          </cell>
          <cell r="BU286">
            <v>0</v>
          </cell>
          <cell r="BV286">
            <v>0</v>
          </cell>
          <cell r="BW286">
            <v>0</v>
          </cell>
          <cell r="BX286">
            <v>1</v>
          </cell>
          <cell r="BY286">
            <v>0</v>
          </cell>
          <cell r="BZ286">
            <v>27</v>
          </cell>
          <cell r="CA286">
            <v>102</v>
          </cell>
          <cell r="CB286">
            <v>0</v>
          </cell>
          <cell r="CC286">
            <v>0</v>
          </cell>
          <cell r="CD286">
            <v>1</v>
          </cell>
          <cell r="CE286">
            <v>0</v>
          </cell>
          <cell r="CF286">
            <v>70</v>
          </cell>
          <cell r="CG286">
            <v>2</v>
          </cell>
          <cell r="CH286">
            <v>0</v>
          </cell>
          <cell r="CI286">
            <v>70</v>
          </cell>
        </row>
        <row r="287">
          <cell r="A287" t="str">
            <v>A1019</v>
          </cell>
          <cell r="B287" t="str">
            <v>Nguyễn Tấn Phát</v>
          </cell>
          <cell r="C287" t="str">
            <v>EN</v>
          </cell>
          <cell r="D287">
            <v>0</v>
          </cell>
          <cell r="E287" t="str">
            <v>14/11/2017</v>
          </cell>
          <cell r="F287">
            <v>1</v>
          </cell>
          <cell r="G287" t="str">
            <v>C</v>
          </cell>
          <cell r="H287">
            <v>4</v>
          </cell>
          <cell r="I287" t="str">
            <v>C</v>
          </cell>
          <cell r="J287">
            <v>4</v>
          </cell>
          <cell r="K287" t="str">
            <v>C</v>
          </cell>
          <cell r="L287">
            <v>4</v>
          </cell>
          <cell r="M287">
            <v>0</v>
          </cell>
          <cell r="N287">
            <v>0</v>
          </cell>
          <cell r="O287" t="str">
            <v>A</v>
          </cell>
          <cell r="P287">
            <v>4</v>
          </cell>
          <cell r="Q287" t="str">
            <v>A</v>
          </cell>
          <cell r="R287">
            <v>4</v>
          </cell>
          <cell r="S287" t="str">
            <v>A</v>
          </cell>
          <cell r="T287">
            <v>4</v>
          </cell>
          <cell r="U287" t="str">
            <v>D</v>
          </cell>
          <cell r="V287">
            <v>3.5</v>
          </cell>
          <cell r="W287" t="str">
            <v>A</v>
          </cell>
          <cell r="X287">
            <v>4</v>
          </cell>
          <cell r="Y287" t="str">
            <v>A</v>
          </cell>
          <cell r="Z287">
            <v>4</v>
          </cell>
          <cell r="AA287">
            <v>0</v>
          </cell>
          <cell r="AB287">
            <v>0</v>
          </cell>
          <cell r="AC287" t="str">
            <v>C</v>
          </cell>
          <cell r="AD287">
            <v>4</v>
          </cell>
          <cell r="AE287" t="str">
            <v>C</v>
          </cell>
          <cell r="AF287">
            <v>4</v>
          </cell>
          <cell r="AG287" t="str">
            <v>C</v>
          </cell>
          <cell r="AH287">
            <v>4</v>
          </cell>
          <cell r="AI287" t="str">
            <v>C</v>
          </cell>
          <cell r="AJ287">
            <v>4</v>
          </cell>
          <cell r="AK287" t="str">
            <v>C</v>
          </cell>
          <cell r="AL287">
            <v>4</v>
          </cell>
          <cell r="AM287" t="str">
            <v>C</v>
          </cell>
          <cell r="AN287">
            <v>4</v>
          </cell>
          <cell r="AO287">
            <v>0</v>
          </cell>
          <cell r="AP287">
            <v>0</v>
          </cell>
          <cell r="AQ287" t="str">
            <v>A</v>
          </cell>
          <cell r="AR287">
            <v>4</v>
          </cell>
          <cell r="AS287" t="str">
            <v>C</v>
          </cell>
          <cell r="AT287">
            <v>4</v>
          </cell>
          <cell r="AU287" t="str">
            <v>C</v>
          </cell>
          <cell r="AV287">
            <v>4</v>
          </cell>
          <cell r="AW287" t="str">
            <v>C</v>
          </cell>
          <cell r="AX287">
            <v>4</v>
          </cell>
          <cell r="AY287" t="str">
            <v>C</v>
          </cell>
          <cell r="AZ287">
            <v>4</v>
          </cell>
          <cell r="BA287" t="str">
            <v>C</v>
          </cell>
          <cell r="BB287">
            <v>4</v>
          </cell>
          <cell r="BC287">
            <v>0</v>
          </cell>
          <cell r="BD287">
            <v>0</v>
          </cell>
          <cell r="BE287" t="str">
            <v>C</v>
          </cell>
          <cell r="BF287">
            <v>4</v>
          </cell>
          <cell r="BG287" t="str">
            <v>C</v>
          </cell>
          <cell r="BH287">
            <v>4</v>
          </cell>
          <cell r="BI287" t="str">
            <v>C</v>
          </cell>
          <cell r="BJ287">
            <v>4</v>
          </cell>
          <cell r="BK287" t="str">
            <v>C</v>
          </cell>
          <cell r="BL287">
            <v>4</v>
          </cell>
          <cell r="BM287" t="str">
            <v>C</v>
          </cell>
          <cell r="BN287">
            <v>4</v>
          </cell>
          <cell r="BO287" t="str">
            <v>NT7</v>
          </cell>
          <cell r="BP287">
            <v>0</v>
          </cell>
          <cell r="BQ287">
            <v>6</v>
          </cell>
          <cell r="BR287">
            <v>1</v>
          </cell>
          <cell r="BS287">
            <v>0</v>
          </cell>
          <cell r="BT287">
            <v>19</v>
          </cell>
          <cell r="BU287">
            <v>0</v>
          </cell>
          <cell r="BV287">
            <v>0</v>
          </cell>
          <cell r="BW287">
            <v>0</v>
          </cell>
          <cell r="BX287">
            <v>1</v>
          </cell>
          <cell r="BY287">
            <v>0</v>
          </cell>
          <cell r="BZ287">
            <v>27</v>
          </cell>
          <cell r="CA287">
            <v>103.5</v>
          </cell>
          <cell r="CB287">
            <v>0</v>
          </cell>
          <cell r="CC287">
            <v>0</v>
          </cell>
          <cell r="CD287">
            <v>1</v>
          </cell>
          <cell r="CE287">
            <v>0</v>
          </cell>
          <cell r="CF287">
            <v>70</v>
          </cell>
          <cell r="CG287">
            <v>2</v>
          </cell>
          <cell r="CH287">
            <v>0</v>
          </cell>
          <cell r="CI287">
            <v>70</v>
          </cell>
        </row>
        <row r="288">
          <cell r="A288" t="str">
            <v>A1020</v>
          </cell>
          <cell r="B288" t="str">
            <v>Trần Thị Cẩm Hường</v>
          </cell>
          <cell r="C288" t="str">
            <v>CI.1</v>
          </cell>
          <cell r="D288">
            <v>0</v>
          </cell>
          <cell r="E288" t="str">
            <v>14/11/2017</v>
          </cell>
          <cell r="F288">
            <v>0</v>
          </cell>
          <cell r="G288" t="str">
            <v>C</v>
          </cell>
          <cell r="H288">
            <v>4</v>
          </cell>
          <cell r="I288" t="str">
            <v>C</v>
          </cell>
          <cell r="J288">
            <v>4</v>
          </cell>
          <cell r="K288" t="str">
            <v>C</v>
          </cell>
          <cell r="L288">
            <v>4</v>
          </cell>
          <cell r="M288">
            <v>0</v>
          </cell>
          <cell r="N288">
            <v>0</v>
          </cell>
          <cell r="O288" t="str">
            <v>A</v>
          </cell>
          <cell r="P288">
            <v>4</v>
          </cell>
          <cell r="Q288" t="str">
            <v>P</v>
          </cell>
          <cell r="R288">
            <v>0</v>
          </cell>
          <cell r="S288" t="str">
            <v>A</v>
          </cell>
          <cell r="T288">
            <v>4</v>
          </cell>
          <cell r="U288" t="str">
            <v>A</v>
          </cell>
          <cell r="V288">
            <v>4</v>
          </cell>
          <cell r="W288" t="str">
            <v>A</v>
          </cell>
          <cell r="X288">
            <v>4</v>
          </cell>
          <cell r="Y288" t="str">
            <v>A</v>
          </cell>
          <cell r="Z288">
            <v>4</v>
          </cell>
          <cell r="AA288">
            <v>0</v>
          </cell>
          <cell r="AB288">
            <v>0</v>
          </cell>
          <cell r="AC288" t="str">
            <v>HH</v>
          </cell>
          <cell r="AD288">
            <v>0</v>
          </cell>
          <cell r="AE288" t="str">
            <v>C</v>
          </cell>
          <cell r="AF288">
            <v>4</v>
          </cell>
          <cell r="AG288" t="str">
            <v>C</v>
          </cell>
          <cell r="AH288">
            <v>4</v>
          </cell>
          <cell r="AI288" t="str">
            <v>C</v>
          </cell>
          <cell r="AJ288">
            <v>4</v>
          </cell>
          <cell r="AK288" t="str">
            <v>C</v>
          </cell>
          <cell r="AL288">
            <v>4</v>
          </cell>
          <cell r="AM288" t="str">
            <v>C</v>
          </cell>
          <cell r="AN288">
            <v>4</v>
          </cell>
          <cell r="AO288">
            <v>0</v>
          </cell>
          <cell r="AP288">
            <v>0</v>
          </cell>
          <cell r="AQ288" t="str">
            <v>A</v>
          </cell>
          <cell r="AR288">
            <v>4</v>
          </cell>
          <cell r="AS288" t="str">
            <v>A</v>
          </cell>
          <cell r="AT288">
            <v>4</v>
          </cell>
          <cell r="AU288" t="str">
            <v>A</v>
          </cell>
          <cell r="AV288">
            <v>4</v>
          </cell>
          <cell r="AW288" t="str">
            <v>D</v>
          </cell>
          <cell r="AX288">
            <v>1</v>
          </cell>
          <cell r="AY288" t="str">
            <v>A</v>
          </cell>
          <cell r="AZ288">
            <v>4</v>
          </cell>
          <cell r="BA288" t="str">
            <v>D</v>
          </cell>
          <cell r="BB288">
            <v>2</v>
          </cell>
          <cell r="BC288">
            <v>0</v>
          </cell>
          <cell r="BD288">
            <v>16</v>
          </cell>
          <cell r="BE288" t="str">
            <v>C</v>
          </cell>
          <cell r="BF288">
            <v>4</v>
          </cell>
          <cell r="BG288" t="str">
            <v>C</v>
          </cell>
          <cell r="BH288">
            <v>4</v>
          </cell>
          <cell r="BI288" t="str">
            <v>C</v>
          </cell>
          <cell r="BJ288">
            <v>4</v>
          </cell>
          <cell r="BK288" t="str">
            <v>C</v>
          </cell>
          <cell r="BL288">
            <v>4</v>
          </cell>
          <cell r="BM288" t="str">
            <v>C</v>
          </cell>
          <cell r="BN288">
            <v>4</v>
          </cell>
          <cell r="BO288" t="str">
            <v>HH</v>
          </cell>
          <cell r="BP288">
            <v>0</v>
          </cell>
          <cell r="BQ288">
            <v>9</v>
          </cell>
          <cell r="BR288">
            <v>2</v>
          </cell>
          <cell r="BS288">
            <v>0</v>
          </cell>
          <cell r="BT288">
            <v>13</v>
          </cell>
          <cell r="BU288">
            <v>0</v>
          </cell>
          <cell r="BV288">
            <v>0</v>
          </cell>
          <cell r="BW288">
            <v>2</v>
          </cell>
          <cell r="BX288">
            <v>0</v>
          </cell>
          <cell r="BY288">
            <v>1</v>
          </cell>
          <cell r="BZ288">
            <v>27</v>
          </cell>
          <cell r="CA288">
            <v>91</v>
          </cell>
          <cell r="CB288">
            <v>16</v>
          </cell>
          <cell r="CC288">
            <v>0</v>
          </cell>
          <cell r="CD288">
            <v>2</v>
          </cell>
          <cell r="CE288">
            <v>0</v>
          </cell>
          <cell r="CF288">
            <v>140</v>
          </cell>
          <cell r="CG288">
            <v>0</v>
          </cell>
          <cell r="CH288">
            <v>0</v>
          </cell>
          <cell r="CI288">
            <v>70</v>
          </cell>
        </row>
        <row r="289">
          <cell r="A289" t="str">
            <v>A1024</v>
          </cell>
          <cell r="B289" t="str">
            <v>Ngô Trọng Kính</v>
          </cell>
          <cell r="C289" t="str">
            <v>CD</v>
          </cell>
          <cell r="D289">
            <v>0</v>
          </cell>
          <cell r="E289" t="str">
            <v>22/11/2017</v>
          </cell>
          <cell r="F289">
            <v>1</v>
          </cell>
          <cell r="G289" t="str">
            <v>A</v>
          </cell>
          <cell r="H289">
            <v>4</v>
          </cell>
          <cell r="I289" t="str">
            <v>A</v>
          </cell>
          <cell r="J289">
            <v>4</v>
          </cell>
          <cell r="K289" t="str">
            <v>D</v>
          </cell>
          <cell r="L289">
            <v>3</v>
          </cell>
          <cell r="M289">
            <v>0</v>
          </cell>
          <cell r="N289">
            <v>0</v>
          </cell>
          <cell r="O289" t="str">
            <v>D</v>
          </cell>
          <cell r="P289">
            <v>0</v>
          </cell>
          <cell r="Q289" t="str">
            <v>D</v>
          </cell>
          <cell r="R289">
            <v>3</v>
          </cell>
          <cell r="S289" t="str">
            <v>A</v>
          </cell>
          <cell r="T289">
            <v>4</v>
          </cell>
          <cell r="U289" t="str">
            <v>A</v>
          </cell>
          <cell r="V289">
            <v>4</v>
          </cell>
          <cell r="W289" t="str">
            <v>A</v>
          </cell>
          <cell r="X289">
            <v>4</v>
          </cell>
          <cell r="Y289" t="str">
            <v>A</v>
          </cell>
          <cell r="Z289">
            <v>4</v>
          </cell>
          <cell r="AA289">
            <v>0</v>
          </cell>
          <cell r="AB289">
            <v>11</v>
          </cell>
          <cell r="AC289" t="str">
            <v>A</v>
          </cell>
          <cell r="AD289">
            <v>4</v>
          </cell>
          <cell r="AE289" t="str">
            <v>A</v>
          </cell>
          <cell r="AF289">
            <v>4</v>
          </cell>
          <cell r="AG289" t="str">
            <v>A</v>
          </cell>
          <cell r="AH289">
            <v>4</v>
          </cell>
          <cell r="AI289" t="str">
            <v>D</v>
          </cell>
          <cell r="AJ289">
            <v>0</v>
          </cell>
          <cell r="AK289" t="str">
            <v>A</v>
          </cell>
          <cell r="AL289">
            <v>4</v>
          </cell>
          <cell r="AM289" t="str">
            <v>A</v>
          </cell>
          <cell r="AN289">
            <v>4</v>
          </cell>
          <cell r="AO289">
            <v>0</v>
          </cell>
          <cell r="AP289">
            <v>9.5</v>
          </cell>
          <cell r="AQ289" t="str">
            <v>A</v>
          </cell>
          <cell r="AR289">
            <v>5</v>
          </cell>
          <cell r="AS289" t="str">
            <v>A</v>
          </cell>
          <cell r="AT289">
            <v>4</v>
          </cell>
          <cell r="AU289" t="str">
            <v>A</v>
          </cell>
          <cell r="AV289">
            <v>4</v>
          </cell>
          <cell r="AW289" t="str">
            <v>A</v>
          </cell>
          <cell r="AX289">
            <v>4</v>
          </cell>
          <cell r="AY289" t="str">
            <v>A</v>
          </cell>
          <cell r="AZ289">
            <v>4</v>
          </cell>
          <cell r="BA289" t="str">
            <v>A</v>
          </cell>
          <cell r="BB289">
            <v>4</v>
          </cell>
          <cell r="BC289">
            <v>0</v>
          </cell>
          <cell r="BD289">
            <v>11</v>
          </cell>
          <cell r="BE289" t="str">
            <v>NT7</v>
          </cell>
          <cell r="BF289">
            <v>0</v>
          </cell>
          <cell r="BG289" t="str">
            <v>D</v>
          </cell>
          <cell r="BH289">
            <v>2</v>
          </cell>
          <cell r="BI289" t="str">
            <v>A</v>
          </cell>
          <cell r="BJ289">
            <v>8</v>
          </cell>
          <cell r="BK289" t="str">
            <v>A</v>
          </cell>
          <cell r="BL289">
            <v>8</v>
          </cell>
          <cell r="BM289" t="str">
            <v>D</v>
          </cell>
          <cell r="BN289">
            <v>2.5</v>
          </cell>
          <cell r="BO289" t="str">
            <v>A</v>
          </cell>
          <cell r="BP289">
            <v>4</v>
          </cell>
          <cell r="BQ289">
            <v>20</v>
          </cell>
          <cell r="BR289">
            <v>6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1</v>
          </cell>
          <cell r="BY289">
            <v>0</v>
          </cell>
          <cell r="BZ289">
            <v>27</v>
          </cell>
          <cell r="CA289">
            <v>99.5</v>
          </cell>
          <cell r="CB289">
            <v>31.5</v>
          </cell>
          <cell r="CC289">
            <v>0</v>
          </cell>
          <cell r="CD289">
            <v>1</v>
          </cell>
          <cell r="CE289">
            <v>0</v>
          </cell>
          <cell r="CF289">
            <v>70</v>
          </cell>
          <cell r="CG289">
            <v>2</v>
          </cell>
          <cell r="CH289">
            <v>0</v>
          </cell>
          <cell r="CI289">
            <v>70</v>
          </cell>
        </row>
        <row r="290">
          <cell r="A290" t="str">
            <v>A1025</v>
          </cell>
          <cell r="B290" t="str">
            <v>Phạm Thị Ngọc Ánh</v>
          </cell>
          <cell r="C290" t="str">
            <v>TN</v>
          </cell>
          <cell r="D290">
            <v>0</v>
          </cell>
          <cell r="E290" t="str">
            <v>27/11/2017</v>
          </cell>
          <cell r="F290">
            <v>0</v>
          </cell>
          <cell r="G290" t="str">
            <v>D</v>
          </cell>
          <cell r="H290">
            <v>0</v>
          </cell>
          <cell r="I290" t="str">
            <v>D</v>
          </cell>
          <cell r="J290">
            <v>0</v>
          </cell>
          <cell r="K290" t="str">
            <v>D</v>
          </cell>
          <cell r="L290">
            <v>0</v>
          </cell>
          <cell r="M290">
            <v>0</v>
          </cell>
          <cell r="N290">
            <v>0</v>
          </cell>
          <cell r="O290" t="str">
            <v>D</v>
          </cell>
          <cell r="P290">
            <v>0</v>
          </cell>
          <cell r="Q290" t="str">
            <v>D</v>
          </cell>
          <cell r="R290">
            <v>0</v>
          </cell>
          <cell r="S290" t="str">
            <v>D</v>
          </cell>
          <cell r="T290">
            <v>0</v>
          </cell>
          <cell r="U290" t="str">
            <v>D</v>
          </cell>
          <cell r="V290">
            <v>0</v>
          </cell>
          <cell r="W290" t="str">
            <v>D</v>
          </cell>
          <cell r="X290">
            <v>0</v>
          </cell>
          <cell r="Y290" t="str">
            <v>D</v>
          </cell>
          <cell r="Z290">
            <v>0</v>
          </cell>
          <cell r="AA290">
            <v>0</v>
          </cell>
          <cell r="AB290">
            <v>0</v>
          </cell>
          <cell r="AC290" t="str">
            <v>D</v>
          </cell>
          <cell r="AD290">
            <v>0</v>
          </cell>
          <cell r="AE290" t="str">
            <v>D</v>
          </cell>
          <cell r="AF290">
            <v>0</v>
          </cell>
          <cell r="AG290" t="str">
            <v>D</v>
          </cell>
          <cell r="AH290">
            <v>0</v>
          </cell>
          <cell r="AI290" t="str">
            <v>D</v>
          </cell>
          <cell r="AJ290">
            <v>0</v>
          </cell>
          <cell r="AK290" t="str">
            <v>D</v>
          </cell>
          <cell r="AL290">
            <v>0</v>
          </cell>
          <cell r="AM290" t="str">
            <v>D</v>
          </cell>
          <cell r="AN290">
            <v>0</v>
          </cell>
          <cell r="AO290">
            <v>0</v>
          </cell>
          <cell r="AP290">
            <v>0</v>
          </cell>
          <cell r="AQ290" t="str">
            <v>D</v>
          </cell>
          <cell r="AR290">
            <v>0</v>
          </cell>
          <cell r="AS290" t="str">
            <v>D</v>
          </cell>
          <cell r="AT290">
            <v>0</v>
          </cell>
          <cell r="AU290" t="str">
            <v>D</v>
          </cell>
          <cell r="AV290">
            <v>0</v>
          </cell>
          <cell r="AW290" t="str">
            <v>D</v>
          </cell>
          <cell r="AX290">
            <v>0</v>
          </cell>
          <cell r="AY290" t="str">
            <v>D</v>
          </cell>
          <cell r="AZ290">
            <v>0</v>
          </cell>
          <cell r="BA290" t="str">
            <v>P5,D5</v>
          </cell>
          <cell r="BB290">
            <v>0</v>
          </cell>
          <cell r="BC290">
            <v>0</v>
          </cell>
          <cell r="BD290">
            <v>0</v>
          </cell>
          <cell r="BE290" t="str">
            <v>D</v>
          </cell>
          <cell r="BF290">
            <v>0</v>
          </cell>
          <cell r="BG290" t="str">
            <v>D</v>
          </cell>
          <cell r="BH290">
            <v>0</v>
          </cell>
          <cell r="BI290" t="str">
            <v>D</v>
          </cell>
          <cell r="BJ290">
            <v>0</v>
          </cell>
          <cell r="BK290" t="str">
            <v>D</v>
          </cell>
          <cell r="BL290">
            <v>0</v>
          </cell>
          <cell r="BM290" t="str">
            <v>D</v>
          </cell>
          <cell r="BN290">
            <v>0</v>
          </cell>
          <cell r="BO290" t="str">
            <v>NT7</v>
          </cell>
          <cell r="BP290">
            <v>0</v>
          </cell>
          <cell r="BQ290">
            <v>0</v>
          </cell>
          <cell r="BR290">
            <v>25.5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1</v>
          </cell>
          <cell r="BY290">
            <v>0.5</v>
          </cell>
          <cell r="BZ290">
            <v>27</v>
          </cell>
          <cell r="CA290">
            <v>0</v>
          </cell>
          <cell r="CB290">
            <v>0</v>
          </cell>
          <cell r="CC290">
            <v>0</v>
          </cell>
          <cell r="CD290">
            <v>1</v>
          </cell>
          <cell r="CE290">
            <v>0</v>
          </cell>
          <cell r="CF290">
            <v>150</v>
          </cell>
          <cell r="CG290">
            <v>0.5</v>
          </cell>
          <cell r="CH290">
            <v>0</v>
          </cell>
          <cell r="CI290">
            <v>150</v>
          </cell>
        </row>
        <row r="291">
          <cell r="A291" t="str">
            <v>A1027</v>
          </cell>
          <cell r="B291" t="str">
            <v>Trần Thị Ngọc Lan</v>
          </cell>
          <cell r="C291" t="str">
            <v>Gián tiếp</v>
          </cell>
          <cell r="D291">
            <v>0</v>
          </cell>
          <cell r="E291" t="str">
            <v>18/12/2017</v>
          </cell>
          <cell r="F291">
            <v>0</v>
          </cell>
          <cell r="G291" t="str">
            <v>D</v>
          </cell>
          <cell r="H291">
            <v>0</v>
          </cell>
          <cell r="I291" t="str">
            <v>D</v>
          </cell>
          <cell r="J291">
            <v>0</v>
          </cell>
          <cell r="K291" t="str">
            <v>D</v>
          </cell>
          <cell r="L291">
            <v>0</v>
          </cell>
          <cell r="M291">
            <v>0</v>
          </cell>
          <cell r="N291">
            <v>0</v>
          </cell>
          <cell r="O291" t="str">
            <v>D</v>
          </cell>
          <cell r="P291">
            <v>0</v>
          </cell>
          <cell r="Q291" t="str">
            <v>D</v>
          </cell>
          <cell r="R291">
            <v>0</v>
          </cell>
          <cell r="S291" t="str">
            <v>D</v>
          </cell>
          <cell r="T291">
            <v>0</v>
          </cell>
          <cell r="U291" t="str">
            <v>D</v>
          </cell>
          <cell r="V291">
            <v>0</v>
          </cell>
          <cell r="W291" t="str">
            <v>D</v>
          </cell>
          <cell r="X291">
            <v>0</v>
          </cell>
          <cell r="Y291" t="str">
            <v>NT7</v>
          </cell>
          <cell r="Z291">
            <v>0</v>
          </cell>
          <cell r="AA291">
            <v>0</v>
          </cell>
          <cell r="AB291">
            <v>0</v>
          </cell>
          <cell r="AC291" t="str">
            <v>D</v>
          </cell>
          <cell r="AD291">
            <v>0</v>
          </cell>
          <cell r="AE291" t="str">
            <v>D</v>
          </cell>
          <cell r="AF291">
            <v>0</v>
          </cell>
          <cell r="AG291" t="str">
            <v>D</v>
          </cell>
          <cell r="AH291">
            <v>0</v>
          </cell>
          <cell r="AI291" t="str">
            <v>D</v>
          </cell>
          <cell r="AJ291">
            <v>0</v>
          </cell>
          <cell r="AK291" t="str">
            <v>D</v>
          </cell>
          <cell r="AL291">
            <v>0</v>
          </cell>
          <cell r="AM291" t="str">
            <v>P</v>
          </cell>
          <cell r="AN291">
            <v>0</v>
          </cell>
          <cell r="AO291">
            <v>0</v>
          </cell>
          <cell r="AP291">
            <v>0</v>
          </cell>
          <cell r="AQ291" t="str">
            <v>D</v>
          </cell>
          <cell r="AR291">
            <v>0</v>
          </cell>
          <cell r="AS291" t="str">
            <v>D</v>
          </cell>
          <cell r="AT291">
            <v>0</v>
          </cell>
          <cell r="AU291" t="str">
            <v>D</v>
          </cell>
          <cell r="AV291">
            <v>0</v>
          </cell>
          <cell r="AW291" t="str">
            <v>D</v>
          </cell>
          <cell r="AX291">
            <v>0</v>
          </cell>
          <cell r="AY291" t="str">
            <v>D</v>
          </cell>
          <cell r="AZ291">
            <v>0</v>
          </cell>
          <cell r="BA291" t="str">
            <v>NT7</v>
          </cell>
          <cell r="BB291">
            <v>0</v>
          </cell>
          <cell r="BC291">
            <v>0</v>
          </cell>
          <cell r="BD291">
            <v>0</v>
          </cell>
          <cell r="BE291" t="str">
            <v>D</v>
          </cell>
          <cell r="BF291">
            <v>0</v>
          </cell>
          <cell r="BG291" t="str">
            <v>D</v>
          </cell>
          <cell r="BH291">
            <v>0</v>
          </cell>
          <cell r="BI291" t="str">
            <v>D</v>
          </cell>
          <cell r="BJ291">
            <v>0</v>
          </cell>
          <cell r="BK291" t="str">
            <v>D</v>
          </cell>
          <cell r="BL291">
            <v>0</v>
          </cell>
          <cell r="BM291" t="str">
            <v>D</v>
          </cell>
          <cell r="BN291">
            <v>0</v>
          </cell>
          <cell r="BO291" t="str">
            <v>D</v>
          </cell>
          <cell r="BP291">
            <v>0</v>
          </cell>
          <cell r="BQ291">
            <v>0</v>
          </cell>
          <cell r="BR291">
            <v>24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2</v>
          </cell>
          <cell r="BY291">
            <v>1</v>
          </cell>
          <cell r="BZ291">
            <v>27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2</v>
          </cell>
          <cell r="CH291">
            <v>0</v>
          </cell>
          <cell r="CI291">
            <v>0</v>
          </cell>
        </row>
        <row r="292">
          <cell r="A292" t="str">
            <v>A1029</v>
          </cell>
          <cell r="B292" t="str">
            <v>Võ Kế Hậu</v>
          </cell>
          <cell r="C292" t="str">
            <v>CII.4</v>
          </cell>
          <cell r="D292">
            <v>0</v>
          </cell>
          <cell r="E292" t="str">
            <v>02/01/2018</v>
          </cell>
          <cell r="F292">
            <v>0</v>
          </cell>
          <cell r="G292" t="str">
            <v>C</v>
          </cell>
          <cell r="H292">
            <v>4</v>
          </cell>
          <cell r="I292" t="str">
            <v>C</v>
          </cell>
          <cell r="J292">
            <v>4</v>
          </cell>
          <cell r="K292" t="str">
            <v>C</v>
          </cell>
          <cell r="L292">
            <v>4</v>
          </cell>
          <cell r="M292">
            <v>0</v>
          </cell>
          <cell r="N292">
            <v>0</v>
          </cell>
          <cell r="O292" t="str">
            <v>A</v>
          </cell>
          <cell r="P292">
            <v>4</v>
          </cell>
          <cell r="Q292" t="str">
            <v>A</v>
          </cell>
          <cell r="R292">
            <v>4</v>
          </cell>
          <cell r="S292" t="str">
            <v>A</v>
          </cell>
          <cell r="T292">
            <v>4</v>
          </cell>
          <cell r="U292" t="str">
            <v>A</v>
          </cell>
          <cell r="V292">
            <v>4</v>
          </cell>
          <cell r="W292" t="str">
            <v>D</v>
          </cell>
          <cell r="X292">
            <v>2</v>
          </cell>
          <cell r="Y292" t="str">
            <v>A</v>
          </cell>
          <cell r="Z292">
            <v>4</v>
          </cell>
          <cell r="AA292">
            <v>0</v>
          </cell>
          <cell r="AB292">
            <v>12</v>
          </cell>
          <cell r="AC292" t="str">
            <v>C</v>
          </cell>
          <cell r="AD292">
            <v>4</v>
          </cell>
          <cell r="AE292" t="str">
            <v>C</v>
          </cell>
          <cell r="AF292">
            <v>4</v>
          </cell>
          <cell r="AG292" t="str">
            <v>C</v>
          </cell>
          <cell r="AH292">
            <v>4</v>
          </cell>
          <cell r="AI292" t="str">
            <v>C</v>
          </cell>
          <cell r="AJ292">
            <v>4</v>
          </cell>
          <cell r="AK292" t="str">
            <v>C</v>
          </cell>
          <cell r="AL292">
            <v>4</v>
          </cell>
          <cell r="AM292" t="str">
            <v>NT7</v>
          </cell>
          <cell r="AN292">
            <v>0</v>
          </cell>
          <cell r="AO292">
            <v>0</v>
          </cell>
          <cell r="AP292">
            <v>0</v>
          </cell>
          <cell r="AQ292" t="str">
            <v>NT7</v>
          </cell>
          <cell r="AR292">
            <v>0</v>
          </cell>
          <cell r="AS292" t="str">
            <v>D</v>
          </cell>
          <cell r="AT292">
            <v>2.5</v>
          </cell>
          <cell r="AU292" t="str">
            <v>D</v>
          </cell>
          <cell r="AV292">
            <v>2.5</v>
          </cell>
          <cell r="AW292" t="str">
            <v>A</v>
          </cell>
          <cell r="AX292">
            <v>4</v>
          </cell>
          <cell r="AY292" t="str">
            <v>A</v>
          </cell>
          <cell r="AZ292">
            <v>4</v>
          </cell>
          <cell r="BA292" t="str">
            <v>A</v>
          </cell>
          <cell r="BB292">
            <v>4</v>
          </cell>
          <cell r="BC292">
            <v>0</v>
          </cell>
          <cell r="BD292">
            <v>12</v>
          </cell>
          <cell r="BE292" t="str">
            <v>P</v>
          </cell>
          <cell r="BF292">
            <v>0</v>
          </cell>
          <cell r="BG292" t="str">
            <v>HH</v>
          </cell>
          <cell r="BH292">
            <v>0</v>
          </cell>
          <cell r="BI292" t="str">
            <v>A</v>
          </cell>
          <cell r="BJ292">
            <v>4</v>
          </cell>
          <cell r="BK292" t="str">
            <v>A</v>
          </cell>
          <cell r="BL292">
            <v>4</v>
          </cell>
          <cell r="BM292" t="str">
            <v>A</v>
          </cell>
          <cell r="BN292">
            <v>4</v>
          </cell>
          <cell r="BO292" t="str">
            <v>A</v>
          </cell>
          <cell r="BP292">
            <v>4</v>
          </cell>
          <cell r="BQ292">
            <v>12</v>
          </cell>
          <cell r="BR292">
            <v>3</v>
          </cell>
          <cell r="BS292">
            <v>0</v>
          </cell>
          <cell r="BT292">
            <v>8</v>
          </cell>
          <cell r="BU292">
            <v>0</v>
          </cell>
          <cell r="BV292">
            <v>0</v>
          </cell>
          <cell r="BW292">
            <v>1</v>
          </cell>
          <cell r="BX292">
            <v>2</v>
          </cell>
          <cell r="BY292">
            <v>1</v>
          </cell>
          <cell r="BZ292">
            <v>27</v>
          </cell>
          <cell r="CA292">
            <v>87</v>
          </cell>
          <cell r="CB292">
            <v>24</v>
          </cell>
          <cell r="CC292">
            <v>0</v>
          </cell>
          <cell r="CD292">
            <v>0</v>
          </cell>
          <cell r="CE292">
            <v>2</v>
          </cell>
          <cell r="CF292">
            <v>0</v>
          </cell>
          <cell r="CG292">
            <v>0</v>
          </cell>
          <cell r="CH292">
            <v>32</v>
          </cell>
          <cell r="CI292">
            <v>150</v>
          </cell>
        </row>
        <row r="293">
          <cell r="A293" t="str">
            <v>A1030</v>
          </cell>
          <cell r="B293" t="str">
            <v>Ngô Hoàng Nam</v>
          </cell>
          <cell r="C293" t="str">
            <v>Gián tiếp</v>
          </cell>
          <cell r="D293">
            <v>0</v>
          </cell>
          <cell r="E293">
            <v>43116</v>
          </cell>
          <cell r="F293">
            <v>0</v>
          </cell>
          <cell r="G293" t="str">
            <v>D</v>
          </cell>
          <cell r="H293">
            <v>0</v>
          </cell>
          <cell r="I293" t="str">
            <v>D</v>
          </cell>
          <cell r="J293">
            <v>0</v>
          </cell>
          <cell r="K293" t="str">
            <v>R0</v>
          </cell>
          <cell r="L293">
            <v>0</v>
          </cell>
          <cell r="M293">
            <v>0</v>
          </cell>
          <cell r="N293">
            <v>0</v>
          </cell>
          <cell r="O293" t="str">
            <v>D</v>
          </cell>
          <cell r="P293">
            <v>0</v>
          </cell>
          <cell r="Q293" t="str">
            <v>D</v>
          </cell>
          <cell r="R293">
            <v>0</v>
          </cell>
          <cell r="S293" t="str">
            <v>D</v>
          </cell>
          <cell r="T293">
            <v>0</v>
          </cell>
          <cell r="U293" t="str">
            <v>D</v>
          </cell>
          <cell r="V293">
            <v>0</v>
          </cell>
          <cell r="W293" t="str">
            <v>P</v>
          </cell>
          <cell r="X293">
            <v>0</v>
          </cell>
          <cell r="Y293" t="str">
            <v>NT7</v>
          </cell>
          <cell r="Z293">
            <v>0</v>
          </cell>
          <cell r="AA293">
            <v>0</v>
          </cell>
          <cell r="AB293">
            <v>0</v>
          </cell>
          <cell r="AC293" t="str">
            <v>D</v>
          </cell>
          <cell r="AD293">
            <v>0</v>
          </cell>
          <cell r="AE293" t="str">
            <v>D</v>
          </cell>
          <cell r="AF293">
            <v>0</v>
          </cell>
          <cell r="AG293" t="str">
            <v>D</v>
          </cell>
          <cell r="AH293">
            <v>0</v>
          </cell>
          <cell r="AI293" t="str">
            <v>D</v>
          </cell>
          <cell r="AJ293">
            <v>0</v>
          </cell>
          <cell r="AK293" t="str">
            <v>D</v>
          </cell>
          <cell r="AL293">
            <v>0</v>
          </cell>
          <cell r="AM293" t="str">
            <v>D</v>
          </cell>
          <cell r="AN293">
            <v>0</v>
          </cell>
          <cell r="AO293">
            <v>0</v>
          </cell>
          <cell r="AP293">
            <v>0</v>
          </cell>
          <cell r="AQ293" t="str">
            <v>D</v>
          </cell>
          <cell r="AR293">
            <v>0</v>
          </cell>
          <cell r="AS293" t="str">
            <v>D</v>
          </cell>
          <cell r="AT293">
            <v>0</v>
          </cell>
          <cell r="AU293" t="str">
            <v>D</v>
          </cell>
          <cell r="AV293">
            <v>0</v>
          </cell>
          <cell r="AW293" t="str">
            <v>R0</v>
          </cell>
          <cell r="AX293">
            <v>0</v>
          </cell>
          <cell r="AY293" t="str">
            <v>D</v>
          </cell>
          <cell r="AZ293">
            <v>0</v>
          </cell>
          <cell r="BA293" t="str">
            <v>NT7</v>
          </cell>
          <cell r="BB293">
            <v>0</v>
          </cell>
          <cell r="BC293">
            <v>0</v>
          </cell>
          <cell r="BD293">
            <v>0</v>
          </cell>
          <cell r="BE293" t="str">
            <v>D</v>
          </cell>
          <cell r="BF293">
            <v>0</v>
          </cell>
          <cell r="BG293" t="str">
            <v>D</v>
          </cell>
          <cell r="BH293">
            <v>0</v>
          </cell>
          <cell r="BI293" t="str">
            <v>D</v>
          </cell>
          <cell r="BJ293">
            <v>0</v>
          </cell>
          <cell r="BK293" t="str">
            <v>D</v>
          </cell>
          <cell r="BL293">
            <v>0</v>
          </cell>
          <cell r="BM293" t="str">
            <v>D</v>
          </cell>
          <cell r="BN293">
            <v>0</v>
          </cell>
          <cell r="BO293" t="str">
            <v>D</v>
          </cell>
          <cell r="BP293">
            <v>0</v>
          </cell>
          <cell r="BQ293">
            <v>0</v>
          </cell>
          <cell r="BR293">
            <v>22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2</v>
          </cell>
          <cell r="BY293">
            <v>1</v>
          </cell>
          <cell r="BZ293">
            <v>25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150</v>
          </cell>
        </row>
        <row r="294">
          <cell r="A294" t="str">
            <v>A1032</v>
          </cell>
          <cell r="B294" t="str">
            <v>Đặng Duy Vũ</v>
          </cell>
          <cell r="C294" t="str">
            <v>CII.4</v>
          </cell>
          <cell r="D294">
            <v>0</v>
          </cell>
          <cell r="E294">
            <v>43115</v>
          </cell>
          <cell r="F294">
            <v>0</v>
          </cell>
          <cell r="G294" t="str">
            <v>D</v>
          </cell>
          <cell r="H294">
            <v>0</v>
          </cell>
          <cell r="I294" t="str">
            <v>D</v>
          </cell>
          <cell r="J294">
            <v>0</v>
          </cell>
          <cell r="K294" t="str">
            <v>D</v>
          </cell>
          <cell r="L294">
            <v>0</v>
          </cell>
          <cell r="M294">
            <v>0</v>
          </cell>
          <cell r="N294">
            <v>0</v>
          </cell>
          <cell r="O294" t="str">
            <v>D</v>
          </cell>
          <cell r="P294">
            <v>0</v>
          </cell>
          <cell r="Q294" t="str">
            <v>D</v>
          </cell>
          <cell r="R294">
            <v>0</v>
          </cell>
          <cell r="S294" t="str">
            <v>D</v>
          </cell>
          <cell r="T294">
            <v>0</v>
          </cell>
          <cell r="U294" t="str">
            <v>D</v>
          </cell>
          <cell r="V294">
            <v>0</v>
          </cell>
          <cell r="W294" t="str">
            <v>D</v>
          </cell>
          <cell r="X294">
            <v>1</v>
          </cell>
          <cell r="Y294" t="str">
            <v>D</v>
          </cell>
          <cell r="Z294">
            <v>0</v>
          </cell>
          <cell r="AA294">
            <v>0</v>
          </cell>
          <cell r="AB294">
            <v>0</v>
          </cell>
          <cell r="AC294" t="str">
            <v>D</v>
          </cell>
          <cell r="AD294">
            <v>0</v>
          </cell>
          <cell r="AE294" t="str">
            <v>D</v>
          </cell>
          <cell r="AF294">
            <v>0</v>
          </cell>
          <cell r="AG294" t="str">
            <v>NT7</v>
          </cell>
          <cell r="AH294">
            <v>0</v>
          </cell>
          <cell r="AI294" t="str">
            <v>D</v>
          </cell>
          <cell r="AJ294">
            <v>2</v>
          </cell>
          <cell r="AK294" t="str">
            <v>D</v>
          </cell>
          <cell r="AL294">
            <v>0</v>
          </cell>
          <cell r="AM294" t="str">
            <v>P5,D5</v>
          </cell>
          <cell r="AN294">
            <v>0</v>
          </cell>
          <cell r="AO294">
            <v>0</v>
          </cell>
          <cell r="AP294">
            <v>0</v>
          </cell>
          <cell r="AQ294" t="str">
            <v>D</v>
          </cell>
          <cell r="AR294">
            <v>0</v>
          </cell>
          <cell r="AS294" t="str">
            <v>A</v>
          </cell>
          <cell r="AT294">
            <v>4</v>
          </cell>
          <cell r="AU294" t="str">
            <v>A</v>
          </cell>
          <cell r="AV294">
            <v>4</v>
          </cell>
          <cell r="AW294" t="str">
            <v>A</v>
          </cell>
          <cell r="AX294">
            <v>4</v>
          </cell>
          <cell r="AY294" t="str">
            <v>A</v>
          </cell>
          <cell r="AZ294">
            <v>4</v>
          </cell>
          <cell r="BA294" t="str">
            <v>D</v>
          </cell>
          <cell r="BB294">
            <v>0</v>
          </cell>
          <cell r="BC294">
            <v>0</v>
          </cell>
          <cell r="BD294">
            <v>0</v>
          </cell>
          <cell r="BE294" t="str">
            <v>A</v>
          </cell>
          <cell r="BF294">
            <v>4</v>
          </cell>
          <cell r="BG294" t="str">
            <v>D</v>
          </cell>
          <cell r="BH294">
            <v>0</v>
          </cell>
          <cell r="BI294" t="str">
            <v>D</v>
          </cell>
          <cell r="BJ294">
            <v>0</v>
          </cell>
          <cell r="BK294" t="str">
            <v>NT7</v>
          </cell>
          <cell r="BL294">
            <v>0</v>
          </cell>
          <cell r="BM294" t="str">
            <v>A</v>
          </cell>
          <cell r="BN294">
            <v>4</v>
          </cell>
          <cell r="BO294" t="str">
            <v>D</v>
          </cell>
          <cell r="BP294">
            <v>0</v>
          </cell>
          <cell r="BQ294">
            <v>6</v>
          </cell>
          <cell r="BR294">
            <v>18.5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2</v>
          </cell>
          <cell r="BY294">
            <v>0.5</v>
          </cell>
          <cell r="BZ294">
            <v>27</v>
          </cell>
          <cell r="CA294">
            <v>27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150</v>
          </cell>
        </row>
        <row r="295">
          <cell r="A295" t="str">
            <v>A1033</v>
          </cell>
          <cell r="B295" t="str">
            <v>Lê Thị Kim Ngân</v>
          </cell>
          <cell r="C295" t="str">
            <v>Gián tiếp</v>
          </cell>
          <cell r="D295">
            <v>0</v>
          </cell>
          <cell r="E295" t="str">
            <v>21/02/2018</v>
          </cell>
          <cell r="F295">
            <v>0</v>
          </cell>
          <cell r="G295" t="str">
            <v>D</v>
          </cell>
          <cell r="H295">
            <v>0</v>
          </cell>
          <cell r="I295" t="str">
            <v>D</v>
          </cell>
          <cell r="J295">
            <v>0</v>
          </cell>
          <cell r="K295" t="str">
            <v>D</v>
          </cell>
          <cell r="L295">
            <v>0</v>
          </cell>
          <cell r="M295">
            <v>0</v>
          </cell>
          <cell r="N295">
            <v>0</v>
          </cell>
          <cell r="O295" t="str">
            <v>D</v>
          </cell>
          <cell r="P295">
            <v>0</v>
          </cell>
          <cell r="Q295" t="str">
            <v>D</v>
          </cell>
          <cell r="R295">
            <v>0</v>
          </cell>
          <cell r="S295" t="str">
            <v>D</v>
          </cell>
          <cell r="T295">
            <v>0</v>
          </cell>
          <cell r="U295" t="str">
            <v>D</v>
          </cell>
          <cell r="V295">
            <v>0</v>
          </cell>
          <cell r="W295" t="str">
            <v>D</v>
          </cell>
          <cell r="X295">
            <v>0</v>
          </cell>
          <cell r="Y295" t="str">
            <v>D</v>
          </cell>
          <cell r="Z295">
            <v>0</v>
          </cell>
          <cell r="AA295">
            <v>0</v>
          </cell>
          <cell r="AB295">
            <v>0</v>
          </cell>
          <cell r="AC295" t="str">
            <v>D</v>
          </cell>
          <cell r="AD295">
            <v>0</v>
          </cell>
          <cell r="AE295" t="str">
            <v>D</v>
          </cell>
          <cell r="AF295">
            <v>0</v>
          </cell>
          <cell r="AG295" t="str">
            <v>D</v>
          </cell>
          <cell r="AH295">
            <v>0</v>
          </cell>
          <cell r="AI295" t="str">
            <v>D</v>
          </cell>
          <cell r="AJ295">
            <v>0</v>
          </cell>
          <cell r="AK295" t="str">
            <v>D</v>
          </cell>
          <cell r="AL295">
            <v>0</v>
          </cell>
          <cell r="AM295" t="str">
            <v>D</v>
          </cell>
          <cell r="AN295">
            <v>0</v>
          </cell>
          <cell r="AO295">
            <v>0</v>
          </cell>
          <cell r="AP295">
            <v>0</v>
          </cell>
          <cell r="AQ295" t="str">
            <v>D</v>
          </cell>
          <cell r="AR295">
            <v>0</v>
          </cell>
          <cell r="AS295" t="str">
            <v>D</v>
          </cell>
          <cell r="AT295">
            <v>0</v>
          </cell>
          <cell r="AU295" t="str">
            <v>D</v>
          </cell>
          <cell r="AV295">
            <v>0</v>
          </cell>
          <cell r="AW295" t="str">
            <v>D</v>
          </cell>
          <cell r="AX295">
            <v>0</v>
          </cell>
          <cell r="AY295" t="str">
            <v>D</v>
          </cell>
          <cell r="AZ295">
            <v>0</v>
          </cell>
          <cell r="BA295" t="str">
            <v>D</v>
          </cell>
          <cell r="BB295">
            <v>0</v>
          </cell>
          <cell r="BC295">
            <v>0</v>
          </cell>
          <cell r="BD295">
            <v>0</v>
          </cell>
          <cell r="BE295" t="str">
            <v>D</v>
          </cell>
          <cell r="BF295">
            <v>0</v>
          </cell>
          <cell r="BG295" t="str">
            <v>D</v>
          </cell>
          <cell r="BH295">
            <v>0</v>
          </cell>
          <cell r="BI295" t="str">
            <v>D</v>
          </cell>
          <cell r="BJ295">
            <v>0</v>
          </cell>
          <cell r="BK295" t="str">
            <v>D</v>
          </cell>
          <cell r="BL295">
            <v>0</v>
          </cell>
          <cell r="BM295" t="str">
            <v>D</v>
          </cell>
          <cell r="BN295">
            <v>0</v>
          </cell>
          <cell r="BO295" t="str">
            <v>D</v>
          </cell>
          <cell r="BP295">
            <v>0</v>
          </cell>
          <cell r="BQ295">
            <v>0</v>
          </cell>
          <cell r="BR295">
            <v>27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27</v>
          </cell>
          <cell r="CA295">
            <v>0</v>
          </cell>
          <cell r="CB295">
            <v>0</v>
          </cell>
          <cell r="CC295">
            <v>0</v>
          </cell>
          <cell r="CD295">
            <v>2</v>
          </cell>
          <cell r="CE295">
            <v>0</v>
          </cell>
          <cell r="CF295">
            <v>300</v>
          </cell>
          <cell r="CG295">
            <v>0</v>
          </cell>
          <cell r="CH295">
            <v>0</v>
          </cell>
          <cell r="CI295">
            <v>150</v>
          </cell>
        </row>
        <row r="296">
          <cell r="A296" t="str">
            <v>A1038</v>
          </cell>
          <cell r="B296" t="str">
            <v>Hồ Nhựt Minh</v>
          </cell>
          <cell r="C296" t="str">
            <v>CD</v>
          </cell>
          <cell r="D296">
            <v>0</v>
          </cell>
          <cell r="E296" t="str">
            <v>26/02/2018</v>
          </cell>
          <cell r="F296">
            <v>0</v>
          </cell>
          <cell r="G296" t="str">
            <v>D</v>
          </cell>
          <cell r="H296">
            <v>0</v>
          </cell>
          <cell r="I296" t="str">
            <v>D</v>
          </cell>
          <cell r="J296">
            <v>0</v>
          </cell>
          <cell r="K296" t="str">
            <v>D</v>
          </cell>
          <cell r="L296">
            <v>0</v>
          </cell>
          <cell r="M296">
            <v>0</v>
          </cell>
          <cell r="N296">
            <v>11</v>
          </cell>
          <cell r="O296" t="str">
            <v>A</v>
          </cell>
          <cell r="P296">
            <v>4</v>
          </cell>
          <cell r="Q296" t="str">
            <v>A</v>
          </cell>
          <cell r="R296">
            <v>4</v>
          </cell>
          <cell r="S296" t="str">
            <v>A</v>
          </cell>
          <cell r="T296">
            <v>4</v>
          </cell>
          <cell r="U296" t="str">
            <v>A</v>
          </cell>
          <cell r="V296">
            <v>4</v>
          </cell>
          <cell r="W296" t="str">
            <v>A</v>
          </cell>
          <cell r="X296">
            <v>4</v>
          </cell>
          <cell r="Y296" t="str">
            <v>A</v>
          </cell>
          <cell r="Z296">
            <v>4</v>
          </cell>
          <cell r="AA296">
            <v>0</v>
          </cell>
          <cell r="AB296">
            <v>9</v>
          </cell>
          <cell r="AC296" t="str">
            <v>A</v>
          </cell>
          <cell r="AD296">
            <v>4</v>
          </cell>
          <cell r="AE296" t="str">
            <v>A</v>
          </cell>
          <cell r="AF296">
            <v>4</v>
          </cell>
          <cell r="AG296" t="str">
            <v>D</v>
          </cell>
          <cell r="AH296">
            <v>1</v>
          </cell>
          <cell r="AI296" t="str">
            <v>NT7</v>
          </cell>
          <cell r="AJ296">
            <v>0</v>
          </cell>
          <cell r="AK296" t="str">
            <v>A</v>
          </cell>
          <cell r="AL296">
            <v>4</v>
          </cell>
          <cell r="AM296" t="str">
            <v>A</v>
          </cell>
          <cell r="AN296">
            <v>4</v>
          </cell>
          <cell r="AO296">
            <v>0</v>
          </cell>
          <cell r="AP296">
            <v>12</v>
          </cell>
          <cell r="AQ296" t="str">
            <v>A</v>
          </cell>
          <cell r="AR296">
            <v>4</v>
          </cell>
          <cell r="AS296" t="str">
            <v>D</v>
          </cell>
          <cell r="AT296">
            <v>2.5</v>
          </cell>
          <cell r="AU296" t="str">
            <v>A</v>
          </cell>
          <cell r="AV296">
            <v>4</v>
          </cell>
          <cell r="AW296" t="str">
            <v>A</v>
          </cell>
          <cell r="AX296">
            <v>4</v>
          </cell>
          <cell r="AY296" t="str">
            <v>D</v>
          </cell>
          <cell r="AZ296">
            <v>2.5</v>
          </cell>
          <cell r="BA296" t="str">
            <v>NT7</v>
          </cell>
          <cell r="BB296">
            <v>0</v>
          </cell>
          <cell r="BC296">
            <v>0</v>
          </cell>
          <cell r="BD296">
            <v>10</v>
          </cell>
          <cell r="BE296" t="str">
            <v>A</v>
          </cell>
          <cell r="BF296">
            <v>4</v>
          </cell>
          <cell r="BG296" t="str">
            <v>A</v>
          </cell>
          <cell r="BH296">
            <v>4</v>
          </cell>
          <cell r="BI296" t="str">
            <v>A</v>
          </cell>
          <cell r="BJ296">
            <v>4</v>
          </cell>
          <cell r="BK296" t="str">
            <v>A</v>
          </cell>
          <cell r="BL296">
            <v>4</v>
          </cell>
          <cell r="BM296" t="str">
            <v>A</v>
          </cell>
          <cell r="BN296">
            <v>4</v>
          </cell>
          <cell r="BO296" t="str">
            <v>A</v>
          </cell>
          <cell r="BP296">
            <v>4</v>
          </cell>
          <cell r="BQ296">
            <v>19</v>
          </cell>
          <cell r="BR296">
            <v>6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2</v>
          </cell>
          <cell r="BY296">
            <v>0</v>
          </cell>
          <cell r="BZ296">
            <v>27</v>
          </cell>
          <cell r="CA296">
            <v>82</v>
          </cell>
          <cell r="CB296">
            <v>42</v>
          </cell>
          <cell r="CC296">
            <v>0</v>
          </cell>
          <cell r="CD296">
            <v>0</v>
          </cell>
          <cell r="CE296">
            <v>1</v>
          </cell>
          <cell r="CF296">
            <v>0</v>
          </cell>
          <cell r="CG296">
            <v>0</v>
          </cell>
          <cell r="CH296">
            <v>16</v>
          </cell>
          <cell r="CI296">
            <v>150</v>
          </cell>
        </row>
        <row r="297">
          <cell r="A297" t="str">
            <v>A1035</v>
          </cell>
          <cell r="B297" t="str">
            <v>Huỳnh Mỹ Xuân</v>
          </cell>
          <cell r="C297" t="str">
            <v>Gián tiếp</v>
          </cell>
          <cell r="D297">
            <v>0</v>
          </cell>
          <cell r="E297" t="str">
            <v>26/02/2018</v>
          </cell>
          <cell r="F297">
            <v>0</v>
          </cell>
          <cell r="G297" t="str">
            <v>D</v>
          </cell>
          <cell r="H297">
            <v>0</v>
          </cell>
          <cell r="I297" t="str">
            <v>D</v>
          </cell>
          <cell r="J297">
            <v>0</v>
          </cell>
          <cell r="K297" t="str">
            <v>D</v>
          </cell>
          <cell r="L297">
            <v>0</v>
          </cell>
          <cell r="M297">
            <v>0</v>
          </cell>
          <cell r="N297">
            <v>4</v>
          </cell>
          <cell r="O297" t="str">
            <v>D</v>
          </cell>
          <cell r="P297">
            <v>0</v>
          </cell>
          <cell r="Q297" t="str">
            <v>D</v>
          </cell>
          <cell r="R297">
            <v>0</v>
          </cell>
          <cell r="S297" t="str">
            <v>D</v>
          </cell>
          <cell r="T297">
            <v>0</v>
          </cell>
          <cell r="U297" t="str">
            <v>D</v>
          </cell>
          <cell r="V297">
            <v>0</v>
          </cell>
          <cell r="W297" t="str">
            <v>D</v>
          </cell>
          <cell r="X297">
            <v>0</v>
          </cell>
          <cell r="Y297" t="str">
            <v>D</v>
          </cell>
          <cell r="Z297">
            <v>0</v>
          </cell>
          <cell r="AA297">
            <v>0</v>
          </cell>
          <cell r="AB297">
            <v>0</v>
          </cell>
          <cell r="AC297" t="str">
            <v>D</v>
          </cell>
          <cell r="AD297">
            <v>0</v>
          </cell>
          <cell r="AE297" t="str">
            <v>D</v>
          </cell>
          <cell r="AF297">
            <v>0</v>
          </cell>
          <cell r="AG297" t="str">
            <v>D</v>
          </cell>
          <cell r="AH297">
            <v>0</v>
          </cell>
          <cell r="AI297" t="str">
            <v>D</v>
          </cell>
          <cell r="AJ297">
            <v>0</v>
          </cell>
          <cell r="AK297" t="str">
            <v>D</v>
          </cell>
          <cell r="AL297">
            <v>2</v>
          </cell>
          <cell r="AM297" t="str">
            <v>D</v>
          </cell>
          <cell r="AN297">
            <v>2</v>
          </cell>
          <cell r="AO297">
            <v>0</v>
          </cell>
          <cell r="AP297">
            <v>0</v>
          </cell>
          <cell r="AQ297" t="str">
            <v>D</v>
          </cell>
          <cell r="AR297">
            <v>0</v>
          </cell>
          <cell r="AS297" t="str">
            <v>D</v>
          </cell>
          <cell r="AT297">
            <v>2</v>
          </cell>
          <cell r="AU297" t="str">
            <v>D</v>
          </cell>
          <cell r="AV297">
            <v>4</v>
          </cell>
          <cell r="AW297" t="str">
            <v>D</v>
          </cell>
          <cell r="AX297">
            <v>0</v>
          </cell>
          <cell r="AY297" t="str">
            <v>D</v>
          </cell>
          <cell r="AZ297">
            <v>2</v>
          </cell>
          <cell r="BA297" t="str">
            <v>NT7</v>
          </cell>
          <cell r="BB297">
            <v>0</v>
          </cell>
          <cell r="BC297">
            <v>0</v>
          </cell>
          <cell r="BD297">
            <v>0</v>
          </cell>
          <cell r="BE297" t="str">
            <v>D</v>
          </cell>
          <cell r="BF297">
            <v>1</v>
          </cell>
          <cell r="BG297" t="str">
            <v>D</v>
          </cell>
          <cell r="BH297">
            <v>1</v>
          </cell>
          <cell r="BI297" t="str">
            <v>D</v>
          </cell>
          <cell r="BJ297">
            <v>2</v>
          </cell>
          <cell r="BK297" t="str">
            <v>D</v>
          </cell>
          <cell r="BL297">
            <v>1</v>
          </cell>
          <cell r="BM297" t="str">
            <v>R0,D5</v>
          </cell>
          <cell r="BN297">
            <v>0</v>
          </cell>
          <cell r="BO297" t="str">
            <v>D</v>
          </cell>
          <cell r="BP297">
            <v>2</v>
          </cell>
          <cell r="BQ297">
            <v>0</v>
          </cell>
          <cell r="BR297">
            <v>25.5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1</v>
          </cell>
          <cell r="BY297">
            <v>0</v>
          </cell>
          <cell r="BZ297">
            <v>26.5</v>
          </cell>
          <cell r="CA297">
            <v>19</v>
          </cell>
          <cell r="CB297">
            <v>4</v>
          </cell>
          <cell r="CC297">
            <v>0</v>
          </cell>
          <cell r="CD297">
            <v>1</v>
          </cell>
          <cell r="CE297">
            <v>0</v>
          </cell>
          <cell r="CF297">
            <v>150</v>
          </cell>
          <cell r="CG297">
            <v>0</v>
          </cell>
          <cell r="CH297">
            <v>0</v>
          </cell>
          <cell r="CI297">
            <v>150</v>
          </cell>
        </row>
        <row r="298">
          <cell r="A298" t="str">
            <v>A1036</v>
          </cell>
          <cell r="B298" t="str">
            <v>Huỳnh Quang Trung</v>
          </cell>
          <cell r="C298" t="str">
            <v>Gián tiếp</v>
          </cell>
          <cell r="D298">
            <v>0</v>
          </cell>
          <cell r="E298" t="str">
            <v>26/02/2018</v>
          </cell>
          <cell r="F298">
            <v>0</v>
          </cell>
          <cell r="G298" t="str">
            <v>D</v>
          </cell>
          <cell r="H298">
            <v>0</v>
          </cell>
          <cell r="I298" t="str">
            <v>D</v>
          </cell>
          <cell r="J298">
            <v>0</v>
          </cell>
          <cell r="K298" t="str">
            <v>D</v>
          </cell>
          <cell r="L298">
            <v>0</v>
          </cell>
          <cell r="M298">
            <v>0</v>
          </cell>
          <cell r="N298">
            <v>5</v>
          </cell>
          <cell r="O298" t="str">
            <v>D</v>
          </cell>
          <cell r="P298">
            <v>0</v>
          </cell>
          <cell r="Q298" t="str">
            <v>D</v>
          </cell>
          <cell r="R298">
            <v>0</v>
          </cell>
          <cell r="S298" t="str">
            <v>D</v>
          </cell>
          <cell r="T298">
            <v>0</v>
          </cell>
          <cell r="U298" t="str">
            <v>D</v>
          </cell>
          <cell r="V298">
            <v>0</v>
          </cell>
          <cell r="W298" t="str">
            <v>D</v>
          </cell>
          <cell r="X298">
            <v>0</v>
          </cell>
          <cell r="Y298" t="str">
            <v>D</v>
          </cell>
          <cell r="Z298">
            <v>0</v>
          </cell>
          <cell r="AA298">
            <v>0</v>
          </cell>
          <cell r="AB298">
            <v>0</v>
          </cell>
          <cell r="AC298" t="str">
            <v>D</v>
          </cell>
          <cell r="AD298">
            <v>0</v>
          </cell>
          <cell r="AE298" t="str">
            <v>D</v>
          </cell>
          <cell r="AF298">
            <v>0</v>
          </cell>
          <cell r="AG298" t="str">
            <v>D</v>
          </cell>
          <cell r="AH298">
            <v>0</v>
          </cell>
          <cell r="AI298" t="str">
            <v>D</v>
          </cell>
          <cell r="AJ298">
            <v>0</v>
          </cell>
          <cell r="AK298" t="str">
            <v>D</v>
          </cell>
          <cell r="AL298">
            <v>2</v>
          </cell>
          <cell r="AM298" t="str">
            <v>NT7</v>
          </cell>
          <cell r="AN298">
            <v>0</v>
          </cell>
          <cell r="AO298">
            <v>0</v>
          </cell>
          <cell r="AP298">
            <v>0</v>
          </cell>
          <cell r="AQ298" t="str">
            <v>D</v>
          </cell>
          <cell r="AR298">
            <v>1.5</v>
          </cell>
          <cell r="AS298" t="str">
            <v>D</v>
          </cell>
          <cell r="AT298">
            <v>2</v>
          </cell>
          <cell r="AU298" t="str">
            <v>D</v>
          </cell>
          <cell r="AV298">
            <v>4</v>
          </cell>
          <cell r="AW298" t="str">
            <v>D</v>
          </cell>
          <cell r="AX298">
            <v>0</v>
          </cell>
          <cell r="AY298" t="str">
            <v>D</v>
          </cell>
          <cell r="AZ298">
            <v>2</v>
          </cell>
          <cell r="BA298" t="str">
            <v>NT7</v>
          </cell>
          <cell r="BB298">
            <v>0</v>
          </cell>
          <cell r="BC298">
            <v>0</v>
          </cell>
          <cell r="BD298">
            <v>0</v>
          </cell>
          <cell r="BE298" t="str">
            <v>D</v>
          </cell>
          <cell r="BF298">
            <v>0</v>
          </cell>
          <cell r="BG298" t="str">
            <v>D</v>
          </cell>
          <cell r="BH298">
            <v>1</v>
          </cell>
          <cell r="BI298" t="str">
            <v>D</v>
          </cell>
          <cell r="BJ298">
            <v>2</v>
          </cell>
          <cell r="BK298" t="str">
            <v>D</v>
          </cell>
          <cell r="BL298">
            <v>0</v>
          </cell>
          <cell r="BM298" t="str">
            <v>R0</v>
          </cell>
          <cell r="BN298">
            <v>0</v>
          </cell>
          <cell r="BO298" t="str">
            <v>D</v>
          </cell>
          <cell r="BP298">
            <v>0</v>
          </cell>
          <cell r="BQ298">
            <v>0</v>
          </cell>
          <cell r="BR298">
            <v>24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2</v>
          </cell>
          <cell r="BY298">
            <v>0</v>
          </cell>
          <cell r="BZ298">
            <v>26</v>
          </cell>
          <cell r="CA298">
            <v>14.5</v>
          </cell>
          <cell r="CB298">
            <v>5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150</v>
          </cell>
        </row>
        <row r="299">
          <cell r="A299" t="str">
            <v>A1037</v>
          </cell>
          <cell r="B299" t="str">
            <v>Nguyễn Công Khanh</v>
          </cell>
          <cell r="C299" t="str">
            <v>CI.1</v>
          </cell>
          <cell r="D299">
            <v>0</v>
          </cell>
          <cell r="E299" t="str">
            <v>23/02/2018</v>
          </cell>
          <cell r="F299">
            <v>0</v>
          </cell>
          <cell r="G299" t="str">
            <v>A</v>
          </cell>
          <cell r="H299">
            <v>4</v>
          </cell>
          <cell r="I299" t="str">
            <v>NT7</v>
          </cell>
          <cell r="J299">
            <v>0</v>
          </cell>
          <cell r="K299" t="str">
            <v>A</v>
          </cell>
          <cell r="L299">
            <v>4</v>
          </cell>
          <cell r="M299">
            <v>0</v>
          </cell>
          <cell r="N299">
            <v>8</v>
          </cell>
          <cell r="O299" t="str">
            <v>C</v>
          </cell>
          <cell r="P299">
            <v>4</v>
          </cell>
          <cell r="Q299" t="str">
            <v>C</v>
          </cell>
          <cell r="R299">
            <v>4</v>
          </cell>
          <cell r="S299" t="str">
            <v>C</v>
          </cell>
          <cell r="T299">
            <v>4</v>
          </cell>
          <cell r="U299" t="str">
            <v>C</v>
          </cell>
          <cell r="V299">
            <v>4</v>
          </cell>
          <cell r="W299" t="str">
            <v>C</v>
          </cell>
          <cell r="X299">
            <v>4</v>
          </cell>
          <cell r="Y299" t="str">
            <v>P</v>
          </cell>
          <cell r="Z299">
            <v>0</v>
          </cell>
          <cell r="AA299">
            <v>0</v>
          </cell>
          <cell r="AB299">
            <v>0</v>
          </cell>
          <cell r="AC299" t="str">
            <v>NT7</v>
          </cell>
          <cell r="AD299">
            <v>0</v>
          </cell>
          <cell r="AE299" t="str">
            <v>D</v>
          </cell>
          <cell r="AF299">
            <v>0</v>
          </cell>
          <cell r="AG299" t="str">
            <v>A</v>
          </cell>
          <cell r="AH299">
            <v>4</v>
          </cell>
          <cell r="AI299" t="str">
            <v>A</v>
          </cell>
          <cell r="AJ299">
            <v>4</v>
          </cell>
          <cell r="AK299" t="str">
            <v>A</v>
          </cell>
          <cell r="AL299">
            <v>4</v>
          </cell>
          <cell r="AM299" t="str">
            <v>A</v>
          </cell>
          <cell r="AN299">
            <v>4</v>
          </cell>
          <cell r="AO299">
            <v>0</v>
          </cell>
          <cell r="AP299">
            <v>0</v>
          </cell>
          <cell r="AQ299" t="str">
            <v>HH</v>
          </cell>
          <cell r="AR299">
            <v>0</v>
          </cell>
          <cell r="AS299" t="str">
            <v>HH</v>
          </cell>
          <cell r="AT299">
            <v>0</v>
          </cell>
          <cell r="AU299" t="str">
            <v>C</v>
          </cell>
          <cell r="AV299">
            <v>4</v>
          </cell>
          <cell r="AW299" t="str">
            <v>C</v>
          </cell>
          <cell r="AX299">
            <v>4</v>
          </cell>
          <cell r="AY299" t="str">
            <v>C</v>
          </cell>
          <cell r="AZ299">
            <v>4</v>
          </cell>
          <cell r="BA299" t="str">
            <v>B</v>
          </cell>
          <cell r="BB299">
            <v>0</v>
          </cell>
          <cell r="BC299">
            <v>0</v>
          </cell>
          <cell r="BD299">
            <v>8</v>
          </cell>
          <cell r="BE299" t="str">
            <v>A</v>
          </cell>
          <cell r="BF299">
            <v>4</v>
          </cell>
          <cell r="BG299" t="str">
            <v>A</v>
          </cell>
          <cell r="BH299">
            <v>4</v>
          </cell>
          <cell r="BI299" t="str">
            <v>A</v>
          </cell>
          <cell r="BJ299">
            <v>4</v>
          </cell>
          <cell r="BK299" t="str">
            <v>A</v>
          </cell>
          <cell r="BL299">
            <v>4</v>
          </cell>
          <cell r="BM299" t="str">
            <v>A</v>
          </cell>
          <cell r="BN299">
            <v>4</v>
          </cell>
          <cell r="BO299" t="str">
            <v>D</v>
          </cell>
          <cell r="BP299">
            <v>0</v>
          </cell>
          <cell r="BQ299">
            <v>11</v>
          </cell>
          <cell r="BR299">
            <v>2</v>
          </cell>
          <cell r="BS299">
            <v>1</v>
          </cell>
          <cell r="BT299">
            <v>8</v>
          </cell>
          <cell r="BU299">
            <v>0</v>
          </cell>
          <cell r="BV299">
            <v>0</v>
          </cell>
          <cell r="BW299">
            <v>2</v>
          </cell>
          <cell r="BX299">
            <v>2</v>
          </cell>
          <cell r="BY299">
            <v>1</v>
          </cell>
          <cell r="BZ299">
            <v>27</v>
          </cell>
          <cell r="CA299">
            <v>76</v>
          </cell>
          <cell r="CB299">
            <v>16</v>
          </cell>
          <cell r="CC299">
            <v>0</v>
          </cell>
          <cell r="CD299">
            <v>0</v>
          </cell>
          <cell r="CE299">
            <v>1</v>
          </cell>
          <cell r="CF299">
            <v>0</v>
          </cell>
          <cell r="CG299">
            <v>0</v>
          </cell>
          <cell r="CH299">
            <v>16</v>
          </cell>
          <cell r="CI299">
            <v>70</v>
          </cell>
        </row>
        <row r="300">
          <cell r="A300" t="str">
            <v>A1042</v>
          </cell>
          <cell r="B300" t="str">
            <v>Diệp Hoài Ân</v>
          </cell>
          <cell r="C300" t="str">
            <v>CI.1</v>
          </cell>
          <cell r="D300">
            <v>0</v>
          </cell>
          <cell r="E300" t="str">
            <v>26/02/2018</v>
          </cell>
          <cell r="F300">
            <v>0</v>
          </cell>
          <cell r="G300" t="str">
            <v>C</v>
          </cell>
          <cell r="H300">
            <v>4</v>
          </cell>
          <cell r="I300" t="str">
            <v>C</v>
          </cell>
          <cell r="J300">
            <v>4</v>
          </cell>
          <cell r="K300" t="str">
            <v>C</v>
          </cell>
          <cell r="L300">
            <v>4</v>
          </cell>
          <cell r="M300">
            <v>0</v>
          </cell>
          <cell r="N300">
            <v>0</v>
          </cell>
          <cell r="O300" t="str">
            <v>A</v>
          </cell>
          <cell r="P300">
            <v>4</v>
          </cell>
          <cell r="Q300" t="str">
            <v>A</v>
          </cell>
          <cell r="R300">
            <v>4</v>
          </cell>
          <cell r="S300" t="str">
            <v>A</v>
          </cell>
          <cell r="T300">
            <v>4</v>
          </cell>
          <cell r="U300" t="str">
            <v>A</v>
          </cell>
          <cell r="V300">
            <v>4</v>
          </cell>
          <cell r="W300" t="str">
            <v>A</v>
          </cell>
          <cell r="X300">
            <v>4</v>
          </cell>
          <cell r="Y300" t="str">
            <v>A</v>
          </cell>
          <cell r="Z300">
            <v>4</v>
          </cell>
          <cell r="AA300">
            <v>0</v>
          </cell>
          <cell r="AB300">
            <v>0</v>
          </cell>
          <cell r="AC300" t="str">
            <v>HH</v>
          </cell>
          <cell r="AD300">
            <v>0</v>
          </cell>
          <cell r="AE300" t="str">
            <v>C</v>
          </cell>
          <cell r="AF300">
            <v>4</v>
          </cell>
          <cell r="AG300" t="str">
            <v>C</v>
          </cell>
          <cell r="AH300">
            <v>4</v>
          </cell>
          <cell r="AI300" t="str">
            <v>C</v>
          </cell>
          <cell r="AJ300">
            <v>4</v>
          </cell>
          <cell r="AK300" t="str">
            <v>C</v>
          </cell>
          <cell r="AL300">
            <v>4</v>
          </cell>
          <cell r="AM300" t="str">
            <v>C</v>
          </cell>
          <cell r="AN300">
            <v>4</v>
          </cell>
          <cell r="AO300">
            <v>0</v>
          </cell>
          <cell r="AP300">
            <v>0</v>
          </cell>
          <cell r="AQ300" t="str">
            <v>D</v>
          </cell>
          <cell r="AR300">
            <v>0</v>
          </cell>
          <cell r="AS300" t="str">
            <v>NT7</v>
          </cell>
          <cell r="AT300">
            <v>0</v>
          </cell>
          <cell r="AU300" t="str">
            <v>A</v>
          </cell>
          <cell r="AV300">
            <v>4</v>
          </cell>
          <cell r="AW300" t="str">
            <v>D</v>
          </cell>
          <cell r="AX300">
            <v>1</v>
          </cell>
          <cell r="AY300" t="str">
            <v>A</v>
          </cell>
          <cell r="AZ300">
            <v>4</v>
          </cell>
          <cell r="BA300" t="str">
            <v>A</v>
          </cell>
          <cell r="BB300">
            <v>4</v>
          </cell>
          <cell r="BC300">
            <v>0</v>
          </cell>
          <cell r="BD300">
            <v>16</v>
          </cell>
          <cell r="BE300" t="str">
            <v>C</v>
          </cell>
          <cell r="BF300">
            <v>4</v>
          </cell>
          <cell r="BG300" t="str">
            <v>C</v>
          </cell>
          <cell r="BH300">
            <v>4</v>
          </cell>
          <cell r="BI300" t="str">
            <v>C</v>
          </cell>
          <cell r="BJ300">
            <v>4</v>
          </cell>
          <cell r="BK300" t="str">
            <v>C</v>
          </cell>
          <cell r="BL300">
            <v>4</v>
          </cell>
          <cell r="BM300" t="str">
            <v>C</v>
          </cell>
          <cell r="BN300">
            <v>4</v>
          </cell>
          <cell r="BO300" t="str">
            <v>HH</v>
          </cell>
          <cell r="BP300">
            <v>0</v>
          </cell>
          <cell r="BQ300">
            <v>9</v>
          </cell>
          <cell r="BR300">
            <v>2</v>
          </cell>
          <cell r="BS300">
            <v>0</v>
          </cell>
          <cell r="BT300">
            <v>13</v>
          </cell>
          <cell r="BU300">
            <v>0</v>
          </cell>
          <cell r="BV300">
            <v>0</v>
          </cell>
          <cell r="BW300">
            <v>2</v>
          </cell>
          <cell r="BX300">
            <v>1</v>
          </cell>
          <cell r="BY300">
            <v>0</v>
          </cell>
          <cell r="BZ300">
            <v>27</v>
          </cell>
          <cell r="CA300">
            <v>89</v>
          </cell>
          <cell r="CB300">
            <v>16</v>
          </cell>
          <cell r="CC300">
            <v>0</v>
          </cell>
          <cell r="CD300">
            <v>1</v>
          </cell>
          <cell r="CE300">
            <v>1</v>
          </cell>
          <cell r="CF300">
            <v>70</v>
          </cell>
          <cell r="CG300">
            <v>0</v>
          </cell>
          <cell r="CH300">
            <v>16</v>
          </cell>
          <cell r="CI300">
            <v>70</v>
          </cell>
        </row>
        <row r="301">
          <cell r="A301" t="str">
            <v>A1039</v>
          </cell>
          <cell r="B301" t="str">
            <v>Đặng Văn Pháp</v>
          </cell>
          <cell r="C301" t="str">
            <v>CI.1</v>
          </cell>
          <cell r="D301">
            <v>0</v>
          </cell>
          <cell r="E301" t="str">
            <v>27/02/2018</v>
          </cell>
          <cell r="F301">
            <v>0</v>
          </cell>
          <cell r="G301" t="str">
            <v>A</v>
          </cell>
          <cell r="H301">
            <v>4</v>
          </cell>
          <cell r="I301" t="str">
            <v>A</v>
          </cell>
          <cell r="J301">
            <v>4</v>
          </cell>
          <cell r="K301" t="str">
            <v>A</v>
          </cell>
          <cell r="L301">
            <v>4</v>
          </cell>
          <cell r="M301">
            <v>0</v>
          </cell>
          <cell r="N301">
            <v>12</v>
          </cell>
          <cell r="O301" t="str">
            <v>C</v>
          </cell>
          <cell r="P301">
            <v>4</v>
          </cell>
          <cell r="Q301" t="str">
            <v>C</v>
          </cell>
          <cell r="R301">
            <v>4</v>
          </cell>
          <cell r="S301" t="str">
            <v>C</v>
          </cell>
          <cell r="T301">
            <v>4</v>
          </cell>
          <cell r="U301" t="str">
            <v>C</v>
          </cell>
          <cell r="V301">
            <v>4</v>
          </cell>
          <cell r="W301" t="str">
            <v>C</v>
          </cell>
          <cell r="X301">
            <v>4</v>
          </cell>
          <cell r="Y301" t="str">
            <v>C</v>
          </cell>
          <cell r="Z301">
            <v>4</v>
          </cell>
          <cell r="AA301">
            <v>0</v>
          </cell>
          <cell r="AB301">
            <v>0</v>
          </cell>
          <cell r="AC301" t="str">
            <v>D</v>
          </cell>
          <cell r="AD301">
            <v>0</v>
          </cell>
          <cell r="AE301" t="str">
            <v>D</v>
          </cell>
          <cell r="AF301">
            <v>0</v>
          </cell>
          <cell r="AG301" t="str">
            <v>A</v>
          </cell>
          <cell r="AH301">
            <v>4</v>
          </cell>
          <cell r="AI301" t="str">
            <v>A</v>
          </cell>
          <cell r="AJ301">
            <v>4</v>
          </cell>
          <cell r="AK301" t="str">
            <v>A</v>
          </cell>
          <cell r="AL301">
            <v>4</v>
          </cell>
          <cell r="AM301" t="str">
            <v>A</v>
          </cell>
          <cell r="AN301">
            <v>4</v>
          </cell>
          <cell r="AO301">
            <v>0</v>
          </cell>
          <cell r="AP301">
            <v>0</v>
          </cell>
          <cell r="AQ301" t="str">
            <v>HH</v>
          </cell>
          <cell r="AR301">
            <v>0</v>
          </cell>
          <cell r="AS301" t="str">
            <v>HH</v>
          </cell>
          <cell r="AT301">
            <v>0</v>
          </cell>
          <cell r="AU301" t="str">
            <v>C</v>
          </cell>
          <cell r="AV301">
            <v>4</v>
          </cell>
          <cell r="AW301" t="str">
            <v>C</v>
          </cell>
          <cell r="AX301">
            <v>4</v>
          </cell>
          <cell r="AY301" t="str">
            <v>C</v>
          </cell>
          <cell r="AZ301">
            <v>4</v>
          </cell>
          <cell r="BA301" t="str">
            <v>C</v>
          </cell>
          <cell r="BB301">
            <v>4</v>
          </cell>
          <cell r="BC301">
            <v>0</v>
          </cell>
          <cell r="BD301">
            <v>8</v>
          </cell>
          <cell r="BE301" t="str">
            <v>A</v>
          </cell>
          <cell r="BF301">
            <v>4</v>
          </cell>
          <cell r="BG301" t="str">
            <v>A</v>
          </cell>
          <cell r="BH301">
            <v>4</v>
          </cell>
          <cell r="BI301" t="str">
            <v>A</v>
          </cell>
          <cell r="BJ301">
            <v>4</v>
          </cell>
          <cell r="BK301" t="str">
            <v>A</v>
          </cell>
          <cell r="BL301">
            <v>4</v>
          </cell>
          <cell r="BM301" t="str">
            <v>A</v>
          </cell>
          <cell r="BN301">
            <v>4</v>
          </cell>
          <cell r="BO301" t="str">
            <v>D</v>
          </cell>
          <cell r="BP301">
            <v>0</v>
          </cell>
          <cell r="BQ301">
            <v>12</v>
          </cell>
          <cell r="BR301">
            <v>3</v>
          </cell>
          <cell r="BS301">
            <v>0</v>
          </cell>
          <cell r="BT301">
            <v>10</v>
          </cell>
          <cell r="BU301">
            <v>0</v>
          </cell>
          <cell r="BV301">
            <v>0</v>
          </cell>
          <cell r="BW301">
            <v>2</v>
          </cell>
          <cell r="BX301">
            <v>0</v>
          </cell>
          <cell r="BY301">
            <v>0</v>
          </cell>
          <cell r="BZ301">
            <v>27</v>
          </cell>
          <cell r="CA301">
            <v>88</v>
          </cell>
          <cell r="CB301">
            <v>20</v>
          </cell>
          <cell r="CC301">
            <v>0</v>
          </cell>
          <cell r="CD301">
            <v>2</v>
          </cell>
          <cell r="CE301">
            <v>2</v>
          </cell>
          <cell r="CF301">
            <v>140</v>
          </cell>
          <cell r="CG301">
            <v>0</v>
          </cell>
          <cell r="CH301">
            <v>32</v>
          </cell>
          <cell r="CI301">
            <v>70</v>
          </cell>
        </row>
        <row r="302">
          <cell r="A302" t="str">
            <v>A1040</v>
          </cell>
          <cell r="B302" t="str">
            <v>Hồ Văn Tân</v>
          </cell>
          <cell r="C302" t="str">
            <v>CI.1</v>
          </cell>
          <cell r="D302">
            <v>0</v>
          </cell>
          <cell r="E302" t="str">
            <v>27/02/2018</v>
          </cell>
          <cell r="F302">
            <v>0</v>
          </cell>
          <cell r="G302" t="str">
            <v>A</v>
          </cell>
          <cell r="H302">
            <v>4</v>
          </cell>
          <cell r="I302" t="str">
            <v>A</v>
          </cell>
          <cell r="J302">
            <v>4</v>
          </cell>
          <cell r="K302" t="str">
            <v>A</v>
          </cell>
          <cell r="L302">
            <v>4</v>
          </cell>
          <cell r="M302">
            <v>0</v>
          </cell>
          <cell r="N302">
            <v>0</v>
          </cell>
          <cell r="O302" t="str">
            <v>C</v>
          </cell>
          <cell r="P302">
            <v>4</v>
          </cell>
          <cell r="Q302" t="str">
            <v>C</v>
          </cell>
          <cell r="R302">
            <v>4</v>
          </cell>
          <cell r="S302" t="str">
            <v>C</v>
          </cell>
          <cell r="T302">
            <v>4</v>
          </cell>
          <cell r="U302" t="str">
            <v>C</v>
          </cell>
          <cell r="V302">
            <v>4</v>
          </cell>
          <cell r="W302" t="str">
            <v>C</v>
          </cell>
          <cell r="X302">
            <v>4</v>
          </cell>
          <cell r="Y302" t="str">
            <v>C</v>
          </cell>
          <cell r="Z302">
            <v>4</v>
          </cell>
          <cell r="AA302">
            <v>0</v>
          </cell>
          <cell r="AB302">
            <v>0</v>
          </cell>
          <cell r="AC302" t="str">
            <v>D</v>
          </cell>
          <cell r="AD302">
            <v>0</v>
          </cell>
          <cell r="AE302" t="str">
            <v>D</v>
          </cell>
          <cell r="AF302">
            <v>0</v>
          </cell>
          <cell r="AG302" t="str">
            <v>A</v>
          </cell>
          <cell r="AH302">
            <v>4</v>
          </cell>
          <cell r="AI302" t="str">
            <v>A</v>
          </cell>
          <cell r="AJ302">
            <v>4</v>
          </cell>
          <cell r="AK302" t="str">
            <v>A</v>
          </cell>
          <cell r="AL302">
            <v>4</v>
          </cell>
          <cell r="AM302" t="str">
            <v>A</v>
          </cell>
          <cell r="AN302">
            <v>4</v>
          </cell>
          <cell r="AO302">
            <v>0</v>
          </cell>
          <cell r="AP302">
            <v>0</v>
          </cell>
          <cell r="AQ302" t="str">
            <v>HH</v>
          </cell>
          <cell r="AR302">
            <v>0</v>
          </cell>
          <cell r="AS302" t="str">
            <v>HH</v>
          </cell>
          <cell r="AT302">
            <v>0</v>
          </cell>
          <cell r="AU302" t="str">
            <v>C</v>
          </cell>
          <cell r="AV302">
            <v>4</v>
          </cell>
          <cell r="AW302" t="str">
            <v>C</v>
          </cell>
          <cell r="AX302">
            <v>4</v>
          </cell>
          <cell r="AY302" t="str">
            <v>C</v>
          </cell>
          <cell r="AZ302">
            <v>4</v>
          </cell>
          <cell r="BA302" t="str">
            <v>C</v>
          </cell>
          <cell r="BB302">
            <v>4</v>
          </cell>
          <cell r="BC302">
            <v>0</v>
          </cell>
          <cell r="BD302">
            <v>8</v>
          </cell>
          <cell r="BE302" t="str">
            <v>A</v>
          </cell>
          <cell r="BF302">
            <v>4</v>
          </cell>
          <cell r="BG302" t="str">
            <v>A</v>
          </cell>
          <cell r="BH302">
            <v>4</v>
          </cell>
          <cell r="BI302" t="str">
            <v>D</v>
          </cell>
          <cell r="BJ302">
            <v>0</v>
          </cell>
          <cell r="BK302" t="str">
            <v>A</v>
          </cell>
          <cell r="BL302">
            <v>4</v>
          </cell>
          <cell r="BM302" t="str">
            <v>A</v>
          </cell>
          <cell r="BN302">
            <v>4</v>
          </cell>
          <cell r="BO302" t="str">
            <v>D</v>
          </cell>
          <cell r="BP302">
            <v>2.5</v>
          </cell>
          <cell r="BQ302">
            <v>11</v>
          </cell>
          <cell r="BR302">
            <v>4</v>
          </cell>
          <cell r="BS302">
            <v>0</v>
          </cell>
          <cell r="BT302">
            <v>10</v>
          </cell>
          <cell r="BU302">
            <v>0</v>
          </cell>
          <cell r="BV302">
            <v>0</v>
          </cell>
          <cell r="BW302">
            <v>2</v>
          </cell>
          <cell r="BX302">
            <v>0</v>
          </cell>
          <cell r="BY302">
            <v>0</v>
          </cell>
          <cell r="BZ302">
            <v>27</v>
          </cell>
          <cell r="CA302">
            <v>86.5</v>
          </cell>
          <cell r="CB302">
            <v>8</v>
          </cell>
          <cell r="CC302">
            <v>0</v>
          </cell>
          <cell r="CD302">
            <v>2</v>
          </cell>
          <cell r="CE302">
            <v>1</v>
          </cell>
          <cell r="CF302">
            <v>140</v>
          </cell>
          <cell r="CG302">
            <v>0</v>
          </cell>
          <cell r="CH302">
            <v>16</v>
          </cell>
          <cell r="CI302">
            <v>70</v>
          </cell>
        </row>
        <row r="303">
          <cell r="A303" t="str">
            <v>A1046</v>
          </cell>
          <cell r="B303" t="str">
            <v>Huỳnh Thị Quyền Trân</v>
          </cell>
          <cell r="C303" t="str">
            <v>CI.1</v>
          </cell>
          <cell r="D303">
            <v>0</v>
          </cell>
          <cell r="E303" t="str">
            <v>28/02/2018</v>
          </cell>
          <cell r="F303">
            <v>0</v>
          </cell>
          <cell r="G303" t="str">
            <v>D</v>
          </cell>
          <cell r="H303">
            <v>0</v>
          </cell>
          <cell r="I303" t="str">
            <v>A</v>
          </cell>
          <cell r="J303">
            <v>4</v>
          </cell>
          <cell r="K303" t="str">
            <v>D</v>
          </cell>
          <cell r="L303">
            <v>2</v>
          </cell>
          <cell r="M303">
            <v>0</v>
          </cell>
          <cell r="N303">
            <v>8</v>
          </cell>
          <cell r="O303" t="str">
            <v>C</v>
          </cell>
          <cell r="P303">
            <v>4</v>
          </cell>
          <cell r="Q303" t="str">
            <v>C</v>
          </cell>
          <cell r="R303">
            <v>4</v>
          </cell>
          <cell r="S303" t="str">
            <v>NV</v>
          </cell>
          <cell r="T303">
            <v>0</v>
          </cell>
          <cell r="U303" t="str">
            <v>NV</v>
          </cell>
          <cell r="V303">
            <v>0</v>
          </cell>
          <cell r="W303" t="str">
            <v>NV</v>
          </cell>
          <cell r="X303">
            <v>0</v>
          </cell>
          <cell r="Y303" t="str">
            <v>NV</v>
          </cell>
          <cell r="Z303">
            <v>0</v>
          </cell>
          <cell r="AA303">
            <v>0</v>
          </cell>
          <cell r="AB303">
            <v>0</v>
          </cell>
          <cell r="AC303" t="str">
            <v>NV</v>
          </cell>
          <cell r="AD303">
            <v>0</v>
          </cell>
          <cell r="AE303" t="str">
            <v>NV</v>
          </cell>
          <cell r="AF303">
            <v>0</v>
          </cell>
          <cell r="AG303" t="str">
            <v>NV</v>
          </cell>
          <cell r="AH303">
            <v>0</v>
          </cell>
          <cell r="AI303" t="str">
            <v>NV</v>
          </cell>
          <cell r="AJ303">
            <v>0</v>
          </cell>
          <cell r="AK303" t="str">
            <v>NV</v>
          </cell>
          <cell r="AL303">
            <v>0</v>
          </cell>
          <cell r="AM303" t="str">
            <v>NV</v>
          </cell>
          <cell r="AN303">
            <v>0</v>
          </cell>
          <cell r="AO303">
            <v>0</v>
          </cell>
          <cell r="AP303">
            <v>0</v>
          </cell>
          <cell r="AQ303" t="str">
            <v>NV</v>
          </cell>
          <cell r="AR303">
            <v>0</v>
          </cell>
          <cell r="AS303" t="str">
            <v>NV</v>
          </cell>
          <cell r="AT303">
            <v>0</v>
          </cell>
          <cell r="AU303" t="str">
            <v>NV</v>
          </cell>
          <cell r="AV303">
            <v>0</v>
          </cell>
          <cell r="AW303" t="str">
            <v>NV</v>
          </cell>
          <cell r="AX303">
            <v>0</v>
          </cell>
          <cell r="AY303" t="str">
            <v>NV</v>
          </cell>
          <cell r="AZ303">
            <v>0</v>
          </cell>
          <cell r="BA303" t="str">
            <v>NV</v>
          </cell>
          <cell r="BB303">
            <v>0</v>
          </cell>
          <cell r="BC303">
            <v>0</v>
          </cell>
          <cell r="BD303">
            <v>0</v>
          </cell>
          <cell r="BE303" t="str">
            <v>NV</v>
          </cell>
          <cell r="BF303">
            <v>0</v>
          </cell>
          <cell r="BG303" t="str">
            <v>NV</v>
          </cell>
          <cell r="BH303">
            <v>0</v>
          </cell>
          <cell r="BI303" t="str">
            <v>NV</v>
          </cell>
          <cell r="BJ303">
            <v>0</v>
          </cell>
          <cell r="BK303" t="str">
            <v>NV</v>
          </cell>
          <cell r="BL303">
            <v>0</v>
          </cell>
          <cell r="BM303" t="str">
            <v>NV</v>
          </cell>
          <cell r="BN303">
            <v>0</v>
          </cell>
          <cell r="BO303" t="str">
            <v>NV</v>
          </cell>
          <cell r="BP303">
            <v>0</v>
          </cell>
          <cell r="BQ303">
            <v>1</v>
          </cell>
          <cell r="BR303">
            <v>2</v>
          </cell>
          <cell r="BS303">
            <v>0</v>
          </cell>
          <cell r="BT303">
            <v>2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5</v>
          </cell>
          <cell r="CA303">
            <v>14</v>
          </cell>
          <cell r="CB303">
            <v>8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70</v>
          </cell>
        </row>
        <row r="304">
          <cell r="A304" t="str">
            <v>A1041</v>
          </cell>
          <cell r="B304" t="str">
            <v>Nguyễn Chí Linh</v>
          </cell>
          <cell r="C304" t="str">
            <v>CI.1</v>
          </cell>
          <cell r="D304">
            <v>0</v>
          </cell>
          <cell r="E304" t="str">
            <v>27/02/2018</v>
          </cell>
          <cell r="F304">
            <v>0</v>
          </cell>
          <cell r="G304" t="str">
            <v>A</v>
          </cell>
          <cell r="H304">
            <v>4</v>
          </cell>
          <cell r="I304" t="str">
            <v>A</v>
          </cell>
          <cell r="J304">
            <v>4</v>
          </cell>
          <cell r="K304" t="str">
            <v>A</v>
          </cell>
          <cell r="L304">
            <v>4</v>
          </cell>
          <cell r="M304">
            <v>0</v>
          </cell>
          <cell r="N304">
            <v>0</v>
          </cell>
          <cell r="O304" t="str">
            <v>C</v>
          </cell>
          <cell r="P304">
            <v>4</v>
          </cell>
          <cell r="Q304" t="str">
            <v>C</v>
          </cell>
          <cell r="R304">
            <v>4</v>
          </cell>
          <cell r="S304" t="str">
            <v>C</v>
          </cell>
          <cell r="T304">
            <v>4</v>
          </cell>
          <cell r="U304" t="str">
            <v>C</v>
          </cell>
          <cell r="V304">
            <v>4</v>
          </cell>
          <cell r="W304" t="str">
            <v>C</v>
          </cell>
          <cell r="X304">
            <v>4</v>
          </cell>
          <cell r="Y304" t="str">
            <v>C</v>
          </cell>
          <cell r="Z304">
            <v>4</v>
          </cell>
          <cell r="AA304">
            <v>0</v>
          </cell>
          <cell r="AB304">
            <v>0</v>
          </cell>
          <cell r="AC304" t="str">
            <v>D</v>
          </cell>
          <cell r="AD304">
            <v>0</v>
          </cell>
          <cell r="AE304" t="str">
            <v>D</v>
          </cell>
          <cell r="AF304">
            <v>0</v>
          </cell>
          <cell r="AG304" t="str">
            <v>A</v>
          </cell>
          <cell r="AH304">
            <v>4</v>
          </cell>
          <cell r="AI304" t="str">
            <v>A</v>
          </cell>
          <cell r="AJ304">
            <v>4</v>
          </cell>
          <cell r="AK304" t="str">
            <v>A</v>
          </cell>
          <cell r="AL304">
            <v>4</v>
          </cell>
          <cell r="AM304" t="str">
            <v>A</v>
          </cell>
          <cell r="AN304">
            <v>4</v>
          </cell>
          <cell r="AO304">
            <v>0</v>
          </cell>
          <cell r="AP304">
            <v>0</v>
          </cell>
          <cell r="AQ304" t="str">
            <v>HH</v>
          </cell>
          <cell r="AR304">
            <v>0</v>
          </cell>
          <cell r="AS304" t="str">
            <v>HH</v>
          </cell>
          <cell r="AT304">
            <v>0</v>
          </cell>
          <cell r="AU304" t="str">
            <v>C</v>
          </cell>
          <cell r="AV304">
            <v>4</v>
          </cell>
          <cell r="AW304" t="str">
            <v>C</v>
          </cell>
          <cell r="AX304">
            <v>4</v>
          </cell>
          <cell r="AY304" t="str">
            <v>C</v>
          </cell>
          <cell r="AZ304">
            <v>4</v>
          </cell>
          <cell r="BA304" t="str">
            <v>C</v>
          </cell>
          <cell r="BB304">
            <v>4</v>
          </cell>
          <cell r="BC304">
            <v>0</v>
          </cell>
          <cell r="BD304">
            <v>8</v>
          </cell>
          <cell r="BE304" t="str">
            <v>A</v>
          </cell>
          <cell r="BF304">
            <v>4</v>
          </cell>
          <cell r="BG304" t="str">
            <v>A</v>
          </cell>
          <cell r="BH304">
            <v>4</v>
          </cell>
          <cell r="BI304" t="str">
            <v>A</v>
          </cell>
          <cell r="BJ304">
            <v>4</v>
          </cell>
          <cell r="BK304" t="str">
            <v>A</v>
          </cell>
          <cell r="BL304">
            <v>4</v>
          </cell>
          <cell r="BM304" t="str">
            <v>A</v>
          </cell>
          <cell r="BN304">
            <v>6</v>
          </cell>
          <cell r="BO304" t="str">
            <v>D</v>
          </cell>
          <cell r="BP304">
            <v>0</v>
          </cell>
          <cell r="BQ304">
            <v>12</v>
          </cell>
          <cell r="BR304">
            <v>3</v>
          </cell>
          <cell r="BS304">
            <v>0</v>
          </cell>
          <cell r="BT304">
            <v>10</v>
          </cell>
          <cell r="BU304">
            <v>0</v>
          </cell>
          <cell r="BV304">
            <v>0</v>
          </cell>
          <cell r="BW304">
            <v>2</v>
          </cell>
          <cell r="BX304">
            <v>0</v>
          </cell>
          <cell r="BY304">
            <v>0</v>
          </cell>
          <cell r="BZ304">
            <v>27</v>
          </cell>
          <cell r="CA304">
            <v>90</v>
          </cell>
          <cell r="CB304">
            <v>8</v>
          </cell>
          <cell r="CC304">
            <v>0</v>
          </cell>
          <cell r="CD304">
            <v>2</v>
          </cell>
          <cell r="CE304">
            <v>1</v>
          </cell>
          <cell r="CF304">
            <v>140</v>
          </cell>
          <cell r="CG304">
            <v>0</v>
          </cell>
          <cell r="CH304">
            <v>16</v>
          </cell>
          <cell r="CI304">
            <v>70</v>
          </cell>
        </row>
        <row r="305">
          <cell r="A305" t="str">
            <v>A1044</v>
          </cell>
          <cell r="B305" t="str">
            <v>Dương Tấn Mạnh</v>
          </cell>
          <cell r="C305" t="str">
            <v>CI.1</v>
          </cell>
          <cell r="D305">
            <v>0</v>
          </cell>
          <cell r="E305" t="str">
            <v>27/02/2018</v>
          </cell>
          <cell r="F305">
            <v>0</v>
          </cell>
          <cell r="G305" t="str">
            <v>C</v>
          </cell>
          <cell r="H305">
            <v>4</v>
          </cell>
          <cell r="I305" t="str">
            <v>C</v>
          </cell>
          <cell r="J305">
            <v>4</v>
          </cell>
          <cell r="K305" t="str">
            <v>C</v>
          </cell>
          <cell r="L305">
            <v>4</v>
          </cell>
          <cell r="M305">
            <v>0</v>
          </cell>
          <cell r="N305">
            <v>0</v>
          </cell>
          <cell r="O305" t="str">
            <v>A</v>
          </cell>
          <cell r="P305">
            <v>4</v>
          </cell>
          <cell r="Q305" t="str">
            <v>A</v>
          </cell>
          <cell r="R305">
            <v>4</v>
          </cell>
          <cell r="S305" t="str">
            <v>A</v>
          </cell>
          <cell r="T305">
            <v>4</v>
          </cell>
          <cell r="U305" t="str">
            <v>A</v>
          </cell>
          <cell r="V305">
            <v>4</v>
          </cell>
          <cell r="W305" t="str">
            <v>A</v>
          </cell>
          <cell r="X305">
            <v>4</v>
          </cell>
          <cell r="Y305" t="str">
            <v>A</v>
          </cell>
          <cell r="Z305">
            <v>4</v>
          </cell>
          <cell r="AA305">
            <v>0</v>
          </cell>
          <cell r="AB305">
            <v>0</v>
          </cell>
          <cell r="AC305" t="str">
            <v>HH</v>
          </cell>
          <cell r="AD305">
            <v>0</v>
          </cell>
          <cell r="AE305" t="str">
            <v>C</v>
          </cell>
          <cell r="AF305">
            <v>4</v>
          </cell>
          <cell r="AG305" t="str">
            <v>C</v>
          </cell>
          <cell r="AH305">
            <v>4</v>
          </cell>
          <cell r="AI305" t="str">
            <v>C</v>
          </cell>
          <cell r="AJ305">
            <v>4</v>
          </cell>
          <cell r="AK305" t="str">
            <v>C</v>
          </cell>
          <cell r="AL305">
            <v>4</v>
          </cell>
          <cell r="AM305" t="str">
            <v>C</v>
          </cell>
          <cell r="AN305">
            <v>4</v>
          </cell>
          <cell r="AO305">
            <v>0</v>
          </cell>
          <cell r="AP305">
            <v>0</v>
          </cell>
          <cell r="AQ305" t="str">
            <v>D</v>
          </cell>
          <cell r="AR305">
            <v>0</v>
          </cell>
          <cell r="AS305" t="str">
            <v>D</v>
          </cell>
          <cell r="AT305">
            <v>0</v>
          </cell>
          <cell r="AU305" t="str">
            <v>A</v>
          </cell>
          <cell r="AV305">
            <v>4</v>
          </cell>
          <cell r="AW305" t="str">
            <v>D</v>
          </cell>
          <cell r="AX305">
            <v>1</v>
          </cell>
          <cell r="AY305" t="str">
            <v>A</v>
          </cell>
          <cell r="AZ305">
            <v>4</v>
          </cell>
          <cell r="BA305" t="str">
            <v>A</v>
          </cell>
          <cell r="BB305">
            <v>4</v>
          </cell>
          <cell r="BC305">
            <v>0</v>
          </cell>
          <cell r="BD305">
            <v>16</v>
          </cell>
          <cell r="BE305" t="str">
            <v>C</v>
          </cell>
          <cell r="BF305">
            <v>4</v>
          </cell>
          <cell r="BG305" t="str">
            <v>C</v>
          </cell>
          <cell r="BH305">
            <v>4</v>
          </cell>
          <cell r="BI305" t="str">
            <v>C</v>
          </cell>
          <cell r="BJ305">
            <v>4</v>
          </cell>
          <cell r="BK305" t="str">
            <v>C</v>
          </cell>
          <cell r="BL305">
            <v>4</v>
          </cell>
          <cell r="BM305" t="str">
            <v>C</v>
          </cell>
          <cell r="BN305">
            <v>4</v>
          </cell>
          <cell r="BO305" t="str">
            <v>HH</v>
          </cell>
          <cell r="BP305">
            <v>0</v>
          </cell>
          <cell r="BQ305">
            <v>9</v>
          </cell>
          <cell r="BR305">
            <v>3</v>
          </cell>
          <cell r="BS305">
            <v>0</v>
          </cell>
          <cell r="BT305">
            <v>13</v>
          </cell>
          <cell r="BU305">
            <v>0</v>
          </cell>
          <cell r="BV305">
            <v>0</v>
          </cell>
          <cell r="BW305">
            <v>2</v>
          </cell>
          <cell r="BX305">
            <v>0</v>
          </cell>
          <cell r="BY305">
            <v>0</v>
          </cell>
          <cell r="BZ305">
            <v>27</v>
          </cell>
          <cell r="CA305">
            <v>89</v>
          </cell>
          <cell r="CB305">
            <v>16</v>
          </cell>
          <cell r="CC305">
            <v>0</v>
          </cell>
          <cell r="CD305">
            <v>2</v>
          </cell>
          <cell r="CE305">
            <v>1</v>
          </cell>
          <cell r="CF305">
            <v>140</v>
          </cell>
          <cell r="CG305">
            <v>0</v>
          </cell>
          <cell r="CH305">
            <v>16</v>
          </cell>
          <cell r="CI305">
            <v>70</v>
          </cell>
        </row>
        <row r="306">
          <cell r="A306" t="str">
            <v>A1047</v>
          </cell>
          <cell r="B306" t="str">
            <v>Trần Lý Quản</v>
          </cell>
          <cell r="C306" t="str">
            <v>QCE</v>
          </cell>
          <cell r="D306">
            <v>0</v>
          </cell>
          <cell r="E306" t="str">
            <v>27/02/2018</v>
          </cell>
          <cell r="F306">
            <v>0</v>
          </cell>
          <cell r="G306" t="str">
            <v>A</v>
          </cell>
          <cell r="H306">
            <v>4</v>
          </cell>
          <cell r="I306" t="str">
            <v>A</v>
          </cell>
          <cell r="J306">
            <v>4</v>
          </cell>
          <cell r="K306" t="str">
            <v>A</v>
          </cell>
          <cell r="L306">
            <v>4</v>
          </cell>
          <cell r="M306">
            <v>0</v>
          </cell>
          <cell r="N306">
            <v>8</v>
          </cell>
          <cell r="O306" t="str">
            <v>C</v>
          </cell>
          <cell r="P306">
            <v>4</v>
          </cell>
          <cell r="Q306" t="str">
            <v>C</v>
          </cell>
          <cell r="R306">
            <v>4</v>
          </cell>
          <cell r="S306" t="str">
            <v>C</v>
          </cell>
          <cell r="T306">
            <v>4</v>
          </cell>
          <cell r="U306" t="str">
            <v>B</v>
          </cell>
          <cell r="V306">
            <v>1.5</v>
          </cell>
          <cell r="W306" t="str">
            <v>C</v>
          </cell>
          <cell r="X306">
            <v>4</v>
          </cell>
          <cell r="Y306" t="str">
            <v>C</v>
          </cell>
          <cell r="Z306">
            <v>4</v>
          </cell>
          <cell r="AA306">
            <v>0</v>
          </cell>
          <cell r="AB306">
            <v>0</v>
          </cell>
          <cell r="AC306" t="str">
            <v>NT7</v>
          </cell>
          <cell r="AD306">
            <v>0</v>
          </cell>
          <cell r="AE306" t="str">
            <v>D</v>
          </cell>
          <cell r="AF306">
            <v>3</v>
          </cell>
          <cell r="AG306" t="str">
            <v>A</v>
          </cell>
          <cell r="AH306">
            <v>4</v>
          </cell>
          <cell r="AI306" t="str">
            <v>A</v>
          </cell>
          <cell r="AJ306">
            <v>4</v>
          </cell>
          <cell r="AK306" t="str">
            <v>A</v>
          </cell>
          <cell r="AL306">
            <v>4</v>
          </cell>
          <cell r="AM306" t="str">
            <v>NT7</v>
          </cell>
          <cell r="AN306">
            <v>0</v>
          </cell>
          <cell r="AO306">
            <v>0</v>
          </cell>
          <cell r="AP306">
            <v>0</v>
          </cell>
          <cell r="AQ306" t="str">
            <v>A</v>
          </cell>
          <cell r="AR306">
            <v>4</v>
          </cell>
          <cell r="AS306" t="str">
            <v>A</v>
          </cell>
          <cell r="AT306">
            <v>4</v>
          </cell>
          <cell r="AU306" t="str">
            <v>C</v>
          </cell>
          <cell r="AV306">
            <v>4</v>
          </cell>
          <cell r="AW306" t="str">
            <v>R0</v>
          </cell>
          <cell r="AX306">
            <v>0</v>
          </cell>
          <cell r="AY306" t="str">
            <v>C</v>
          </cell>
          <cell r="AZ306">
            <v>4</v>
          </cell>
          <cell r="BA306" t="str">
            <v>C</v>
          </cell>
          <cell r="BB306">
            <v>4</v>
          </cell>
          <cell r="BC306">
            <v>0</v>
          </cell>
          <cell r="BD306">
            <v>0</v>
          </cell>
          <cell r="BE306" t="str">
            <v>A</v>
          </cell>
          <cell r="BF306">
            <v>4</v>
          </cell>
          <cell r="BG306" t="str">
            <v>A</v>
          </cell>
          <cell r="BH306">
            <v>4</v>
          </cell>
          <cell r="BI306" t="str">
            <v>A</v>
          </cell>
          <cell r="BJ306">
            <v>4</v>
          </cell>
          <cell r="BK306" t="str">
            <v>A</v>
          </cell>
          <cell r="BL306">
            <v>4</v>
          </cell>
          <cell r="BM306" t="str">
            <v>A</v>
          </cell>
          <cell r="BN306">
            <v>4</v>
          </cell>
          <cell r="BO306" t="str">
            <v>D</v>
          </cell>
          <cell r="BP306">
            <v>0</v>
          </cell>
          <cell r="BQ306">
            <v>13</v>
          </cell>
          <cell r="BR306">
            <v>2</v>
          </cell>
          <cell r="BS306">
            <v>1</v>
          </cell>
          <cell r="BT306">
            <v>8</v>
          </cell>
          <cell r="BU306">
            <v>0</v>
          </cell>
          <cell r="BV306">
            <v>0</v>
          </cell>
          <cell r="BW306">
            <v>0</v>
          </cell>
          <cell r="BX306">
            <v>2</v>
          </cell>
          <cell r="BY306">
            <v>0</v>
          </cell>
          <cell r="BZ306">
            <v>26</v>
          </cell>
          <cell r="CA306">
            <v>88.5</v>
          </cell>
          <cell r="CB306">
            <v>8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70</v>
          </cell>
        </row>
        <row r="307">
          <cell r="A307" t="str">
            <v>A1043</v>
          </cell>
          <cell r="B307" t="str">
            <v>Lê Thị Kim Nhí</v>
          </cell>
          <cell r="C307" t="str">
            <v>QCX</v>
          </cell>
          <cell r="D307">
            <v>0</v>
          </cell>
          <cell r="E307" t="str">
            <v>27/02/2018</v>
          </cell>
          <cell r="F307">
            <v>0</v>
          </cell>
          <cell r="G307" t="str">
            <v>A</v>
          </cell>
          <cell r="H307">
            <v>4</v>
          </cell>
          <cell r="I307" t="str">
            <v>A</v>
          </cell>
          <cell r="J307">
            <v>4</v>
          </cell>
          <cell r="K307" t="str">
            <v>A</v>
          </cell>
          <cell r="L307">
            <v>4</v>
          </cell>
          <cell r="M307">
            <v>0</v>
          </cell>
          <cell r="N307">
            <v>12</v>
          </cell>
          <cell r="O307" t="str">
            <v>A</v>
          </cell>
          <cell r="P307">
            <v>4</v>
          </cell>
          <cell r="Q307" t="str">
            <v>A</v>
          </cell>
          <cell r="R307">
            <v>4</v>
          </cell>
          <cell r="S307" t="str">
            <v>A</v>
          </cell>
          <cell r="T307">
            <v>4</v>
          </cell>
          <cell r="U307" t="str">
            <v>A</v>
          </cell>
          <cell r="V307">
            <v>4</v>
          </cell>
          <cell r="W307" t="str">
            <v>A</v>
          </cell>
          <cell r="X307">
            <v>4</v>
          </cell>
          <cell r="Y307" t="str">
            <v>A</v>
          </cell>
          <cell r="Z307">
            <v>4</v>
          </cell>
          <cell r="AA307">
            <v>0</v>
          </cell>
          <cell r="AB307">
            <v>0</v>
          </cell>
          <cell r="AC307" t="str">
            <v>NT7</v>
          </cell>
          <cell r="AD307">
            <v>0</v>
          </cell>
          <cell r="AE307" t="str">
            <v>C</v>
          </cell>
          <cell r="AF307">
            <v>4</v>
          </cell>
          <cell r="AG307" t="str">
            <v>C</v>
          </cell>
          <cell r="AH307">
            <v>4</v>
          </cell>
          <cell r="AI307" t="str">
            <v>C</v>
          </cell>
          <cell r="AJ307">
            <v>4</v>
          </cell>
          <cell r="AK307" t="str">
            <v>C</v>
          </cell>
          <cell r="AL307">
            <v>4</v>
          </cell>
          <cell r="AM307" t="str">
            <v>C</v>
          </cell>
          <cell r="AN307">
            <v>4</v>
          </cell>
          <cell r="AO307">
            <v>0</v>
          </cell>
          <cell r="AP307">
            <v>8</v>
          </cell>
          <cell r="AQ307" t="str">
            <v>A</v>
          </cell>
          <cell r="AR307">
            <v>4</v>
          </cell>
          <cell r="AS307" t="str">
            <v>A</v>
          </cell>
          <cell r="AT307">
            <v>4</v>
          </cell>
          <cell r="AU307" t="str">
            <v>D</v>
          </cell>
          <cell r="AV307">
            <v>6</v>
          </cell>
          <cell r="AW307" t="str">
            <v>D</v>
          </cell>
          <cell r="AX307">
            <v>1</v>
          </cell>
          <cell r="AY307" t="str">
            <v>A</v>
          </cell>
          <cell r="AZ307">
            <v>4</v>
          </cell>
          <cell r="BA307" t="str">
            <v>A</v>
          </cell>
          <cell r="BB307">
            <v>4</v>
          </cell>
          <cell r="BC307">
            <v>0</v>
          </cell>
          <cell r="BD307">
            <v>20</v>
          </cell>
          <cell r="BE307" t="str">
            <v>C</v>
          </cell>
          <cell r="BF307">
            <v>4</v>
          </cell>
          <cell r="BG307" t="str">
            <v>C</v>
          </cell>
          <cell r="BH307">
            <v>4</v>
          </cell>
          <cell r="BI307" t="str">
            <v>C</v>
          </cell>
          <cell r="BJ307">
            <v>4</v>
          </cell>
          <cell r="BK307" t="str">
            <v>NT7</v>
          </cell>
          <cell r="BL307">
            <v>0</v>
          </cell>
          <cell r="BM307" t="str">
            <v>C</v>
          </cell>
          <cell r="BN307">
            <v>4</v>
          </cell>
          <cell r="BO307" t="str">
            <v>R0</v>
          </cell>
          <cell r="BP307">
            <v>0</v>
          </cell>
          <cell r="BQ307">
            <v>13</v>
          </cell>
          <cell r="BR307">
            <v>2</v>
          </cell>
          <cell r="BS307">
            <v>0</v>
          </cell>
          <cell r="BT307">
            <v>9</v>
          </cell>
          <cell r="BU307">
            <v>0</v>
          </cell>
          <cell r="BV307">
            <v>0</v>
          </cell>
          <cell r="BW307">
            <v>0</v>
          </cell>
          <cell r="BX307">
            <v>2</v>
          </cell>
          <cell r="BY307">
            <v>0</v>
          </cell>
          <cell r="BZ307">
            <v>28</v>
          </cell>
          <cell r="CA307">
            <v>95</v>
          </cell>
          <cell r="CB307">
            <v>40</v>
          </cell>
          <cell r="CC307">
            <v>0</v>
          </cell>
          <cell r="CD307">
            <v>0</v>
          </cell>
          <cell r="CE307">
            <v>2</v>
          </cell>
          <cell r="CF307">
            <v>0</v>
          </cell>
          <cell r="CG307">
            <v>0</v>
          </cell>
          <cell r="CH307">
            <v>32</v>
          </cell>
          <cell r="CI307">
            <v>70</v>
          </cell>
        </row>
        <row r="308">
          <cell r="A308" t="str">
            <v>A1048</v>
          </cell>
          <cell r="B308" t="str">
            <v>Trần Đức Trọng</v>
          </cell>
          <cell r="C308" t="str">
            <v>CI.1</v>
          </cell>
          <cell r="D308">
            <v>0</v>
          </cell>
          <cell r="E308" t="str">
            <v>27/02/2018</v>
          </cell>
          <cell r="F308">
            <v>0</v>
          </cell>
          <cell r="G308" t="str">
            <v>A</v>
          </cell>
          <cell r="H308">
            <v>4</v>
          </cell>
          <cell r="I308" t="str">
            <v>A</v>
          </cell>
          <cell r="J308">
            <v>4</v>
          </cell>
          <cell r="K308" t="str">
            <v>A</v>
          </cell>
          <cell r="L308">
            <v>4</v>
          </cell>
          <cell r="M308">
            <v>0</v>
          </cell>
          <cell r="N308">
            <v>0</v>
          </cell>
          <cell r="O308" t="str">
            <v>C</v>
          </cell>
          <cell r="P308">
            <v>4</v>
          </cell>
          <cell r="Q308" t="str">
            <v>C</v>
          </cell>
          <cell r="R308">
            <v>4</v>
          </cell>
          <cell r="S308" t="str">
            <v>C</v>
          </cell>
          <cell r="T308">
            <v>4</v>
          </cell>
          <cell r="U308" t="str">
            <v>C</v>
          </cell>
          <cell r="V308">
            <v>4</v>
          </cell>
          <cell r="W308" t="str">
            <v>C</v>
          </cell>
          <cell r="X308">
            <v>4</v>
          </cell>
          <cell r="Y308" t="str">
            <v>C</v>
          </cell>
          <cell r="Z308">
            <v>4</v>
          </cell>
          <cell r="AA308">
            <v>0</v>
          </cell>
          <cell r="AB308">
            <v>0</v>
          </cell>
          <cell r="AC308" t="str">
            <v>D</v>
          </cell>
          <cell r="AD308">
            <v>0</v>
          </cell>
          <cell r="AE308" t="str">
            <v>D</v>
          </cell>
          <cell r="AF308">
            <v>0</v>
          </cell>
          <cell r="AG308" t="str">
            <v>A</v>
          </cell>
          <cell r="AH308">
            <v>4</v>
          </cell>
          <cell r="AI308" t="str">
            <v>A</v>
          </cell>
          <cell r="AJ308">
            <v>4</v>
          </cell>
          <cell r="AK308" t="str">
            <v>A</v>
          </cell>
          <cell r="AL308">
            <v>4</v>
          </cell>
          <cell r="AM308" t="str">
            <v>A</v>
          </cell>
          <cell r="AN308">
            <v>4</v>
          </cell>
          <cell r="AO308">
            <v>0</v>
          </cell>
          <cell r="AP308">
            <v>0</v>
          </cell>
          <cell r="AQ308" t="str">
            <v>HH</v>
          </cell>
          <cell r="AR308">
            <v>0</v>
          </cell>
          <cell r="AS308" t="str">
            <v>HH</v>
          </cell>
          <cell r="AT308">
            <v>0</v>
          </cell>
          <cell r="AU308" t="str">
            <v>C</v>
          </cell>
          <cell r="AV308">
            <v>4</v>
          </cell>
          <cell r="AW308" t="str">
            <v>C</v>
          </cell>
          <cell r="AX308">
            <v>4</v>
          </cell>
          <cell r="AY308" t="str">
            <v>C</v>
          </cell>
          <cell r="AZ308">
            <v>4</v>
          </cell>
          <cell r="BA308" t="str">
            <v>C</v>
          </cell>
          <cell r="BB308">
            <v>4</v>
          </cell>
          <cell r="BC308">
            <v>0</v>
          </cell>
          <cell r="BD308">
            <v>8</v>
          </cell>
          <cell r="BE308" t="str">
            <v>A</v>
          </cell>
          <cell r="BF308">
            <v>4</v>
          </cell>
          <cell r="BG308" t="str">
            <v>A</v>
          </cell>
          <cell r="BH308">
            <v>4</v>
          </cell>
          <cell r="BI308" t="str">
            <v>A</v>
          </cell>
          <cell r="BJ308">
            <v>4</v>
          </cell>
          <cell r="BK308" t="str">
            <v>A</v>
          </cell>
          <cell r="BL308">
            <v>4</v>
          </cell>
          <cell r="BM308" t="str">
            <v>A</v>
          </cell>
          <cell r="BN308">
            <v>4</v>
          </cell>
          <cell r="BO308" t="str">
            <v>D</v>
          </cell>
          <cell r="BP308">
            <v>2</v>
          </cell>
          <cell r="BQ308">
            <v>12</v>
          </cell>
          <cell r="BR308">
            <v>3</v>
          </cell>
          <cell r="BS308">
            <v>0</v>
          </cell>
          <cell r="BT308">
            <v>10</v>
          </cell>
          <cell r="BU308">
            <v>0</v>
          </cell>
          <cell r="BV308">
            <v>0</v>
          </cell>
          <cell r="BW308">
            <v>2</v>
          </cell>
          <cell r="BX308">
            <v>0</v>
          </cell>
          <cell r="BY308">
            <v>0</v>
          </cell>
          <cell r="BZ308">
            <v>29</v>
          </cell>
          <cell r="CA308">
            <v>90</v>
          </cell>
          <cell r="CB308">
            <v>8</v>
          </cell>
          <cell r="CC308">
            <v>0</v>
          </cell>
          <cell r="CD308">
            <v>2</v>
          </cell>
          <cell r="CE308">
            <v>1</v>
          </cell>
          <cell r="CF308">
            <v>140</v>
          </cell>
          <cell r="CG308">
            <v>0</v>
          </cell>
          <cell r="CH308">
            <v>16</v>
          </cell>
          <cell r="CI308">
            <v>70</v>
          </cell>
        </row>
        <row r="309">
          <cell r="A309" t="str">
            <v>A1049</v>
          </cell>
          <cell r="B309" t="str">
            <v>Phạm Thị Nhi</v>
          </cell>
          <cell r="C309" t="str">
            <v>CI.1</v>
          </cell>
          <cell r="D309">
            <v>0</v>
          </cell>
          <cell r="E309" t="str">
            <v>02/03/2018</v>
          </cell>
          <cell r="F309">
            <v>0</v>
          </cell>
          <cell r="G309" t="str">
            <v>NOT</v>
          </cell>
          <cell r="H309">
            <v>0</v>
          </cell>
          <cell r="I309" t="str">
            <v>A</v>
          </cell>
          <cell r="J309">
            <v>4</v>
          </cell>
          <cell r="K309" t="str">
            <v>A</v>
          </cell>
          <cell r="L309">
            <v>4</v>
          </cell>
          <cell r="M309">
            <v>0</v>
          </cell>
          <cell r="N309">
            <v>0</v>
          </cell>
          <cell r="O309" t="str">
            <v>C</v>
          </cell>
          <cell r="P309">
            <v>4</v>
          </cell>
          <cell r="Q309" t="str">
            <v>C</v>
          </cell>
          <cell r="R309">
            <v>4</v>
          </cell>
          <cell r="S309" t="str">
            <v>C</v>
          </cell>
          <cell r="T309">
            <v>4</v>
          </cell>
          <cell r="U309" t="str">
            <v>C</v>
          </cell>
          <cell r="V309">
            <v>4</v>
          </cell>
          <cell r="W309" t="str">
            <v>C</v>
          </cell>
          <cell r="X309">
            <v>4</v>
          </cell>
          <cell r="Y309" t="str">
            <v>C</v>
          </cell>
          <cell r="Z309">
            <v>4</v>
          </cell>
          <cell r="AA309">
            <v>0</v>
          </cell>
          <cell r="AB309">
            <v>0</v>
          </cell>
          <cell r="AC309" t="str">
            <v>HH</v>
          </cell>
          <cell r="AD309">
            <v>0</v>
          </cell>
          <cell r="AE309" t="str">
            <v>D</v>
          </cell>
          <cell r="AF309">
            <v>0</v>
          </cell>
          <cell r="AG309" t="str">
            <v>A</v>
          </cell>
          <cell r="AH309">
            <v>4</v>
          </cell>
          <cell r="AI309" t="str">
            <v>D</v>
          </cell>
          <cell r="AJ309">
            <v>1</v>
          </cell>
          <cell r="AK309" t="str">
            <v>A</v>
          </cell>
          <cell r="AL309">
            <v>4</v>
          </cell>
          <cell r="AM309" t="str">
            <v>A</v>
          </cell>
          <cell r="AN309">
            <v>4</v>
          </cell>
          <cell r="AO309">
            <v>0</v>
          </cell>
          <cell r="AP309">
            <v>0</v>
          </cell>
          <cell r="AQ309" t="str">
            <v>NV</v>
          </cell>
          <cell r="AR309">
            <v>0</v>
          </cell>
          <cell r="AS309" t="str">
            <v>NV</v>
          </cell>
          <cell r="AT309">
            <v>0</v>
          </cell>
          <cell r="AU309" t="str">
            <v>NV</v>
          </cell>
          <cell r="AV309">
            <v>0</v>
          </cell>
          <cell r="AW309" t="str">
            <v>NV</v>
          </cell>
          <cell r="AX309">
            <v>0</v>
          </cell>
          <cell r="AY309" t="str">
            <v>NV</v>
          </cell>
          <cell r="AZ309">
            <v>0</v>
          </cell>
          <cell r="BA309" t="str">
            <v>NV</v>
          </cell>
          <cell r="BB309">
            <v>0</v>
          </cell>
          <cell r="BC309">
            <v>0</v>
          </cell>
          <cell r="BD309">
            <v>0</v>
          </cell>
          <cell r="BE309" t="str">
            <v>NV</v>
          </cell>
          <cell r="BF309">
            <v>0</v>
          </cell>
          <cell r="BG309" t="str">
            <v>NV</v>
          </cell>
          <cell r="BH309">
            <v>0</v>
          </cell>
          <cell r="BI309" t="str">
            <v>NV</v>
          </cell>
          <cell r="BJ309">
            <v>0</v>
          </cell>
          <cell r="BK309" t="str">
            <v>NV</v>
          </cell>
          <cell r="BL309">
            <v>0</v>
          </cell>
          <cell r="BM309" t="str">
            <v>NV</v>
          </cell>
          <cell r="BN309">
            <v>0</v>
          </cell>
          <cell r="BO309" t="str">
            <v>NV</v>
          </cell>
          <cell r="BP309">
            <v>0</v>
          </cell>
          <cell r="BQ309">
            <v>5</v>
          </cell>
          <cell r="BR309">
            <v>2</v>
          </cell>
          <cell r="BS309">
            <v>0</v>
          </cell>
          <cell r="BT309">
            <v>6</v>
          </cell>
          <cell r="BU309">
            <v>0</v>
          </cell>
          <cell r="BV309">
            <v>0</v>
          </cell>
          <cell r="BW309">
            <v>1</v>
          </cell>
          <cell r="BX309">
            <v>0</v>
          </cell>
          <cell r="BY309">
            <v>0</v>
          </cell>
          <cell r="BZ309">
            <v>14</v>
          </cell>
          <cell r="CA309">
            <v>45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70</v>
          </cell>
        </row>
        <row r="310">
          <cell r="A310" t="str">
            <v>A1050</v>
          </cell>
          <cell r="B310" t="str">
            <v>Nguyễn Thị Thanh Hằng</v>
          </cell>
          <cell r="C310" t="str">
            <v>CII.4</v>
          </cell>
          <cell r="D310">
            <v>0</v>
          </cell>
          <cell r="E310" t="str">
            <v>03/03/2018</v>
          </cell>
          <cell r="F310">
            <v>0</v>
          </cell>
          <cell r="G310" t="str">
            <v>NOT</v>
          </cell>
          <cell r="H310">
            <v>0</v>
          </cell>
          <cell r="I310" t="str">
            <v>NOT</v>
          </cell>
          <cell r="J310">
            <v>0</v>
          </cell>
          <cell r="K310" t="str">
            <v>D</v>
          </cell>
          <cell r="L310">
            <v>0</v>
          </cell>
          <cell r="M310">
            <v>0</v>
          </cell>
          <cell r="N310">
            <v>0</v>
          </cell>
          <cell r="O310" t="str">
            <v>D</v>
          </cell>
          <cell r="P310">
            <v>0</v>
          </cell>
          <cell r="Q310" t="str">
            <v>D</v>
          </cell>
          <cell r="R310">
            <v>0</v>
          </cell>
          <cell r="S310" t="str">
            <v>D</v>
          </cell>
          <cell r="T310">
            <v>0</v>
          </cell>
          <cell r="U310" t="str">
            <v>D</v>
          </cell>
          <cell r="V310">
            <v>0</v>
          </cell>
          <cell r="W310" t="str">
            <v>A</v>
          </cell>
          <cell r="X310">
            <v>4</v>
          </cell>
          <cell r="Y310" t="str">
            <v>A</v>
          </cell>
          <cell r="Z310">
            <v>4</v>
          </cell>
          <cell r="AA310">
            <v>0</v>
          </cell>
          <cell r="AB310">
            <v>0</v>
          </cell>
          <cell r="AC310" t="str">
            <v>A</v>
          </cell>
          <cell r="AD310">
            <v>4</v>
          </cell>
          <cell r="AE310" t="str">
            <v>A</v>
          </cell>
          <cell r="AF310">
            <v>4</v>
          </cell>
          <cell r="AG310" t="str">
            <v>A</v>
          </cell>
          <cell r="AH310">
            <v>4</v>
          </cell>
          <cell r="AI310" t="str">
            <v>A</v>
          </cell>
          <cell r="AJ310">
            <v>4</v>
          </cell>
          <cell r="AK310" t="str">
            <v>A</v>
          </cell>
          <cell r="AL310">
            <v>4</v>
          </cell>
          <cell r="AM310" t="str">
            <v>A</v>
          </cell>
          <cell r="AN310">
            <v>4</v>
          </cell>
          <cell r="AO310">
            <v>0</v>
          </cell>
          <cell r="AP310">
            <v>0</v>
          </cell>
          <cell r="AQ310" t="str">
            <v>A</v>
          </cell>
          <cell r="AR310">
            <v>4</v>
          </cell>
          <cell r="AS310" t="str">
            <v>A</v>
          </cell>
          <cell r="AT310">
            <v>4</v>
          </cell>
          <cell r="AU310" t="str">
            <v>A</v>
          </cell>
          <cell r="AV310">
            <v>4</v>
          </cell>
          <cell r="AW310" t="str">
            <v>NT7</v>
          </cell>
          <cell r="AX310">
            <v>0</v>
          </cell>
          <cell r="AY310" t="str">
            <v>A</v>
          </cell>
          <cell r="AZ310">
            <v>4</v>
          </cell>
          <cell r="BA310" t="str">
            <v>A</v>
          </cell>
          <cell r="BB310">
            <v>4</v>
          </cell>
          <cell r="BC310">
            <v>0</v>
          </cell>
          <cell r="BD310">
            <v>12</v>
          </cell>
          <cell r="BE310" t="str">
            <v>A</v>
          </cell>
          <cell r="BF310">
            <v>4</v>
          </cell>
          <cell r="BG310" t="str">
            <v>A</v>
          </cell>
          <cell r="BH310">
            <v>4</v>
          </cell>
          <cell r="BI310" t="str">
            <v>A</v>
          </cell>
          <cell r="BJ310">
            <v>4</v>
          </cell>
          <cell r="BK310" t="str">
            <v>A</v>
          </cell>
          <cell r="BL310">
            <v>4</v>
          </cell>
          <cell r="BM310" t="str">
            <v>NT7</v>
          </cell>
          <cell r="BN310">
            <v>0</v>
          </cell>
          <cell r="BO310" t="str">
            <v>A</v>
          </cell>
          <cell r="BP310">
            <v>4</v>
          </cell>
          <cell r="BQ310">
            <v>18</v>
          </cell>
          <cell r="BR310">
            <v>5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2</v>
          </cell>
          <cell r="BY310">
            <v>0</v>
          </cell>
          <cell r="BZ310">
            <v>25</v>
          </cell>
          <cell r="CA310">
            <v>72</v>
          </cell>
          <cell r="CB310">
            <v>12</v>
          </cell>
          <cell r="CC310">
            <v>0</v>
          </cell>
          <cell r="CD310">
            <v>0</v>
          </cell>
          <cell r="CE310">
            <v>1</v>
          </cell>
          <cell r="CF310">
            <v>0</v>
          </cell>
          <cell r="CG310">
            <v>0</v>
          </cell>
          <cell r="CH310">
            <v>16</v>
          </cell>
          <cell r="CI310">
            <v>70</v>
          </cell>
        </row>
        <row r="311">
          <cell r="A311" t="str">
            <v>A1051</v>
          </cell>
          <cell r="B311" t="str">
            <v>Trần Chí Hào</v>
          </cell>
          <cell r="C311" t="str">
            <v>CI.1</v>
          </cell>
          <cell r="D311">
            <v>0</v>
          </cell>
          <cell r="E311" t="str">
            <v>03/03/2018</v>
          </cell>
          <cell r="F311">
            <v>0</v>
          </cell>
          <cell r="G311" t="str">
            <v>NOT</v>
          </cell>
          <cell r="H311">
            <v>0</v>
          </cell>
          <cell r="I311" t="str">
            <v>NOT</v>
          </cell>
          <cell r="J311">
            <v>0</v>
          </cell>
          <cell r="K311" t="str">
            <v>C</v>
          </cell>
          <cell r="L311">
            <v>4</v>
          </cell>
          <cell r="M311">
            <v>0</v>
          </cell>
          <cell r="N311">
            <v>0</v>
          </cell>
          <cell r="O311" t="str">
            <v>A</v>
          </cell>
          <cell r="P311">
            <v>4</v>
          </cell>
          <cell r="Q311" t="str">
            <v>A</v>
          </cell>
          <cell r="R311">
            <v>4</v>
          </cell>
          <cell r="S311" t="str">
            <v>A</v>
          </cell>
          <cell r="T311">
            <v>4</v>
          </cell>
          <cell r="U311" t="str">
            <v>A</v>
          </cell>
          <cell r="V311">
            <v>4</v>
          </cell>
          <cell r="W311" t="str">
            <v>A</v>
          </cell>
          <cell r="X311">
            <v>4</v>
          </cell>
          <cell r="Y311" t="str">
            <v>A</v>
          </cell>
          <cell r="Z311">
            <v>4</v>
          </cell>
          <cell r="AA311">
            <v>0</v>
          </cell>
          <cell r="AB311">
            <v>0</v>
          </cell>
          <cell r="AC311" t="str">
            <v>HH</v>
          </cell>
          <cell r="AD311">
            <v>0</v>
          </cell>
          <cell r="AE311" t="str">
            <v>C</v>
          </cell>
          <cell r="AF311">
            <v>4</v>
          </cell>
          <cell r="AG311" t="str">
            <v>C</v>
          </cell>
          <cell r="AH311">
            <v>4</v>
          </cell>
          <cell r="AI311" t="str">
            <v>C</v>
          </cell>
          <cell r="AJ311">
            <v>4</v>
          </cell>
          <cell r="AK311" t="str">
            <v>C</v>
          </cell>
          <cell r="AL311">
            <v>4</v>
          </cell>
          <cell r="AM311" t="str">
            <v>C</v>
          </cell>
          <cell r="AN311">
            <v>4</v>
          </cell>
          <cell r="AO311">
            <v>0</v>
          </cell>
          <cell r="AP311">
            <v>0</v>
          </cell>
          <cell r="AQ311" t="str">
            <v>D</v>
          </cell>
          <cell r="AR311">
            <v>1</v>
          </cell>
          <cell r="AS311" t="str">
            <v>D</v>
          </cell>
          <cell r="AT311">
            <v>0</v>
          </cell>
          <cell r="AU311" t="str">
            <v>A</v>
          </cell>
          <cell r="AV311">
            <v>4</v>
          </cell>
          <cell r="AW311" t="str">
            <v>D</v>
          </cell>
          <cell r="AX311">
            <v>1</v>
          </cell>
          <cell r="AY311" t="str">
            <v>A</v>
          </cell>
          <cell r="AZ311">
            <v>4</v>
          </cell>
          <cell r="BA311" t="str">
            <v>A</v>
          </cell>
          <cell r="BB311">
            <v>4</v>
          </cell>
          <cell r="BC311">
            <v>0</v>
          </cell>
          <cell r="BD311">
            <v>16</v>
          </cell>
          <cell r="BE311" t="str">
            <v>C</v>
          </cell>
          <cell r="BF311">
            <v>4</v>
          </cell>
          <cell r="BG311" t="str">
            <v>C</v>
          </cell>
          <cell r="BH311">
            <v>4</v>
          </cell>
          <cell r="BI311" t="str">
            <v>C</v>
          </cell>
          <cell r="BJ311">
            <v>4</v>
          </cell>
          <cell r="BK311" t="str">
            <v>C</v>
          </cell>
          <cell r="BL311">
            <v>4</v>
          </cell>
          <cell r="BM311" t="str">
            <v>C</v>
          </cell>
          <cell r="BN311">
            <v>4</v>
          </cell>
          <cell r="BO311" t="str">
            <v>HH</v>
          </cell>
          <cell r="BP311">
            <v>0</v>
          </cell>
          <cell r="BQ311">
            <v>9</v>
          </cell>
          <cell r="BR311">
            <v>3</v>
          </cell>
          <cell r="BS311">
            <v>0</v>
          </cell>
          <cell r="BT311">
            <v>11</v>
          </cell>
          <cell r="BU311">
            <v>0</v>
          </cell>
          <cell r="BV311">
            <v>0</v>
          </cell>
          <cell r="BW311">
            <v>2</v>
          </cell>
          <cell r="BX311">
            <v>0</v>
          </cell>
          <cell r="BY311">
            <v>0</v>
          </cell>
          <cell r="BZ311">
            <v>25</v>
          </cell>
          <cell r="CA311">
            <v>82</v>
          </cell>
          <cell r="CB311">
            <v>16</v>
          </cell>
          <cell r="CC311">
            <v>0</v>
          </cell>
          <cell r="CD311">
            <v>2</v>
          </cell>
          <cell r="CE311">
            <v>1</v>
          </cell>
          <cell r="CF311">
            <v>140</v>
          </cell>
          <cell r="CG311">
            <v>0</v>
          </cell>
          <cell r="CH311">
            <v>16</v>
          </cell>
          <cell r="CI311">
            <v>70</v>
          </cell>
        </row>
        <row r="312">
          <cell r="A312" t="str">
            <v>A1052</v>
          </cell>
          <cell r="B312" t="str">
            <v>Đinh Tấn Vũ</v>
          </cell>
          <cell r="C312" t="str">
            <v>CII.4</v>
          </cell>
          <cell r="D312">
            <v>0</v>
          </cell>
          <cell r="E312" t="str">
            <v>05/03/2018</v>
          </cell>
          <cell r="F312">
            <v>0</v>
          </cell>
          <cell r="G312" t="str">
            <v>NOT</v>
          </cell>
          <cell r="H312">
            <v>0</v>
          </cell>
          <cell r="I312" t="str">
            <v>NOT</v>
          </cell>
          <cell r="J312">
            <v>0</v>
          </cell>
          <cell r="K312" t="str">
            <v>NOT</v>
          </cell>
          <cell r="L312">
            <v>0</v>
          </cell>
          <cell r="M312">
            <v>0</v>
          </cell>
          <cell r="N312">
            <v>0</v>
          </cell>
          <cell r="O312" t="str">
            <v>D</v>
          </cell>
          <cell r="P312">
            <v>0</v>
          </cell>
          <cell r="Q312" t="str">
            <v>D</v>
          </cell>
          <cell r="R312">
            <v>0</v>
          </cell>
          <cell r="S312" t="str">
            <v>A</v>
          </cell>
          <cell r="T312">
            <v>4</v>
          </cell>
          <cell r="U312" t="str">
            <v>D</v>
          </cell>
          <cell r="V312">
            <v>0</v>
          </cell>
          <cell r="W312" t="str">
            <v>A</v>
          </cell>
          <cell r="X312">
            <v>4</v>
          </cell>
          <cell r="Y312" t="str">
            <v>A</v>
          </cell>
          <cell r="Z312">
            <v>4</v>
          </cell>
          <cell r="AA312">
            <v>0</v>
          </cell>
          <cell r="AB312">
            <v>0</v>
          </cell>
          <cell r="AC312" t="str">
            <v>D</v>
          </cell>
          <cell r="AD312">
            <v>0</v>
          </cell>
          <cell r="AE312" t="str">
            <v>A</v>
          </cell>
          <cell r="AF312">
            <v>4</v>
          </cell>
          <cell r="AG312" t="str">
            <v>A</v>
          </cell>
          <cell r="AH312">
            <v>4</v>
          </cell>
          <cell r="AI312" t="str">
            <v>A</v>
          </cell>
          <cell r="AJ312">
            <v>4</v>
          </cell>
          <cell r="AK312" t="str">
            <v>D</v>
          </cell>
          <cell r="AL312">
            <v>0</v>
          </cell>
          <cell r="AM312" t="str">
            <v>A</v>
          </cell>
          <cell r="AN312">
            <v>4</v>
          </cell>
          <cell r="AO312">
            <v>0</v>
          </cell>
          <cell r="AP312">
            <v>0</v>
          </cell>
          <cell r="AQ312" t="str">
            <v>A</v>
          </cell>
          <cell r="AR312">
            <v>7.5</v>
          </cell>
          <cell r="AS312" t="str">
            <v>D</v>
          </cell>
          <cell r="AT312">
            <v>0</v>
          </cell>
          <cell r="AU312" t="str">
            <v>A</v>
          </cell>
          <cell r="AV312">
            <v>4</v>
          </cell>
          <cell r="AW312" t="str">
            <v>D</v>
          </cell>
          <cell r="AX312">
            <v>0</v>
          </cell>
          <cell r="AY312" t="str">
            <v>D</v>
          </cell>
          <cell r="AZ312">
            <v>0</v>
          </cell>
          <cell r="BA312" t="str">
            <v>NT7</v>
          </cell>
          <cell r="BB312">
            <v>0</v>
          </cell>
          <cell r="BC312">
            <v>0</v>
          </cell>
          <cell r="BD312">
            <v>0</v>
          </cell>
          <cell r="BE312" t="str">
            <v>A</v>
          </cell>
          <cell r="BF312">
            <v>4</v>
          </cell>
          <cell r="BG312" t="str">
            <v>A</v>
          </cell>
          <cell r="BH312">
            <v>6</v>
          </cell>
          <cell r="BI312" t="str">
            <v>A</v>
          </cell>
          <cell r="BJ312">
            <v>6</v>
          </cell>
          <cell r="BK312" t="str">
            <v>A</v>
          </cell>
          <cell r="BL312">
            <v>5</v>
          </cell>
          <cell r="BM312" t="str">
            <v>D</v>
          </cell>
          <cell r="BN312">
            <v>1</v>
          </cell>
          <cell r="BO312" t="str">
            <v>NT7</v>
          </cell>
          <cell r="BP312">
            <v>0</v>
          </cell>
          <cell r="BQ312">
            <v>13</v>
          </cell>
          <cell r="BR312">
            <v>9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2</v>
          </cell>
          <cell r="BY312">
            <v>0</v>
          </cell>
          <cell r="BZ312">
            <v>24</v>
          </cell>
          <cell r="CA312">
            <v>61.5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70</v>
          </cell>
        </row>
        <row r="313">
          <cell r="A313" t="str">
            <v>A1054</v>
          </cell>
          <cell r="B313" t="str">
            <v>Nguyễn Ngọc Thanh Trí</v>
          </cell>
          <cell r="C313" t="str">
            <v>CI.1</v>
          </cell>
          <cell r="D313">
            <v>0</v>
          </cell>
          <cell r="E313" t="str">
            <v>07/03/2018</v>
          </cell>
          <cell r="F313">
            <v>0</v>
          </cell>
          <cell r="G313" t="str">
            <v>NOT</v>
          </cell>
          <cell r="H313">
            <v>0</v>
          </cell>
          <cell r="I313" t="str">
            <v>NOT</v>
          </cell>
          <cell r="J313">
            <v>0</v>
          </cell>
          <cell r="K313" t="str">
            <v>NOT</v>
          </cell>
          <cell r="L313">
            <v>0</v>
          </cell>
          <cell r="M313">
            <v>0</v>
          </cell>
          <cell r="N313">
            <v>0</v>
          </cell>
          <cell r="O313" t="str">
            <v>NOT</v>
          </cell>
          <cell r="P313">
            <v>0</v>
          </cell>
          <cell r="Q313" t="str">
            <v>NOT</v>
          </cell>
          <cell r="R313">
            <v>0</v>
          </cell>
          <cell r="S313" t="str">
            <v>D</v>
          </cell>
          <cell r="T313">
            <v>2</v>
          </cell>
          <cell r="U313" t="str">
            <v>A</v>
          </cell>
          <cell r="V313">
            <v>4</v>
          </cell>
          <cell r="W313" t="str">
            <v>A</v>
          </cell>
          <cell r="X313">
            <v>4</v>
          </cell>
          <cell r="Y313" t="str">
            <v>A</v>
          </cell>
          <cell r="Z313">
            <v>4</v>
          </cell>
          <cell r="AA313">
            <v>0</v>
          </cell>
          <cell r="AB313">
            <v>0</v>
          </cell>
          <cell r="AC313" t="str">
            <v>HH</v>
          </cell>
          <cell r="AD313">
            <v>0</v>
          </cell>
          <cell r="AE313" t="str">
            <v>C</v>
          </cell>
          <cell r="AF313">
            <v>4</v>
          </cell>
          <cell r="AG313" t="str">
            <v>C</v>
          </cell>
          <cell r="AH313">
            <v>4</v>
          </cell>
          <cell r="AI313" t="str">
            <v>C</v>
          </cell>
          <cell r="AJ313">
            <v>4</v>
          </cell>
          <cell r="AK313" t="str">
            <v>C</v>
          </cell>
          <cell r="AL313">
            <v>4</v>
          </cell>
          <cell r="AM313" t="str">
            <v>C</v>
          </cell>
          <cell r="AN313">
            <v>4</v>
          </cell>
          <cell r="AO313">
            <v>0</v>
          </cell>
          <cell r="AP313">
            <v>0</v>
          </cell>
          <cell r="AQ313" t="str">
            <v>D</v>
          </cell>
          <cell r="AR313">
            <v>1</v>
          </cell>
          <cell r="AS313" t="str">
            <v>D</v>
          </cell>
          <cell r="AT313">
            <v>0</v>
          </cell>
          <cell r="AU313" t="str">
            <v>A</v>
          </cell>
          <cell r="AV313">
            <v>4</v>
          </cell>
          <cell r="AW313" t="str">
            <v>D</v>
          </cell>
          <cell r="AX313">
            <v>1</v>
          </cell>
          <cell r="AY313" t="str">
            <v>A</v>
          </cell>
          <cell r="AZ313">
            <v>4</v>
          </cell>
          <cell r="BA313" t="str">
            <v>A</v>
          </cell>
          <cell r="BB313">
            <v>4</v>
          </cell>
          <cell r="BC313">
            <v>0</v>
          </cell>
          <cell r="BD313">
            <v>16</v>
          </cell>
          <cell r="BE313" t="str">
            <v>C</v>
          </cell>
          <cell r="BF313">
            <v>4</v>
          </cell>
          <cell r="BG313" t="str">
            <v>C</v>
          </cell>
          <cell r="BH313">
            <v>4</v>
          </cell>
          <cell r="BI313" t="str">
            <v>C</v>
          </cell>
          <cell r="BJ313">
            <v>4</v>
          </cell>
          <cell r="BK313" t="str">
            <v>C</v>
          </cell>
          <cell r="BL313">
            <v>4</v>
          </cell>
          <cell r="BM313" t="str">
            <v>C</v>
          </cell>
          <cell r="BN313">
            <v>4</v>
          </cell>
          <cell r="BO313" t="str">
            <v>HH</v>
          </cell>
          <cell r="BP313">
            <v>0</v>
          </cell>
          <cell r="BQ313">
            <v>6</v>
          </cell>
          <cell r="BR313">
            <v>4</v>
          </cell>
          <cell r="BS313">
            <v>0</v>
          </cell>
          <cell r="BT313">
            <v>10</v>
          </cell>
          <cell r="BU313">
            <v>0</v>
          </cell>
          <cell r="BV313">
            <v>0</v>
          </cell>
          <cell r="BW313">
            <v>2</v>
          </cell>
          <cell r="BX313">
            <v>0</v>
          </cell>
          <cell r="BY313">
            <v>0</v>
          </cell>
          <cell r="BZ313">
            <v>22</v>
          </cell>
          <cell r="CA313">
            <v>68</v>
          </cell>
          <cell r="CB313">
            <v>16</v>
          </cell>
          <cell r="CC313">
            <v>0</v>
          </cell>
          <cell r="CD313">
            <v>2</v>
          </cell>
          <cell r="CE313">
            <v>0</v>
          </cell>
          <cell r="CF313">
            <v>140</v>
          </cell>
          <cell r="CG313">
            <v>0</v>
          </cell>
          <cell r="CH313">
            <v>0</v>
          </cell>
          <cell r="CI313">
            <v>70</v>
          </cell>
        </row>
        <row r="314">
          <cell r="A314" t="str">
            <v>A1055</v>
          </cell>
          <cell r="B314" t="str">
            <v>Phạm Thành Nam</v>
          </cell>
          <cell r="C314" t="str">
            <v>CII.4</v>
          </cell>
          <cell r="D314">
            <v>0</v>
          </cell>
          <cell r="E314" t="str">
            <v>05/03/2018</v>
          </cell>
          <cell r="F314">
            <v>0</v>
          </cell>
          <cell r="G314" t="str">
            <v>NOT</v>
          </cell>
          <cell r="H314">
            <v>0</v>
          </cell>
          <cell r="I314" t="str">
            <v>NOT</v>
          </cell>
          <cell r="J314">
            <v>0</v>
          </cell>
          <cell r="K314" t="str">
            <v>NOT</v>
          </cell>
          <cell r="L314">
            <v>0</v>
          </cell>
          <cell r="M314">
            <v>0</v>
          </cell>
          <cell r="N314">
            <v>0</v>
          </cell>
          <cell r="O314" t="str">
            <v>D</v>
          </cell>
          <cell r="P314">
            <v>0</v>
          </cell>
          <cell r="Q314" t="str">
            <v>A</v>
          </cell>
          <cell r="R314">
            <v>4</v>
          </cell>
          <cell r="S314" t="str">
            <v>A</v>
          </cell>
          <cell r="T314">
            <v>4</v>
          </cell>
          <cell r="U314" t="str">
            <v>D</v>
          </cell>
          <cell r="V314">
            <v>0</v>
          </cell>
          <cell r="W314" t="str">
            <v>A</v>
          </cell>
          <cell r="X314">
            <v>4</v>
          </cell>
          <cell r="Y314" t="str">
            <v>A</v>
          </cell>
          <cell r="Z314">
            <v>4</v>
          </cell>
          <cell r="AA314">
            <v>0</v>
          </cell>
          <cell r="AB314">
            <v>8</v>
          </cell>
          <cell r="AC314" t="str">
            <v>D</v>
          </cell>
          <cell r="AD314">
            <v>0</v>
          </cell>
          <cell r="AE314" t="str">
            <v>NT7</v>
          </cell>
          <cell r="AF314">
            <v>0</v>
          </cell>
          <cell r="AG314" t="str">
            <v>A</v>
          </cell>
          <cell r="AH314">
            <v>4</v>
          </cell>
          <cell r="AI314" t="str">
            <v>D</v>
          </cell>
          <cell r="AJ314">
            <v>0</v>
          </cell>
          <cell r="AK314" t="str">
            <v>A</v>
          </cell>
          <cell r="AL314">
            <v>4</v>
          </cell>
          <cell r="AM314" t="str">
            <v>A</v>
          </cell>
          <cell r="AN314">
            <v>4</v>
          </cell>
          <cell r="AO314">
            <v>0</v>
          </cell>
          <cell r="AP314">
            <v>11</v>
          </cell>
          <cell r="AQ314" t="str">
            <v>A</v>
          </cell>
          <cell r="AR314">
            <v>4</v>
          </cell>
          <cell r="AS314" t="str">
            <v>A</v>
          </cell>
          <cell r="AT314">
            <v>4</v>
          </cell>
          <cell r="AU314" t="str">
            <v>D</v>
          </cell>
          <cell r="AV314">
            <v>0</v>
          </cell>
          <cell r="AW314" t="str">
            <v>D</v>
          </cell>
          <cell r="AX314">
            <v>1.5</v>
          </cell>
          <cell r="AY314" t="str">
            <v>A</v>
          </cell>
          <cell r="AZ314">
            <v>4</v>
          </cell>
          <cell r="BA314" t="str">
            <v>A</v>
          </cell>
          <cell r="BB314">
            <v>4</v>
          </cell>
          <cell r="BC314">
            <v>0</v>
          </cell>
          <cell r="BD314">
            <v>9</v>
          </cell>
          <cell r="BE314" t="str">
            <v>A</v>
          </cell>
          <cell r="BF314">
            <v>4</v>
          </cell>
          <cell r="BG314" t="str">
            <v>A</v>
          </cell>
          <cell r="BH314">
            <v>4</v>
          </cell>
          <cell r="BI314" t="str">
            <v>A</v>
          </cell>
          <cell r="BJ314">
            <v>5</v>
          </cell>
          <cell r="BK314" t="str">
            <v>A</v>
          </cell>
          <cell r="BL314">
            <v>5</v>
          </cell>
          <cell r="BM314" t="str">
            <v>A</v>
          </cell>
          <cell r="BN314">
            <v>4</v>
          </cell>
          <cell r="BO314" t="str">
            <v>A</v>
          </cell>
          <cell r="BP314">
            <v>4</v>
          </cell>
          <cell r="BQ314">
            <v>17</v>
          </cell>
          <cell r="BR314">
            <v>6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1</v>
          </cell>
          <cell r="BY314">
            <v>0</v>
          </cell>
          <cell r="BZ314">
            <v>24</v>
          </cell>
          <cell r="CA314">
            <v>71.5</v>
          </cell>
          <cell r="CB314">
            <v>28</v>
          </cell>
          <cell r="CC314">
            <v>0</v>
          </cell>
          <cell r="CD314">
            <v>1</v>
          </cell>
          <cell r="CE314">
            <v>0</v>
          </cell>
          <cell r="CF314">
            <v>70</v>
          </cell>
          <cell r="CG314">
            <v>0</v>
          </cell>
          <cell r="CH314">
            <v>0</v>
          </cell>
          <cell r="CI314">
            <v>70</v>
          </cell>
        </row>
        <row r="315">
          <cell r="A315" t="str">
            <v>A1056</v>
          </cell>
          <cell r="B315" t="str">
            <v>Trần Duy Hưng</v>
          </cell>
          <cell r="C315" t="str">
            <v>Gián tiếp</v>
          </cell>
          <cell r="D315">
            <v>0</v>
          </cell>
          <cell r="E315" t="str">
            <v>05/03/2018</v>
          </cell>
          <cell r="F315">
            <v>0</v>
          </cell>
          <cell r="G315" t="str">
            <v>NOT</v>
          </cell>
          <cell r="H315">
            <v>0</v>
          </cell>
          <cell r="I315" t="str">
            <v>NOT</v>
          </cell>
          <cell r="J315">
            <v>0</v>
          </cell>
          <cell r="K315" t="str">
            <v>NOT</v>
          </cell>
          <cell r="L315">
            <v>0</v>
          </cell>
          <cell r="M315">
            <v>0</v>
          </cell>
          <cell r="N315">
            <v>0</v>
          </cell>
          <cell r="O315" t="str">
            <v>D</v>
          </cell>
          <cell r="P315">
            <v>0</v>
          </cell>
          <cell r="Q315" t="str">
            <v>D</v>
          </cell>
          <cell r="R315">
            <v>0</v>
          </cell>
          <cell r="S315" t="str">
            <v>D</v>
          </cell>
          <cell r="T315">
            <v>0</v>
          </cell>
          <cell r="U315" t="str">
            <v>D</v>
          </cell>
          <cell r="V315">
            <v>0</v>
          </cell>
          <cell r="W315" t="str">
            <v>D</v>
          </cell>
          <cell r="X315">
            <v>0</v>
          </cell>
          <cell r="Y315" t="str">
            <v>D</v>
          </cell>
          <cell r="Z315">
            <v>0</v>
          </cell>
          <cell r="AA315">
            <v>0</v>
          </cell>
          <cell r="AB315">
            <v>0</v>
          </cell>
          <cell r="AC315" t="str">
            <v>D</v>
          </cell>
          <cell r="AD315">
            <v>0</v>
          </cell>
          <cell r="AE315" t="str">
            <v>D</v>
          </cell>
          <cell r="AF315">
            <v>0</v>
          </cell>
          <cell r="AG315" t="str">
            <v>D</v>
          </cell>
          <cell r="AH315">
            <v>0</v>
          </cell>
          <cell r="AI315" t="str">
            <v>D</v>
          </cell>
          <cell r="AJ315">
            <v>0</v>
          </cell>
          <cell r="AK315" t="str">
            <v>D</v>
          </cell>
          <cell r="AL315">
            <v>0</v>
          </cell>
          <cell r="AM315" t="str">
            <v>D</v>
          </cell>
          <cell r="AN315">
            <v>0</v>
          </cell>
          <cell r="AO315">
            <v>0</v>
          </cell>
          <cell r="AP315">
            <v>0</v>
          </cell>
          <cell r="AQ315" t="str">
            <v>D</v>
          </cell>
          <cell r="AR315">
            <v>0</v>
          </cell>
          <cell r="AS315" t="str">
            <v>D</v>
          </cell>
          <cell r="AT315">
            <v>0</v>
          </cell>
          <cell r="AU315" t="str">
            <v>D</v>
          </cell>
          <cell r="AV315">
            <v>0</v>
          </cell>
          <cell r="AW315" t="str">
            <v>D</v>
          </cell>
          <cell r="AX315">
            <v>0</v>
          </cell>
          <cell r="AY315" t="str">
            <v>D</v>
          </cell>
          <cell r="AZ315">
            <v>0</v>
          </cell>
          <cell r="BA315" t="str">
            <v>NT7</v>
          </cell>
          <cell r="BB315">
            <v>0</v>
          </cell>
          <cell r="BC315">
            <v>0</v>
          </cell>
          <cell r="BD315">
            <v>0</v>
          </cell>
          <cell r="BE315" t="str">
            <v>D</v>
          </cell>
          <cell r="BF315">
            <v>0</v>
          </cell>
          <cell r="BG315" t="str">
            <v>D</v>
          </cell>
          <cell r="BH315">
            <v>0</v>
          </cell>
          <cell r="BI315" t="str">
            <v>D</v>
          </cell>
          <cell r="BJ315">
            <v>0</v>
          </cell>
          <cell r="BK315" t="str">
            <v>R0</v>
          </cell>
          <cell r="BL315">
            <v>0</v>
          </cell>
          <cell r="BM315" t="str">
            <v>D</v>
          </cell>
          <cell r="BN315">
            <v>0</v>
          </cell>
          <cell r="BO315" t="str">
            <v>D</v>
          </cell>
          <cell r="BP315">
            <v>0</v>
          </cell>
          <cell r="BQ315">
            <v>0</v>
          </cell>
          <cell r="BR315">
            <v>22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1</v>
          </cell>
          <cell r="BY315">
            <v>0</v>
          </cell>
          <cell r="BZ315">
            <v>23</v>
          </cell>
          <cell r="CA315">
            <v>0</v>
          </cell>
          <cell r="CB315">
            <v>0</v>
          </cell>
          <cell r="CC315">
            <v>0</v>
          </cell>
          <cell r="CD315">
            <v>1</v>
          </cell>
          <cell r="CE315">
            <v>0</v>
          </cell>
          <cell r="CF315">
            <v>150</v>
          </cell>
          <cell r="CG315">
            <v>0</v>
          </cell>
          <cell r="CH315">
            <v>0</v>
          </cell>
          <cell r="CI315">
            <v>150</v>
          </cell>
        </row>
        <row r="316">
          <cell r="A316" t="str">
            <v>A1057</v>
          </cell>
          <cell r="B316" t="str">
            <v>Nguyễn Châu Điền</v>
          </cell>
          <cell r="C316" t="str">
            <v>CI.1</v>
          </cell>
          <cell r="D316">
            <v>0</v>
          </cell>
          <cell r="E316" t="str">
            <v>05/03/2018</v>
          </cell>
          <cell r="F316">
            <v>0</v>
          </cell>
          <cell r="G316" t="str">
            <v>NOT</v>
          </cell>
          <cell r="H316">
            <v>0</v>
          </cell>
          <cell r="I316" t="str">
            <v>NOT</v>
          </cell>
          <cell r="J316">
            <v>0</v>
          </cell>
          <cell r="K316" t="str">
            <v>NOT</v>
          </cell>
          <cell r="L316">
            <v>0</v>
          </cell>
          <cell r="M316">
            <v>0</v>
          </cell>
          <cell r="N316">
            <v>0</v>
          </cell>
          <cell r="O316" t="str">
            <v>D</v>
          </cell>
          <cell r="P316">
            <v>0</v>
          </cell>
          <cell r="Q316" t="str">
            <v>D</v>
          </cell>
          <cell r="R316">
            <v>2.5</v>
          </cell>
          <cell r="S316" t="str">
            <v>A</v>
          </cell>
          <cell r="T316">
            <v>4</v>
          </cell>
          <cell r="U316" t="str">
            <v>A</v>
          </cell>
          <cell r="V316">
            <v>4</v>
          </cell>
          <cell r="W316" t="str">
            <v>A</v>
          </cell>
          <cell r="X316">
            <v>4</v>
          </cell>
          <cell r="Y316" t="str">
            <v>A</v>
          </cell>
          <cell r="Z316">
            <v>4</v>
          </cell>
          <cell r="AA316">
            <v>0</v>
          </cell>
          <cell r="AB316">
            <v>0</v>
          </cell>
          <cell r="AC316" t="str">
            <v>HH</v>
          </cell>
          <cell r="AD316">
            <v>0</v>
          </cell>
          <cell r="AE316" t="str">
            <v>C</v>
          </cell>
          <cell r="AF316">
            <v>4</v>
          </cell>
          <cell r="AG316" t="str">
            <v>C</v>
          </cell>
          <cell r="AH316">
            <v>4</v>
          </cell>
          <cell r="AI316" t="str">
            <v>C</v>
          </cell>
          <cell r="AJ316">
            <v>4</v>
          </cell>
          <cell r="AK316" t="str">
            <v>C</v>
          </cell>
          <cell r="AL316">
            <v>4</v>
          </cell>
          <cell r="AM316" t="str">
            <v>C</v>
          </cell>
          <cell r="AN316">
            <v>4</v>
          </cell>
          <cell r="AO316">
            <v>0</v>
          </cell>
          <cell r="AP316">
            <v>0</v>
          </cell>
          <cell r="AQ316" t="str">
            <v>D</v>
          </cell>
          <cell r="AR316">
            <v>1</v>
          </cell>
          <cell r="AS316" t="str">
            <v>D</v>
          </cell>
          <cell r="AT316">
            <v>0</v>
          </cell>
          <cell r="AU316" t="str">
            <v>A</v>
          </cell>
          <cell r="AV316">
            <v>4</v>
          </cell>
          <cell r="AW316" t="str">
            <v>D</v>
          </cell>
          <cell r="AX316">
            <v>1</v>
          </cell>
          <cell r="AY316" t="str">
            <v>A</v>
          </cell>
          <cell r="AZ316">
            <v>4</v>
          </cell>
          <cell r="BA316" t="str">
            <v>A</v>
          </cell>
          <cell r="BB316">
            <v>4</v>
          </cell>
          <cell r="BC316">
            <v>0</v>
          </cell>
          <cell r="BD316">
            <v>16</v>
          </cell>
          <cell r="BE316" t="str">
            <v>C</v>
          </cell>
          <cell r="BF316">
            <v>4</v>
          </cell>
          <cell r="BG316" t="str">
            <v>B</v>
          </cell>
          <cell r="BH316">
            <v>3</v>
          </cell>
          <cell r="BI316" t="str">
            <v>C</v>
          </cell>
          <cell r="BJ316">
            <v>4</v>
          </cell>
          <cell r="BK316" t="str">
            <v>C</v>
          </cell>
          <cell r="BL316">
            <v>4</v>
          </cell>
          <cell r="BM316" t="str">
            <v>C</v>
          </cell>
          <cell r="BN316">
            <v>4</v>
          </cell>
          <cell r="BO316" t="str">
            <v>HH</v>
          </cell>
          <cell r="BP316">
            <v>0</v>
          </cell>
          <cell r="BQ316">
            <v>7</v>
          </cell>
          <cell r="BR316">
            <v>5</v>
          </cell>
          <cell r="BS316">
            <v>1</v>
          </cell>
          <cell r="BT316">
            <v>9</v>
          </cell>
          <cell r="BU316">
            <v>0</v>
          </cell>
          <cell r="BV316">
            <v>0</v>
          </cell>
          <cell r="BW316">
            <v>2</v>
          </cell>
          <cell r="BX316">
            <v>0</v>
          </cell>
          <cell r="BY316">
            <v>0</v>
          </cell>
          <cell r="BZ316">
            <v>24</v>
          </cell>
          <cell r="CA316">
            <v>71.5</v>
          </cell>
          <cell r="CB316">
            <v>16</v>
          </cell>
          <cell r="CC316">
            <v>0</v>
          </cell>
          <cell r="CD316">
            <v>2</v>
          </cell>
          <cell r="CE316">
            <v>1</v>
          </cell>
          <cell r="CF316">
            <v>300</v>
          </cell>
          <cell r="CG316">
            <v>0</v>
          </cell>
          <cell r="CH316">
            <v>16</v>
          </cell>
          <cell r="CI316">
            <v>150</v>
          </cell>
        </row>
        <row r="317">
          <cell r="A317" t="str">
            <v>A1058</v>
          </cell>
          <cell r="B317" t="str">
            <v>Trương Quốc Tiến</v>
          </cell>
          <cell r="C317" t="str">
            <v>Kho</v>
          </cell>
          <cell r="D317">
            <v>0</v>
          </cell>
          <cell r="E317" t="str">
            <v>08/03/2018</v>
          </cell>
          <cell r="F317">
            <v>0</v>
          </cell>
          <cell r="G317" t="str">
            <v>NOT</v>
          </cell>
          <cell r="H317">
            <v>0</v>
          </cell>
          <cell r="I317" t="str">
            <v>NOT</v>
          </cell>
          <cell r="J317">
            <v>0</v>
          </cell>
          <cell r="K317" t="str">
            <v>NOT</v>
          </cell>
          <cell r="L317">
            <v>0</v>
          </cell>
          <cell r="M317">
            <v>0</v>
          </cell>
          <cell r="N317">
            <v>0</v>
          </cell>
          <cell r="O317" t="str">
            <v>NOT</v>
          </cell>
          <cell r="P317">
            <v>0</v>
          </cell>
          <cell r="Q317" t="str">
            <v>NOT</v>
          </cell>
          <cell r="R317">
            <v>0</v>
          </cell>
          <cell r="S317" t="str">
            <v>NOT</v>
          </cell>
          <cell r="T317">
            <v>0</v>
          </cell>
          <cell r="U317" t="str">
            <v>D</v>
          </cell>
          <cell r="V317">
            <v>0</v>
          </cell>
          <cell r="W317" t="str">
            <v>D</v>
          </cell>
          <cell r="X317">
            <v>3</v>
          </cell>
          <cell r="Y317" t="str">
            <v>D</v>
          </cell>
          <cell r="Z317">
            <v>0</v>
          </cell>
          <cell r="AA317">
            <v>0</v>
          </cell>
          <cell r="AB317">
            <v>0</v>
          </cell>
          <cell r="AC317" t="str">
            <v>D</v>
          </cell>
          <cell r="AD317">
            <v>0</v>
          </cell>
          <cell r="AE317" t="str">
            <v>D</v>
          </cell>
          <cell r="AF317">
            <v>3</v>
          </cell>
          <cell r="AG317" t="str">
            <v>D</v>
          </cell>
          <cell r="AH317">
            <v>0</v>
          </cell>
          <cell r="AI317" t="str">
            <v>D</v>
          </cell>
          <cell r="AJ317">
            <v>0</v>
          </cell>
          <cell r="AK317" t="str">
            <v>A</v>
          </cell>
          <cell r="AL317">
            <v>4.5</v>
          </cell>
          <cell r="AM317" t="str">
            <v>D</v>
          </cell>
          <cell r="AN317">
            <v>0</v>
          </cell>
          <cell r="AO317">
            <v>0</v>
          </cell>
          <cell r="AP317">
            <v>0</v>
          </cell>
          <cell r="AQ317" t="str">
            <v>D</v>
          </cell>
          <cell r="AR317">
            <v>0</v>
          </cell>
          <cell r="AS317" t="str">
            <v>D</v>
          </cell>
          <cell r="AT317">
            <v>0</v>
          </cell>
          <cell r="AU317" t="str">
            <v>D</v>
          </cell>
          <cell r="AV317">
            <v>1.5</v>
          </cell>
          <cell r="AW317" t="str">
            <v>D</v>
          </cell>
          <cell r="AX317">
            <v>1.5</v>
          </cell>
          <cell r="AY317" t="str">
            <v>D</v>
          </cell>
          <cell r="AZ317">
            <v>1.5</v>
          </cell>
          <cell r="BA317" t="str">
            <v>D</v>
          </cell>
          <cell r="BB317">
            <v>0</v>
          </cell>
          <cell r="BC317">
            <v>0</v>
          </cell>
          <cell r="BD317">
            <v>0</v>
          </cell>
          <cell r="BE317" t="str">
            <v>A</v>
          </cell>
          <cell r="BF317">
            <v>4</v>
          </cell>
          <cell r="BG317" t="str">
            <v>A</v>
          </cell>
          <cell r="BH317">
            <v>4</v>
          </cell>
          <cell r="BI317" t="str">
            <v>A</v>
          </cell>
          <cell r="BJ317">
            <v>4.5</v>
          </cell>
          <cell r="BK317" t="str">
            <v>D</v>
          </cell>
          <cell r="BL317">
            <v>1.5</v>
          </cell>
          <cell r="BM317" t="str">
            <v>D</v>
          </cell>
          <cell r="BN317">
            <v>1.5</v>
          </cell>
          <cell r="BO317" t="str">
            <v>D</v>
          </cell>
          <cell r="BP317">
            <v>0</v>
          </cell>
          <cell r="BQ317">
            <v>4</v>
          </cell>
          <cell r="BR317">
            <v>17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21</v>
          </cell>
          <cell r="CA317">
            <v>30.5</v>
          </cell>
          <cell r="CB317">
            <v>0</v>
          </cell>
          <cell r="CC317">
            <v>0</v>
          </cell>
          <cell r="CD317">
            <v>2</v>
          </cell>
          <cell r="CE317">
            <v>0</v>
          </cell>
          <cell r="CF317">
            <v>140</v>
          </cell>
          <cell r="CG317">
            <v>0</v>
          </cell>
          <cell r="CH317">
            <v>0</v>
          </cell>
          <cell r="CI317">
            <v>70</v>
          </cell>
        </row>
        <row r="318">
          <cell r="A318" t="str">
            <v>A1059</v>
          </cell>
          <cell r="B318" t="str">
            <v>Lê Nguyễn Thanh Sang</v>
          </cell>
          <cell r="C318" t="str">
            <v>CI.1</v>
          </cell>
          <cell r="D318">
            <v>0</v>
          </cell>
          <cell r="E318" t="str">
            <v>05/03/2018</v>
          </cell>
          <cell r="F318">
            <v>0</v>
          </cell>
          <cell r="G318" t="str">
            <v>NOT</v>
          </cell>
          <cell r="H318">
            <v>0</v>
          </cell>
          <cell r="I318" t="str">
            <v>NOT</v>
          </cell>
          <cell r="J318">
            <v>0</v>
          </cell>
          <cell r="K318" t="str">
            <v>NOT</v>
          </cell>
          <cell r="L318">
            <v>0</v>
          </cell>
          <cell r="M318">
            <v>0</v>
          </cell>
          <cell r="N318">
            <v>0</v>
          </cell>
          <cell r="O318" t="str">
            <v>C</v>
          </cell>
          <cell r="P318">
            <v>4</v>
          </cell>
          <cell r="Q318" t="str">
            <v>C</v>
          </cell>
          <cell r="R318">
            <v>4</v>
          </cell>
          <cell r="S318" t="str">
            <v>C</v>
          </cell>
          <cell r="T318">
            <v>4</v>
          </cell>
          <cell r="U318" t="str">
            <v>C</v>
          </cell>
          <cell r="V318">
            <v>4</v>
          </cell>
          <cell r="W318" t="str">
            <v>C</v>
          </cell>
          <cell r="X318">
            <v>4</v>
          </cell>
          <cell r="Y318" t="str">
            <v>C</v>
          </cell>
          <cell r="Z318">
            <v>4</v>
          </cell>
          <cell r="AA318">
            <v>0</v>
          </cell>
          <cell r="AB318">
            <v>0</v>
          </cell>
          <cell r="AC318" t="str">
            <v>HH</v>
          </cell>
          <cell r="AD318">
            <v>0</v>
          </cell>
          <cell r="AE318" t="str">
            <v>D</v>
          </cell>
          <cell r="AF318">
            <v>0</v>
          </cell>
          <cell r="AG318" t="str">
            <v>D</v>
          </cell>
          <cell r="AH318">
            <v>0</v>
          </cell>
          <cell r="AI318" t="str">
            <v>A</v>
          </cell>
          <cell r="AJ318">
            <v>4</v>
          </cell>
          <cell r="AK318" t="str">
            <v>A</v>
          </cell>
          <cell r="AL318">
            <v>4</v>
          </cell>
          <cell r="AM318" t="str">
            <v>A</v>
          </cell>
          <cell r="AN318">
            <v>4</v>
          </cell>
          <cell r="AO318">
            <v>0</v>
          </cell>
          <cell r="AP318">
            <v>0</v>
          </cell>
          <cell r="AQ318" t="str">
            <v>HH</v>
          </cell>
          <cell r="AR318">
            <v>0</v>
          </cell>
          <cell r="AS318" t="str">
            <v>HH</v>
          </cell>
          <cell r="AT318">
            <v>0</v>
          </cell>
          <cell r="AU318" t="str">
            <v>C</v>
          </cell>
          <cell r="AV318">
            <v>4</v>
          </cell>
          <cell r="AW318" t="str">
            <v>C</v>
          </cell>
          <cell r="AX318">
            <v>4</v>
          </cell>
          <cell r="AY318" t="str">
            <v>C</v>
          </cell>
          <cell r="AZ318">
            <v>4</v>
          </cell>
          <cell r="BA318" t="str">
            <v>C</v>
          </cell>
          <cell r="BB318">
            <v>4</v>
          </cell>
          <cell r="BC318">
            <v>0</v>
          </cell>
          <cell r="BD318">
            <v>8</v>
          </cell>
          <cell r="BE318" t="str">
            <v>D</v>
          </cell>
          <cell r="BF318">
            <v>2</v>
          </cell>
          <cell r="BG318" t="str">
            <v>A</v>
          </cell>
          <cell r="BH318">
            <v>4</v>
          </cell>
          <cell r="BI318" t="str">
            <v>D</v>
          </cell>
          <cell r="BJ318">
            <v>1</v>
          </cell>
          <cell r="BK318" t="str">
            <v>A</v>
          </cell>
          <cell r="BL318">
            <v>4</v>
          </cell>
          <cell r="BM318" t="str">
            <v>A</v>
          </cell>
          <cell r="BN318">
            <v>4</v>
          </cell>
          <cell r="BO318" t="str">
            <v>NV</v>
          </cell>
          <cell r="BP318">
            <v>0</v>
          </cell>
          <cell r="BQ318">
            <v>6</v>
          </cell>
          <cell r="BR318">
            <v>4</v>
          </cell>
          <cell r="BS318">
            <v>0</v>
          </cell>
          <cell r="BT318">
            <v>10</v>
          </cell>
          <cell r="BU318">
            <v>0</v>
          </cell>
          <cell r="BV318">
            <v>0</v>
          </cell>
          <cell r="BW318">
            <v>3</v>
          </cell>
          <cell r="BX318">
            <v>0</v>
          </cell>
          <cell r="BY318">
            <v>0</v>
          </cell>
          <cell r="BZ318">
            <v>23</v>
          </cell>
          <cell r="CA318">
            <v>67</v>
          </cell>
          <cell r="CB318">
            <v>8</v>
          </cell>
          <cell r="CC318">
            <v>0</v>
          </cell>
          <cell r="CD318">
            <v>2</v>
          </cell>
          <cell r="CE318">
            <v>0</v>
          </cell>
          <cell r="CF318">
            <v>140</v>
          </cell>
          <cell r="CG318">
            <v>0</v>
          </cell>
          <cell r="CH318">
            <v>0</v>
          </cell>
          <cell r="CI318">
            <v>70</v>
          </cell>
        </row>
        <row r="319">
          <cell r="A319" t="str">
            <v>A1060</v>
          </cell>
          <cell r="B319" t="str">
            <v>Hồng Thị Hằng</v>
          </cell>
          <cell r="C319" t="str">
            <v>CI.1</v>
          </cell>
          <cell r="D319">
            <v>0</v>
          </cell>
          <cell r="E319" t="str">
            <v>05/03/2018</v>
          </cell>
          <cell r="F319">
            <v>0</v>
          </cell>
          <cell r="G319" t="str">
            <v>NOT</v>
          </cell>
          <cell r="H319">
            <v>0</v>
          </cell>
          <cell r="I319" t="str">
            <v>NOT</v>
          </cell>
          <cell r="J319">
            <v>0</v>
          </cell>
          <cell r="K319" t="str">
            <v>NOT</v>
          </cell>
          <cell r="L319">
            <v>0</v>
          </cell>
          <cell r="M319">
            <v>0</v>
          </cell>
          <cell r="N319">
            <v>0</v>
          </cell>
          <cell r="O319" t="str">
            <v>A</v>
          </cell>
          <cell r="P319">
            <v>4</v>
          </cell>
          <cell r="Q319" t="str">
            <v>A</v>
          </cell>
          <cell r="R319">
            <v>4</v>
          </cell>
          <cell r="S319" t="str">
            <v>A</v>
          </cell>
          <cell r="T319">
            <v>4</v>
          </cell>
          <cell r="U319" t="str">
            <v>A</v>
          </cell>
          <cell r="V319">
            <v>4</v>
          </cell>
          <cell r="W319" t="str">
            <v>A</v>
          </cell>
          <cell r="X319">
            <v>4</v>
          </cell>
          <cell r="Y319" t="str">
            <v>A</v>
          </cell>
          <cell r="Z319">
            <v>4</v>
          </cell>
          <cell r="AA319">
            <v>0</v>
          </cell>
          <cell r="AB319">
            <v>0</v>
          </cell>
          <cell r="AC319" t="str">
            <v>HH</v>
          </cell>
          <cell r="AD319">
            <v>0</v>
          </cell>
          <cell r="AE319" t="str">
            <v>C</v>
          </cell>
          <cell r="AF319">
            <v>4</v>
          </cell>
          <cell r="AG319" t="str">
            <v>C</v>
          </cell>
          <cell r="AH319">
            <v>4</v>
          </cell>
          <cell r="AI319" t="str">
            <v>C</v>
          </cell>
          <cell r="AJ319">
            <v>4</v>
          </cell>
          <cell r="AK319" t="str">
            <v>C</v>
          </cell>
          <cell r="AL319">
            <v>4</v>
          </cell>
          <cell r="AM319" t="str">
            <v>C</v>
          </cell>
          <cell r="AN319">
            <v>4</v>
          </cell>
          <cell r="AO319">
            <v>0</v>
          </cell>
          <cell r="AP319">
            <v>0</v>
          </cell>
          <cell r="AQ319" t="str">
            <v>NT7</v>
          </cell>
          <cell r="AR319">
            <v>0</v>
          </cell>
          <cell r="AS319" t="str">
            <v>A</v>
          </cell>
          <cell r="AT319">
            <v>4</v>
          </cell>
          <cell r="AU319" t="str">
            <v>A</v>
          </cell>
          <cell r="AV319">
            <v>4</v>
          </cell>
          <cell r="AW319" t="str">
            <v>D</v>
          </cell>
          <cell r="AX319">
            <v>1</v>
          </cell>
          <cell r="AY319" t="str">
            <v>A</v>
          </cell>
          <cell r="AZ319">
            <v>4</v>
          </cell>
          <cell r="BA319" t="str">
            <v>A</v>
          </cell>
          <cell r="BB319">
            <v>4</v>
          </cell>
          <cell r="BC319">
            <v>0</v>
          </cell>
          <cell r="BD319">
            <v>16</v>
          </cell>
          <cell r="BE319" t="str">
            <v>C</v>
          </cell>
          <cell r="BF319">
            <v>4</v>
          </cell>
          <cell r="BG319" t="str">
            <v>C</v>
          </cell>
          <cell r="BH319">
            <v>4</v>
          </cell>
          <cell r="BI319" t="str">
            <v>C</v>
          </cell>
          <cell r="BJ319">
            <v>4</v>
          </cell>
          <cell r="BK319" t="str">
            <v>C</v>
          </cell>
          <cell r="BL319">
            <v>4</v>
          </cell>
          <cell r="BM319" t="str">
            <v>C</v>
          </cell>
          <cell r="BN319">
            <v>4</v>
          </cell>
          <cell r="BO319" t="str">
            <v>HH</v>
          </cell>
          <cell r="BP319">
            <v>0</v>
          </cell>
          <cell r="BQ319">
            <v>10</v>
          </cell>
          <cell r="BR319">
            <v>1</v>
          </cell>
          <cell r="BS319">
            <v>0</v>
          </cell>
          <cell r="BT319">
            <v>10</v>
          </cell>
          <cell r="BU319">
            <v>0</v>
          </cell>
          <cell r="BV319">
            <v>0</v>
          </cell>
          <cell r="BW319">
            <v>2</v>
          </cell>
          <cell r="BX319">
            <v>1</v>
          </cell>
          <cell r="BY319">
            <v>0</v>
          </cell>
          <cell r="BZ319">
            <v>24</v>
          </cell>
          <cell r="CA319">
            <v>81</v>
          </cell>
          <cell r="CB319">
            <v>16</v>
          </cell>
          <cell r="CC319">
            <v>0</v>
          </cell>
          <cell r="CD319">
            <v>1</v>
          </cell>
          <cell r="CE319">
            <v>0</v>
          </cell>
          <cell r="CF319">
            <v>70</v>
          </cell>
          <cell r="CG319">
            <v>0</v>
          </cell>
          <cell r="CH319">
            <v>0</v>
          </cell>
          <cell r="CI319">
            <v>70</v>
          </cell>
        </row>
        <row r="320">
          <cell r="A320" t="str">
            <v>A1061</v>
          </cell>
          <cell r="B320" t="str">
            <v>Võ Minh Kiệt</v>
          </cell>
          <cell r="C320" t="str">
            <v>QCX</v>
          </cell>
          <cell r="D320">
            <v>0</v>
          </cell>
          <cell r="E320" t="str">
            <v>10/03/2018</v>
          </cell>
          <cell r="F320">
            <v>0</v>
          </cell>
          <cell r="G320" t="str">
            <v>NOT</v>
          </cell>
          <cell r="H320">
            <v>0</v>
          </cell>
          <cell r="I320" t="str">
            <v>NOT</v>
          </cell>
          <cell r="J320">
            <v>0</v>
          </cell>
          <cell r="K320" t="str">
            <v>NOT</v>
          </cell>
          <cell r="L320">
            <v>0</v>
          </cell>
          <cell r="M320">
            <v>0</v>
          </cell>
          <cell r="N320">
            <v>0</v>
          </cell>
          <cell r="O320" t="str">
            <v>NOT</v>
          </cell>
          <cell r="P320">
            <v>0</v>
          </cell>
          <cell r="Q320" t="str">
            <v>NOT</v>
          </cell>
          <cell r="R320">
            <v>0</v>
          </cell>
          <cell r="S320" t="str">
            <v>NOT</v>
          </cell>
          <cell r="T320">
            <v>0</v>
          </cell>
          <cell r="U320" t="str">
            <v>NOT</v>
          </cell>
          <cell r="V320">
            <v>0</v>
          </cell>
          <cell r="W320" t="str">
            <v>NOT</v>
          </cell>
          <cell r="X320">
            <v>0</v>
          </cell>
          <cell r="Y320" t="str">
            <v>D</v>
          </cell>
          <cell r="Z320">
            <v>0</v>
          </cell>
          <cell r="AA320">
            <v>0</v>
          </cell>
          <cell r="AB320">
            <v>0</v>
          </cell>
          <cell r="AC320" t="str">
            <v>R0</v>
          </cell>
          <cell r="AD320">
            <v>0</v>
          </cell>
          <cell r="AE320" t="str">
            <v>R0</v>
          </cell>
          <cell r="AF320">
            <v>0</v>
          </cell>
          <cell r="AG320" t="str">
            <v>R0</v>
          </cell>
          <cell r="AH320">
            <v>0</v>
          </cell>
          <cell r="AI320" t="str">
            <v>R0</v>
          </cell>
          <cell r="AJ320">
            <v>0</v>
          </cell>
          <cell r="AK320" t="str">
            <v>A</v>
          </cell>
          <cell r="AL320">
            <v>4</v>
          </cell>
          <cell r="AM320" t="str">
            <v>D</v>
          </cell>
          <cell r="AN320">
            <v>0</v>
          </cell>
          <cell r="AO320">
            <v>0</v>
          </cell>
          <cell r="AP320">
            <v>0</v>
          </cell>
          <cell r="AQ320" t="str">
            <v>C</v>
          </cell>
          <cell r="AR320">
            <v>4</v>
          </cell>
          <cell r="AS320" t="str">
            <v>C</v>
          </cell>
          <cell r="AT320">
            <v>4</v>
          </cell>
          <cell r="AU320" t="str">
            <v>C</v>
          </cell>
          <cell r="AV320">
            <v>4</v>
          </cell>
          <cell r="AW320" t="str">
            <v>C</v>
          </cell>
          <cell r="AX320">
            <v>4</v>
          </cell>
          <cell r="AY320" t="str">
            <v>C</v>
          </cell>
          <cell r="AZ320">
            <v>4</v>
          </cell>
          <cell r="BA320" t="str">
            <v>R0</v>
          </cell>
          <cell r="BB320">
            <v>0</v>
          </cell>
          <cell r="BC320">
            <v>0</v>
          </cell>
          <cell r="BD320">
            <v>0</v>
          </cell>
          <cell r="BE320" t="str">
            <v>A</v>
          </cell>
          <cell r="BF320">
            <v>4</v>
          </cell>
          <cell r="BG320" t="str">
            <v>A</v>
          </cell>
          <cell r="BH320">
            <v>4</v>
          </cell>
          <cell r="BI320" t="str">
            <v>A</v>
          </cell>
          <cell r="BJ320">
            <v>4</v>
          </cell>
          <cell r="BK320" t="str">
            <v>A</v>
          </cell>
          <cell r="BL320">
            <v>4</v>
          </cell>
          <cell r="BM320" t="str">
            <v>A</v>
          </cell>
          <cell r="BN320">
            <v>4</v>
          </cell>
          <cell r="BO320" t="str">
            <v>A</v>
          </cell>
          <cell r="BP320">
            <v>4</v>
          </cell>
          <cell r="BQ320">
            <v>7</v>
          </cell>
          <cell r="BR320">
            <v>2</v>
          </cell>
          <cell r="BS320">
            <v>0</v>
          </cell>
          <cell r="BT320">
            <v>5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14</v>
          </cell>
          <cell r="CA320">
            <v>48</v>
          </cell>
          <cell r="CB320">
            <v>0</v>
          </cell>
          <cell r="CC320">
            <v>0</v>
          </cell>
          <cell r="CD320">
            <v>2</v>
          </cell>
          <cell r="CE320">
            <v>0</v>
          </cell>
          <cell r="CF320">
            <v>140</v>
          </cell>
          <cell r="CG320">
            <v>0</v>
          </cell>
          <cell r="CH320">
            <v>0</v>
          </cell>
          <cell r="CI320">
            <v>70</v>
          </cell>
        </row>
        <row r="321">
          <cell r="A321" t="str">
            <v>A1062</v>
          </cell>
          <cell r="B321" t="str">
            <v>Lê Minh Chiêu</v>
          </cell>
          <cell r="C321" t="str">
            <v>EN</v>
          </cell>
          <cell r="D321">
            <v>0</v>
          </cell>
          <cell r="E321" t="str">
            <v>10/03/2018</v>
          </cell>
          <cell r="F321">
            <v>0</v>
          </cell>
          <cell r="G321" t="str">
            <v>NOT</v>
          </cell>
          <cell r="H321">
            <v>0</v>
          </cell>
          <cell r="I321" t="str">
            <v>NOT</v>
          </cell>
          <cell r="J321">
            <v>0</v>
          </cell>
          <cell r="K321" t="str">
            <v>NOT</v>
          </cell>
          <cell r="L321">
            <v>0</v>
          </cell>
          <cell r="M321">
            <v>0</v>
          </cell>
          <cell r="N321">
            <v>0</v>
          </cell>
          <cell r="O321" t="str">
            <v>NOT</v>
          </cell>
          <cell r="P321">
            <v>0</v>
          </cell>
          <cell r="Q321" t="str">
            <v>NOT</v>
          </cell>
          <cell r="R321">
            <v>0</v>
          </cell>
          <cell r="S321" t="str">
            <v>NOT</v>
          </cell>
          <cell r="T321">
            <v>0</v>
          </cell>
          <cell r="U321" t="str">
            <v>NOT</v>
          </cell>
          <cell r="V321">
            <v>0</v>
          </cell>
          <cell r="W321" t="str">
            <v>NOT</v>
          </cell>
          <cell r="X321">
            <v>0</v>
          </cell>
          <cell r="Y321" t="str">
            <v>NOT</v>
          </cell>
          <cell r="Z321">
            <v>0</v>
          </cell>
          <cell r="AA321">
            <v>0</v>
          </cell>
          <cell r="AB321">
            <v>0</v>
          </cell>
          <cell r="AC321" t="str">
            <v>NOT</v>
          </cell>
          <cell r="AD321">
            <v>0</v>
          </cell>
          <cell r="AE321" t="str">
            <v>NOT</v>
          </cell>
          <cell r="AF321">
            <v>0</v>
          </cell>
          <cell r="AG321" t="str">
            <v>NOT</v>
          </cell>
          <cell r="AH321">
            <v>0</v>
          </cell>
          <cell r="AI321" t="str">
            <v>NOT</v>
          </cell>
          <cell r="AJ321">
            <v>0</v>
          </cell>
          <cell r="AK321" t="str">
            <v>D</v>
          </cell>
          <cell r="AL321">
            <v>0</v>
          </cell>
          <cell r="AM321" t="str">
            <v>D</v>
          </cell>
          <cell r="AN321">
            <v>0</v>
          </cell>
          <cell r="AO321">
            <v>0</v>
          </cell>
          <cell r="AP321">
            <v>0</v>
          </cell>
          <cell r="AQ321" t="str">
            <v>D</v>
          </cell>
          <cell r="AR321">
            <v>0</v>
          </cell>
          <cell r="AS321" t="str">
            <v>A</v>
          </cell>
          <cell r="AT321">
            <v>4</v>
          </cell>
          <cell r="AU321" t="str">
            <v>A</v>
          </cell>
          <cell r="AV321">
            <v>4</v>
          </cell>
          <cell r="AW321" t="str">
            <v>A</v>
          </cell>
          <cell r="AX321">
            <v>4</v>
          </cell>
          <cell r="AY321" t="str">
            <v>A</v>
          </cell>
          <cell r="AZ321">
            <v>4</v>
          </cell>
          <cell r="BA321" t="str">
            <v>A</v>
          </cell>
          <cell r="BB321">
            <v>4</v>
          </cell>
          <cell r="BC321">
            <v>0</v>
          </cell>
          <cell r="BD321">
            <v>0</v>
          </cell>
          <cell r="BE321" t="str">
            <v>C</v>
          </cell>
          <cell r="BF321">
            <v>4</v>
          </cell>
          <cell r="BG321" t="str">
            <v>C</v>
          </cell>
          <cell r="BH321">
            <v>4</v>
          </cell>
          <cell r="BI321" t="str">
            <v>C</v>
          </cell>
          <cell r="BJ321">
            <v>4</v>
          </cell>
          <cell r="BK321" t="str">
            <v>C</v>
          </cell>
          <cell r="BL321">
            <v>4</v>
          </cell>
          <cell r="BM321" t="str">
            <v>C</v>
          </cell>
          <cell r="BN321">
            <v>4</v>
          </cell>
          <cell r="BO321" t="str">
            <v>C</v>
          </cell>
          <cell r="BP321">
            <v>4</v>
          </cell>
          <cell r="BQ321">
            <v>5</v>
          </cell>
          <cell r="BR321">
            <v>3</v>
          </cell>
          <cell r="BS321">
            <v>0</v>
          </cell>
          <cell r="BT321">
            <v>6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14</v>
          </cell>
          <cell r="CA321">
            <v>44</v>
          </cell>
          <cell r="CB321">
            <v>0</v>
          </cell>
          <cell r="CC321">
            <v>0</v>
          </cell>
          <cell r="CD321">
            <v>2</v>
          </cell>
          <cell r="CE321">
            <v>0</v>
          </cell>
          <cell r="CF321">
            <v>140</v>
          </cell>
          <cell r="CG321">
            <v>0</v>
          </cell>
          <cell r="CH321">
            <v>0</v>
          </cell>
          <cell r="CI321">
            <v>70</v>
          </cell>
        </row>
        <row r="322">
          <cell r="A322" t="str">
            <v>A1063</v>
          </cell>
          <cell r="B322" t="str">
            <v>Đỗ Quốc Trí</v>
          </cell>
          <cell r="C322" t="str">
            <v>Gián tiếp</v>
          </cell>
          <cell r="D322">
            <v>0</v>
          </cell>
          <cell r="E322" t="str">
            <v>15/03/2018</v>
          </cell>
          <cell r="F322">
            <v>0</v>
          </cell>
          <cell r="G322" t="str">
            <v>NOT</v>
          </cell>
          <cell r="H322">
            <v>0</v>
          </cell>
          <cell r="I322" t="str">
            <v>NOT</v>
          </cell>
          <cell r="J322">
            <v>0</v>
          </cell>
          <cell r="K322" t="str">
            <v>NOT</v>
          </cell>
          <cell r="L322">
            <v>0</v>
          </cell>
          <cell r="M322">
            <v>0</v>
          </cell>
          <cell r="N322">
            <v>0</v>
          </cell>
          <cell r="O322" t="str">
            <v>NOT</v>
          </cell>
          <cell r="P322">
            <v>0</v>
          </cell>
          <cell r="Q322" t="str">
            <v>NOT</v>
          </cell>
          <cell r="R322">
            <v>0</v>
          </cell>
          <cell r="S322" t="str">
            <v>NOT</v>
          </cell>
          <cell r="T322">
            <v>0</v>
          </cell>
          <cell r="U322" t="str">
            <v>NOT</v>
          </cell>
          <cell r="V322">
            <v>0</v>
          </cell>
          <cell r="W322" t="str">
            <v>NOT</v>
          </cell>
          <cell r="X322">
            <v>0</v>
          </cell>
          <cell r="Y322" t="str">
            <v>NOT</v>
          </cell>
          <cell r="Z322">
            <v>0</v>
          </cell>
          <cell r="AA322">
            <v>0</v>
          </cell>
          <cell r="AB322">
            <v>0</v>
          </cell>
          <cell r="AC322" t="str">
            <v>NOT</v>
          </cell>
          <cell r="AD322">
            <v>0</v>
          </cell>
          <cell r="AE322" t="str">
            <v>NOT</v>
          </cell>
          <cell r="AF322">
            <v>0</v>
          </cell>
          <cell r="AG322" t="str">
            <v>NOT</v>
          </cell>
          <cell r="AH322">
            <v>0</v>
          </cell>
          <cell r="AI322" t="str">
            <v>D</v>
          </cell>
          <cell r="AJ322">
            <v>0</v>
          </cell>
          <cell r="AK322" t="str">
            <v>D</v>
          </cell>
          <cell r="AL322">
            <v>0</v>
          </cell>
          <cell r="AM322" t="str">
            <v>D</v>
          </cell>
          <cell r="AN322">
            <v>0</v>
          </cell>
          <cell r="AO322">
            <v>0</v>
          </cell>
          <cell r="AP322">
            <v>0</v>
          </cell>
          <cell r="AQ322" t="str">
            <v>D</v>
          </cell>
          <cell r="AR322">
            <v>0</v>
          </cell>
          <cell r="AS322" t="str">
            <v>D</v>
          </cell>
          <cell r="AT322">
            <v>0</v>
          </cell>
          <cell r="AU322" t="str">
            <v>D</v>
          </cell>
          <cell r="AV322">
            <v>0</v>
          </cell>
          <cell r="AW322" t="str">
            <v>D</v>
          </cell>
          <cell r="AX322">
            <v>0</v>
          </cell>
          <cell r="AY322" t="str">
            <v>D</v>
          </cell>
          <cell r="AZ322">
            <v>0</v>
          </cell>
          <cell r="BA322" t="str">
            <v>NT7</v>
          </cell>
          <cell r="BB322">
            <v>0</v>
          </cell>
          <cell r="BC322">
            <v>0</v>
          </cell>
          <cell r="BD322">
            <v>0</v>
          </cell>
          <cell r="BE322" t="str">
            <v>D</v>
          </cell>
          <cell r="BF322">
            <v>0</v>
          </cell>
          <cell r="BG322" t="str">
            <v>D</v>
          </cell>
          <cell r="BH322">
            <v>0</v>
          </cell>
          <cell r="BI322" t="str">
            <v>D</v>
          </cell>
          <cell r="BJ322">
            <v>0</v>
          </cell>
          <cell r="BK322" t="str">
            <v>D</v>
          </cell>
          <cell r="BL322">
            <v>0</v>
          </cell>
          <cell r="BM322" t="str">
            <v>D</v>
          </cell>
          <cell r="BN322">
            <v>0</v>
          </cell>
          <cell r="BO322" t="str">
            <v>D</v>
          </cell>
          <cell r="BP322">
            <v>0</v>
          </cell>
          <cell r="BQ322">
            <v>0</v>
          </cell>
          <cell r="BR322">
            <v>14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1</v>
          </cell>
          <cell r="BY322">
            <v>0</v>
          </cell>
          <cell r="BZ322">
            <v>15</v>
          </cell>
          <cell r="CA322">
            <v>0</v>
          </cell>
          <cell r="CB322">
            <v>0</v>
          </cell>
          <cell r="CC322">
            <v>0</v>
          </cell>
          <cell r="CD322">
            <v>1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</row>
        <row r="323">
          <cell r="A323" t="str">
            <v>A1064</v>
          </cell>
          <cell r="B323" t="str">
            <v>Nguyễn Thị Cẩm Loan</v>
          </cell>
          <cell r="C323" t="str">
            <v>TXBVTV</v>
          </cell>
          <cell r="D323">
            <v>0</v>
          </cell>
          <cell r="E323" t="str">
            <v>13/03/2018</v>
          </cell>
          <cell r="F323">
            <v>0</v>
          </cell>
          <cell r="G323" t="str">
            <v>NOT</v>
          </cell>
          <cell r="H323">
            <v>0</v>
          </cell>
          <cell r="I323" t="str">
            <v>NOT</v>
          </cell>
          <cell r="J323">
            <v>0</v>
          </cell>
          <cell r="K323" t="str">
            <v>NOT</v>
          </cell>
          <cell r="L323">
            <v>0</v>
          </cell>
          <cell r="M323">
            <v>0</v>
          </cell>
          <cell r="N323">
            <v>0</v>
          </cell>
          <cell r="O323" t="str">
            <v>NOT</v>
          </cell>
          <cell r="P323">
            <v>0</v>
          </cell>
          <cell r="Q323" t="str">
            <v>NOT</v>
          </cell>
          <cell r="R323">
            <v>0</v>
          </cell>
          <cell r="S323" t="str">
            <v>NOT</v>
          </cell>
          <cell r="T323">
            <v>0</v>
          </cell>
          <cell r="U323" t="str">
            <v>NOT</v>
          </cell>
          <cell r="V323">
            <v>0</v>
          </cell>
          <cell r="W323" t="str">
            <v>NOT</v>
          </cell>
          <cell r="X323">
            <v>0</v>
          </cell>
          <cell r="Y323" t="str">
            <v>NOT</v>
          </cell>
          <cell r="Z323">
            <v>0</v>
          </cell>
          <cell r="AA323">
            <v>0</v>
          </cell>
          <cell r="AB323">
            <v>0</v>
          </cell>
          <cell r="AC323" t="str">
            <v>NOT</v>
          </cell>
          <cell r="AD323">
            <v>0</v>
          </cell>
          <cell r="AE323" t="str">
            <v>D</v>
          </cell>
          <cell r="AF323">
            <v>0</v>
          </cell>
          <cell r="AG323" t="str">
            <v>D</v>
          </cell>
          <cell r="AH323">
            <v>0</v>
          </cell>
          <cell r="AI323" t="str">
            <v>D</v>
          </cell>
          <cell r="AJ323">
            <v>0</v>
          </cell>
          <cell r="AK323" t="str">
            <v>D</v>
          </cell>
          <cell r="AL323">
            <v>0</v>
          </cell>
          <cell r="AM323" t="str">
            <v>D</v>
          </cell>
          <cell r="AN323">
            <v>0</v>
          </cell>
          <cell r="AO323">
            <v>0</v>
          </cell>
          <cell r="AP323">
            <v>0</v>
          </cell>
          <cell r="AQ323" t="str">
            <v>D</v>
          </cell>
          <cell r="AR323">
            <v>0</v>
          </cell>
          <cell r="AS323" t="str">
            <v>D</v>
          </cell>
          <cell r="AT323">
            <v>0</v>
          </cell>
          <cell r="AU323" t="str">
            <v>D</v>
          </cell>
          <cell r="AV323">
            <v>0</v>
          </cell>
          <cell r="AW323" t="str">
            <v>D</v>
          </cell>
          <cell r="AX323">
            <v>0</v>
          </cell>
          <cell r="AY323" t="str">
            <v>D</v>
          </cell>
          <cell r="AZ323">
            <v>0</v>
          </cell>
          <cell r="BA323" t="str">
            <v>D</v>
          </cell>
          <cell r="BB323">
            <v>0</v>
          </cell>
          <cell r="BC323">
            <v>0</v>
          </cell>
          <cell r="BD323">
            <v>8</v>
          </cell>
          <cell r="BE323" t="str">
            <v>D</v>
          </cell>
          <cell r="BF323">
            <v>0</v>
          </cell>
          <cell r="BG323" t="str">
            <v>D</v>
          </cell>
          <cell r="BH323">
            <v>0</v>
          </cell>
          <cell r="BI323" t="str">
            <v>D</v>
          </cell>
          <cell r="BJ323">
            <v>0</v>
          </cell>
          <cell r="BK323" t="str">
            <v>D</v>
          </cell>
          <cell r="BL323">
            <v>0</v>
          </cell>
          <cell r="BM323" t="str">
            <v>D</v>
          </cell>
          <cell r="BN323">
            <v>0</v>
          </cell>
          <cell r="BO323" t="str">
            <v>D</v>
          </cell>
          <cell r="BP323">
            <v>0</v>
          </cell>
          <cell r="BQ323">
            <v>0</v>
          </cell>
          <cell r="BR323">
            <v>17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17</v>
          </cell>
          <cell r="CA323">
            <v>0</v>
          </cell>
          <cell r="CB323">
            <v>8</v>
          </cell>
          <cell r="CC323">
            <v>0</v>
          </cell>
          <cell r="CD323">
            <v>2</v>
          </cell>
          <cell r="CE323">
            <v>0</v>
          </cell>
          <cell r="CF323">
            <v>140</v>
          </cell>
          <cell r="CG323">
            <v>0</v>
          </cell>
          <cell r="CH323">
            <v>0</v>
          </cell>
          <cell r="CI323">
            <v>70</v>
          </cell>
        </row>
        <row r="324">
          <cell r="A324" t="str">
            <v>A1065</v>
          </cell>
          <cell r="B324" t="str">
            <v>Huỳnh Tí Nị</v>
          </cell>
          <cell r="C324" t="str">
            <v>CI.1</v>
          </cell>
          <cell r="D324">
            <v>0</v>
          </cell>
          <cell r="E324" t="str">
            <v>13/03/2018</v>
          </cell>
          <cell r="F324">
            <v>0</v>
          </cell>
          <cell r="G324" t="str">
            <v>NOT</v>
          </cell>
          <cell r="H324">
            <v>0</v>
          </cell>
          <cell r="I324" t="str">
            <v>NOT</v>
          </cell>
          <cell r="J324">
            <v>0</v>
          </cell>
          <cell r="K324" t="str">
            <v>NOT</v>
          </cell>
          <cell r="L324">
            <v>0</v>
          </cell>
          <cell r="M324">
            <v>0</v>
          </cell>
          <cell r="N324">
            <v>0</v>
          </cell>
          <cell r="O324" t="str">
            <v>NOT</v>
          </cell>
          <cell r="P324">
            <v>0</v>
          </cell>
          <cell r="Q324" t="str">
            <v>NOT</v>
          </cell>
          <cell r="R324">
            <v>0</v>
          </cell>
          <cell r="S324" t="str">
            <v>NOT</v>
          </cell>
          <cell r="T324">
            <v>0</v>
          </cell>
          <cell r="U324" t="str">
            <v>NOT</v>
          </cell>
          <cell r="V324">
            <v>0</v>
          </cell>
          <cell r="W324" t="str">
            <v>NOT</v>
          </cell>
          <cell r="X324">
            <v>0</v>
          </cell>
          <cell r="Y324" t="str">
            <v>NOT</v>
          </cell>
          <cell r="Z324">
            <v>0</v>
          </cell>
          <cell r="AA324">
            <v>0</v>
          </cell>
          <cell r="AB324">
            <v>0</v>
          </cell>
          <cell r="AC324" t="str">
            <v>NOT</v>
          </cell>
          <cell r="AD324">
            <v>0</v>
          </cell>
          <cell r="AE324" t="str">
            <v>D</v>
          </cell>
          <cell r="AF324">
            <v>0</v>
          </cell>
          <cell r="AG324" t="str">
            <v>A</v>
          </cell>
          <cell r="AH324">
            <v>4</v>
          </cell>
          <cell r="AI324" t="str">
            <v>A</v>
          </cell>
          <cell r="AJ324">
            <v>4</v>
          </cell>
          <cell r="AK324" t="str">
            <v>A</v>
          </cell>
          <cell r="AL324">
            <v>4</v>
          </cell>
          <cell r="AM324" t="str">
            <v>A</v>
          </cell>
          <cell r="AN324">
            <v>4</v>
          </cell>
          <cell r="AO324">
            <v>0</v>
          </cell>
          <cell r="AP324">
            <v>0</v>
          </cell>
          <cell r="AQ324" t="str">
            <v>HH</v>
          </cell>
          <cell r="AR324">
            <v>0</v>
          </cell>
          <cell r="AS324" t="str">
            <v>HH</v>
          </cell>
          <cell r="AT324">
            <v>0</v>
          </cell>
          <cell r="AU324" t="str">
            <v>C</v>
          </cell>
          <cell r="AV324">
            <v>4</v>
          </cell>
          <cell r="AW324" t="str">
            <v>C</v>
          </cell>
          <cell r="AX324">
            <v>4</v>
          </cell>
          <cell r="AY324" t="str">
            <v>C</v>
          </cell>
          <cell r="AZ324">
            <v>4</v>
          </cell>
          <cell r="BA324" t="str">
            <v>C</v>
          </cell>
          <cell r="BB324">
            <v>4</v>
          </cell>
          <cell r="BC324">
            <v>0</v>
          </cell>
          <cell r="BD324">
            <v>8</v>
          </cell>
          <cell r="BE324" t="str">
            <v>A</v>
          </cell>
          <cell r="BF324">
            <v>4</v>
          </cell>
          <cell r="BG324" t="str">
            <v>R0</v>
          </cell>
          <cell r="BH324">
            <v>0</v>
          </cell>
          <cell r="BI324" t="str">
            <v>D</v>
          </cell>
          <cell r="BJ324">
            <v>0</v>
          </cell>
          <cell r="BK324" t="str">
            <v>A</v>
          </cell>
          <cell r="BL324">
            <v>4</v>
          </cell>
          <cell r="BM324" t="str">
            <v>A</v>
          </cell>
          <cell r="BN324">
            <v>4</v>
          </cell>
          <cell r="BO324" t="str">
            <v>R0</v>
          </cell>
          <cell r="BP324">
            <v>0</v>
          </cell>
          <cell r="BQ324">
            <v>7</v>
          </cell>
          <cell r="BR324">
            <v>2</v>
          </cell>
          <cell r="BS324">
            <v>0</v>
          </cell>
          <cell r="BT324">
            <v>4</v>
          </cell>
          <cell r="BU324">
            <v>0</v>
          </cell>
          <cell r="BV324">
            <v>0</v>
          </cell>
          <cell r="BW324">
            <v>2</v>
          </cell>
          <cell r="BX324">
            <v>0</v>
          </cell>
          <cell r="BY324">
            <v>0</v>
          </cell>
          <cell r="BZ324">
            <v>15</v>
          </cell>
          <cell r="CA324">
            <v>44</v>
          </cell>
          <cell r="CB324">
            <v>8</v>
          </cell>
          <cell r="CC324">
            <v>0</v>
          </cell>
          <cell r="CD324">
            <v>2</v>
          </cell>
          <cell r="CE324">
            <v>1</v>
          </cell>
          <cell r="CF324">
            <v>140</v>
          </cell>
          <cell r="CG324">
            <v>0</v>
          </cell>
          <cell r="CH324">
            <v>16</v>
          </cell>
          <cell r="CI324">
            <v>70</v>
          </cell>
        </row>
        <row r="325">
          <cell r="A325" t="str">
            <v>A1066</v>
          </cell>
          <cell r="B325" t="str">
            <v>Nguyễn Quốc Việt</v>
          </cell>
          <cell r="C325" t="str">
            <v>EN</v>
          </cell>
          <cell r="D325">
            <v>0</v>
          </cell>
          <cell r="E325">
            <v>43175</v>
          </cell>
          <cell r="F325">
            <v>0</v>
          </cell>
          <cell r="G325" t="str">
            <v>NOT</v>
          </cell>
          <cell r="H325">
            <v>0</v>
          </cell>
          <cell r="I325" t="str">
            <v>NOT</v>
          </cell>
          <cell r="J325">
            <v>0</v>
          </cell>
          <cell r="K325" t="str">
            <v>NOT</v>
          </cell>
          <cell r="L325">
            <v>0</v>
          </cell>
          <cell r="M325">
            <v>0</v>
          </cell>
          <cell r="N325">
            <v>0</v>
          </cell>
          <cell r="O325" t="str">
            <v>NOT</v>
          </cell>
          <cell r="P325">
            <v>0</v>
          </cell>
          <cell r="Q325" t="str">
            <v>NOT</v>
          </cell>
          <cell r="R325">
            <v>0</v>
          </cell>
          <cell r="S325" t="str">
            <v>NOT</v>
          </cell>
          <cell r="T325">
            <v>0</v>
          </cell>
          <cell r="U325" t="str">
            <v>NOT</v>
          </cell>
          <cell r="V325">
            <v>0</v>
          </cell>
          <cell r="W325" t="str">
            <v>NOT</v>
          </cell>
          <cell r="X325">
            <v>0</v>
          </cell>
          <cell r="Y325" t="str">
            <v>NOT</v>
          </cell>
          <cell r="Z325">
            <v>0</v>
          </cell>
          <cell r="AA325">
            <v>0</v>
          </cell>
          <cell r="AB325">
            <v>0</v>
          </cell>
          <cell r="AC325" t="str">
            <v>NOT</v>
          </cell>
          <cell r="AD325">
            <v>0</v>
          </cell>
          <cell r="AE325" t="str">
            <v>NOT</v>
          </cell>
          <cell r="AF325">
            <v>0</v>
          </cell>
          <cell r="AG325" t="str">
            <v>NOT</v>
          </cell>
          <cell r="AH325">
            <v>0</v>
          </cell>
          <cell r="AI325" t="str">
            <v>NOT</v>
          </cell>
          <cell r="AJ325">
            <v>0</v>
          </cell>
          <cell r="AK325" t="str">
            <v>NV</v>
          </cell>
          <cell r="AL325">
            <v>0</v>
          </cell>
          <cell r="AM325" t="str">
            <v>NV</v>
          </cell>
          <cell r="AN325">
            <v>0</v>
          </cell>
          <cell r="AO325">
            <v>0</v>
          </cell>
          <cell r="AP325">
            <v>0</v>
          </cell>
          <cell r="AQ325" t="str">
            <v>NV</v>
          </cell>
          <cell r="AR325">
            <v>0</v>
          </cell>
          <cell r="AS325" t="str">
            <v>NV</v>
          </cell>
          <cell r="AT325">
            <v>0</v>
          </cell>
          <cell r="AU325" t="str">
            <v>NV</v>
          </cell>
          <cell r="AV325">
            <v>0</v>
          </cell>
          <cell r="AW325" t="str">
            <v>NV</v>
          </cell>
          <cell r="AX325">
            <v>0</v>
          </cell>
          <cell r="AY325" t="str">
            <v>NV</v>
          </cell>
          <cell r="AZ325">
            <v>0</v>
          </cell>
          <cell r="BA325" t="str">
            <v>NV</v>
          </cell>
          <cell r="BB325">
            <v>0</v>
          </cell>
          <cell r="BC325">
            <v>0</v>
          </cell>
          <cell r="BD325">
            <v>0</v>
          </cell>
          <cell r="BE325" t="str">
            <v>NV</v>
          </cell>
          <cell r="BF325">
            <v>0</v>
          </cell>
          <cell r="BG325" t="str">
            <v>NV</v>
          </cell>
          <cell r="BH325">
            <v>0</v>
          </cell>
          <cell r="BI325" t="str">
            <v>NV</v>
          </cell>
          <cell r="BJ325">
            <v>0</v>
          </cell>
          <cell r="BK325" t="str">
            <v>NV</v>
          </cell>
          <cell r="BL325">
            <v>0</v>
          </cell>
          <cell r="BM325" t="str">
            <v>NV</v>
          </cell>
          <cell r="BN325">
            <v>0</v>
          </cell>
          <cell r="BO325" t="str">
            <v>NV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70</v>
          </cell>
        </row>
        <row r="326">
          <cell r="A326" t="str">
            <v>A1067</v>
          </cell>
          <cell r="B326" t="str">
            <v>Ngô Văn Thanh</v>
          </cell>
          <cell r="C326" t="str">
            <v>QCX</v>
          </cell>
          <cell r="D326">
            <v>0</v>
          </cell>
          <cell r="E326" t="str">
            <v>06/03/2018</v>
          </cell>
          <cell r="F326">
            <v>0</v>
          </cell>
          <cell r="G326" t="str">
            <v>NOT</v>
          </cell>
          <cell r="H326">
            <v>0</v>
          </cell>
          <cell r="I326" t="str">
            <v>NOT</v>
          </cell>
          <cell r="J326">
            <v>0</v>
          </cell>
          <cell r="K326" t="str">
            <v>NOT</v>
          </cell>
          <cell r="L326">
            <v>0</v>
          </cell>
          <cell r="M326">
            <v>0</v>
          </cell>
          <cell r="N326">
            <v>0</v>
          </cell>
          <cell r="O326" t="str">
            <v>NOT</v>
          </cell>
          <cell r="P326">
            <v>0</v>
          </cell>
          <cell r="Q326" t="str">
            <v>D</v>
          </cell>
          <cell r="R326">
            <v>0</v>
          </cell>
          <cell r="S326" t="str">
            <v>D</v>
          </cell>
          <cell r="T326">
            <v>3</v>
          </cell>
          <cell r="U326" t="str">
            <v>D</v>
          </cell>
          <cell r="V326">
            <v>2</v>
          </cell>
          <cell r="W326" t="str">
            <v>A</v>
          </cell>
          <cell r="X326">
            <v>4</v>
          </cell>
          <cell r="Y326" t="str">
            <v>D</v>
          </cell>
          <cell r="Z326">
            <v>2</v>
          </cell>
          <cell r="AA326">
            <v>0</v>
          </cell>
          <cell r="AB326">
            <v>8</v>
          </cell>
          <cell r="AC326" t="str">
            <v>C</v>
          </cell>
          <cell r="AD326">
            <v>4</v>
          </cell>
          <cell r="AE326" t="str">
            <v>C</v>
          </cell>
          <cell r="AF326">
            <v>4</v>
          </cell>
          <cell r="AG326" t="str">
            <v>C</v>
          </cell>
          <cell r="AH326">
            <v>4</v>
          </cell>
          <cell r="AI326" t="str">
            <v>C</v>
          </cell>
          <cell r="AJ326">
            <v>4</v>
          </cell>
          <cell r="AK326" t="str">
            <v>C</v>
          </cell>
          <cell r="AL326">
            <v>4</v>
          </cell>
          <cell r="AM326" t="str">
            <v>C</v>
          </cell>
          <cell r="AN326">
            <v>4</v>
          </cell>
          <cell r="AO326">
            <v>0</v>
          </cell>
          <cell r="AP326">
            <v>0</v>
          </cell>
          <cell r="AQ326" t="str">
            <v>A</v>
          </cell>
          <cell r="AR326">
            <v>4</v>
          </cell>
          <cell r="AS326" t="str">
            <v>A</v>
          </cell>
          <cell r="AT326">
            <v>4</v>
          </cell>
          <cell r="AU326" t="str">
            <v>A</v>
          </cell>
          <cell r="AV326">
            <v>4</v>
          </cell>
          <cell r="AW326" t="str">
            <v>A</v>
          </cell>
          <cell r="AX326">
            <v>4</v>
          </cell>
          <cell r="AY326" t="str">
            <v>D</v>
          </cell>
          <cell r="AZ326">
            <v>3</v>
          </cell>
          <cell r="BA326" t="str">
            <v>D</v>
          </cell>
          <cell r="BB326">
            <v>2</v>
          </cell>
          <cell r="BC326">
            <v>0</v>
          </cell>
          <cell r="BD326">
            <v>0</v>
          </cell>
          <cell r="BE326" t="str">
            <v>C</v>
          </cell>
          <cell r="BF326">
            <v>4</v>
          </cell>
          <cell r="BG326" t="str">
            <v>C</v>
          </cell>
          <cell r="BH326">
            <v>4</v>
          </cell>
          <cell r="BI326" t="str">
            <v>C</v>
          </cell>
          <cell r="BJ326">
            <v>4</v>
          </cell>
          <cell r="BK326" t="str">
            <v>C</v>
          </cell>
          <cell r="BL326">
            <v>4</v>
          </cell>
          <cell r="BM326" t="str">
            <v>C</v>
          </cell>
          <cell r="BN326">
            <v>4</v>
          </cell>
          <cell r="BO326" t="str">
            <v>C</v>
          </cell>
          <cell r="BP326">
            <v>6</v>
          </cell>
          <cell r="BQ326">
            <v>5</v>
          </cell>
          <cell r="BR326">
            <v>6</v>
          </cell>
          <cell r="BS326">
            <v>0</v>
          </cell>
          <cell r="BT326">
            <v>12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23</v>
          </cell>
          <cell r="CA326">
            <v>82</v>
          </cell>
          <cell r="CB326">
            <v>8</v>
          </cell>
          <cell r="CC326">
            <v>0</v>
          </cell>
          <cell r="CD326">
            <v>2</v>
          </cell>
          <cell r="CE326">
            <v>0</v>
          </cell>
          <cell r="CF326">
            <v>140</v>
          </cell>
          <cell r="CG326">
            <v>0</v>
          </cell>
          <cell r="CH326">
            <v>0</v>
          </cell>
          <cell r="CI326">
            <v>70</v>
          </cell>
        </row>
        <row r="327">
          <cell r="A327" t="str">
            <v>A1068</v>
          </cell>
          <cell r="B327" t="str">
            <v>Lương Đức Phương</v>
          </cell>
          <cell r="C327" t="str">
            <v>CII.1</v>
          </cell>
          <cell r="D327">
            <v>0</v>
          </cell>
          <cell r="E327" t="str">
            <v>12/03/2018</v>
          </cell>
          <cell r="F327">
            <v>0</v>
          </cell>
          <cell r="G327" t="str">
            <v>NOT</v>
          </cell>
          <cell r="H327">
            <v>0</v>
          </cell>
          <cell r="I327" t="str">
            <v>NOT</v>
          </cell>
          <cell r="J327">
            <v>0</v>
          </cell>
          <cell r="K327" t="str">
            <v>NOT</v>
          </cell>
          <cell r="L327">
            <v>0</v>
          </cell>
          <cell r="M327">
            <v>0</v>
          </cell>
          <cell r="N327">
            <v>0</v>
          </cell>
          <cell r="O327" t="str">
            <v>NOT</v>
          </cell>
          <cell r="P327">
            <v>0</v>
          </cell>
          <cell r="Q327" t="str">
            <v>NOT</v>
          </cell>
          <cell r="R327">
            <v>0</v>
          </cell>
          <cell r="S327" t="str">
            <v>NOT</v>
          </cell>
          <cell r="T327">
            <v>0</v>
          </cell>
          <cell r="U327" t="str">
            <v>NOT</v>
          </cell>
          <cell r="V327">
            <v>0</v>
          </cell>
          <cell r="W327" t="str">
            <v>NOT</v>
          </cell>
          <cell r="X327">
            <v>0</v>
          </cell>
          <cell r="Y327" t="str">
            <v>NOT</v>
          </cell>
          <cell r="Z327">
            <v>0</v>
          </cell>
          <cell r="AA327">
            <v>0</v>
          </cell>
          <cell r="AB327">
            <v>0</v>
          </cell>
          <cell r="AC327" t="str">
            <v>C</v>
          </cell>
          <cell r="AD327">
            <v>4</v>
          </cell>
          <cell r="AE327" t="str">
            <v>C</v>
          </cell>
          <cell r="AF327">
            <v>4</v>
          </cell>
          <cell r="AG327" t="str">
            <v>C</v>
          </cell>
          <cell r="AH327">
            <v>4</v>
          </cell>
          <cell r="AI327" t="str">
            <v>C</v>
          </cell>
          <cell r="AJ327">
            <v>4</v>
          </cell>
          <cell r="AK327" t="str">
            <v>C</v>
          </cell>
          <cell r="AL327">
            <v>4</v>
          </cell>
          <cell r="AM327" t="str">
            <v>R0</v>
          </cell>
          <cell r="AN327">
            <v>0</v>
          </cell>
          <cell r="AO327">
            <v>0</v>
          </cell>
          <cell r="AP327">
            <v>0</v>
          </cell>
          <cell r="AQ327" t="str">
            <v>A</v>
          </cell>
          <cell r="AR327">
            <v>4</v>
          </cell>
          <cell r="AS327" t="str">
            <v>A</v>
          </cell>
          <cell r="AT327">
            <v>4</v>
          </cell>
          <cell r="AU327" t="str">
            <v>A</v>
          </cell>
          <cell r="AV327">
            <v>4</v>
          </cell>
          <cell r="AW327" t="str">
            <v>A</v>
          </cell>
          <cell r="AX327">
            <v>4</v>
          </cell>
          <cell r="AY327" t="str">
            <v>NT7</v>
          </cell>
          <cell r="AZ327">
            <v>0</v>
          </cell>
          <cell r="BA327" t="str">
            <v>D</v>
          </cell>
          <cell r="BB327">
            <v>0</v>
          </cell>
          <cell r="BC327">
            <v>0</v>
          </cell>
          <cell r="BD327">
            <v>0</v>
          </cell>
          <cell r="BE327" t="str">
            <v>C</v>
          </cell>
          <cell r="BF327">
            <v>4</v>
          </cell>
          <cell r="BG327" t="str">
            <v>C</v>
          </cell>
          <cell r="BH327">
            <v>4</v>
          </cell>
          <cell r="BI327" t="str">
            <v>C</v>
          </cell>
          <cell r="BJ327">
            <v>4</v>
          </cell>
          <cell r="BK327" t="str">
            <v>C</v>
          </cell>
          <cell r="BL327">
            <v>4</v>
          </cell>
          <cell r="BM327" t="str">
            <v>C</v>
          </cell>
          <cell r="BN327">
            <v>4</v>
          </cell>
          <cell r="BO327" t="str">
            <v>NT7</v>
          </cell>
          <cell r="BP327">
            <v>0</v>
          </cell>
          <cell r="BQ327">
            <v>4</v>
          </cell>
          <cell r="BR327">
            <v>1</v>
          </cell>
          <cell r="BS327">
            <v>0</v>
          </cell>
          <cell r="BT327">
            <v>10</v>
          </cell>
          <cell r="BU327">
            <v>0</v>
          </cell>
          <cell r="BV327">
            <v>0</v>
          </cell>
          <cell r="BW327">
            <v>0</v>
          </cell>
          <cell r="BX327">
            <v>2</v>
          </cell>
          <cell r="BY327">
            <v>0</v>
          </cell>
          <cell r="BZ327">
            <v>17</v>
          </cell>
          <cell r="CA327">
            <v>56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70</v>
          </cell>
        </row>
        <row r="328">
          <cell r="A328" t="str">
            <v>A1069</v>
          </cell>
          <cell r="B328" t="str">
            <v>Huỳnh Thị Ly</v>
          </cell>
          <cell r="C328" t="str">
            <v>QCX</v>
          </cell>
          <cell r="D328">
            <v>0</v>
          </cell>
          <cell r="E328" t="str">
            <v>13/03/2018</v>
          </cell>
          <cell r="F328">
            <v>0</v>
          </cell>
          <cell r="G328" t="str">
            <v>NOT</v>
          </cell>
          <cell r="H328">
            <v>0</v>
          </cell>
          <cell r="I328" t="str">
            <v>NOT</v>
          </cell>
          <cell r="J328">
            <v>0</v>
          </cell>
          <cell r="K328" t="str">
            <v>NOT</v>
          </cell>
          <cell r="L328">
            <v>0</v>
          </cell>
          <cell r="M328">
            <v>0</v>
          </cell>
          <cell r="N328">
            <v>0</v>
          </cell>
          <cell r="O328" t="str">
            <v>NOT</v>
          </cell>
          <cell r="P328">
            <v>0</v>
          </cell>
          <cell r="Q328" t="str">
            <v>NOT</v>
          </cell>
          <cell r="R328">
            <v>0</v>
          </cell>
          <cell r="S328" t="str">
            <v>NOT</v>
          </cell>
          <cell r="T328">
            <v>0</v>
          </cell>
          <cell r="U328" t="str">
            <v>NOT</v>
          </cell>
          <cell r="V328">
            <v>0</v>
          </cell>
          <cell r="W328" t="str">
            <v>NOT</v>
          </cell>
          <cell r="X328">
            <v>0</v>
          </cell>
          <cell r="Y328" t="str">
            <v>NOT</v>
          </cell>
          <cell r="Z328">
            <v>0</v>
          </cell>
          <cell r="AA328">
            <v>0</v>
          </cell>
          <cell r="AB328">
            <v>0</v>
          </cell>
          <cell r="AC328" t="str">
            <v>NOT</v>
          </cell>
          <cell r="AD328">
            <v>0</v>
          </cell>
          <cell r="AE328" t="str">
            <v>A</v>
          </cell>
          <cell r="AF328">
            <v>4</v>
          </cell>
          <cell r="AG328" t="str">
            <v>A</v>
          </cell>
          <cell r="AH328">
            <v>4</v>
          </cell>
          <cell r="AI328" t="str">
            <v>A</v>
          </cell>
          <cell r="AJ328">
            <v>4</v>
          </cell>
          <cell r="AK328" t="str">
            <v>A</v>
          </cell>
          <cell r="AL328">
            <v>4</v>
          </cell>
          <cell r="AM328" t="str">
            <v>D</v>
          </cell>
          <cell r="AN328">
            <v>2</v>
          </cell>
          <cell r="AO328">
            <v>0</v>
          </cell>
          <cell r="AP328">
            <v>0</v>
          </cell>
          <cell r="AQ328" t="str">
            <v>A</v>
          </cell>
          <cell r="AR328">
            <v>4</v>
          </cell>
          <cell r="AS328" t="str">
            <v>A</v>
          </cell>
          <cell r="AT328">
            <v>4</v>
          </cell>
          <cell r="AU328" t="str">
            <v>A</v>
          </cell>
          <cell r="AV328">
            <v>4</v>
          </cell>
          <cell r="AW328" t="str">
            <v>R0,D5</v>
          </cell>
          <cell r="AX328">
            <v>0</v>
          </cell>
          <cell r="AY328" t="str">
            <v>A</v>
          </cell>
          <cell r="AZ328">
            <v>4</v>
          </cell>
          <cell r="BA328" t="str">
            <v>D</v>
          </cell>
          <cell r="BB328">
            <v>2</v>
          </cell>
          <cell r="BC328">
            <v>0</v>
          </cell>
          <cell r="BD328">
            <v>0</v>
          </cell>
          <cell r="BE328" t="str">
            <v>C</v>
          </cell>
          <cell r="BF328">
            <v>4</v>
          </cell>
          <cell r="BG328" t="str">
            <v>C</v>
          </cell>
          <cell r="BH328">
            <v>4</v>
          </cell>
          <cell r="BI328" t="str">
            <v>C</v>
          </cell>
          <cell r="BJ328">
            <v>4</v>
          </cell>
          <cell r="BK328" t="str">
            <v>C</v>
          </cell>
          <cell r="BL328">
            <v>4</v>
          </cell>
          <cell r="BM328" t="str">
            <v>C</v>
          </cell>
          <cell r="BN328">
            <v>4</v>
          </cell>
          <cell r="BO328" t="str">
            <v>C</v>
          </cell>
          <cell r="BP328">
            <v>4</v>
          </cell>
          <cell r="BQ328">
            <v>8</v>
          </cell>
          <cell r="BR328">
            <v>2.5</v>
          </cell>
          <cell r="BS328">
            <v>0</v>
          </cell>
          <cell r="BT328">
            <v>6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16.5</v>
          </cell>
          <cell r="CA328">
            <v>60</v>
          </cell>
          <cell r="CB328">
            <v>0</v>
          </cell>
          <cell r="CC328">
            <v>0</v>
          </cell>
          <cell r="CD328">
            <v>2</v>
          </cell>
          <cell r="CE328">
            <v>0</v>
          </cell>
          <cell r="CF328">
            <v>140</v>
          </cell>
          <cell r="CG328">
            <v>0</v>
          </cell>
          <cell r="CH328">
            <v>0</v>
          </cell>
          <cell r="CI328">
            <v>70</v>
          </cell>
        </row>
        <row r="329">
          <cell r="A329" t="str">
            <v>A1071</v>
          </cell>
          <cell r="B329" t="str">
            <v>Nguyễn Tấn Thành</v>
          </cell>
          <cell r="C329" t="str">
            <v>EN</v>
          </cell>
          <cell r="D329">
            <v>0</v>
          </cell>
          <cell r="E329" t="str">
            <v>26/03/2018</v>
          </cell>
          <cell r="F329">
            <v>0</v>
          </cell>
          <cell r="G329" t="str">
            <v>NOT</v>
          </cell>
          <cell r="H329">
            <v>0</v>
          </cell>
          <cell r="I329" t="str">
            <v>NOT</v>
          </cell>
          <cell r="J329">
            <v>0</v>
          </cell>
          <cell r="K329" t="str">
            <v>NOT</v>
          </cell>
          <cell r="L329">
            <v>0</v>
          </cell>
          <cell r="M329">
            <v>0</v>
          </cell>
          <cell r="N329">
            <v>0</v>
          </cell>
          <cell r="O329" t="str">
            <v>NOT</v>
          </cell>
          <cell r="P329">
            <v>0</v>
          </cell>
          <cell r="Q329" t="str">
            <v>NOT</v>
          </cell>
          <cell r="R329">
            <v>0</v>
          </cell>
          <cell r="S329" t="str">
            <v>NOT</v>
          </cell>
          <cell r="T329">
            <v>0</v>
          </cell>
          <cell r="U329" t="str">
            <v>NOT</v>
          </cell>
          <cell r="V329">
            <v>0</v>
          </cell>
          <cell r="W329" t="str">
            <v>NOT</v>
          </cell>
          <cell r="X329">
            <v>0</v>
          </cell>
          <cell r="Y329" t="str">
            <v>NOT</v>
          </cell>
          <cell r="Z329">
            <v>0</v>
          </cell>
          <cell r="AA329">
            <v>0</v>
          </cell>
          <cell r="AB329">
            <v>0</v>
          </cell>
          <cell r="AC329" t="str">
            <v>NOT</v>
          </cell>
          <cell r="AD329">
            <v>0</v>
          </cell>
          <cell r="AE329" t="str">
            <v>NOT</v>
          </cell>
          <cell r="AF329">
            <v>0</v>
          </cell>
          <cell r="AG329" t="str">
            <v>NOT</v>
          </cell>
          <cell r="AH329">
            <v>0</v>
          </cell>
          <cell r="AI329" t="str">
            <v>NOT</v>
          </cell>
          <cell r="AJ329">
            <v>0</v>
          </cell>
          <cell r="AK329" t="str">
            <v>NOT</v>
          </cell>
          <cell r="AL329">
            <v>0</v>
          </cell>
          <cell r="AM329" t="str">
            <v>NOT</v>
          </cell>
          <cell r="AN329">
            <v>0</v>
          </cell>
          <cell r="AO329">
            <v>0</v>
          </cell>
          <cell r="AP329">
            <v>0</v>
          </cell>
          <cell r="AQ329" t="str">
            <v>NOT</v>
          </cell>
          <cell r="AR329">
            <v>0</v>
          </cell>
          <cell r="AS329" t="str">
            <v>NOT</v>
          </cell>
          <cell r="AT329">
            <v>0</v>
          </cell>
          <cell r="AU329" t="str">
            <v>NOT</v>
          </cell>
          <cell r="AV329">
            <v>0</v>
          </cell>
          <cell r="AW329" t="str">
            <v>NOT</v>
          </cell>
          <cell r="AX329">
            <v>0</v>
          </cell>
          <cell r="AY329" t="str">
            <v>NOT</v>
          </cell>
          <cell r="AZ329">
            <v>0</v>
          </cell>
          <cell r="BA329" t="str">
            <v>NOT</v>
          </cell>
          <cell r="BB329">
            <v>0</v>
          </cell>
          <cell r="BC329">
            <v>0</v>
          </cell>
          <cell r="BD329">
            <v>0</v>
          </cell>
          <cell r="BE329" t="str">
            <v>D</v>
          </cell>
          <cell r="BF329">
            <v>0</v>
          </cell>
          <cell r="BG329" t="str">
            <v>D</v>
          </cell>
          <cell r="BH329">
            <v>0</v>
          </cell>
          <cell r="BI329" t="str">
            <v>D</v>
          </cell>
          <cell r="BJ329">
            <v>0</v>
          </cell>
          <cell r="BK329" t="str">
            <v>D</v>
          </cell>
          <cell r="BL329">
            <v>0</v>
          </cell>
          <cell r="BM329" t="str">
            <v>D</v>
          </cell>
          <cell r="BN329">
            <v>0</v>
          </cell>
          <cell r="BO329" t="str">
            <v>D</v>
          </cell>
          <cell r="BP329">
            <v>0</v>
          </cell>
          <cell r="BQ329">
            <v>0</v>
          </cell>
          <cell r="BR329">
            <v>6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6</v>
          </cell>
          <cell r="CA329">
            <v>0</v>
          </cell>
          <cell r="CB329">
            <v>0</v>
          </cell>
          <cell r="CC329">
            <v>0</v>
          </cell>
          <cell r="CD329">
            <v>2</v>
          </cell>
          <cell r="CE329">
            <v>0</v>
          </cell>
          <cell r="CF329">
            <v>140</v>
          </cell>
          <cell r="CG329">
            <v>0</v>
          </cell>
          <cell r="CH329">
            <v>0</v>
          </cell>
          <cell r="CI329">
            <v>70</v>
          </cell>
        </row>
        <row r="330">
          <cell r="A330" t="str">
            <v>A1072</v>
          </cell>
          <cell r="B330" t="str">
            <v>Nguyễn Thị Tiếm</v>
          </cell>
          <cell r="C330" t="str">
            <v>TXBVTV</v>
          </cell>
          <cell r="D330">
            <v>0</v>
          </cell>
          <cell r="E330" t="str">
            <v>22/03/2018</v>
          </cell>
          <cell r="F330">
            <v>0</v>
          </cell>
          <cell r="G330" t="str">
            <v>NOT</v>
          </cell>
          <cell r="H330">
            <v>0</v>
          </cell>
          <cell r="I330" t="str">
            <v>NOT</v>
          </cell>
          <cell r="J330">
            <v>0</v>
          </cell>
          <cell r="K330" t="str">
            <v>NOT</v>
          </cell>
          <cell r="L330">
            <v>0</v>
          </cell>
          <cell r="M330">
            <v>0</v>
          </cell>
          <cell r="N330">
            <v>0</v>
          </cell>
          <cell r="O330" t="str">
            <v>NOT</v>
          </cell>
          <cell r="P330">
            <v>0</v>
          </cell>
          <cell r="Q330" t="str">
            <v>NOT</v>
          </cell>
          <cell r="R330">
            <v>0</v>
          </cell>
          <cell r="S330" t="str">
            <v>NOT</v>
          </cell>
          <cell r="T330">
            <v>0</v>
          </cell>
          <cell r="U330" t="str">
            <v>NOT</v>
          </cell>
          <cell r="V330">
            <v>0</v>
          </cell>
          <cell r="W330" t="str">
            <v>NOT</v>
          </cell>
          <cell r="X330">
            <v>0</v>
          </cell>
          <cell r="Y330" t="str">
            <v>NOT</v>
          </cell>
          <cell r="Z330">
            <v>0</v>
          </cell>
          <cell r="AA330">
            <v>0</v>
          </cell>
          <cell r="AB330">
            <v>0</v>
          </cell>
          <cell r="AC330" t="str">
            <v>NOT</v>
          </cell>
          <cell r="AD330">
            <v>0</v>
          </cell>
          <cell r="AE330" t="str">
            <v>NOT</v>
          </cell>
          <cell r="AF330">
            <v>0</v>
          </cell>
          <cell r="AG330" t="str">
            <v>NOT</v>
          </cell>
          <cell r="AH330">
            <v>0</v>
          </cell>
          <cell r="AI330" t="str">
            <v>NOT</v>
          </cell>
          <cell r="AJ330">
            <v>0</v>
          </cell>
          <cell r="AK330" t="str">
            <v>NOT</v>
          </cell>
          <cell r="AL330">
            <v>0</v>
          </cell>
          <cell r="AM330" t="str">
            <v>NOT</v>
          </cell>
          <cell r="AN330">
            <v>0</v>
          </cell>
          <cell r="AO330">
            <v>0</v>
          </cell>
          <cell r="AP330">
            <v>0</v>
          </cell>
          <cell r="AQ330" t="str">
            <v>NOT</v>
          </cell>
          <cell r="AR330">
            <v>0</v>
          </cell>
          <cell r="AS330" t="str">
            <v>NOT</v>
          </cell>
          <cell r="AT330">
            <v>0</v>
          </cell>
          <cell r="AU330" t="str">
            <v>NOT</v>
          </cell>
          <cell r="AV330">
            <v>0</v>
          </cell>
          <cell r="AW330" t="str">
            <v>D</v>
          </cell>
          <cell r="AX330">
            <v>0</v>
          </cell>
          <cell r="AY330" t="str">
            <v>D</v>
          </cell>
          <cell r="AZ330">
            <v>0</v>
          </cell>
          <cell r="BA330" t="str">
            <v>D</v>
          </cell>
          <cell r="BB330">
            <v>0</v>
          </cell>
          <cell r="BC330">
            <v>0</v>
          </cell>
          <cell r="BD330">
            <v>0</v>
          </cell>
          <cell r="BE330" t="str">
            <v>D</v>
          </cell>
          <cell r="BF330">
            <v>0</v>
          </cell>
          <cell r="BG330" t="str">
            <v>D</v>
          </cell>
          <cell r="BH330">
            <v>0</v>
          </cell>
          <cell r="BI330" t="str">
            <v>D</v>
          </cell>
          <cell r="BJ330">
            <v>0</v>
          </cell>
          <cell r="BK330" t="str">
            <v>D</v>
          </cell>
          <cell r="BL330">
            <v>0</v>
          </cell>
          <cell r="BM330" t="str">
            <v>D</v>
          </cell>
          <cell r="BN330">
            <v>0</v>
          </cell>
          <cell r="BO330" t="str">
            <v>D</v>
          </cell>
          <cell r="BP330">
            <v>0</v>
          </cell>
          <cell r="BQ330">
            <v>0</v>
          </cell>
          <cell r="BR330">
            <v>9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9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150</v>
          </cell>
        </row>
        <row r="331">
          <cell r="A331" t="str">
            <v>A1073</v>
          </cell>
          <cell r="B331" t="str">
            <v>Đoàn Cao Cường</v>
          </cell>
          <cell r="C331" t="str">
            <v>QCE</v>
          </cell>
          <cell r="D331">
            <v>0</v>
          </cell>
          <cell r="E331" t="str">
            <v>30/03/2018</v>
          </cell>
          <cell r="F331">
            <v>0</v>
          </cell>
          <cell r="G331" t="str">
            <v>NOT</v>
          </cell>
          <cell r="H331">
            <v>0</v>
          </cell>
          <cell r="I331" t="str">
            <v>NOT</v>
          </cell>
          <cell r="J331">
            <v>0</v>
          </cell>
          <cell r="K331" t="str">
            <v>NOT</v>
          </cell>
          <cell r="L331">
            <v>0</v>
          </cell>
          <cell r="M331">
            <v>0</v>
          </cell>
          <cell r="N331">
            <v>0</v>
          </cell>
          <cell r="O331" t="str">
            <v>NOT</v>
          </cell>
          <cell r="P331">
            <v>0</v>
          </cell>
          <cell r="Q331" t="str">
            <v>NOT</v>
          </cell>
          <cell r="R331">
            <v>0</v>
          </cell>
          <cell r="S331" t="str">
            <v>NOT</v>
          </cell>
          <cell r="T331">
            <v>0</v>
          </cell>
          <cell r="U331" t="str">
            <v>NOT</v>
          </cell>
          <cell r="V331">
            <v>0</v>
          </cell>
          <cell r="W331" t="str">
            <v>NOT</v>
          </cell>
          <cell r="X331">
            <v>0</v>
          </cell>
          <cell r="Y331" t="str">
            <v>NOT</v>
          </cell>
          <cell r="Z331">
            <v>0</v>
          </cell>
          <cell r="AA331">
            <v>0</v>
          </cell>
          <cell r="AB331">
            <v>0</v>
          </cell>
          <cell r="AC331" t="str">
            <v>NOT</v>
          </cell>
          <cell r="AD331">
            <v>0</v>
          </cell>
          <cell r="AE331" t="str">
            <v>NOT</v>
          </cell>
          <cell r="AF331">
            <v>0</v>
          </cell>
          <cell r="AG331" t="str">
            <v>NOT</v>
          </cell>
          <cell r="AH331">
            <v>0</v>
          </cell>
          <cell r="AI331" t="str">
            <v>NOT</v>
          </cell>
          <cell r="AJ331">
            <v>0</v>
          </cell>
          <cell r="AK331" t="str">
            <v>NOT</v>
          </cell>
          <cell r="AL331">
            <v>0</v>
          </cell>
          <cell r="AM331" t="str">
            <v>NOT</v>
          </cell>
          <cell r="AN331">
            <v>0</v>
          </cell>
          <cell r="AO331">
            <v>0</v>
          </cell>
          <cell r="AP331">
            <v>0</v>
          </cell>
          <cell r="AQ331" t="str">
            <v>NOT</v>
          </cell>
          <cell r="AR331">
            <v>0</v>
          </cell>
          <cell r="AS331" t="str">
            <v>NOT</v>
          </cell>
          <cell r="AT331">
            <v>0</v>
          </cell>
          <cell r="AU331" t="str">
            <v>NOT</v>
          </cell>
          <cell r="AV331">
            <v>0</v>
          </cell>
          <cell r="AW331" t="str">
            <v>NOT</v>
          </cell>
          <cell r="AX331">
            <v>0</v>
          </cell>
          <cell r="AY331" t="str">
            <v>NOT</v>
          </cell>
          <cell r="AZ331">
            <v>0</v>
          </cell>
          <cell r="BA331" t="str">
            <v>NOT</v>
          </cell>
          <cell r="BB331">
            <v>0</v>
          </cell>
          <cell r="BC331">
            <v>0</v>
          </cell>
          <cell r="BD331">
            <v>0</v>
          </cell>
          <cell r="BE331" t="str">
            <v>NOT</v>
          </cell>
          <cell r="BF331">
            <v>0</v>
          </cell>
          <cell r="BG331" t="str">
            <v>NOT</v>
          </cell>
          <cell r="BH331">
            <v>0</v>
          </cell>
          <cell r="BI331" t="str">
            <v>NOT</v>
          </cell>
          <cell r="BJ331">
            <v>0</v>
          </cell>
          <cell r="BK331" t="str">
            <v>NOT</v>
          </cell>
          <cell r="BL331">
            <v>0</v>
          </cell>
          <cell r="BM331" t="str">
            <v>D</v>
          </cell>
          <cell r="BN331">
            <v>0</v>
          </cell>
          <cell r="BO331" t="str">
            <v>D</v>
          </cell>
          <cell r="BP331">
            <v>0</v>
          </cell>
          <cell r="BQ331">
            <v>0</v>
          </cell>
          <cell r="BR331">
            <v>2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2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150</v>
          </cell>
        </row>
        <row r="332">
          <cell r="A332" t="str">
            <v>A1074</v>
          </cell>
          <cell r="B332" t="str">
            <v>Nguyễn Tuấn Anh</v>
          </cell>
          <cell r="C332" t="str">
            <v>EN</v>
          </cell>
          <cell r="D332">
            <v>0</v>
          </cell>
          <cell r="E332" t="str">
            <v>31/03/2018</v>
          </cell>
          <cell r="F332">
            <v>0</v>
          </cell>
          <cell r="G332" t="str">
            <v>NOT</v>
          </cell>
          <cell r="H332">
            <v>0</v>
          </cell>
          <cell r="I332" t="str">
            <v>NOT</v>
          </cell>
          <cell r="J332">
            <v>0</v>
          </cell>
          <cell r="K332" t="str">
            <v>NOT</v>
          </cell>
          <cell r="L332">
            <v>0</v>
          </cell>
          <cell r="M332">
            <v>0</v>
          </cell>
          <cell r="N332">
            <v>0</v>
          </cell>
          <cell r="O332" t="str">
            <v>NOT</v>
          </cell>
          <cell r="P332">
            <v>0</v>
          </cell>
          <cell r="Q332" t="str">
            <v>NOT</v>
          </cell>
          <cell r="R332">
            <v>0</v>
          </cell>
          <cell r="S332" t="str">
            <v>NOT</v>
          </cell>
          <cell r="T332">
            <v>0</v>
          </cell>
          <cell r="U332" t="str">
            <v>NOT</v>
          </cell>
          <cell r="V332">
            <v>0</v>
          </cell>
          <cell r="W332" t="str">
            <v>NOT</v>
          </cell>
          <cell r="X332">
            <v>0</v>
          </cell>
          <cell r="Y332" t="str">
            <v>NOT</v>
          </cell>
          <cell r="Z332">
            <v>0</v>
          </cell>
          <cell r="AA332">
            <v>0</v>
          </cell>
          <cell r="AB332">
            <v>0</v>
          </cell>
          <cell r="AC332" t="str">
            <v>NOT</v>
          </cell>
          <cell r="AD332">
            <v>0</v>
          </cell>
          <cell r="AE332" t="str">
            <v>NOT</v>
          </cell>
          <cell r="AF332">
            <v>0</v>
          </cell>
          <cell r="AG332" t="str">
            <v>NOT</v>
          </cell>
          <cell r="AH332">
            <v>0</v>
          </cell>
          <cell r="AI332" t="str">
            <v>NOT</v>
          </cell>
          <cell r="AJ332">
            <v>0</v>
          </cell>
          <cell r="AK332" t="str">
            <v>NOT</v>
          </cell>
          <cell r="AL332">
            <v>0</v>
          </cell>
          <cell r="AM332" t="str">
            <v>NOT</v>
          </cell>
          <cell r="AN332">
            <v>0</v>
          </cell>
          <cell r="AO332">
            <v>0</v>
          </cell>
          <cell r="AP332">
            <v>0</v>
          </cell>
          <cell r="AQ332" t="str">
            <v>NOT</v>
          </cell>
          <cell r="AR332">
            <v>0</v>
          </cell>
          <cell r="AS332" t="str">
            <v>NOT</v>
          </cell>
          <cell r="AT332">
            <v>0</v>
          </cell>
          <cell r="AU332" t="str">
            <v>NOT</v>
          </cell>
          <cell r="AV332">
            <v>0</v>
          </cell>
          <cell r="AW332" t="str">
            <v>NOT</v>
          </cell>
          <cell r="AX332">
            <v>0</v>
          </cell>
          <cell r="AY332" t="str">
            <v>NOT</v>
          </cell>
          <cell r="AZ332">
            <v>0</v>
          </cell>
          <cell r="BA332" t="str">
            <v>NOT</v>
          </cell>
          <cell r="BB332">
            <v>0</v>
          </cell>
          <cell r="BC332">
            <v>0</v>
          </cell>
          <cell r="BD332">
            <v>0</v>
          </cell>
          <cell r="BE332" t="str">
            <v>NOT</v>
          </cell>
          <cell r="BF332">
            <v>0</v>
          </cell>
          <cell r="BG332" t="str">
            <v>NOT</v>
          </cell>
          <cell r="BH332">
            <v>0</v>
          </cell>
          <cell r="BI332" t="str">
            <v>NOT</v>
          </cell>
          <cell r="BJ332">
            <v>0</v>
          </cell>
          <cell r="BK332" t="str">
            <v>NOT</v>
          </cell>
          <cell r="BL332">
            <v>0</v>
          </cell>
          <cell r="BM332" t="str">
            <v>NOT</v>
          </cell>
          <cell r="BN332">
            <v>0</v>
          </cell>
          <cell r="BO332" t="str">
            <v>D</v>
          </cell>
          <cell r="BP332">
            <v>0</v>
          </cell>
          <cell r="BQ332">
            <v>0</v>
          </cell>
          <cell r="BR332">
            <v>1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1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150</v>
          </cell>
        </row>
        <row r="333">
          <cell r="A333" t="str">
            <v>A1075</v>
          </cell>
          <cell r="B333" t="str">
            <v>Huỳnh Đức Lợi</v>
          </cell>
          <cell r="C333" t="str">
            <v>GA</v>
          </cell>
          <cell r="D333">
            <v>0</v>
          </cell>
          <cell r="E333" t="str">
            <v>31/03/2018</v>
          </cell>
          <cell r="F333">
            <v>0</v>
          </cell>
          <cell r="G333" t="str">
            <v>NOT</v>
          </cell>
          <cell r="H333">
            <v>0</v>
          </cell>
          <cell r="I333" t="str">
            <v>NOT</v>
          </cell>
          <cell r="J333">
            <v>0</v>
          </cell>
          <cell r="K333" t="str">
            <v>NOT</v>
          </cell>
          <cell r="L333">
            <v>0</v>
          </cell>
          <cell r="M333">
            <v>0</v>
          </cell>
          <cell r="N333">
            <v>0</v>
          </cell>
          <cell r="O333" t="str">
            <v>NOT</v>
          </cell>
          <cell r="P333">
            <v>0</v>
          </cell>
          <cell r="Q333" t="str">
            <v>NOT</v>
          </cell>
          <cell r="R333">
            <v>0</v>
          </cell>
          <cell r="S333" t="str">
            <v>NOT</v>
          </cell>
          <cell r="T333">
            <v>0</v>
          </cell>
          <cell r="U333" t="str">
            <v>NOT</v>
          </cell>
          <cell r="V333">
            <v>0</v>
          </cell>
          <cell r="W333" t="str">
            <v>NOT</v>
          </cell>
          <cell r="X333">
            <v>0</v>
          </cell>
          <cell r="Y333" t="str">
            <v>NOT</v>
          </cell>
          <cell r="Z333">
            <v>0</v>
          </cell>
          <cell r="AA333">
            <v>0</v>
          </cell>
          <cell r="AB333">
            <v>0</v>
          </cell>
          <cell r="AC333" t="str">
            <v>NOT</v>
          </cell>
          <cell r="AD333">
            <v>0</v>
          </cell>
          <cell r="AE333" t="str">
            <v>NOT</v>
          </cell>
          <cell r="AF333">
            <v>0</v>
          </cell>
          <cell r="AG333" t="str">
            <v>NOT</v>
          </cell>
          <cell r="AH333">
            <v>0</v>
          </cell>
          <cell r="AI333" t="str">
            <v>NOT</v>
          </cell>
          <cell r="AJ333">
            <v>0</v>
          </cell>
          <cell r="AK333" t="str">
            <v>NOT</v>
          </cell>
          <cell r="AL333">
            <v>0</v>
          </cell>
          <cell r="AM333" t="str">
            <v>NOT</v>
          </cell>
          <cell r="AN333">
            <v>0</v>
          </cell>
          <cell r="AO333">
            <v>0</v>
          </cell>
          <cell r="AP333">
            <v>0</v>
          </cell>
          <cell r="AQ333" t="str">
            <v>NOT</v>
          </cell>
          <cell r="AR333">
            <v>0</v>
          </cell>
          <cell r="AS333" t="str">
            <v>NOT</v>
          </cell>
          <cell r="AT333">
            <v>0</v>
          </cell>
          <cell r="AU333" t="str">
            <v>NOT</v>
          </cell>
          <cell r="AV333">
            <v>0</v>
          </cell>
          <cell r="AW333" t="str">
            <v>NOT</v>
          </cell>
          <cell r="AX333">
            <v>0</v>
          </cell>
          <cell r="AY333" t="str">
            <v>NOT</v>
          </cell>
          <cell r="AZ333">
            <v>0</v>
          </cell>
          <cell r="BA333" t="str">
            <v>NOT</v>
          </cell>
          <cell r="BB333">
            <v>0</v>
          </cell>
          <cell r="BC333">
            <v>0</v>
          </cell>
          <cell r="BD333">
            <v>0</v>
          </cell>
          <cell r="BE333" t="str">
            <v>NOT</v>
          </cell>
          <cell r="BF333">
            <v>0</v>
          </cell>
          <cell r="BG333" t="str">
            <v>NOT</v>
          </cell>
          <cell r="BH333">
            <v>0</v>
          </cell>
          <cell r="BI333" t="str">
            <v>NOT</v>
          </cell>
          <cell r="BJ333">
            <v>0</v>
          </cell>
          <cell r="BK333" t="str">
            <v>NOT</v>
          </cell>
          <cell r="BL333">
            <v>0</v>
          </cell>
          <cell r="BM333" t="str">
            <v>NOT</v>
          </cell>
          <cell r="BN333">
            <v>0</v>
          </cell>
          <cell r="BO333" t="str">
            <v>D</v>
          </cell>
          <cell r="BP333">
            <v>0</v>
          </cell>
          <cell r="BQ333">
            <v>0</v>
          </cell>
          <cell r="BR333">
            <v>1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1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150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CM668"/>
  <sheetViews>
    <sheetView tabSelected="1" workbookViewId="0">
      <selection activeCell="E8" sqref="E8:E10"/>
    </sheetView>
  </sheetViews>
  <sheetFormatPr baseColWidth="8" defaultColWidth="8" defaultRowHeight="15"/>
  <cols>
    <col width="5.625" customWidth="1" style="107" min="1" max="1"/>
    <col width="23.125" customWidth="1" style="108" min="2" max="2"/>
    <col width="9.625" customWidth="1" style="107" min="3" max="3"/>
    <col width="6.25" customWidth="1" style="120" min="4" max="4"/>
    <col width="14.625" customWidth="1" style="107" min="5" max="5"/>
    <col width="6.75" customWidth="1" style="107" min="6" max="6"/>
    <col width="5.625" customWidth="1" style="125" min="7" max="7"/>
    <col width="4.75" customWidth="1" style="125" min="8" max="8"/>
    <col width="5" customWidth="1" style="122" min="9" max="9"/>
    <col width="4.75" customWidth="1" style="7" min="10" max="10"/>
    <col width="5.25" customWidth="1" style="125" min="11" max="11"/>
    <col width="4.75" customWidth="1" style="123" min="12" max="12"/>
    <col width="4.75" customWidth="1" style="125" min="13" max="13"/>
    <col width="4.75" customWidth="1" style="123" min="14" max="14"/>
    <col width="5" customWidth="1" style="122" min="15" max="15"/>
    <col width="4.75" customWidth="1" style="7" min="16" max="16"/>
    <col width="4.75" customWidth="1" style="125" min="17" max="17"/>
    <col width="4.75" customWidth="1" style="123" min="18" max="18"/>
    <col width="6.875" customWidth="1" style="125" min="19" max="19"/>
    <col width="4.75" customWidth="1" style="123" min="20" max="20"/>
    <col width="5.625" customWidth="1" style="125" min="21" max="21"/>
    <col width="4.75" customWidth="1" style="125" min="22" max="22"/>
    <col width="6.125" customWidth="1" style="125" min="23" max="23"/>
    <col width="4.75" customWidth="1" style="123" min="24" max="24"/>
    <col width="6.125" customWidth="1" style="125" min="25" max="25"/>
    <col width="4.75" customWidth="1" style="123" min="26" max="26"/>
    <col width="6.375" customWidth="1" style="125" min="27" max="27"/>
    <col width="4.75" customWidth="1" style="123" min="28" max="28"/>
    <col width="5.625" customWidth="1" style="125" min="29" max="29"/>
    <col width="4.75" customWidth="1" style="123" min="30" max="30"/>
    <col width="5.875" customWidth="1" style="125" min="31" max="31"/>
    <col width="4.75" customWidth="1" style="123" min="32" max="32"/>
    <col width="6.875" customWidth="1" style="125" min="33" max="33"/>
    <col width="4.75" customWidth="1" style="123" min="34" max="34"/>
    <col width="5.125" customWidth="1" style="125" min="35" max="35"/>
    <col width="6.5" customWidth="1" style="123" min="36" max="36"/>
    <col width="5.25" customWidth="1" style="125" min="37" max="37"/>
    <col width="4.75" customWidth="1" style="123" min="38" max="38"/>
    <col width="4.75" customWidth="1" style="125" min="39" max="39"/>
    <col width="4.75" customWidth="1" style="123" min="40" max="40"/>
    <col width="5.375" customWidth="1" style="125" min="41" max="41"/>
    <col width="5.25" customWidth="1" style="123" min="42" max="42"/>
    <col width="4.75" customWidth="1" style="125" min="43" max="43"/>
    <col width="4.75" customWidth="1" style="123" min="44" max="44"/>
    <col width="6.125" customWidth="1" style="125" min="45" max="45"/>
    <col width="4.75" customWidth="1" style="123" min="46" max="46"/>
    <col width="5" customWidth="1" style="125" min="47" max="47"/>
    <col width="4.75" customWidth="1" style="123" min="48" max="48"/>
    <col width="6.25" customWidth="1" style="125" min="49" max="49"/>
    <col width="4.75" customWidth="1" style="123" min="50" max="50"/>
    <col width="5.375" customWidth="1" style="125" min="51" max="51"/>
    <col width="4.75" customWidth="1" style="123" min="52" max="52"/>
    <col width="5" customWidth="1" style="125" min="53" max="53"/>
    <col width="4.75" customWidth="1" style="123" min="54" max="54"/>
    <col width="4.75" customWidth="1" style="125" min="55" max="55"/>
    <col width="4.75" customWidth="1" style="123" min="56" max="56"/>
    <col width="4.875" customWidth="1" style="125" min="57" max="57"/>
    <col width="4.75" customWidth="1" style="125" min="58" max="58"/>
    <col width="4.375" customWidth="1" style="125" min="59" max="59"/>
    <col width="5.625" customWidth="1" style="123" min="60" max="60"/>
    <col width="4.75" customWidth="1" style="125" min="61" max="61"/>
    <col width="4.75" customWidth="1" style="123" min="62" max="62"/>
    <col width="4.75" customWidth="1" style="125" min="63" max="63"/>
    <col width="4.75" customWidth="1" style="123" min="64" max="64"/>
    <col width="4.75" customWidth="1" style="125" min="65" max="65"/>
    <col width="4.75" customWidth="1" style="123" min="66" max="66"/>
    <col width="4.75" customWidth="1" style="125" min="67" max="67"/>
    <col width="4.75" customWidth="1" style="123" min="68" max="68"/>
    <col width="9.375" customWidth="1" style="107" min="69" max="69"/>
    <col width="8.875" customWidth="1" style="107" min="70" max="70"/>
    <col width="8.25" customWidth="1" style="107" min="71" max="71"/>
    <col width="9.375" customWidth="1" style="107" min="72" max="72"/>
    <col width="13.25" customWidth="1" style="107" min="73" max="73"/>
    <col width="4.75" customWidth="1" style="107" min="74" max="74"/>
    <col width="9.5" customWidth="1" style="107" min="75" max="75"/>
    <col width="9.75" customWidth="1" style="107" min="76" max="76"/>
    <col width="7" customWidth="1" style="107" min="77" max="77"/>
    <col width="9.75" customWidth="1" style="118" min="78" max="78"/>
    <col width="9.125" customWidth="1" style="107" min="79" max="79"/>
    <col width="8.125" customWidth="1" style="118" min="80" max="80"/>
    <col width="7.375" customWidth="1" style="107" min="81" max="81"/>
    <col width="9.375" customWidth="1" style="125" min="82" max="82"/>
    <col width="6.375" customWidth="1" style="128" min="83" max="83"/>
    <col width="9.75" customWidth="1" style="107" min="84" max="84"/>
    <col width="8.25" customWidth="1" style="107" min="85" max="85"/>
    <col width="12" customWidth="1" style="107" min="86" max="86"/>
    <col width="10.375" customWidth="1" style="114" min="87" max="87"/>
    <col width="10.375" customWidth="1" style="127" min="88" max="88"/>
    <col width="8" customWidth="1" style="127" min="89" max="16384"/>
  </cols>
  <sheetData>
    <row r="5" ht="15.75" customHeight="1"/>
    <row r="6" ht="21" customFormat="1" customHeight="1" s="22">
      <c r="A6" s="13" t="n"/>
      <c r="B6" s="14" t="inlineStr">
        <is>
          <t xml:space="preserve">BẢNG CHẤM CÔNG THÁNG </t>
        </is>
      </c>
      <c r="C6" s="13" t="n"/>
      <c r="D6" s="13" t="n">
        <v>10</v>
      </c>
      <c r="E6" s="13" t="inlineStr">
        <is>
          <t xml:space="preserve">Năm </t>
        </is>
      </c>
      <c r="F6" s="13" t="n">
        <v>2021</v>
      </c>
      <c r="G6" s="16" t="n"/>
      <c r="H6" s="16" t="n"/>
      <c r="I6" s="13" t="n"/>
      <c r="J6" s="17" t="n"/>
      <c r="K6" s="16" t="n"/>
      <c r="L6" s="18" t="n"/>
      <c r="M6" s="16" t="n"/>
      <c r="N6" s="18" t="n"/>
      <c r="O6" s="13" t="n"/>
      <c r="P6" s="17" t="n"/>
      <c r="Q6" s="16" t="n"/>
      <c r="R6" s="18" t="n"/>
      <c r="S6" s="16" t="n"/>
      <c r="T6" s="18" t="n"/>
      <c r="U6" s="16" t="n"/>
      <c r="V6" s="16" t="n"/>
      <c r="W6" s="16" t="n"/>
      <c r="X6" s="18" t="n"/>
      <c r="Y6" s="16" t="n"/>
      <c r="Z6" s="18" t="n"/>
      <c r="AA6" s="16" t="n"/>
      <c r="AB6" s="18" t="n"/>
      <c r="AC6" s="16" t="n"/>
      <c r="AD6" s="18" t="n"/>
      <c r="AE6" s="16" t="n"/>
      <c r="AF6" s="18" t="n"/>
      <c r="AG6" s="16" t="n"/>
      <c r="AH6" s="18" t="n"/>
      <c r="AI6" s="16" t="n"/>
      <c r="AJ6" s="18" t="n"/>
      <c r="AK6" s="16" t="n"/>
      <c r="AL6" s="18" t="n"/>
      <c r="AM6" s="16" t="n"/>
      <c r="AN6" s="18" t="n"/>
      <c r="AO6" s="16" t="n"/>
      <c r="AP6" s="18" t="n"/>
      <c r="AQ6" s="16" t="n"/>
      <c r="AR6" s="18" t="n"/>
      <c r="AS6" s="16" t="n"/>
      <c r="AT6" s="18" t="n"/>
      <c r="AU6" s="16" t="n"/>
      <c r="AV6" s="18" t="n"/>
      <c r="AW6" s="16" t="n"/>
      <c r="AX6" s="18" t="n"/>
      <c r="AY6" s="16" t="n"/>
      <c r="AZ6" s="18" t="n"/>
      <c r="BA6" s="16" t="n"/>
      <c r="BB6" s="18" t="n"/>
      <c r="BC6" s="16" t="n"/>
      <c r="BD6" s="18" t="n"/>
      <c r="BE6" s="16" t="n"/>
      <c r="BF6" s="16" t="n"/>
      <c r="BG6" s="16" t="n"/>
      <c r="BH6" s="18" t="n"/>
      <c r="BI6" s="16" t="n"/>
      <c r="BJ6" s="18" t="n"/>
      <c r="BK6" s="16" t="n"/>
      <c r="BL6" s="18" t="n"/>
      <c r="BM6" s="16" t="n"/>
      <c r="BN6" s="18" t="n"/>
      <c r="BO6" s="16" t="n"/>
      <c r="BP6" s="18" t="n"/>
      <c r="BQ6" s="13" t="n"/>
      <c r="BR6" s="13" t="n"/>
      <c r="BS6" s="13" t="n"/>
      <c r="BT6" s="13" t="n"/>
      <c r="BU6" s="13" t="n"/>
      <c r="BV6" s="13" t="n"/>
      <c r="BW6" s="13" t="n"/>
      <c r="BX6" s="13" t="n"/>
      <c r="BY6" s="13" t="n"/>
      <c r="BZ6" s="19" t="n"/>
      <c r="CA6" s="151" t="n"/>
      <c r="CB6" s="19" t="n"/>
      <c r="CC6" s="13" t="n"/>
      <c r="CD6" s="16" t="n"/>
      <c r="CE6" s="19" t="n"/>
      <c r="CF6" s="13" t="n"/>
      <c r="CG6" s="13" t="n"/>
      <c r="CH6" s="13" t="n"/>
      <c r="CI6" s="21" t="n"/>
    </row>
    <row r="7" ht="34.5" customFormat="1" customHeight="1" s="16" thickBot="1">
      <c r="A7" s="26" t="n">
        <v>1</v>
      </c>
      <c r="B7" s="168" t="n">
        <v>2</v>
      </c>
      <c r="C7" s="168" t="n">
        <v>3</v>
      </c>
      <c r="D7" s="168" t="n"/>
      <c r="E7" s="168" t="n">
        <v>5</v>
      </c>
      <c r="F7" s="168" t="n">
        <v>6</v>
      </c>
      <c r="G7" s="168" t="n">
        <v>7</v>
      </c>
      <c r="H7" s="168" t="n">
        <v>8</v>
      </c>
      <c r="I7" s="26" t="n">
        <v>9</v>
      </c>
      <c r="J7" s="26" t="n">
        <v>10</v>
      </c>
      <c r="K7" s="168" t="n">
        <v>11</v>
      </c>
      <c r="L7" s="168" t="n">
        <v>12</v>
      </c>
      <c r="M7" s="168" t="n">
        <v>13</v>
      </c>
      <c r="N7" s="168" t="n">
        <v>14</v>
      </c>
      <c r="O7" s="26" t="n">
        <v>15</v>
      </c>
      <c r="P7" s="26" t="n">
        <v>16</v>
      </c>
      <c r="Q7" s="168" t="n">
        <v>17</v>
      </c>
      <c r="R7" s="168" t="n">
        <v>18</v>
      </c>
      <c r="S7" s="168" t="n">
        <v>19</v>
      </c>
      <c r="T7" s="168" t="n">
        <v>20</v>
      </c>
      <c r="U7" s="168" t="n">
        <v>21</v>
      </c>
      <c r="V7" s="168" t="n">
        <v>22</v>
      </c>
      <c r="W7" s="168" t="n">
        <v>23</v>
      </c>
      <c r="X7" s="168" t="n">
        <v>24</v>
      </c>
      <c r="Y7" s="168" t="n">
        <v>25</v>
      </c>
      <c r="Z7" s="168" t="n">
        <v>26</v>
      </c>
      <c r="AA7" s="168" t="n">
        <v>27</v>
      </c>
      <c r="AB7" s="144" t="n">
        <v>28</v>
      </c>
      <c r="AC7" s="168" t="n">
        <v>29</v>
      </c>
      <c r="AD7" s="168" t="n">
        <v>30</v>
      </c>
      <c r="AE7" s="168" t="n">
        <v>31</v>
      </c>
      <c r="AF7" s="168" t="n">
        <v>32</v>
      </c>
      <c r="AG7" s="168" t="n">
        <v>33</v>
      </c>
      <c r="AH7" s="168" t="n">
        <v>34</v>
      </c>
      <c r="AI7" s="168" t="n">
        <v>35</v>
      </c>
      <c r="AJ7" s="168" t="n">
        <v>36</v>
      </c>
      <c r="AK7" s="168" t="n">
        <v>37</v>
      </c>
      <c r="AL7" s="168" t="n">
        <v>38</v>
      </c>
      <c r="AM7" s="168" t="n">
        <v>39</v>
      </c>
      <c r="AN7" s="168" t="n">
        <v>40</v>
      </c>
      <c r="AO7" s="168" t="n">
        <v>41</v>
      </c>
      <c r="AP7" s="168" t="n">
        <v>42</v>
      </c>
      <c r="AQ7" s="168" t="n">
        <v>43</v>
      </c>
      <c r="AR7" s="168" t="n">
        <v>44</v>
      </c>
      <c r="AS7" s="168" t="n">
        <v>45</v>
      </c>
      <c r="AT7" s="168" t="n">
        <v>46</v>
      </c>
      <c r="AU7" s="168" t="n">
        <v>47</v>
      </c>
      <c r="AV7" s="168" t="n">
        <v>48</v>
      </c>
      <c r="AW7" s="168" t="n">
        <v>49</v>
      </c>
      <c r="AX7" s="168" t="n">
        <v>50</v>
      </c>
      <c r="AY7" s="168" t="n">
        <v>51</v>
      </c>
      <c r="AZ7" s="168" t="n">
        <v>52</v>
      </c>
      <c r="BA7" s="168" t="n">
        <v>53</v>
      </c>
      <c r="BB7" s="168" t="n">
        <v>54</v>
      </c>
      <c r="BC7" s="168" t="n">
        <v>55</v>
      </c>
      <c r="BD7" s="168" t="n">
        <v>56</v>
      </c>
      <c r="BE7" s="168" t="n">
        <v>57</v>
      </c>
      <c r="BF7" s="168" t="n">
        <v>58</v>
      </c>
      <c r="BG7" s="168" t="n">
        <v>59</v>
      </c>
      <c r="BH7" s="168" t="n">
        <v>60</v>
      </c>
      <c r="BI7" s="168" t="n">
        <v>61</v>
      </c>
      <c r="BJ7" s="168" t="n">
        <v>62</v>
      </c>
      <c r="BK7" s="168" t="n">
        <v>63</v>
      </c>
      <c r="BL7" s="168" t="n">
        <v>64</v>
      </c>
      <c r="BM7" s="168" t="n">
        <v>65</v>
      </c>
      <c r="BN7" s="168" t="n">
        <v>66</v>
      </c>
      <c r="BO7" s="168" t="n">
        <v>67</v>
      </c>
      <c r="BP7" s="168" t="n">
        <v>68</v>
      </c>
      <c r="BQ7" s="168" t="n">
        <v>69</v>
      </c>
      <c r="BR7" s="168" t="n">
        <v>70</v>
      </c>
      <c r="BS7" s="168" t="n">
        <v>71</v>
      </c>
      <c r="BT7" s="168" t="n">
        <v>72</v>
      </c>
      <c r="BU7" s="168" t="n">
        <v>73</v>
      </c>
      <c r="BV7" s="168" t="n">
        <v>74</v>
      </c>
      <c r="BW7" s="168" t="n">
        <v>75</v>
      </c>
      <c r="BX7" s="168" t="n">
        <v>76</v>
      </c>
      <c r="BY7" s="168" t="n">
        <v>77</v>
      </c>
      <c r="BZ7" s="168" t="n">
        <v>78</v>
      </c>
      <c r="CA7" s="168" t="n">
        <v>79</v>
      </c>
      <c r="CB7" s="168" t="n">
        <v>80</v>
      </c>
      <c r="CC7" s="168" t="n">
        <v>81</v>
      </c>
      <c r="CD7" s="168" t="n">
        <v>82</v>
      </c>
      <c r="CE7" s="168" t="n">
        <v>83</v>
      </c>
      <c r="CF7" s="168" t="n">
        <v>84</v>
      </c>
      <c r="CG7" s="168" t="n">
        <v>85</v>
      </c>
      <c r="CH7" s="168" t="n">
        <v>86</v>
      </c>
      <c r="CI7" s="28" t="n">
        <v>87</v>
      </c>
    </row>
    <row r="8" ht="34.5" customFormat="1" customHeight="1" s="22">
      <c r="A8" s="164" t="inlineStr">
        <is>
          <t>Mã số</t>
        </is>
      </c>
      <c r="B8" s="167" t="inlineStr">
        <is>
          <t>Họ và tên</t>
        </is>
      </c>
      <c r="C8" s="179" t="inlineStr">
        <is>
          <t>Bộ 
phận</t>
        </is>
      </c>
      <c r="D8" s="172" t="n"/>
      <c r="E8" s="172" t="inlineStr">
        <is>
          <t>Ngày nhận việc</t>
        </is>
      </c>
      <c r="F8" s="180" t="inlineStr">
        <is>
          <t>Ngày phép còn lại đầu tháng 05</t>
        </is>
      </c>
      <c r="G8" s="178">
        <f>DATE(F6,D6,1)</f>
        <v/>
      </c>
      <c r="H8" s="181" t="n"/>
      <c r="I8" s="178">
        <f>G8+1</f>
        <v/>
      </c>
      <c r="J8" s="181" t="n"/>
      <c r="K8" s="178">
        <f>I8+1</f>
        <v/>
      </c>
      <c r="L8" s="181" t="n"/>
      <c r="M8" s="178">
        <f>K8+1</f>
        <v/>
      </c>
      <c r="N8" s="181" t="n"/>
      <c r="O8" s="178">
        <f>M8+1</f>
        <v/>
      </c>
      <c r="P8" s="181" t="n"/>
      <c r="Q8" s="178">
        <f>O8+1</f>
        <v/>
      </c>
      <c r="R8" s="181" t="n"/>
      <c r="S8" s="178">
        <f>Q8+1</f>
        <v/>
      </c>
      <c r="T8" s="181" t="n"/>
      <c r="U8" s="178">
        <f>S8+1</f>
        <v/>
      </c>
      <c r="V8" s="181" t="n"/>
      <c r="W8" s="178">
        <f>U8+1</f>
        <v/>
      </c>
      <c r="X8" s="181" t="n"/>
      <c r="Y8" s="178">
        <f>W8+1</f>
        <v/>
      </c>
      <c r="Z8" s="181" t="n"/>
      <c r="AA8" s="178">
        <f>Y8+1</f>
        <v/>
      </c>
      <c r="AB8" s="181" t="n"/>
      <c r="AC8" s="178">
        <f>AA8+1</f>
        <v/>
      </c>
      <c r="AD8" s="181" t="n"/>
      <c r="AE8" s="178">
        <f>AC8+1</f>
        <v/>
      </c>
      <c r="AF8" s="181" t="n"/>
      <c r="AG8" s="178">
        <f>AE8+1</f>
        <v/>
      </c>
      <c r="AH8" s="181" t="n"/>
      <c r="AI8" s="178">
        <f>AG8+1</f>
        <v/>
      </c>
      <c r="AJ8" s="181" t="n"/>
      <c r="AK8" s="178">
        <f>AI8+1</f>
        <v/>
      </c>
      <c r="AL8" s="181" t="n"/>
      <c r="AM8" s="178">
        <f>AK8+1</f>
        <v/>
      </c>
      <c r="AN8" s="181" t="n"/>
      <c r="AO8" s="178">
        <f>AM8+1</f>
        <v/>
      </c>
      <c r="AP8" s="181" t="n"/>
      <c r="AQ8" s="178">
        <f>AO8+1</f>
        <v/>
      </c>
      <c r="AR8" s="181" t="n"/>
      <c r="AS8" s="178">
        <f>AQ8+1</f>
        <v/>
      </c>
      <c r="AT8" s="181" t="n"/>
      <c r="AU8" s="178">
        <f>AS8+1</f>
        <v/>
      </c>
      <c r="AV8" s="181" t="n"/>
      <c r="AW8" s="178">
        <f>AU8+1</f>
        <v/>
      </c>
      <c r="AX8" s="181" t="n"/>
      <c r="AY8" s="178">
        <f>AW8+1</f>
        <v/>
      </c>
      <c r="AZ8" s="181" t="n"/>
      <c r="BA8" s="178">
        <f>AY8+1</f>
        <v/>
      </c>
      <c r="BB8" s="181" t="n"/>
      <c r="BC8" s="178">
        <f>BA8+1</f>
        <v/>
      </c>
      <c r="BD8" s="181" t="n"/>
      <c r="BE8" s="178">
        <f>BC8+1</f>
        <v/>
      </c>
      <c r="BF8" s="181" t="n"/>
      <c r="BG8" s="178">
        <f>BE8+1</f>
        <v/>
      </c>
      <c r="BH8" s="181" t="n"/>
      <c r="BI8" s="178">
        <f>BG8+1</f>
        <v/>
      </c>
      <c r="BJ8" s="181" t="n"/>
      <c r="BK8" s="178">
        <f>BI8+1</f>
        <v/>
      </c>
      <c r="BL8" s="181" t="n"/>
      <c r="BM8" s="178">
        <f>BK8+1</f>
        <v/>
      </c>
      <c r="BN8" s="181" t="n"/>
      <c r="BO8" s="178">
        <f>BM8+1</f>
        <v/>
      </c>
      <c r="BP8" s="181" t="n"/>
      <c r="BQ8" s="30" t="inlineStr">
        <is>
          <t>A</t>
        </is>
      </c>
      <c r="BR8" s="30" t="inlineStr">
        <is>
          <t>D</t>
        </is>
      </c>
      <c r="BS8" s="30" t="inlineStr">
        <is>
          <t>B</t>
        </is>
      </c>
      <c r="BT8" s="172" t="inlineStr">
        <is>
          <t>C</t>
        </is>
      </c>
      <c r="BU8" s="172" t="inlineStr">
        <is>
          <t>Nghỉ chế độ có hưởng lương</t>
        </is>
      </c>
      <c r="BV8" s="160" t="n"/>
      <c r="BW8" s="172" t="inlineStr">
        <is>
          <t>Nghỉ hưởng 70% 
( hết hàng)</t>
        </is>
      </c>
      <c r="BX8" s="182" t="inlineStr">
        <is>
          <t>Nghỉ thứ 7 hàng tuần</t>
        </is>
      </c>
      <c r="BY8" s="172" t="inlineStr">
        <is>
          <t>Nghỉ phép năm có hưởng lương</t>
        </is>
      </c>
      <c r="BZ8" s="183" t="inlineStr">
        <is>
          <t>TỔNG CỘNG NGÀY CÔNG 
(trừ cột nghỉ thứ 7)</t>
        </is>
      </c>
      <c r="CA8" s="30" t="inlineStr">
        <is>
          <t>Giờ làm thêm</t>
        </is>
      </c>
      <c r="CB8" s="184" t="n"/>
      <c r="CC8" s="185" t="n"/>
      <c r="CD8" s="183" t="inlineStr">
        <is>
          <t>Hưởng phụ cấp thứ 7 
(Cty cho nghỉ nhưng có vào làm)</t>
        </is>
      </c>
      <c r="CE8" s="182" t="inlineStr">
        <is>
          <t>Trả/thu tiền cơm ngày CN, Lễ ( làm việc trên 12h)</t>
        </is>
      </c>
      <c r="CF8" s="186" t="inlineStr">
        <is>
          <t>Tiền phụ cấp làm thứ 7 (KẾ TOÁN TÍNH)</t>
        </is>
      </c>
      <c r="CG8" s="182" t="inlineStr">
        <is>
          <t>Số phép năm còn lại cuối tháng</t>
        </is>
      </c>
      <c r="CH8" s="186" t="inlineStr">
        <is>
          <t>Số tiền cơm ngày CN, Lễ  (KẾ TOÁN TÍNH)</t>
        </is>
      </c>
      <c r="CI8" s="159" t="inlineStr">
        <is>
          <t>mức  phụ cấp thứ bảy/ ngày</t>
        </is>
      </c>
      <c r="CJ8" s="32" t="n"/>
    </row>
    <row r="9" ht="61.5" customFormat="1" customHeight="1" s="36">
      <c r="A9" s="187" t="n"/>
      <c r="B9" s="188" t="n"/>
      <c r="C9" s="188" t="n"/>
      <c r="D9" s="173" t="n"/>
      <c r="E9" s="188" t="n"/>
      <c r="F9" s="188" t="n"/>
      <c r="G9" s="189" t="inlineStr">
        <is>
          <t>NC</t>
        </is>
      </c>
      <c r="H9" s="168" t="inlineStr">
        <is>
          <t>TC</t>
        </is>
      </c>
      <c r="I9" s="190" t="inlineStr">
        <is>
          <t>NC</t>
        </is>
      </c>
      <c r="J9" s="151" t="inlineStr">
        <is>
          <t>TC</t>
        </is>
      </c>
      <c r="K9" s="189" t="inlineStr">
        <is>
          <t>NC</t>
        </is>
      </c>
      <c r="L9" s="144" t="inlineStr">
        <is>
          <t>TC</t>
        </is>
      </c>
      <c r="M9" s="189" t="inlineStr">
        <is>
          <t>NC</t>
        </is>
      </c>
      <c r="N9" s="144" t="inlineStr">
        <is>
          <t>TC</t>
        </is>
      </c>
      <c r="O9" s="190" t="inlineStr">
        <is>
          <t>NC</t>
        </is>
      </c>
      <c r="P9" s="151" t="inlineStr">
        <is>
          <t>TC</t>
        </is>
      </c>
      <c r="Q9" s="189" t="inlineStr">
        <is>
          <t>NC</t>
        </is>
      </c>
      <c r="R9" s="144" t="inlineStr">
        <is>
          <t>TC</t>
        </is>
      </c>
      <c r="S9" s="189" t="inlineStr">
        <is>
          <t>NC</t>
        </is>
      </c>
      <c r="T9" s="144" t="inlineStr">
        <is>
          <t>TC</t>
        </is>
      </c>
      <c r="U9" s="189" t="inlineStr">
        <is>
          <t>NC</t>
        </is>
      </c>
      <c r="V9" s="168" t="inlineStr">
        <is>
          <t>TC</t>
        </is>
      </c>
      <c r="W9" s="189" t="inlineStr">
        <is>
          <t>NC</t>
        </is>
      </c>
      <c r="X9" s="144" t="inlineStr">
        <is>
          <t>TC</t>
        </is>
      </c>
      <c r="Y9" s="189" t="inlineStr">
        <is>
          <t>NC</t>
        </is>
      </c>
      <c r="Z9" s="144" t="inlineStr">
        <is>
          <t>TC</t>
        </is>
      </c>
      <c r="AA9" s="189" t="inlineStr">
        <is>
          <t>NC</t>
        </is>
      </c>
      <c r="AB9" s="144" t="inlineStr">
        <is>
          <t>TC</t>
        </is>
      </c>
      <c r="AC9" s="189" t="inlineStr">
        <is>
          <t>NC</t>
        </is>
      </c>
      <c r="AD9" s="144" t="inlineStr">
        <is>
          <t>TC</t>
        </is>
      </c>
      <c r="AE9" s="189" t="inlineStr">
        <is>
          <t>NC</t>
        </is>
      </c>
      <c r="AF9" s="144" t="inlineStr">
        <is>
          <t>TC</t>
        </is>
      </c>
      <c r="AG9" s="189" t="inlineStr">
        <is>
          <t>NC</t>
        </is>
      </c>
      <c r="AH9" s="144" t="inlineStr">
        <is>
          <t>TC</t>
        </is>
      </c>
      <c r="AI9" s="189" t="inlineStr">
        <is>
          <t>NC</t>
        </is>
      </c>
      <c r="AJ9" s="144" t="inlineStr">
        <is>
          <t>TC</t>
        </is>
      </c>
      <c r="AK9" s="189" t="inlineStr">
        <is>
          <t>NC</t>
        </is>
      </c>
      <c r="AL9" s="144" t="inlineStr">
        <is>
          <t>TC</t>
        </is>
      </c>
      <c r="AM9" s="191" t="inlineStr">
        <is>
          <t>NC</t>
        </is>
      </c>
      <c r="AN9" s="144" t="inlineStr">
        <is>
          <t>TC</t>
        </is>
      </c>
      <c r="AO9" s="189" t="inlineStr">
        <is>
          <t>NC</t>
        </is>
      </c>
      <c r="AP9" s="144" t="inlineStr">
        <is>
          <t>TC</t>
        </is>
      </c>
      <c r="AQ9" s="191" t="inlineStr">
        <is>
          <t>NC</t>
        </is>
      </c>
      <c r="AR9" s="144" t="inlineStr">
        <is>
          <t>TC</t>
        </is>
      </c>
      <c r="AS9" s="189" t="inlineStr">
        <is>
          <t>NC</t>
        </is>
      </c>
      <c r="AT9" s="144" t="inlineStr">
        <is>
          <t>TC</t>
        </is>
      </c>
      <c r="AU9" s="189" t="inlineStr">
        <is>
          <t>NC</t>
        </is>
      </c>
      <c r="AV9" s="144" t="inlineStr">
        <is>
          <t>TC</t>
        </is>
      </c>
      <c r="AW9" s="189" t="inlineStr">
        <is>
          <t>NC</t>
        </is>
      </c>
      <c r="AX9" s="144" t="inlineStr">
        <is>
          <t>TC</t>
        </is>
      </c>
      <c r="AY9" s="189" t="inlineStr">
        <is>
          <t>NC</t>
        </is>
      </c>
      <c r="AZ9" s="144" t="inlineStr">
        <is>
          <t>TC</t>
        </is>
      </c>
      <c r="BA9" s="189" t="inlineStr">
        <is>
          <t>NC</t>
        </is>
      </c>
      <c r="BB9" s="144" t="inlineStr">
        <is>
          <t>TC</t>
        </is>
      </c>
      <c r="BC9" s="189" t="inlineStr">
        <is>
          <t>NC</t>
        </is>
      </c>
      <c r="BD9" s="144" t="inlineStr">
        <is>
          <t>TC</t>
        </is>
      </c>
      <c r="BE9" s="191" t="inlineStr">
        <is>
          <t>NC</t>
        </is>
      </c>
      <c r="BF9" s="191" t="inlineStr">
        <is>
          <t>TC</t>
        </is>
      </c>
      <c r="BG9" s="191" t="inlineStr">
        <is>
          <t>NC</t>
        </is>
      </c>
      <c r="BH9" s="191" t="inlineStr">
        <is>
          <t>TC</t>
        </is>
      </c>
      <c r="BI9" s="191" t="inlineStr">
        <is>
          <t>NC</t>
        </is>
      </c>
      <c r="BJ9" s="191" t="inlineStr">
        <is>
          <t>TC</t>
        </is>
      </c>
      <c r="BK9" s="189" t="inlineStr">
        <is>
          <t>NC</t>
        </is>
      </c>
      <c r="BL9" s="144" t="inlineStr">
        <is>
          <t>TC</t>
        </is>
      </c>
      <c r="BM9" s="189" t="inlineStr">
        <is>
          <t>NC</t>
        </is>
      </c>
      <c r="BN9" s="144" t="inlineStr">
        <is>
          <t>TC</t>
        </is>
      </c>
      <c r="BO9" s="189" t="inlineStr">
        <is>
          <t>NC</t>
        </is>
      </c>
      <c r="BP9" s="144" t="inlineStr">
        <is>
          <t>TC</t>
        </is>
      </c>
      <c r="BQ9" s="173" t="inlineStr">
        <is>
          <t>Ca ngày phụ cấp 1 phần cơm cho 4 h tăng ca</t>
        </is>
      </c>
      <c r="BR9" s="173" t="inlineStr">
        <is>
          <t>Ca ngày</t>
        </is>
      </c>
      <c r="BS9" s="173" t="inlineStr">
        <is>
          <t>Ca đêm phụ cấp 01 phần cơm ( 8h)</t>
        </is>
      </c>
      <c r="BT9" s="173" t="inlineStr">
        <is>
          <t>Ca đêm phụ cấp 02 phần cơm (8h + 4 h TC)</t>
        </is>
      </c>
      <c r="BU9" s="192" t="n"/>
      <c r="BV9" s="154" t="n"/>
      <c r="BW9" s="192" t="n"/>
      <c r="BX9" s="192" t="n"/>
      <c r="BY9" s="192" t="n"/>
      <c r="BZ9" s="192" t="n"/>
      <c r="CA9" s="173" t="inlineStr">
        <is>
          <t>Thường</t>
        </is>
      </c>
      <c r="CB9" s="35" t="inlineStr">
        <is>
          <t>Chủ nhật</t>
        </is>
      </c>
      <c r="CC9" s="173" t="inlineStr">
        <is>
          <t>Ngày lễ</t>
        </is>
      </c>
      <c r="CD9" s="192" t="n"/>
      <c r="CE9" s="192" t="n"/>
      <c r="CF9" s="192" t="n"/>
      <c r="CG9" s="192" t="n"/>
      <c r="CH9" s="192" t="n"/>
      <c r="CI9" s="192" t="n"/>
      <c r="CJ9" s="32" t="n"/>
    </row>
    <row r="10" ht="34.5" customFormat="1" customHeight="1" s="22" thickBot="1">
      <c r="A10" s="193" t="n"/>
      <c r="B10" s="192" t="n"/>
      <c r="C10" s="194" t="n"/>
      <c r="D10" s="174" t="n"/>
      <c r="E10" s="192" t="n"/>
      <c r="F10" s="192" t="n"/>
      <c r="G10" s="192" t="n"/>
      <c r="H10" s="192" t="n"/>
      <c r="I10" s="192" t="n"/>
      <c r="J10" s="192" t="n"/>
      <c r="K10" s="192" t="n"/>
      <c r="L10" s="192" t="n"/>
      <c r="M10" s="192" t="n"/>
      <c r="N10" s="192" t="n"/>
      <c r="O10" s="192" t="n"/>
      <c r="P10" s="192" t="n"/>
      <c r="Q10" s="192" t="n"/>
      <c r="R10" s="192" t="n"/>
      <c r="S10" s="192" t="n"/>
      <c r="T10" s="192" t="n"/>
      <c r="U10" s="192" t="n"/>
      <c r="V10" s="192" t="n"/>
      <c r="W10" s="192" t="n"/>
      <c r="X10" s="192" t="n"/>
      <c r="Y10" s="192" t="n"/>
      <c r="Z10" s="192" t="n"/>
      <c r="AA10" s="192" t="n"/>
      <c r="AB10" s="192" t="n"/>
      <c r="AC10" s="192" t="n"/>
      <c r="AD10" s="192" t="n"/>
      <c r="AE10" s="192" t="n"/>
      <c r="AF10" s="192" t="n"/>
      <c r="AG10" s="192" t="n"/>
      <c r="AH10" s="192" t="n"/>
      <c r="AI10" s="192" t="n"/>
      <c r="AJ10" s="192" t="n"/>
      <c r="AK10" s="192" t="n"/>
      <c r="AL10" s="192" t="n"/>
      <c r="AM10" s="194" t="n"/>
      <c r="AN10" s="192" t="n"/>
      <c r="AO10" s="192" t="n"/>
      <c r="AP10" s="192" t="n"/>
      <c r="AQ10" s="194" t="n"/>
      <c r="AR10" s="192" t="n"/>
      <c r="AS10" s="192" t="n"/>
      <c r="AT10" s="192" t="n"/>
      <c r="AU10" s="192" t="n"/>
      <c r="AV10" s="192" t="n"/>
      <c r="AW10" s="192" t="n"/>
      <c r="AX10" s="192" t="n"/>
      <c r="AY10" s="192" t="n"/>
      <c r="AZ10" s="192" t="n"/>
      <c r="BA10" s="192" t="n"/>
      <c r="BB10" s="192" t="n"/>
      <c r="BC10" s="192" t="n"/>
      <c r="BD10" s="192" t="n"/>
      <c r="BE10" s="194" t="n"/>
      <c r="BF10" s="194" t="n"/>
      <c r="BG10" s="194" t="n"/>
      <c r="BH10" s="194" t="n"/>
      <c r="BI10" s="194" t="n"/>
      <c r="BJ10" s="194" t="n"/>
      <c r="BK10" s="192" t="n"/>
      <c r="BL10" s="192" t="n"/>
      <c r="BM10" s="192" t="n"/>
      <c r="BN10" s="192" t="n"/>
      <c r="BO10" s="192" t="n"/>
      <c r="BP10" s="192" t="n"/>
      <c r="BQ10" s="38" t="inlineStr">
        <is>
          <t>ngày</t>
        </is>
      </c>
      <c r="BR10" s="38" t="inlineStr">
        <is>
          <t>ngày</t>
        </is>
      </c>
      <c r="BS10" s="38" t="inlineStr">
        <is>
          <t>ngày</t>
        </is>
      </c>
      <c r="BT10" s="38" t="inlineStr">
        <is>
          <t>ngày</t>
        </is>
      </c>
      <c r="BU10" s="38" t="inlineStr">
        <is>
          <t>ngày</t>
        </is>
      </c>
      <c r="BV10" s="38" t="n"/>
      <c r="BW10" s="38" t="inlineStr">
        <is>
          <t>ngày</t>
        </is>
      </c>
      <c r="BX10" s="38" t="inlineStr">
        <is>
          <t>ngày</t>
        </is>
      </c>
      <c r="BY10" s="38" t="inlineStr">
        <is>
          <t>ngày</t>
        </is>
      </c>
      <c r="BZ10" s="39" t="inlineStr">
        <is>
          <t>ngày</t>
        </is>
      </c>
      <c r="CA10" s="174" t="inlineStr">
        <is>
          <t>giờ</t>
        </is>
      </c>
      <c r="CB10" s="40" t="inlineStr">
        <is>
          <t>giờ</t>
        </is>
      </c>
      <c r="CC10" s="174" t="inlineStr">
        <is>
          <t>giờ</t>
        </is>
      </c>
      <c r="CD10" s="41" t="inlineStr">
        <is>
          <t>ngày</t>
        </is>
      </c>
      <c r="CE10" s="174" t="inlineStr">
        <is>
          <t>lần</t>
        </is>
      </c>
      <c r="CF10" s="41" t="inlineStr">
        <is>
          <t>VNĐ</t>
        </is>
      </c>
      <c r="CG10" s="41" t="inlineStr">
        <is>
          <t>ngày</t>
        </is>
      </c>
      <c r="CH10" s="40" t="inlineStr">
        <is>
          <t>VND</t>
        </is>
      </c>
      <c r="CI10" s="42" t="n"/>
    </row>
    <row r="11" ht="15.75" customFormat="1" customHeight="1" s="68">
      <c r="A11" s="43" t="n">
        <v>1</v>
      </c>
      <c r="B11" s="44" t="inlineStr"/>
      <c r="C11" s="115" t="inlineStr"/>
      <c r="D11" s="46" t="inlineStr"/>
      <c r="E11" s="47" t="inlineStr"/>
      <c r="F11" s="48" t="inlineStr"/>
      <c r="G11" s="49" t="inlineStr">
        <is>
          <t>A</t>
        </is>
      </c>
      <c r="H11" s="49" t="n">
        <v>0</v>
      </c>
      <c r="I11" s="50" t="inlineStr">
        <is>
          <t>A</t>
        </is>
      </c>
      <c r="J11" s="49" t="n">
        <v>0</v>
      </c>
      <c r="K11" s="73" t="inlineStr">
        <is>
          <t>CN</t>
        </is>
      </c>
      <c r="L11" s="49" t="n">
        <v>7.5</v>
      </c>
      <c r="M11" s="73" t="inlineStr">
        <is>
          <t>C</t>
        </is>
      </c>
      <c r="N11" s="49" t="n">
        <v>4</v>
      </c>
      <c r="O11" s="50" t="inlineStr">
        <is>
          <t>C</t>
        </is>
      </c>
      <c r="P11" s="49" t="n">
        <v>4</v>
      </c>
      <c r="Q11" s="49" t="inlineStr">
        <is>
          <t>C</t>
        </is>
      </c>
      <c r="R11" s="73" t="n">
        <v>4</v>
      </c>
      <c r="S11" s="49" t="inlineStr">
        <is>
          <t>C</t>
        </is>
      </c>
      <c r="T11" s="49" t="n">
        <v>4</v>
      </c>
      <c r="U11" s="49" t="inlineStr">
        <is>
          <t>C</t>
        </is>
      </c>
      <c r="V11" s="49" t="n">
        <v>4</v>
      </c>
      <c r="W11" s="49" t="inlineStr">
        <is>
          <t>C</t>
        </is>
      </c>
      <c r="X11" s="49" t="n">
        <v>4</v>
      </c>
      <c r="Y11" s="73" t="inlineStr">
        <is>
          <t>CN</t>
        </is>
      </c>
      <c r="Z11" s="49" t="n">
        <v>11.5</v>
      </c>
      <c r="AA11" s="73" t="inlineStr">
        <is>
          <t>A</t>
        </is>
      </c>
      <c r="AB11" s="49" t="n">
        <v>3.8</v>
      </c>
      <c r="AC11" s="73" t="inlineStr">
        <is>
          <t>A</t>
        </is>
      </c>
      <c r="AD11" s="49" t="n">
        <v>4</v>
      </c>
      <c r="AE11" s="73" t="inlineStr">
        <is>
          <t>A</t>
        </is>
      </c>
      <c r="AF11" s="73" t="n">
        <v>4</v>
      </c>
      <c r="AG11" s="73" t="inlineStr">
        <is>
          <t>A</t>
        </is>
      </c>
      <c r="AH11" s="49" t="n">
        <v>4</v>
      </c>
      <c r="AI11" s="73" t="inlineStr">
        <is>
          <t>A</t>
        </is>
      </c>
      <c r="AJ11" s="49" t="n">
        <v>4</v>
      </c>
      <c r="AK11" s="73" t="inlineStr">
        <is>
          <t>A</t>
        </is>
      </c>
      <c r="AL11" s="49" t="n">
        <v>4</v>
      </c>
      <c r="AM11" s="73" t="inlineStr">
        <is>
          <t>CN</t>
        </is>
      </c>
      <c r="AN11" s="49" t="n">
        <v>12</v>
      </c>
      <c r="AO11" s="73" t="inlineStr">
        <is>
          <t>C</t>
        </is>
      </c>
      <c r="AP11" s="49" t="n">
        <v>4</v>
      </c>
      <c r="AQ11" s="73" t="inlineStr">
        <is>
          <t>C</t>
        </is>
      </c>
      <c r="AR11" s="49" t="n">
        <v>4</v>
      </c>
      <c r="AS11" s="73" t="inlineStr">
        <is>
          <t>C</t>
        </is>
      </c>
      <c r="AT11" s="73" t="n">
        <v>4</v>
      </c>
      <c r="AU11" s="73" t="inlineStr">
        <is>
          <t>C</t>
        </is>
      </c>
      <c r="AV11" s="49" t="n">
        <v>4</v>
      </c>
      <c r="AW11" s="73" t="inlineStr">
        <is>
          <t>C</t>
        </is>
      </c>
      <c r="AX11" s="49" t="n">
        <v>4</v>
      </c>
      <c r="AY11" s="73" t="inlineStr">
        <is>
          <t>C</t>
        </is>
      </c>
      <c r="AZ11" s="49" t="n">
        <v>4</v>
      </c>
      <c r="BA11" s="73" t="inlineStr">
        <is>
          <t>CN</t>
        </is>
      </c>
      <c r="BB11" s="49" t="n">
        <v>11.5</v>
      </c>
      <c r="BC11" s="73" t="inlineStr">
        <is>
          <t>A</t>
        </is>
      </c>
      <c r="BD11" s="49" t="n">
        <v>3.8</v>
      </c>
      <c r="BE11" s="73" t="inlineStr">
        <is>
          <t>A</t>
        </is>
      </c>
      <c r="BF11" s="49" t="n">
        <v>4</v>
      </c>
      <c r="BG11" s="73" t="inlineStr">
        <is>
          <t>A</t>
        </is>
      </c>
      <c r="BH11" s="73" t="n">
        <v>4</v>
      </c>
      <c r="BI11" s="73" t="inlineStr">
        <is>
          <t>A</t>
        </is>
      </c>
      <c r="BJ11" s="49" t="n">
        <v>4</v>
      </c>
      <c r="BK11" s="73" t="inlineStr">
        <is>
          <t>A</t>
        </is>
      </c>
      <c r="BL11" s="49" t="n">
        <v>4</v>
      </c>
      <c r="BM11" s="73" t="inlineStr">
        <is>
          <t>A</t>
        </is>
      </c>
      <c r="BN11" s="49" t="n">
        <v>4</v>
      </c>
      <c r="BO11" s="73" t="inlineStr">
        <is>
          <t>CN</t>
        </is>
      </c>
      <c r="BP11" s="49" t="n">
        <v>12</v>
      </c>
      <c r="BQ11" s="195">
        <f>COUNTIF($G11:$BP11,"a")+COUNTIF($G11:$BP11,"r0,a5")/2+COUNTIF($G11:$BP11,"p5,a5")/2</f>
        <v/>
      </c>
      <c r="BR11" s="195">
        <f>COUNTIF($G11:$BP11,"d")+COUNTIF($G11:$BP11,"r0,d5")/2+COUNTIF($G11:$BP11,"p5,d5")/2</f>
        <v/>
      </c>
      <c r="BS11" s="195">
        <f>COUNTIF($G11:$BP11,"b")+COUNTIF($G11:$BP11,"r0,b5")/2+COUNTIF($G11:$BP11,"p5,b5")/2</f>
        <v/>
      </c>
      <c r="BT11" s="195">
        <f>COUNTIF($G11:$BP11,"c")+COUNTIF($G11:$BP11,"r0,c5")/2+COUNTIF($G11:$BP11,"p5,c5")/2</f>
        <v/>
      </c>
      <c r="BU11" s="195">
        <f>COUNTIF($G11:$BP11,"KH")+COUNTIF($G11:$BP11,"TL")+COUNTIF($G11:$BP11,"L")</f>
        <v/>
      </c>
      <c r="BV11" s="195" t="n"/>
      <c r="BW11" s="195">
        <f>COUNTIF($G11:$BP11,"hh")</f>
        <v/>
      </c>
      <c r="BX11" s="195">
        <f>COUNTIF($G11:$BP11,"nt7")</f>
        <v/>
      </c>
      <c r="BY11" s="195">
        <f>COUNTIF($G11:$BP11,"P")+COUNTIF($G11:$BP11,"p5,a5")/2+COUNTIF($G11:$BP11,"p5,b5")/2+COUNTIF($G11:$BP11,"p5,c5")/2+COUNTIF($G11:$BP11,"p5,d5")/2</f>
        <v/>
      </c>
      <c r="BZ11" s="196">
        <f>SUBTOTAL(9,BQ11:BY11)</f>
        <v/>
      </c>
      <c r="CA11" s="54">
        <f>SUM(J11,L11,N11,P11,R11,T11,X11,Z11,AB11,AD11,AF11,AH11,AL11,AN11,AP11,AR11,AT11,AV11,AZ11,BB11,BD11,BF11,BH11,BP11)</f>
        <v/>
      </c>
      <c r="CB11" s="55">
        <f>SUM(H11,V11,AJ11,AX11,BL11)</f>
        <v/>
      </c>
      <c r="CC11" s="56">
        <f>SUM(BJ11,BN11)</f>
        <v/>
      </c>
      <c r="CD11" s="197">
        <f>IF(BZ11&gt;25,4,IF(BZ11&gt;18,3,IF(BZ11&gt;12,2,IF(BZ11&gt;4,1,0))))-BX11-2+1</f>
        <v/>
      </c>
      <c r="CE11" s="49" t="n"/>
      <c r="CF11" s="197">
        <f>CD11*CI11</f>
        <v/>
      </c>
      <c r="CG11" s="198">
        <f>F11-BY11+1</f>
        <v/>
      </c>
      <c r="CH11" s="197">
        <f>CE11*16</f>
        <v/>
      </c>
      <c r="CI11" s="199">
        <f>VLOOKUP(A11,[1]DATA!$A$6:$AI$331,34,0)</f>
        <v/>
      </c>
      <c r="CJ11" s="200">
        <f>VLOOKUP(A11,[2]CHAMCONG!A$7:CI$333,79,0)</f>
        <v/>
      </c>
      <c r="CK11" s="201">
        <f>CJ11-CA11</f>
        <v/>
      </c>
    </row>
    <row r="12" ht="15.75" customFormat="1" customHeight="1" s="68">
      <c r="A12" s="139" t="n">
        <v>10</v>
      </c>
      <c r="B12" s="64" t="inlineStr"/>
      <c r="C12" s="115" t="inlineStr"/>
      <c r="D12" s="46" t="inlineStr"/>
      <c r="E12" s="47" t="inlineStr"/>
      <c r="F12" s="48" t="inlineStr"/>
      <c r="G12" s="49" t="inlineStr">
        <is>
          <t>A</t>
        </is>
      </c>
      <c r="H12" s="49" t="n">
        <v>4</v>
      </c>
      <c r="I12" s="50" t="inlineStr">
        <is>
          <t>A</t>
        </is>
      </c>
      <c r="J12" s="49" t="n">
        <v>4</v>
      </c>
      <c r="K12" s="73" t="inlineStr"/>
      <c r="L12" s="49" t="n">
        <v>0</v>
      </c>
      <c r="M12" s="73" t="inlineStr">
        <is>
          <t>C</t>
        </is>
      </c>
      <c r="N12" s="49" t="n">
        <v>4</v>
      </c>
      <c r="O12" s="50" t="inlineStr">
        <is>
          <t>C</t>
        </is>
      </c>
      <c r="P12" s="49" t="n">
        <v>4</v>
      </c>
      <c r="Q12" s="49" t="inlineStr">
        <is>
          <t>C</t>
        </is>
      </c>
      <c r="R12" s="73" t="n">
        <v>4</v>
      </c>
      <c r="S12" s="49" t="inlineStr">
        <is>
          <t>C</t>
        </is>
      </c>
      <c r="T12" s="49" t="n">
        <v>4</v>
      </c>
      <c r="U12" s="49" t="inlineStr">
        <is>
          <t>C</t>
        </is>
      </c>
      <c r="V12" s="49" t="n">
        <v>4</v>
      </c>
      <c r="W12" s="49" t="inlineStr">
        <is>
          <t>C</t>
        </is>
      </c>
      <c r="X12" s="49" t="n">
        <v>4</v>
      </c>
      <c r="Y12" s="73" t="inlineStr"/>
      <c r="Z12" s="49" t="n">
        <v>0</v>
      </c>
      <c r="AA12" s="73" t="inlineStr">
        <is>
          <t>A</t>
        </is>
      </c>
      <c r="AB12" s="49" t="n">
        <v>4</v>
      </c>
      <c r="AC12" s="73" t="inlineStr">
        <is>
          <t>A</t>
        </is>
      </c>
      <c r="AD12" s="49" t="n">
        <v>4</v>
      </c>
      <c r="AE12" s="73" t="inlineStr">
        <is>
          <t>A</t>
        </is>
      </c>
      <c r="AF12" s="73" t="n">
        <v>4</v>
      </c>
      <c r="AG12" s="73" t="inlineStr">
        <is>
          <t>A</t>
        </is>
      </c>
      <c r="AH12" s="49" t="n">
        <v>4</v>
      </c>
      <c r="AI12" s="73" t="inlineStr">
        <is>
          <t>A</t>
        </is>
      </c>
      <c r="AJ12" s="49" t="n">
        <v>4</v>
      </c>
      <c r="AK12" s="73" t="inlineStr">
        <is>
          <t>A</t>
        </is>
      </c>
      <c r="AL12" s="49" t="n">
        <v>4</v>
      </c>
      <c r="AM12" s="73" t="inlineStr"/>
      <c r="AN12" s="49" t="n">
        <v>0</v>
      </c>
      <c r="AO12" s="73" t="inlineStr">
        <is>
          <t>C</t>
        </is>
      </c>
      <c r="AP12" s="49" t="n">
        <v>4</v>
      </c>
      <c r="AQ12" s="73" t="inlineStr">
        <is>
          <t>C</t>
        </is>
      </c>
      <c r="AR12" s="49" t="n">
        <v>4</v>
      </c>
      <c r="AS12" s="73" t="inlineStr">
        <is>
          <t>C</t>
        </is>
      </c>
      <c r="AT12" s="73" t="n">
        <v>4</v>
      </c>
      <c r="AU12" s="73" t="inlineStr">
        <is>
          <t>C</t>
        </is>
      </c>
      <c r="AV12" s="49" t="n">
        <v>4</v>
      </c>
      <c r="AW12" s="73" t="inlineStr">
        <is>
          <t>C</t>
        </is>
      </c>
      <c r="AX12" s="49" t="n">
        <v>4</v>
      </c>
      <c r="AY12" s="73" t="inlineStr">
        <is>
          <t>C</t>
        </is>
      </c>
      <c r="AZ12" s="49" t="n">
        <v>4</v>
      </c>
      <c r="BA12" s="73" t="inlineStr"/>
      <c r="BB12" s="49" t="n">
        <v>0</v>
      </c>
      <c r="BC12" s="73" t="inlineStr">
        <is>
          <t>A</t>
        </is>
      </c>
      <c r="BD12" s="49" t="n">
        <v>4</v>
      </c>
      <c r="BE12" s="73" t="inlineStr">
        <is>
          <t>A</t>
        </is>
      </c>
      <c r="BF12" s="49" t="n">
        <v>4</v>
      </c>
      <c r="BG12" s="73" t="inlineStr">
        <is>
          <t>A</t>
        </is>
      </c>
      <c r="BH12" s="73" t="n">
        <v>4</v>
      </c>
      <c r="BI12" s="73" t="inlineStr">
        <is>
          <t>A</t>
        </is>
      </c>
      <c r="BJ12" s="49" t="n">
        <v>4</v>
      </c>
      <c r="BK12" s="73" t="inlineStr">
        <is>
          <t>A</t>
        </is>
      </c>
      <c r="BL12" s="49" t="n">
        <v>4</v>
      </c>
      <c r="BM12" s="73" t="inlineStr">
        <is>
          <t>A</t>
        </is>
      </c>
      <c r="BN12" s="49" t="n">
        <v>4</v>
      </c>
      <c r="BO12" s="73" t="inlineStr"/>
      <c r="BP12" s="49" t="n">
        <v>0</v>
      </c>
      <c r="BQ12" s="195">
        <f>COUNTIF($G12:$BP12,"a")+COUNTIF($G12:$BP12,"r0,a5")/2+COUNTIF($G12:$BP12,"p5,a5")/2</f>
        <v/>
      </c>
      <c r="BR12" s="195">
        <f>COUNTIF($G12:$BP12,"d")+COUNTIF($G12:$BP12,"r0,d5")/2+COUNTIF($G12:$BP12,"p5,d5")/2</f>
        <v/>
      </c>
      <c r="BS12" s="195">
        <f>COUNTIF($G12:$BP12,"b")+COUNTIF($G12:$BP12,"r0,b5")/2+COUNTIF($G12:$BP12,"p5,b5")/2</f>
        <v/>
      </c>
      <c r="BT12" s="195">
        <f>COUNTIF($G12:$BP12,"c")+COUNTIF($G12:$BP12,"r0,c5")/2+COUNTIF($G12:$BP12,"p5,c5")/2</f>
        <v/>
      </c>
      <c r="BU12" s="195">
        <f>COUNTIF($G12:$BP12,"KH")+COUNTIF($G12:$BP12,"TL")+COUNTIF($G12:$BP12,"L")</f>
        <v/>
      </c>
      <c r="BV12" s="202" t="n"/>
      <c r="BW12" s="195">
        <f>COUNTIF($G12:$BP12,"hh")</f>
        <v/>
      </c>
      <c r="BX12" s="195">
        <f>COUNTIF($G12:$BP12,"nt7")</f>
        <v/>
      </c>
      <c r="BY12" s="195">
        <f>COUNTIF($G12:$BP12,"P")+COUNTIF($G12:$BP12,"p5,a5")/2+COUNTIF($G12:$BP12,"p5,b5")/2+COUNTIF($G12:$BP12,"p5,c5")/2+COUNTIF($G12:$BP12,"p5,d5")/2</f>
        <v/>
      </c>
      <c r="BZ12" s="203">
        <f>SUBTOTAL(9,BQ12:BY12)</f>
        <v/>
      </c>
      <c r="CA12" s="54">
        <f>SUM(J12,L12,N12,P12,R12,T12,X12,Z12,AB12,AD12,AF12,AH12,AL12,AN12,AP12,AR12,AT12,AV12,AZ12,BB12,BD12,BF12,BH12,BP12)</f>
        <v/>
      </c>
      <c r="CB12" s="55">
        <f>SUM(H12,V12,AJ12,AX12,BL12)</f>
        <v/>
      </c>
      <c r="CC12" s="56">
        <f>SUM(BJ12,BN12)</f>
        <v/>
      </c>
      <c r="CD12" s="197">
        <f>IF(BZ12&gt;25,4,IF(BZ12&gt;18,3,IF(BZ12&gt;12,2,IF(BZ12&gt;4,1,0))))-BX12-2+1</f>
        <v/>
      </c>
      <c r="CE12" s="49" t="n"/>
      <c r="CF12" s="197">
        <f>CD12*CI12</f>
        <v/>
      </c>
      <c r="CG12" s="198">
        <f>F12-BY12+1</f>
        <v/>
      </c>
      <c r="CH12" s="197">
        <f>CE12*16</f>
        <v/>
      </c>
      <c r="CI12" s="199">
        <f>VLOOKUP(A12,[1]DATA!$A$6:$AI$331,34,0)</f>
        <v/>
      </c>
      <c r="CJ12" s="200">
        <f>VLOOKUP(A12,[2]CHAMCONG!A$7:CI$333,79,0)</f>
        <v/>
      </c>
      <c r="CK12" s="201">
        <f>CJ12-CA12</f>
        <v/>
      </c>
    </row>
    <row r="13" ht="15.75" customFormat="1" customHeight="1" s="68">
      <c r="A13" s="139" t="n">
        <v>11</v>
      </c>
      <c r="B13" s="64" t="inlineStr"/>
      <c r="C13" s="115" t="inlineStr"/>
      <c r="D13" s="46" t="inlineStr"/>
      <c r="E13" s="47" t="inlineStr"/>
      <c r="F13" s="48" t="inlineStr"/>
      <c r="G13" s="49" t="inlineStr">
        <is>
          <t>B</t>
        </is>
      </c>
      <c r="H13" s="49" t="n">
        <v>4</v>
      </c>
      <c r="I13" s="50" t="inlineStr">
        <is>
          <t>B</t>
        </is>
      </c>
      <c r="J13" s="49" t="n">
        <v>4</v>
      </c>
      <c r="K13" s="73" t="inlineStr"/>
      <c r="L13" s="49" t="n">
        <v>0</v>
      </c>
      <c r="M13" s="73" t="inlineStr">
        <is>
          <t>B</t>
        </is>
      </c>
      <c r="N13" s="49" t="n">
        <v>4</v>
      </c>
      <c r="O13" s="50" t="inlineStr">
        <is>
          <t>B</t>
        </is>
      </c>
      <c r="P13" s="49" t="n">
        <v>3.5</v>
      </c>
      <c r="Q13" s="49" t="inlineStr">
        <is>
          <t>B</t>
        </is>
      </c>
      <c r="R13" s="73" t="n">
        <v>2.5</v>
      </c>
      <c r="S13" s="49" t="inlineStr">
        <is>
          <t>B</t>
        </is>
      </c>
      <c r="T13" s="49" t="n">
        <v>1.5</v>
      </c>
      <c r="U13" s="49" t="inlineStr">
        <is>
          <t>B</t>
        </is>
      </c>
      <c r="V13" s="49" t="n">
        <v>3.3</v>
      </c>
      <c r="W13" s="49" t="inlineStr">
        <is>
          <t>B</t>
        </is>
      </c>
      <c r="X13" s="49" t="n">
        <v>0</v>
      </c>
      <c r="Y13" s="73" t="inlineStr"/>
      <c r="Z13" s="49" t="n">
        <v>0</v>
      </c>
      <c r="AA13" s="73" t="inlineStr">
        <is>
          <t>B</t>
        </is>
      </c>
      <c r="AB13" s="49" t="n">
        <v>0</v>
      </c>
      <c r="AC13" s="73" t="inlineStr">
        <is>
          <t>B</t>
        </is>
      </c>
      <c r="AD13" s="49" t="n">
        <v>0</v>
      </c>
      <c r="AE13" s="73" t="inlineStr">
        <is>
          <t>B</t>
        </is>
      </c>
      <c r="AF13" s="73" t="n">
        <v>2</v>
      </c>
      <c r="AG13" s="73" t="inlineStr">
        <is>
          <t>B</t>
        </is>
      </c>
      <c r="AH13" s="49" t="n">
        <v>3</v>
      </c>
      <c r="AI13" s="73" t="inlineStr">
        <is>
          <t>B</t>
        </is>
      </c>
      <c r="AJ13" s="49" t="n">
        <v>2.8</v>
      </c>
      <c r="AK13" s="73" t="inlineStr">
        <is>
          <t>R</t>
        </is>
      </c>
      <c r="AL13" s="49" t="n">
        <v>0</v>
      </c>
      <c r="AM13" s="73" t="inlineStr"/>
      <c r="AN13" s="49" t="n">
        <v>0</v>
      </c>
      <c r="AO13" s="73" t="inlineStr">
        <is>
          <t>B</t>
        </is>
      </c>
      <c r="AP13" s="49" t="n">
        <v>0</v>
      </c>
      <c r="AQ13" s="73" t="inlineStr">
        <is>
          <t>B</t>
        </is>
      </c>
      <c r="AR13" s="49" t="n">
        <v>0</v>
      </c>
      <c r="AS13" s="73" t="inlineStr">
        <is>
          <t>B</t>
        </is>
      </c>
      <c r="AT13" s="73" t="n">
        <v>1.5</v>
      </c>
      <c r="AU13" s="73" t="inlineStr">
        <is>
          <t>B</t>
        </is>
      </c>
      <c r="AV13" s="49" t="n">
        <v>2.5</v>
      </c>
      <c r="AW13" s="73" t="inlineStr">
        <is>
          <t>B</t>
        </is>
      </c>
      <c r="AX13" s="49" t="n">
        <v>3</v>
      </c>
      <c r="AY13" s="73" t="inlineStr">
        <is>
          <t>B</t>
        </is>
      </c>
      <c r="AZ13" s="49" t="n">
        <v>4</v>
      </c>
      <c r="BA13" s="73" t="inlineStr"/>
      <c r="BB13" s="49" t="n">
        <v>0</v>
      </c>
      <c r="BC13" s="73" t="inlineStr">
        <is>
          <t>B</t>
        </is>
      </c>
      <c r="BD13" s="49" t="n">
        <v>4</v>
      </c>
      <c r="BE13" s="73" t="inlineStr">
        <is>
          <t>B</t>
        </is>
      </c>
      <c r="BF13" s="49" t="n">
        <v>4</v>
      </c>
      <c r="BG13" s="73" t="inlineStr">
        <is>
          <t>B</t>
        </is>
      </c>
      <c r="BH13" s="73" t="n">
        <v>4</v>
      </c>
      <c r="BI13" s="73" t="inlineStr">
        <is>
          <t>B</t>
        </is>
      </c>
      <c r="BJ13" s="49" t="n">
        <v>4</v>
      </c>
      <c r="BK13" s="73" t="inlineStr">
        <is>
          <t>B</t>
        </is>
      </c>
      <c r="BL13" s="49" t="n">
        <v>4</v>
      </c>
      <c r="BM13" s="73" t="inlineStr">
        <is>
          <t>B</t>
        </is>
      </c>
      <c r="BN13" s="49" t="n">
        <v>4</v>
      </c>
      <c r="BO13" s="73" t="inlineStr"/>
      <c r="BP13" s="49" t="n">
        <v>0</v>
      </c>
      <c r="BQ13" s="195">
        <f>COUNTIF($G13:$BP13,"a")+COUNTIF($G13:$BP13,"r0,a5")/2+COUNTIF($G13:$BP13,"p5,a5")/2</f>
        <v/>
      </c>
      <c r="BR13" s="195">
        <f>COUNTIF($G13:$BP13,"d")+COUNTIF($G13:$BP13,"r0,d5")/2+COUNTIF($G13:$BP13,"p5,d5")/2</f>
        <v/>
      </c>
      <c r="BS13" s="195">
        <f>COUNTIF($G13:$BP13,"b")+COUNTIF($G13:$BP13,"r0,b5")/2+COUNTIF($G13:$BP13,"p5,b5")/2</f>
        <v/>
      </c>
      <c r="BT13" s="195">
        <f>COUNTIF($G13:$BP13,"c")+COUNTIF($G13:$BP13,"r0,c5")/2+COUNTIF($G13:$BP13,"p5,c5")/2</f>
        <v/>
      </c>
      <c r="BU13" s="195">
        <f>COUNTIF($G13:$BP13,"KH")+COUNTIF($G13:$BP13,"TL")+COUNTIF($G13:$BP13,"L")</f>
        <v/>
      </c>
      <c r="BV13" s="202" t="n"/>
      <c r="BW13" s="195">
        <f>COUNTIF($G13:$BP13,"hh")</f>
        <v/>
      </c>
      <c r="BX13" s="195">
        <f>COUNTIF($G13:$BP13,"nt7")</f>
        <v/>
      </c>
      <c r="BY13" s="195">
        <f>COUNTIF($G13:$BP13,"P")+COUNTIF($G13:$BP13,"p5,a5")/2+COUNTIF($G13:$BP13,"p5,b5")/2+COUNTIF($G13:$BP13,"p5,c5")/2+COUNTIF($G13:$BP13,"p5,d5")/2</f>
        <v/>
      </c>
      <c r="BZ13" s="203">
        <f>SUBTOTAL(9,BQ13:BY13)</f>
        <v/>
      </c>
      <c r="CA13" s="54">
        <f>SUM(J13,L13,N13,P13,R13,T13,X13,Z13,AB13,AD13,AF13,AH13,AL13,AN13,AP13,AR13,AT13,AV13,AZ13,BB13,BD13,BF13,BH13,BP13)</f>
        <v/>
      </c>
      <c r="CB13" s="55">
        <f>SUM(H13,V13,AJ13,AX13,BL13)</f>
        <v/>
      </c>
      <c r="CC13" s="56">
        <f>SUM(BJ13,BN13)</f>
        <v/>
      </c>
      <c r="CD13" s="197">
        <f>IF(BZ13&gt;25,4,IF(BZ13&gt;18,3,IF(BZ13&gt;12,2,IF(BZ13&gt;4,1,0))))-BX13-2+1</f>
        <v/>
      </c>
      <c r="CE13" s="49" t="n"/>
      <c r="CF13" s="197">
        <f>CD13*CI13</f>
        <v/>
      </c>
      <c r="CG13" s="198">
        <f>F13-BY13+1</f>
        <v/>
      </c>
      <c r="CH13" s="197">
        <f>CE13*16</f>
        <v/>
      </c>
      <c r="CI13" s="199">
        <f>VLOOKUP(A13,[1]DATA!$A$6:$AI$331,34,0)</f>
        <v/>
      </c>
      <c r="CJ13" s="200">
        <f>VLOOKUP(A13,[2]CHAMCONG!A$7:CI$333,79,0)</f>
        <v/>
      </c>
      <c r="CK13" s="201">
        <f>CJ13-CA13</f>
        <v/>
      </c>
    </row>
    <row r="14" ht="17.25" customFormat="1" customHeight="1" s="68">
      <c r="A14" s="139" t="n">
        <v>2</v>
      </c>
      <c r="B14" s="64" t="inlineStr"/>
      <c r="C14" s="115" t="inlineStr"/>
      <c r="D14" s="46" t="inlineStr"/>
      <c r="E14" s="47" t="inlineStr"/>
      <c r="F14" s="48" t="inlineStr"/>
      <c r="G14" s="49" t="inlineStr">
        <is>
          <t>A</t>
        </is>
      </c>
      <c r="H14" s="73" t="n">
        <v>0</v>
      </c>
      <c r="I14" s="73" t="inlineStr">
        <is>
          <t>A</t>
        </is>
      </c>
      <c r="J14" s="73" t="n">
        <v>0</v>
      </c>
      <c r="K14" s="73" t="inlineStr">
        <is>
          <t>CN</t>
        </is>
      </c>
      <c r="L14" s="73" t="n">
        <v>8</v>
      </c>
      <c r="M14" s="73" t="inlineStr">
        <is>
          <t>C</t>
        </is>
      </c>
      <c r="N14" s="73" t="n">
        <v>4</v>
      </c>
      <c r="O14" s="73" t="inlineStr">
        <is>
          <t>C</t>
        </is>
      </c>
      <c r="P14" s="73" t="n">
        <v>4</v>
      </c>
      <c r="Q14" s="73" t="inlineStr">
        <is>
          <t>C</t>
        </is>
      </c>
      <c r="R14" s="73" t="n">
        <v>4</v>
      </c>
      <c r="S14" s="50" t="inlineStr">
        <is>
          <t>C</t>
        </is>
      </c>
      <c r="T14" s="73" t="n">
        <v>4</v>
      </c>
      <c r="U14" s="50" t="inlineStr">
        <is>
          <t>C</t>
        </is>
      </c>
      <c r="V14" s="73" t="n">
        <v>4</v>
      </c>
      <c r="W14" s="50" t="inlineStr">
        <is>
          <t>C</t>
        </is>
      </c>
      <c r="X14" s="73" t="n">
        <v>4</v>
      </c>
      <c r="Y14" s="50" t="inlineStr">
        <is>
          <t>CN</t>
        </is>
      </c>
      <c r="Z14" s="73" t="n">
        <v>11.5</v>
      </c>
      <c r="AA14" s="50" t="inlineStr">
        <is>
          <t>A</t>
        </is>
      </c>
      <c r="AB14" s="73" t="n">
        <v>3.8</v>
      </c>
      <c r="AC14" s="73" t="inlineStr">
        <is>
          <t>A</t>
        </is>
      </c>
      <c r="AD14" s="73" t="n">
        <v>4</v>
      </c>
      <c r="AE14" s="73" t="inlineStr">
        <is>
          <t>A</t>
        </is>
      </c>
      <c r="AF14" s="73" t="n">
        <v>4</v>
      </c>
      <c r="AG14" s="73" t="inlineStr">
        <is>
          <t>A</t>
        </is>
      </c>
      <c r="AH14" s="73" t="n">
        <v>4</v>
      </c>
      <c r="AI14" s="73" t="inlineStr">
        <is>
          <t>A</t>
        </is>
      </c>
      <c r="AJ14" s="73" t="n">
        <v>4</v>
      </c>
      <c r="AK14" s="73" t="inlineStr">
        <is>
          <t>A</t>
        </is>
      </c>
      <c r="AL14" s="73" t="n">
        <v>4</v>
      </c>
      <c r="AM14" s="73" t="inlineStr">
        <is>
          <t>CN</t>
        </is>
      </c>
      <c r="AN14" s="73" t="n">
        <v>12</v>
      </c>
      <c r="AO14" s="73" t="inlineStr">
        <is>
          <t>C</t>
        </is>
      </c>
      <c r="AP14" s="73" t="n">
        <v>4</v>
      </c>
      <c r="AQ14" s="73" t="inlineStr">
        <is>
          <t>C</t>
        </is>
      </c>
      <c r="AR14" s="73" t="n">
        <v>4</v>
      </c>
      <c r="AS14" s="73" t="inlineStr">
        <is>
          <t>C</t>
        </is>
      </c>
      <c r="AT14" s="73" t="n">
        <v>4</v>
      </c>
      <c r="AU14" s="73" t="inlineStr">
        <is>
          <t>C</t>
        </is>
      </c>
      <c r="AV14" s="73" t="n">
        <v>4</v>
      </c>
      <c r="AW14" s="73" t="inlineStr">
        <is>
          <t>C</t>
        </is>
      </c>
      <c r="AX14" s="73" t="n">
        <v>4</v>
      </c>
      <c r="AY14" s="50" t="inlineStr">
        <is>
          <t>C</t>
        </is>
      </c>
      <c r="AZ14" s="73" t="n">
        <v>4</v>
      </c>
      <c r="BA14" s="67" t="inlineStr">
        <is>
          <t>CN</t>
        </is>
      </c>
      <c r="BB14" s="73" t="n">
        <v>11.5</v>
      </c>
      <c r="BC14" s="67" t="inlineStr">
        <is>
          <t>A</t>
        </is>
      </c>
      <c r="BD14" s="73" t="n">
        <v>3.8</v>
      </c>
      <c r="BE14" s="73" t="inlineStr">
        <is>
          <t>A</t>
        </is>
      </c>
      <c r="BF14" s="73" t="n">
        <v>4</v>
      </c>
      <c r="BG14" s="73" t="inlineStr">
        <is>
          <t>A</t>
        </is>
      </c>
      <c r="BH14" s="73" t="n">
        <v>4</v>
      </c>
      <c r="BI14" s="73" t="inlineStr">
        <is>
          <t>A</t>
        </is>
      </c>
      <c r="BJ14" s="73" t="n">
        <v>4</v>
      </c>
      <c r="BK14" s="73" t="inlineStr">
        <is>
          <t>A</t>
        </is>
      </c>
      <c r="BL14" s="73" t="n">
        <v>4</v>
      </c>
      <c r="BM14" s="73" t="inlineStr">
        <is>
          <t>A</t>
        </is>
      </c>
      <c r="BN14" s="73" t="n">
        <v>4</v>
      </c>
      <c r="BO14" s="73" t="inlineStr">
        <is>
          <t>CN</t>
        </is>
      </c>
      <c r="BP14" s="73" t="n">
        <v>12</v>
      </c>
      <c r="BQ14" s="195">
        <f>COUNTIF($G14:$BP14,"a")+COUNTIF($G14:$BP14,"r0,a5")/2+COUNTIF($G14:$BP14,"p5,a5")/2</f>
        <v/>
      </c>
      <c r="BR14" s="195">
        <f>COUNTIF($G14:$BP14,"d")+COUNTIF($G14:$BP14,"r0,d5")/2+COUNTIF($G14:$BP14,"p5,d5")/2</f>
        <v/>
      </c>
      <c r="BS14" s="195">
        <f>COUNTIF($G14:$BP14,"b")+COUNTIF($G14:$BP14,"r0,b5")/2+COUNTIF($G14:$BP14,"p5,b5")/2</f>
        <v/>
      </c>
      <c r="BT14" s="195">
        <f>COUNTIF($G14:$BP14,"c")+COUNTIF($G14:$BP14,"r0,c5")/2+COUNTIF($G14:$BP14,"p5,c5")/2</f>
        <v/>
      </c>
      <c r="BU14" s="195">
        <f>COUNTIF($G14:$BP14,"KH")+COUNTIF($G14:$BP14,"TL")+COUNTIF($G14:$BP14,"L")</f>
        <v/>
      </c>
      <c r="BV14" s="202" t="n"/>
      <c r="BW14" s="195">
        <f>COUNTIF($G14:$BP14,"hh")</f>
        <v/>
      </c>
      <c r="BX14" s="195">
        <f>COUNTIF($G14:$BP14,"nt7")</f>
        <v/>
      </c>
      <c r="BY14" s="195">
        <f>COUNTIF($G14:$BP14,"P")+COUNTIF($G14:$BP14,"p5,a5")/2+COUNTIF($G14:$BP14,"p5,b5")/2+COUNTIF($G14:$BP14,"p5,c5")/2+COUNTIF($G14:$BP14,"p5,d5")/2</f>
        <v/>
      </c>
      <c r="BZ14" s="203">
        <f>SUBTOTAL(9,BQ14:BY14)</f>
        <v/>
      </c>
      <c r="CA14" s="54">
        <f>SUM(J14,L14,N14,P14,R14,T14,X14,Z14,AB14,AD14,AF14,AH14,AL14,AN14,AP14,AR14,AT14,AV14,AZ14,BB14,BD14,BF14,BH14,BP14)</f>
        <v/>
      </c>
      <c r="CB14" s="55">
        <f>SUM(H14,V14,AJ14,AX14,BL14)</f>
        <v/>
      </c>
      <c r="CC14" s="56">
        <f>SUM(BJ14,BN14)</f>
        <v/>
      </c>
      <c r="CD14" s="197">
        <f>IF(BZ14&gt;25,4,IF(BZ14&gt;18,3,IF(BZ14&gt;12,2,IF(BZ14&gt;4,1,0))))-BX14-2+1</f>
        <v/>
      </c>
      <c r="CE14" s="49" t="n">
        <v>3</v>
      </c>
      <c r="CF14" s="197">
        <f>CD14*CI14</f>
        <v/>
      </c>
      <c r="CG14" s="198">
        <f>F14-BY14+1</f>
        <v/>
      </c>
      <c r="CH14" s="197">
        <f>CE14*16</f>
        <v/>
      </c>
      <c r="CI14" s="199">
        <f>VLOOKUP(A14,[1]DATA!$A$6:$AI$331,34,0)</f>
        <v/>
      </c>
      <c r="CJ14" s="200">
        <f>VLOOKUP(A14,[2]CHAMCONG!A$7:CI$333,79,0)</f>
        <v/>
      </c>
      <c r="CK14" s="201">
        <f>CJ14-CA14</f>
        <v/>
      </c>
    </row>
    <row r="15" ht="15" customFormat="1" customHeight="1" s="68">
      <c r="A15" s="139" t="n">
        <v>3</v>
      </c>
      <c r="B15" s="64" t="inlineStr"/>
      <c r="C15" s="115" t="inlineStr"/>
      <c r="D15" s="46" t="inlineStr"/>
      <c r="E15" s="47" t="inlineStr"/>
      <c r="F15" s="48" t="inlineStr"/>
      <c r="G15" s="49" t="inlineStr">
        <is>
          <t>A</t>
        </is>
      </c>
      <c r="H15" s="73" t="n">
        <v>0.5</v>
      </c>
      <c r="I15" s="50" t="inlineStr">
        <is>
          <t>A</t>
        </is>
      </c>
      <c r="J15" s="73" t="n">
        <v>0.5</v>
      </c>
      <c r="K15" s="73" t="inlineStr">
        <is>
          <t>CN</t>
        </is>
      </c>
      <c r="L15" s="73" t="n">
        <v>8.5</v>
      </c>
      <c r="M15" s="73" t="inlineStr">
        <is>
          <t>C</t>
        </is>
      </c>
      <c r="N15" s="73" t="n">
        <v>4</v>
      </c>
      <c r="O15" s="50" t="inlineStr">
        <is>
          <t>C</t>
        </is>
      </c>
      <c r="P15" s="73" t="n">
        <v>4</v>
      </c>
      <c r="Q15" s="73" t="inlineStr">
        <is>
          <t>C</t>
        </is>
      </c>
      <c r="R15" s="73" t="n">
        <v>4</v>
      </c>
      <c r="S15" s="73" t="inlineStr">
        <is>
          <t>C</t>
        </is>
      </c>
      <c r="T15" s="73" t="n">
        <v>4</v>
      </c>
      <c r="U15" s="49" t="inlineStr">
        <is>
          <t>C</t>
        </is>
      </c>
      <c r="V15" s="73" t="n">
        <v>4</v>
      </c>
      <c r="W15" s="50" t="inlineStr">
        <is>
          <t>C</t>
        </is>
      </c>
      <c r="X15" s="73" t="n">
        <v>4</v>
      </c>
      <c r="Y15" s="73" t="inlineStr">
        <is>
          <t>CN</t>
        </is>
      </c>
      <c r="Z15" s="73" t="n">
        <v>11.5</v>
      </c>
      <c r="AA15" s="73" t="inlineStr">
        <is>
          <t>A</t>
        </is>
      </c>
      <c r="AB15" s="73" t="n">
        <v>3.8</v>
      </c>
      <c r="AC15" s="50" t="inlineStr">
        <is>
          <t>A</t>
        </is>
      </c>
      <c r="AD15" s="73" t="n">
        <v>4</v>
      </c>
      <c r="AE15" s="73" t="inlineStr">
        <is>
          <t>A</t>
        </is>
      </c>
      <c r="AF15" s="73" t="n">
        <v>4</v>
      </c>
      <c r="AG15" s="73" t="inlineStr">
        <is>
          <t>A</t>
        </is>
      </c>
      <c r="AH15" s="73" t="n">
        <v>4</v>
      </c>
      <c r="AI15" s="73" t="inlineStr">
        <is>
          <t>A</t>
        </is>
      </c>
      <c r="AJ15" s="73" t="n">
        <v>4</v>
      </c>
      <c r="AK15" s="50" t="inlineStr">
        <is>
          <t>A</t>
        </is>
      </c>
      <c r="AL15" s="73" t="n">
        <v>4</v>
      </c>
      <c r="AM15" s="73" t="inlineStr">
        <is>
          <t>CN</t>
        </is>
      </c>
      <c r="AN15" s="73" t="n">
        <v>12</v>
      </c>
      <c r="AO15" s="73" t="inlineStr">
        <is>
          <t>C</t>
        </is>
      </c>
      <c r="AP15" s="73" t="n">
        <v>4</v>
      </c>
      <c r="AQ15" s="50" t="inlineStr">
        <is>
          <t>C</t>
        </is>
      </c>
      <c r="AR15" s="73" t="n">
        <v>4</v>
      </c>
      <c r="AS15" s="73" t="inlineStr">
        <is>
          <t>C</t>
        </is>
      </c>
      <c r="AT15" s="73" t="n">
        <v>4</v>
      </c>
      <c r="AU15" s="73" t="inlineStr">
        <is>
          <t>C</t>
        </is>
      </c>
      <c r="AV15" s="73" t="n">
        <v>4</v>
      </c>
      <c r="AW15" s="73" t="inlineStr">
        <is>
          <t>C</t>
        </is>
      </c>
      <c r="AX15" s="73" t="n">
        <v>4</v>
      </c>
      <c r="AY15" s="50" t="inlineStr">
        <is>
          <t>C</t>
        </is>
      </c>
      <c r="AZ15" s="73" t="n">
        <v>4</v>
      </c>
      <c r="BA15" s="73" t="inlineStr">
        <is>
          <t>CN</t>
        </is>
      </c>
      <c r="BB15" s="73" t="n">
        <v>11.5</v>
      </c>
      <c r="BC15" s="73" t="inlineStr">
        <is>
          <t>A</t>
        </is>
      </c>
      <c r="BD15" s="73" t="n">
        <v>3.8</v>
      </c>
      <c r="BE15" s="50" t="inlineStr">
        <is>
          <t>A</t>
        </is>
      </c>
      <c r="BF15" s="73" t="n">
        <v>4</v>
      </c>
      <c r="BG15" s="73" t="inlineStr">
        <is>
          <t>A</t>
        </is>
      </c>
      <c r="BH15" s="73" t="n">
        <v>4</v>
      </c>
      <c r="BI15" s="73" t="inlineStr">
        <is>
          <t>A</t>
        </is>
      </c>
      <c r="BJ15" s="73" t="n">
        <v>4</v>
      </c>
      <c r="BK15" s="73" t="inlineStr">
        <is>
          <t>A</t>
        </is>
      </c>
      <c r="BL15" s="73" t="n">
        <v>4</v>
      </c>
      <c r="BM15" s="73" t="inlineStr">
        <is>
          <t>A</t>
        </is>
      </c>
      <c r="BN15" s="73" t="n">
        <v>4</v>
      </c>
      <c r="BO15" s="73" t="inlineStr">
        <is>
          <t>CN</t>
        </is>
      </c>
      <c r="BP15" s="73" t="n">
        <v>12</v>
      </c>
      <c r="BQ15" s="195">
        <f>COUNTIF($G15:$BP15,"a")+COUNTIF($G15:$BP15,"r0,a5")/2+COUNTIF($G15:$BP15,"p5,a5")/2</f>
        <v/>
      </c>
      <c r="BR15" s="195">
        <f>COUNTIF($G15:$BP15,"d")+COUNTIF($G15:$BP15,"r0,d5")/2+COUNTIF($G15:$BP15,"p5,d5")/2</f>
        <v/>
      </c>
      <c r="BS15" s="195">
        <f>COUNTIF($G15:$BP15,"b")+COUNTIF($G15:$BP15,"r0,b5")/2+COUNTIF($G15:$BP15,"p5,b5")/2</f>
        <v/>
      </c>
      <c r="BT15" s="195">
        <f>COUNTIF($G15:$BP15,"c")+COUNTIF($G15:$BP15,"r0,c5")/2+COUNTIF($G15:$BP15,"p5,c5")/2</f>
        <v/>
      </c>
      <c r="BU15" s="195">
        <f>COUNTIF($G15:$BP15,"KH")+COUNTIF($G15:$BP15,"TL")+COUNTIF($G15:$BP15,"L")</f>
        <v/>
      </c>
      <c r="BV15" s="202" t="n"/>
      <c r="BW15" s="195">
        <f>COUNTIF($G15:$BP15,"hh")</f>
        <v/>
      </c>
      <c r="BX15" s="195">
        <f>COUNTIF($G15:$BP15,"nt7")</f>
        <v/>
      </c>
      <c r="BY15" s="195">
        <f>COUNTIF($G15:$BP15,"P")+COUNTIF($G15:$BP15,"p5,a5")/2+COUNTIF($G15:$BP15,"p5,b5")/2+COUNTIF($G15:$BP15,"p5,c5")/2+COUNTIF($G15:$BP15,"p5,d5")/2</f>
        <v/>
      </c>
      <c r="BZ15" s="203">
        <f>SUBTOTAL(9,BQ15:BY15)</f>
        <v/>
      </c>
      <c r="CA15" s="54">
        <f>SUM(J15,L15,N15,P15,R15,T15,X15,Z15,AB15,AD15,AF15,AH15,AL15,AN15,AP15,AR15,AT15,AV15,AZ15,BB15,BD15,BF15,BH15,BP15)</f>
        <v/>
      </c>
      <c r="CB15" s="55">
        <f>SUM(H15,V15,AJ15,AX15,BL15)</f>
        <v/>
      </c>
      <c r="CC15" s="56">
        <f>SUM(BJ15,BN15)</f>
        <v/>
      </c>
      <c r="CD15" s="197">
        <f>IF(BZ15&gt;25,4,IF(BZ15&gt;18,3,IF(BZ15&gt;12,2,IF(BZ15&gt;4,1,0))))-BX15-2+1</f>
        <v/>
      </c>
      <c r="CE15" s="49" t="n"/>
      <c r="CF15" s="197">
        <f>CD15*CI15</f>
        <v/>
      </c>
      <c r="CG15" s="198">
        <f>F15-BY15+1</f>
        <v/>
      </c>
      <c r="CH15" s="197">
        <f>CE15*16</f>
        <v/>
      </c>
      <c r="CI15" s="199">
        <f>VLOOKUP(A15,[1]DATA!$A$6:$AI$331,34,0)</f>
        <v/>
      </c>
      <c r="CJ15" s="200">
        <f>VLOOKUP(A15,[2]CHAMCONG!A$7:CI$333,79,0)</f>
        <v/>
      </c>
      <c r="CK15" s="201">
        <f>CJ15-CA15</f>
        <v/>
      </c>
      <c r="CL15" s="68" t="n"/>
      <c r="CM15" s="68" t="n"/>
    </row>
    <row r="16" ht="13.5" customFormat="1" customHeight="1" s="75">
      <c r="A16" s="69" t="n">
        <v>4</v>
      </c>
      <c r="B16" s="64" t="inlineStr"/>
      <c r="C16" s="115" t="inlineStr"/>
      <c r="D16" s="46" t="inlineStr"/>
      <c r="E16" s="47" t="inlineStr"/>
      <c r="F16" s="48" t="inlineStr"/>
      <c r="G16" s="49" t="inlineStr">
        <is>
          <t>A</t>
        </is>
      </c>
      <c r="H16" s="73" t="n">
        <v>1</v>
      </c>
      <c r="I16" s="49" t="inlineStr">
        <is>
          <t>A</t>
        </is>
      </c>
      <c r="J16" s="73" t="n">
        <v>1</v>
      </c>
      <c r="K16" s="49" t="inlineStr">
        <is>
          <t>CN</t>
        </is>
      </c>
      <c r="L16" s="73" t="n">
        <v>9.5</v>
      </c>
      <c r="M16" s="49" t="inlineStr">
        <is>
          <t>C</t>
        </is>
      </c>
      <c r="N16" s="73" t="n">
        <v>4</v>
      </c>
      <c r="O16" s="49" t="inlineStr">
        <is>
          <t>C</t>
        </is>
      </c>
      <c r="P16" s="73" t="n">
        <v>4</v>
      </c>
      <c r="Q16" s="49" t="inlineStr">
        <is>
          <t>C</t>
        </is>
      </c>
      <c r="R16" s="73" t="n">
        <v>4</v>
      </c>
      <c r="S16" s="49" t="inlineStr">
        <is>
          <t>C</t>
        </is>
      </c>
      <c r="T16" s="73" t="n">
        <v>4</v>
      </c>
      <c r="U16" s="49" t="inlineStr">
        <is>
          <t>C</t>
        </is>
      </c>
      <c r="V16" s="73" t="n">
        <v>4</v>
      </c>
      <c r="W16" s="49" t="inlineStr">
        <is>
          <t>C</t>
        </is>
      </c>
      <c r="X16" s="73" t="n">
        <v>4</v>
      </c>
      <c r="Y16" s="49" t="inlineStr">
        <is>
          <t>CN</t>
        </is>
      </c>
      <c r="Z16" s="73" t="n">
        <v>11.5</v>
      </c>
      <c r="AA16" s="49" t="inlineStr">
        <is>
          <t>A</t>
        </is>
      </c>
      <c r="AB16" s="73" t="n">
        <v>3.8</v>
      </c>
      <c r="AC16" s="49" t="inlineStr">
        <is>
          <t>A</t>
        </is>
      </c>
      <c r="AD16" s="73" t="n">
        <v>4</v>
      </c>
      <c r="AE16" s="49" t="inlineStr">
        <is>
          <t>A</t>
        </is>
      </c>
      <c r="AF16" s="73" t="n">
        <v>4</v>
      </c>
      <c r="AG16" s="49" t="inlineStr">
        <is>
          <t>A</t>
        </is>
      </c>
      <c r="AH16" s="73" t="n">
        <v>4</v>
      </c>
      <c r="AI16" s="49" t="inlineStr">
        <is>
          <t>A</t>
        </is>
      </c>
      <c r="AJ16" s="73" t="n">
        <v>4</v>
      </c>
      <c r="AK16" s="49" t="inlineStr">
        <is>
          <t>A</t>
        </is>
      </c>
      <c r="AL16" s="73" t="n">
        <v>4</v>
      </c>
      <c r="AM16" s="49" t="inlineStr">
        <is>
          <t>CN</t>
        </is>
      </c>
      <c r="AN16" s="73" t="n">
        <v>12</v>
      </c>
      <c r="AO16" s="49" t="inlineStr">
        <is>
          <t>C</t>
        </is>
      </c>
      <c r="AP16" s="73" t="n">
        <v>4</v>
      </c>
      <c r="AQ16" s="49" t="inlineStr">
        <is>
          <t>C</t>
        </is>
      </c>
      <c r="AR16" s="73" t="n">
        <v>4</v>
      </c>
      <c r="AS16" s="49" t="inlineStr">
        <is>
          <t>C</t>
        </is>
      </c>
      <c r="AT16" s="73" t="n">
        <v>4</v>
      </c>
      <c r="AU16" s="49" t="inlineStr">
        <is>
          <t>C</t>
        </is>
      </c>
      <c r="AV16" s="73" t="n">
        <v>4</v>
      </c>
      <c r="AW16" s="73" t="inlineStr">
        <is>
          <t>C</t>
        </is>
      </c>
      <c r="AX16" s="73" t="n">
        <v>4</v>
      </c>
      <c r="AY16" s="49" t="inlineStr">
        <is>
          <t>C</t>
        </is>
      </c>
      <c r="AZ16" s="73" t="n">
        <v>4</v>
      </c>
      <c r="BA16" s="49" t="inlineStr">
        <is>
          <t>CN</t>
        </is>
      </c>
      <c r="BB16" s="73" t="n">
        <v>11.5</v>
      </c>
      <c r="BC16" s="73" t="inlineStr">
        <is>
          <t>A</t>
        </is>
      </c>
      <c r="BD16" s="73" t="n">
        <v>3.8</v>
      </c>
      <c r="BE16" s="49" t="inlineStr">
        <is>
          <t>A</t>
        </is>
      </c>
      <c r="BF16" s="73" t="n">
        <v>4</v>
      </c>
      <c r="BG16" s="49" t="inlineStr">
        <is>
          <t>A</t>
        </is>
      </c>
      <c r="BH16" s="73" t="n">
        <v>4</v>
      </c>
      <c r="BI16" s="73" t="inlineStr">
        <is>
          <t>A</t>
        </is>
      </c>
      <c r="BJ16" s="73" t="n">
        <v>4</v>
      </c>
      <c r="BK16" s="73" t="inlineStr">
        <is>
          <t>A</t>
        </is>
      </c>
      <c r="BL16" s="73" t="n">
        <v>4</v>
      </c>
      <c r="BM16" s="73" t="inlineStr">
        <is>
          <t>A</t>
        </is>
      </c>
      <c r="BN16" s="73" t="n">
        <v>4</v>
      </c>
      <c r="BO16" s="73" t="inlineStr">
        <is>
          <t>CN</t>
        </is>
      </c>
      <c r="BP16" s="73" t="n">
        <v>12</v>
      </c>
      <c r="BQ16" s="195">
        <f>COUNTIF($G16:$BP16,"a")+COUNTIF($G16:$BP16,"r0,a5")/2+COUNTIF($G16:$BP16,"p5,a5")/2</f>
        <v/>
      </c>
      <c r="BR16" s="195">
        <f>COUNTIF($G16:$BP16,"d")+COUNTIF($G16:$BP16,"r0,d5")/2+COUNTIF($G16:$BP16,"p5,d5")/2</f>
        <v/>
      </c>
      <c r="BS16" s="195">
        <f>COUNTIF($G16:$BP16,"b")+COUNTIF($G16:$BP16,"r0,b5")/2+COUNTIF($G16:$BP16,"p5,b5")/2</f>
        <v/>
      </c>
      <c r="BT16" s="195">
        <f>COUNTIF($G16:$BP16,"c")+COUNTIF($G16:$BP16,"r0,c5")/2+COUNTIF($G16:$BP16,"p5,c5")/2</f>
        <v/>
      </c>
      <c r="BU16" s="195">
        <f>COUNTIF($G16:$BP16,"KH")+COUNTIF($G16:$BP16,"TL")+COUNTIF($G16:$BP16,"L")</f>
        <v/>
      </c>
      <c r="BV16" s="202" t="n"/>
      <c r="BW16" s="195">
        <f>COUNTIF($G16:$BP16,"hh")</f>
        <v/>
      </c>
      <c r="BX16" s="195">
        <f>COUNTIF($G16:$BP16,"nt7")</f>
        <v/>
      </c>
      <c r="BY16" s="195">
        <f>COUNTIF($G16:$BP16,"P")+COUNTIF($G16:$BP16,"p5,a5")/2+COUNTIF($G16:$BP16,"p5,b5")/2+COUNTIF($G16:$BP16,"p5,c5")/2+COUNTIF($G16:$BP16,"p5,d5")/2</f>
        <v/>
      </c>
      <c r="BZ16" s="203">
        <f>SUBTOTAL(9,BQ16:BY16)</f>
        <v/>
      </c>
      <c r="CA16" s="54">
        <f>SUM(J16,L16,N16,P16,R16,T16,X16,Z16,AB16,AD16,AF16,AH16,AL16,AN16,AP16,AR16,AT16,AV16,AZ16,BB16,BD16,BF16,BH16,BP16)</f>
        <v/>
      </c>
      <c r="CB16" s="55">
        <f>SUM(H16,V16,AJ16,AX16,BL16)</f>
        <v/>
      </c>
      <c r="CC16" s="56">
        <f>SUM(BJ16,BN16)</f>
        <v/>
      </c>
      <c r="CD16" s="197">
        <f>IF(BZ16&gt;25,4,IF(BZ16&gt;18,3,IF(BZ16&gt;12,2,IF(BZ16&gt;4,1,0))))-BX16-2+1</f>
        <v/>
      </c>
      <c r="CE16" s="49" t="n">
        <v>2</v>
      </c>
      <c r="CF16" s="197">
        <f>CD16*CI16</f>
        <v/>
      </c>
      <c r="CG16" s="198">
        <f>F16-BY16+1</f>
        <v/>
      </c>
      <c r="CH16" s="197">
        <f>CE16*16</f>
        <v/>
      </c>
      <c r="CI16" s="199">
        <f>VLOOKUP(A16,[1]DATA!$A$6:$AI$331,34,0)</f>
        <v/>
      </c>
      <c r="CJ16" s="200">
        <f>VLOOKUP(A16,[2]CHAMCONG!A$7:CI$333,79,0)</f>
        <v/>
      </c>
      <c r="CK16" s="201">
        <f>CJ16-CA16</f>
        <v/>
      </c>
      <c r="CL16" s="68" t="n"/>
      <c r="CM16" s="68" t="n"/>
    </row>
    <row r="17" ht="16.5" customFormat="1" customHeight="1" s="68">
      <c r="A17" s="69" t="n">
        <v>5</v>
      </c>
      <c r="B17" s="64" t="inlineStr"/>
      <c r="C17" s="115" t="inlineStr"/>
      <c r="D17" s="46" t="inlineStr"/>
      <c r="E17" s="47" t="inlineStr"/>
      <c r="F17" s="48" t="inlineStr"/>
      <c r="G17" s="49" t="inlineStr">
        <is>
          <t>A</t>
        </is>
      </c>
      <c r="H17" s="73" t="n">
        <v>1</v>
      </c>
      <c r="I17" s="49" t="inlineStr">
        <is>
          <t>A</t>
        </is>
      </c>
      <c r="J17" s="73" t="n">
        <v>1</v>
      </c>
      <c r="K17" s="49" t="inlineStr">
        <is>
          <t>CN</t>
        </is>
      </c>
      <c r="L17" s="73" t="n">
        <v>10.5</v>
      </c>
      <c r="M17" s="49" t="inlineStr">
        <is>
          <t>C</t>
        </is>
      </c>
      <c r="N17" s="73" t="n">
        <v>4</v>
      </c>
      <c r="O17" s="49" t="inlineStr">
        <is>
          <t>C</t>
        </is>
      </c>
      <c r="P17" s="73" t="n">
        <v>4</v>
      </c>
      <c r="Q17" s="49" t="inlineStr">
        <is>
          <t>C</t>
        </is>
      </c>
      <c r="R17" s="73" t="n">
        <v>4</v>
      </c>
      <c r="S17" s="49" t="inlineStr">
        <is>
          <t>C</t>
        </is>
      </c>
      <c r="T17" s="73" t="n">
        <v>4</v>
      </c>
      <c r="U17" s="49" t="inlineStr">
        <is>
          <t>C</t>
        </is>
      </c>
      <c r="V17" s="73" t="n">
        <v>4</v>
      </c>
      <c r="W17" s="49" t="inlineStr">
        <is>
          <t>C</t>
        </is>
      </c>
      <c r="X17" s="73" t="n">
        <v>4</v>
      </c>
      <c r="Y17" s="49" t="inlineStr">
        <is>
          <t>CN</t>
        </is>
      </c>
      <c r="Z17" s="73" t="n">
        <v>11.5</v>
      </c>
      <c r="AA17" s="49" t="inlineStr">
        <is>
          <t>A</t>
        </is>
      </c>
      <c r="AB17" s="73" t="n">
        <v>3.8</v>
      </c>
      <c r="AC17" s="49" t="inlineStr">
        <is>
          <t>A</t>
        </is>
      </c>
      <c r="AD17" s="73" t="n">
        <v>4</v>
      </c>
      <c r="AE17" s="49" t="inlineStr">
        <is>
          <t>A</t>
        </is>
      </c>
      <c r="AF17" s="73" t="n">
        <v>4</v>
      </c>
      <c r="AG17" s="49" t="inlineStr">
        <is>
          <t>A</t>
        </is>
      </c>
      <c r="AH17" s="73" t="n">
        <v>4</v>
      </c>
      <c r="AI17" s="49" t="inlineStr">
        <is>
          <t>A</t>
        </is>
      </c>
      <c r="AJ17" s="73" t="n">
        <v>4</v>
      </c>
      <c r="AK17" s="49" t="inlineStr">
        <is>
          <t>A</t>
        </is>
      </c>
      <c r="AL17" s="73" t="n">
        <v>4</v>
      </c>
      <c r="AM17" s="49" t="inlineStr">
        <is>
          <t>CN</t>
        </is>
      </c>
      <c r="AN17" s="73" t="n">
        <v>12</v>
      </c>
      <c r="AO17" s="73" t="inlineStr">
        <is>
          <t>C</t>
        </is>
      </c>
      <c r="AP17" s="73" t="n">
        <v>4</v>
      </c>
      <c r="AQ17" s="49" t="inlineStr">
        <is>
          <t>C</t>
        </is>
      </c>
      <c r="AR17" s="73" t="n">
        <v>4</v>
      </c>
      <c r="AS17" s="49" t="inlineStr">
        <is>
          <t>C</t>
        </is>
      </c>
      <c r="AT17" s="73" t="n">
        <v>4</v>
      </c>
      <c r="AU17" s="49" t="inlineStr">
        <is>
          <t>C</t>
        </is>
      </c>
      <c r="AV17" s="73" t="n">
        <v>4</v>
      </c>
      <c r="AW17" s="73" t="inlineStr">
        <is>
          <t>C</t>
        </is>
      </c>
      <c r="AX17" s="73" t="n">
        <v>4</v>
      </c>
      <c r="AY17" s="49" t="inlineStr">
        <is>
          <t>C</t>
        </is>
      </c>
      <c r="AZ17" s="73" t="n">
        <v>4</v>
      </c>
      <c r="BA17" s="49" t="inlineStr">
        <is>
          <t>CN</t>
        </is>
      </c>
      <c r="BB17" s="73" t="n">
        <v>11.5</v>
      </c>
      <c r="BC17" s="73" t="inlineStr">
        <is>
          <t>A</t>
        </is>
      </c>
      <c r="BD17" s="73" t="n">
        <v>3.8</v>
      </c>
      <c r="BE17" s="49" t="inlineStr">
        <is>
          <t>A</t>
        </is>
      </c>
      <c r="BF17" s="73" t="n">
        <v>4</v>
      </c>
      <c r="BG17" s="49" t="inlineStr">
        <is>
          <t>A</t>
        </is>
      </c>
      <c r="BH17" s="73" t="n">
        <v>4</v>
      </c>
      <c r="BI17" s="73" t="inlineStr">
        <is>
          <t>A</t>
        </is>
      </c>
      <c r="BJ17" s="73" t="n">
        <v>4</v>
      </c>
      <c r="BK17" s="73" t="inlineStr">
        <is>
          <t>A</t>
        </is>
      </c>
      <c r="BL17" s="73" t="n">
        <v>4</v>
      </c>
      <c r="BM17" s="73" t="inlineStr">
        <is>
          <t>A</t>
        </is>
      </c>
      <c r="BN17" s="73" t="n">
        <v>4</v>
      </c>
      <c r="BO17" s="73" t="inlineStr">
        <is>
          <t>CN</t>
        </is>
      </c>
      <c r="BP17" s="73" t="n">
        <v>12</v>
      </c>
      <c r="BQ17" s="195">
        <f>COUNTIF($G17:$BP17,"a")+COUNTIF($G17:$BP17,"r0,a5")/2+COUNTIF($G17:$BP17,"p5,a5")/2</f>
        <v/>
      </c>
      <c r="BR17" s="195">
        <f>COUNTIF($G17:$BP17,"d")+COUNTIF($G17:$BP17,"r0,d5")/2+COUNTIF($G17:$BP17,"p5,d5")/2</f>
        <v/>
      </c>
      <c r="BS17" s="195">
        <f>COUNTIF($G17:$BP17,"b")+COUNTIF($G17:$BP17,"r0,b5")/2+COUNTIF($G17:$BP17,"p5,b5")/2</f>
        <v/>
      </c>
      <c r="BT17" s="195">
        <f>COUNTIF($G17:$BP17,"c")+COUNTIF($G17:$BP17,"r0,c5")/2+COUNTIF($G17:$BP17,"p5,c5")/2</f>
        <v/>
      </c>
      <c r="BU17" s="195">
        <f>COUNTIF($G17:$BP17,"KH")+COUNTIF($G17:$BP17,"TL")+COUNTIF($G17:$BP17,"L")</f>
        <v/>
      </c>
      <c r="BV17" s="202" t="n"/>
      <c r="BW17" s="195">
        <f>COUNTIF($G17:$BP17,"hh")</f>
        <v/>
      </c>
      <c r="BX17" s="195">
        <f>COUNTIF($G17:$BP17,"nt7")</f>
        <v/>
      </c>
      <c r="BY17" s="195">
        <f>COUNTIF($G17:$BP17,"P")+COUNTIF($G17:$BP17,"p5,a5")/2+COUNTIF($G17:$BP17,"p5,b5")/2+COUNTIF($G17:$BP17,"p5,c5")/2+COUNTIF($G17:$BP17,"p5,d5")/2</f>
        <v/>
      </c>
      <c r="BZ17" s="203">
        <f>SUBTOTAL(9,BQ17:BY17)</f>
        <v/>
      </c>
      <c r="CA17" s="54">
        <f>SUM(J17,L17,N17,P17,R17,T17,X17,Z17,AB17,AD17,AF17,AH17,AL17,AN17,AP17,AR17,AT17,AV17,AZ17,BB17,BD17,BF17,BH17,BP17)</f>
        <v/>
      </c>
      <c r="CB17" s="55">
        <f>SUM(H17,V17,AJ17,AX17,BL17)</f>
        <v/>
      </c>
      <c r="CC17" s="56">
        <f>SUM(BJ17,BN17)</f>
        <v/>
      </c>
      <c r="CD17" s="197">
        <f>IF(BZ17&gt;25,4,IF(BZ17&gt;18,3,IF(BZ17&gt;12,2,IF(BZ17&gt;4,1,0))))-BX17-2+1</f>
        <v/>
      </c>
      <c r="CE17" s="49" t="n">
        <v>1</v>
      </c>
      <c r="CF17" s="197">
        <f>CD17*CI17</f>
        <v/>
      </c>
      <c r="CG17" s="198">
        <f>F17-BY17+1</f>
        <v/>
      </c>
      <c r="CH17" s="197">
        <f>CE17*16</f>
        <v/>
      </c>
      <c r="CI17" s="199">
        <f>VLOOKUP(A17,[1]DATA!$A$6:$AI$331,34,0)</f>
        <v/>
      </c>
      <c r="CJ17" s="200">
        <f>VLOOKUP(A17,[2]CHAMCONG!A$7:CI$333,79,0)</f>
        <v/>
      </c>
      <c r="CK17" s="201">
        <f>CJ17-CA17</f>
        <v/>
      </c>
      <c r="CL17" s="68" t="n"/>
      <c r="CM17" s="68" t="n"/>
    </row>
    <row r="18" ht="14.25" customFormat="1" customHeight="1" s="68">
      <c r="A18" s="139" t="n">
        <v>6</v>
      </c>
      <c r="B18" s="64" t="inlineStr"/>
      <c r="C18" s="115" t="inlineStr"/>
      <c r="D18" s="46" t="inlineStr"/>
      <c r="E18" s="47" t="inlineStr"/>
      <c r="F18" s="48" t="inlineStr"/>
      <c r="G18" s="49" t="inlineStr">
        <is>
          <t>A</t>
        </is>
      </c>
      <c r="H18" s="73" t="n">
        <v>1</v>
      </c>
      <c r="I18" s="49" t="inlineStr">
        <is>
          <t>A</t>
        </is>
      </c>
      <c r="J18" s="73" t="n">
        <v>1</v>
      </c>
      <c r="K18" s="49" t="inlineStr"/>
      <c r="L18" s="73" t="n">
        <v>0</v>
      </c>
      <c r="M18" s="73" t="inlineStr">
        <is>
          <t>C</t>
        </is>
      </c>
      <c r="N18" s="73" t="n">
        <v>4</v>
      </c>
      <c r="O18" s="49" t="inlineStr">
        <is>
          <t>C</t>
        </is>
      </c>
      <c r="P18" s="73" t="n">
        <v>4</v>
      </c>
      <c r="Q18" s="49" t="inlineStr">
        <is>
          <t>C</t>
        </is>
      </c>
      <c r="R18" s="73" t="n">
        <v>4</v>
      </c>
      <c r="S18" s="49" t="inlineStr">
        <is>
          <t>C</t>
        </is>
      </c>
      <c r="T18" s="73" t="n">
        <v>4</v>
      </c>
      <c r="U18" s="49" t="inlineStr">
        <is>
          <t>C</t>
        </is>
      </c>
      <c r="V18" s="73" t="n">
        <v>4</v>
      </c>
      <c r="W18" s="49" t="inlineStr">
        <is>
          <t>C</t>
        </is>
      </c>
      <c r="X18" s="73" t="n">
        <v>4</v>
      </c>
      <c r="Y18" s="49" t="inlineStr"/>
      <c r="Z18" s="73" t="n">
        <v>0</v>
      </c>
      <c r="AA18" s="49" t="inlineStr">
        <is>
          <t>A</t>
        </is>
      </c>
      <c r="AB18" s="73" t="n">
        <v>4</v>
      </c>
      <c r="AC18" s="49" t="inlineStr">
        <is>
          <t>A</t>
        </is>
      </c>
      <c r="AD18" s="73" t="n">
        <v>4</v>
      </c>
      <c r="AE18" s="49" t="inlineStr">
        <is>
          <t>A</t>
        </is>
      </c>
      <c r="AF18" s="73" t="n">
        <v>4</v>
      </c>
      <c r="AG18" s="49" t="inlineStr">
        <is>
          <t>A</t>
        </is>
      </c>
      <c r="AH18" s="73" t="n">
        <v>4</v>
      </c>
      <c r="AI18" s="49" t="inlineStr">
        <is>
          <t>A</t>
        </is>
      </c>
      <c r="AJ18" s="73" t="n">
        <v>4</v>
      </c>
      <c r="AK18" s="49" t="inlineStr">
        <is>
          <t>A</t>
        </is>
      </c>
      <c r="AL18" s="73" t="n">
        <v>4</v>
      </c>
      <c r="AM18" s="49" t="inlineStr"/>
      <c r="AN18" s="73" t="n">
        <v>0</v>
      </c>
      <c r="AO18" s="49" t="inlineStr">
        <is>
          <t>C</t>
        </is>
      </c>
      <c r="AP18" s="73" t="n">
        <v>4</v>
      </c>
      <c r="AQ18" s="49" t="inlineStr">
        <is>
          <t>C</t>
        </is>
      </c>
      <c r="AR18" s="73" t="n">
        <v>4</v>
      </c>
      <c r="AS18" s="49" t="inlineStr">
        <is>
          <t>C</t>
        </is>
      </c>
      <c r="AT18" s="73" t="n">
        <v>4</v>
      </c>
      <c r="AU18" s="49" t="inlineStr">
        <is>
          <t>C</t>
        </is>
      </c>
      <c r="AV18" s="73" t="n">
        <v>4</v>
      </c>
      <c r="AW18" s="73" t="inlineStr">
        <is>
          <t>C</t>
        </is>
      </c>
      <c r="AX18" s="73" t="n">
        <v>4</v>
      </c>
      <c r="AY18" s="49" t="inlineStr">
        <is>
          <t>C</t>
        </is>
      </c>
      <c r="AZ18" s="73" t="n">
        <v>4</v>
      </c>
      <c r="BA18" s="49" t="inlineStr"/>
      <c r="BB18" s="73" t="n">
        <v>0</v>
      </c>
      <c r="BC18" s="73" t="inlineStr">
        <is>
          <t>A</t>
        </is>
      </c>
      <c r="BD18" s="73" t="n">
        <v>4</v>
      </c>
      <c r="BE18" s="49" t="inlineStr">
        <is>
          <t>A</t>
        </is>
      </c>
      <c r="BF18" s="73" t="n">
        <v>4</v>
      </c>
      <c r="BG18" s="49" t="inlineStr">
        <is>
          <t>A</t>
        </is>
      </c>
      <c r="BH18" s="73" t="n">
        <v>4</v>
      </c>
      <c r="BI18" s="73" t="inlineStr">
        <is>
          <t>A</t>
        </is>
      </c>
      <c r="BJ18" s="73" t="n">
        <v>4</v>
      </c>
      <c r="BK18" s="73" t="inlineStr">
        <is>
          <t>A</t>
        </is>
      </c>
      <c r="BL18" s="73" t="n">
        <v>4</v>
      </c>
      <c r="BM18" s="73" t="inlineStr">
        <is>
          <t>A</t>
        </is>
      </c>
      <c r="BN18" s="73" t="n">
        <v>4</v>
      </c>
      <c r="BO18" s="73" t="inlineStr"/>
      <c r="BP18" s="73" t="n">
        <v>0</v>
      </c>
      <c r="BQ18" s="195">
        <f>COUNTIF($G18:$BP18,"a")+COUNTIF($G18:$BP18,"r0,a5")/2+COUNTIF($G18:$BP18,"p5,a5")/2</f>
        <v/>
      </c>
      <c r="BR18" s="195">
        <f>COUNTIF($G18:$BP18,"d")+COUNTIF($G18:$BP18,"r0,d5")/2+COUNTIF($G18:$BP18,"p5,d5")/2</f>
        <v/>
      </c>
      <c r="BS18" s="195">
        <f>COUNTIF($G18:$BP18,"b")+COUNTIF($G18:$BP18,"r0,b5")/2+COUNTIF($G18:$BP18,"p5,b5")/2</f>
        <v/>
      </c>
      <c r="BT18" s="195">
        <f>COUNTIF($G18:$BP18,"c")+COUNTIF($G18:$BP18,"r0,c5")/2+COUNTIF($G18:$BP18,"p5,c5")/2</f>
        <v/>
      </c>
      <c r="BU18" s="195">
        <f>COUNTIF($G18:$BP18,"KH")+COUNTIF($G18:$BP18,"TL")+COUNTIF($G18:$BP18,"L")</f>
        <v/>
      </c>
      <c r="BV18" s="202" t="n"/>
      <c r="BW18" s="195">
        <f>COUNTIF($G18:$BP18,"hh")</f>
        <v/>
      </c>
      <c r="BX18" s="195">
        <f>COUNTIF($G18:$BP18,"nt7")</f>
        <v/>
      </c>
      <c r="BY18" s="195">
        <f>COUNTIF($G18:$BP18,"P")+COUNTIF($G18:$BP18,"p5,a5")/2+COUNTIF($G18:$BP18,"p5,b5")/2+COUNTIF($G18:$BP18,"p5,c5")/2+COUNTIF($G18:$BP18,"p5,d5")/2</f>
        <v/>
      </c>
      <c r="BZ18" s="203">
        <f>SUBTOTAL(9,BQ18:BY18)</f>
        <v/>
      </c>
      <c r="CA18" s="54">
        <f>SUM(J18,L18,N18,P18,R18,T18,X18,Z18,AB18,AD18,AF18,AH18,AL18,AN18,AP18,AR18,AT18,AV18,AZ18,BB18,BD18,BF18,BH18,BP18)</f>
        <v/>
      </c>
      <c r="CB18" s="55">
        <f>SUM(H18,V18,AJ18,AX18,BL18)</f>
        <v/>
      </c>
      <c r="CC18" s="56">
        <f>SUM(BJ18,BN18)</f>
        <v/>
      </c>
      <c r="CD18" s="197">
        <f>IF(BZ18&gt;25,4,IF(BZ18&gt;18,3,IF(BZ18&gt;12,2,IF(BZ18&gt;4,1,0))))-BX18-2+1</f>
        <v/>
      </c>
      <c r="CE18" s="49" t="n">
        <v>1</v>
      </c>
      <c r="CF18" s="197">
        <f>CD18*CI18</f>
        <v/>
      </c>
      <c r="CG18" s="198">
        <f>F18-BY18+1</f>
        <v/>
      </c>
      <c r="CH18" s="197">
        <f>CE18*16</f>
        <v/>
      </c>
      <c r="CI18" s="199">
        <f>VLOOKUP(A18,[1]DATA!$A$6:$AI$331,34,0)</f>
        <v/>
      </c>
      <c r="CJ18" s="200">
        <f>VLOOKUP(A18,[2]CHAMCONG!A$7:CI$333,79,0)</f>
        <v/>
      </c>
      <c r="CK18" s="201">
        <f>CJ18-CA18</f>
        <v/>
      </c>
    </row>
    <row r="19" ht="14.25" customFormat="1" customHeight="1" s="68">
      <c r="A19" s="139" t="n">
        <v>7</v>
      </c>
      <c r="B19" s="64" t="inlineStr"/>
      <c r="C19" s="115" t="inlineStr"/>
      <c r="D19" s="46" t="inlineStr"/>
      <c r="E19" s="47" t="inlineStr"/>
      <c r="F19" s="48" t="inlineStr"/>
      <c r="G19" s="49" t="inlineStr">
        <is>
          <t>A</t>
        </is>
      </c>
      <c r="H19" s="73" t="n">
        <v>4</v>
      </c>
      <c r="I19" s="49" t="inlineStr">
        <is>
          <t>A</t>
        </is>
      </c>
      <c r="J19" s="73" t="n">
        <v>4</v>
      </c>
      <c r="K19" s="49" t="inlineStr"/>
      <c r="L19" s="73" t="n">
        <v>0</v>
      </c>
      <c r="M19" s="49" t="inlineStr">
        <is>
          <t>C</t>
        </is>
      </c>
      <c r="N19" s="73" t="n">
        <v>4</v>
      </c>
      <c r="O19" s="49" t="inlineStr">
        <is>
          <t>C</t>
        </is>
      </c>
      <c r="P19" s="73" t="n">
        <v>4</v>
      </c>
      <c r="Q19" s="50" t="inlineStr">
        <is>
          <t>C</t>
        </is>
      </c>
      <c r="R19" s="67" t="n">
        <v>4</v>
      </c>
      <c r="S19" s="50" t="inlineStr">
        <is>
          <t>C</t>
        </is>
      </c>
      <c r="T19" s="73" t="n">
        <v>4</v>
      </c>
      <c r="U19" s="50" t="inlineStr">
        <is>
          <t>C</t>
        </is>
      </c>
      <c r="V19" s="73" t="n">
        <v>4</v>
      </c>
      <c r="W19" s="50" t="inlineStr">
        <is>
          <t>C</t>
        </is>
      </c>
      <c r="X19" s="73" t="n">
        <v>4</v>
      </c>
      <c r="Y19" s="50" t="inlineStr"/>
      <c r="Z19" s="73" t="n">
        <v>0</v>
      </c>
      <c r="AA19" s="50" t="inlineStr">
        <is>
          <t>A</t>
        </is>
      </c>
      <c r="AB19" s="73" t="n">
        <v>4</v>
      </c>
      <c r="AC19" s="50" t="inlineStr">
        <is>
          <t>A</t>
        </is>
      </c>
      <c r="AD19" s="73" t="n">
        <v>4</v>
      </c>
      <c r="AE19" s="73" t="inlineStr">
        <is>
          <t>A</t>
        </is>
      </c>
      <c r="AF19" s="73" t="n">
        <v>4</v>
      </c>
      <c r="AG19" s="73" t="inlineStr">
        <is>
          <t>A</t>
        </is>
      </c>
      <c r="AH19" s="73" t="n">
        <v>4</v>
      </c>
      <c r="AI19" s="73" t="inlineStr">
        <is>
          <t>A</t>
        </is>
      </c>
      <c r="AJ19" s="73" t="n">
        <v>4</v>
      </c>
      <c r="AK19" s="73" t="inlineStr">
        <is>
          <t>A</t>
        </is>
      </c>
      <c r="AL19" s="73" t="n">
        <v>4</v>
      </c>
      <c r="AM19" s="73" t="inlineStr"/>
      <c r="AN19" s="73" t="n">
        <v>0</v>
      </c>
      <c r="AO19" s="73" t="inlineStr">
        <is>
          <t>C</t>
        </is>
      </c>
      <c r="AP19" s="73" t="n">
        <v>4</v>
      </c>
      <c r="AQ19" s="73" t="inlineStr">
        <is>
          <t>C</t>
        </is>
      </c>
      <c r="AR19" s="73" t="n">
        <v>4</v>
      </c>
      <c r="AS19" s="73" t="inlineStr">
        <is>
          <t>C</t>
        </is>
      </c>
      <c r="AT19" s="73" t="n">
        <v>4</v>
      </c>
      <c r="AU19" s="73" t="inlineStr">
        <is>
          <t>C</t>
        </is>
      </c>
      <c r="AV19" s="73" t="n">
        <v>4</v>
      </c>
      <c r="AW19" s="73" t="inlineStr">
        <is>
          <t>C</t>
        </is>
      </c>
      <c r="AX19" s="73" t="n">
        <v>4</v>
      </c>
      <c r="AY19" s="73" t="inlineStr">
        <is>
          <t>C</t>
        </is>
      </c>
      <c r="AZ19" s="73" t="n">
        <v>4</v>
      </c>
      <c r="BA19" s="73" t="inlineStr"/>
      <c r="BB19" s="73" t="n">
        <v>0</v>
      </c>
      <c r="BC19" s="73" t="inlineStr">
        <is>
          <t>A</t>
        </is>
      </c>
      <c r="BD19" s="73" t="n">
        <v>4</v>
      </c>
      <c r="BE19" s="73" t="inlineStr">
        <is>
          <t>A</t>
        </is>
      </c>
      <c r="BF19" s="73" t="n">
        <v>4</v>
      </c>
      <c r="BG19" s="73" t="inlineStr">
        <is>
          <t>A</t>
        </is>
      </c>
      <c r="BH19" s="73" t="n">
        <v>4</v>
      </c>
      <c r="BI19" s="73" t="inlineStr">
        <is>
          <t>A</t>
        </is>
      </c>
      <c r="BJ19" s="73" t="n">
        <v>4</v>
      </c>
      <c r="BK19" s="73" t="inlineStr">
        <is>
          <t>A</t>
        </is>
      </c>
      <c r="BL19" s="73" t="n">
        <v>4</v>
      </c>
      <c r="BM19" s="73" t="inlineStr">
        <is>
          <t>A</t>
        </is>
      </c>
      <c r="BN19" s="73" t="n">
        <v>4</v>
      </c>
      <c r="BO19" s="73" t="inlineStr"/>
      <c r="BP19" s="73" t="n">
        <v>0</v>
      </c>
      <c r="BQ19" s="195">
        <f>COUNTIF($G19:$BP19,"a")+COUNTIF($G19:$BP19,"r0,a5")/2+COUNTIF($G19:$BP19,"p5,a5")/2</f>
        <v/>
      </c>
      <c r="BR19" s="195">
        <f>COUNTIF($G19:$BP19,"d")+COUNTIF($G19:$BP19,"r0,d5")/2+COUNTIF($G19:$BP19,"p5,d5")/2</f>
        <v/>
      </c>
      <c r="BS19" s="195">
        <f>COUNTIF($G19:$BP19,"b")+COUNTIF($G19:$BP19,"r0,b5")/2+COUNTIF($G19:$BP19,"p5,b5")/2</f>
        <v/>
      </c>
      <c r="BT19" s="195">
        <f>COUNTIF($G19:$BP19,"c")+COUNTIF($G19:$BP19,"r0,c5")/2+COUNTIF($G19:$BP19,"p5,c5")/2</f>
        <v/>
      </c>
      <c r="BU19" s="195">
        <f>COUNTIF($G19:$BP19,"KH")+COUNTIF($G19:$BP19,"TL")+COUNTIF($G19:$BP19,"L")</f>
        <v/>
      </c>
      <c r="BV19" s="202" t="n"/>
      <c r="BW19" s="195">
        <f>COUNTIF($G19:$BP19,"hh")</f>
        <v/>
      </c>
      <c r="BX19" s="195">
        <f>COUNTIF($G19:$BP19,"nt7")</f>
        <v/>
      </c>
      <c r="BY19" s="195">
        <f>COUNTIF($G19:$BP19,"P")+COUNTIF($G19:$BP19,"p5,a5")/2+COUNTIF($G19:$BP19,"p5,b5")/2+COUNTIF($G19:$BP19,"p5,c5")/2+COUNTIF($G19:$BP19,"p5,d5")/2</f>
        <v/>
      </c>
      <c r="BZ19" s="203">
        <f>SUBTOTAL(9,BQ19:BY19)</f>
        <v/>
      </c>
      <c r="CA19" s="54">
        <f>SUM(J19,L19,N19,P19,R19,T19,X19,Z19,AB19,AD19,AF19,AH19,AL19,AN19,AP19,AR19,AT19,AV19,AZ19,BB19,BD19,BF19,BH19,BP19)</f>
        <v/>
      </c>
      <c r="CB19" s="55">
        <f>SUM(H19,V19,AJ19,AX19,BL19)</f>
        <v/>
      </c>
      <c r="CC19" s="56">
        <f>SUM(BJ19,BN19)</f>
        <v/>
      </c>
      <c r="CD19" s="197">
        <f>IF(BZ19&gt;25,4,IF(BZ19&gt;18,3,IF(BZ19&gt;12,2,IF(BZ19&gt;4,1,0))))-BX19-2+1</f>
        <v/>
      </c>
      <c r="CE19" s="49" t="n">
        <v>1</v>
      </c>
      <c r="CF19" s="197">
        <f>CD19*CI19</f>
        <v/>
      </c>
      <c r="CG19" s="198">
        <f>F19-BY19+1</f>
        <v/>
      </c>
      <c r="CH19" s="197">
        <f>CE19*16</f>
        <v/>
      </c>
      <c r="CI19" s="199">
        <f>VLOOKUP(A19,[1]DATA!$A$6:$AI$331,34,0)</f>
        <v/>
      </c>
      <c r="CJ19" s="200">
        <f>VLOOKUP(A19,[2]CHAMCONG!A$7:CI$333,79,0)</f>
        <v/>
      </c>
      <c r="CK19" s="201">
        <f>CJ19-CA19</f>
        <v/>
      </c>
    </row>
    <row r="20" ht="15.75" customFormat="1" customHeight="1" s="68">
      <c r="A20" s="139" t="n">
        <v>8</v>
      </c>
      <c r="B20" s="64" t="inlineStr"/>
      <c r="C20" s="115" t="inlineStr"/>
      <c r="D20" s="46" t="inlineStr"/>
      <c r="E20" s="47" t="inlineStr"/>
      <c r="F20" s="48" t="inlineStr"/>
      <c r="G20" s="49" t="inlineStr">
        <is>
          <t>A</t>
        </is>
      </c>
      <c r="H20" s="73" t="n">
        <v>4</v>
      </c>
      <c r="I20" s="50" t="inlineStr">
        <is>
          <t>A</t>
        </is>
      </c>
      <c r="J20" s="73" t="n">
        <v>4</v>
      </c>
      <c r="K20" s="50" t="inlineStr"/>
      <c r="L20" s="73" t="n">
        <v>0</v>
      </c>
      <c r="M20" s="50" t="inlineStr">
        <is>
          <t>C</t>
        </is>
      </c>
      <c r="N20" s="73" t="n">
        <v>4</v>
      </c>
      <c r="O20" s="73" t="inlineStr">
        <is>
          <t>C</t>
        </is>
      </c>
      <c r="P20" s="73" t="n">
        <v>4</v>
      </c>
      <c r="Q20" s="73" t="inlineStr">
        <is>
          <t>C</t>
        </is>
      </c>
      <c r="R20" s="73" t="n">
        <v>4</v>
      </c>
      <c r="S20" s="73" t="inlineStr">
        <is>
          <t>C</t>
        </is>
      </c>
      <c r="T20" s="73" t="n">
        <v>4</v>
      </c>
      <c r="U20" s="73" t="inlineStr">
        <is>
          <t>C</t>
        </is>
      </c>
      <c r="V20" s="73" t="n">
        <v>4</v>
      </c>
      <c r="W20" s="73" t="inlineStr">
        <is>
          <t>C</t>
        </is>
      </c>
      <c r="X20" s="73" t="n">
        <v>4</v>
      </c>
      <c r="Y20" s="73" t="inlineStr"/>
      <c r="Z20" s="73" t="n">
        <v>0</v>
      </c>
      <c r="AA20" s="73" t="inlineStr">
        <is>
          <t>A</t>
        </is>
      </c>
      <c r="AB20" s="73" t="n">
        <v>4</v>
      </c>
      <c r="AC20" s="73" t="inlineStr">
        <is>
          <t>A</t>
        </is>
      </c>
      <c r="AD20" s="73" t="n">
        <v>4</v>
      </c>
      <c r="AE20" s="73" t="inlineStr">
        <is>
          <t>A</t>
        </is>
      </c>
      <c r="AF20" s="73" t="n">
        <v>4</v>
      </c>
      <c r="AG20" s="50" t="inlineStr">
        <is>
          <t>A</t>
        </is>
      </c>
      <c r="AH20" s="73" t="n">
        <v>4</v>
      </c>
      <c r="AI20" s="50" t="inlineStr">
        <is>
          <t>A</t>
        </is>
      </c>
      <c r="AJ20" s="73" t="n">
        <v>4</v>
      </c>
      <c r="AK20" s="50" t="inlineStr">
        <is>
          <t>A</t>
        </is>
      </c>
      <c r="AL20" s="73" t="n">
        <v>4</v>
      </c>
      <c r="AM20" s="73" t="inlineStr"/>
      <c r="AN20" s="73" t="n">
        <v>0</v>
      </c>
      <c r="AO20" s="50" t="inlineStr">
        <is>
          <t>C</t>
        </is>
      </c>
      <c r="AP20" s="73" t="n">
        <v>4</v>
      </c>
      <c r="AQ20" s="73" t="inlineStr">
        <is>
          <t>C</t>
        </is>
      </c>
      <c r="AR20" s="73" t="n">
        <v>4</v>
      </c>
      <c r="AS20" s="73" t="inlineStr">
        <is>
          <t>C</t>
        </is>
      </c>
      <c r="AT20" s="73" t="n">
        <v>4</v>
      </c>
      <c r="AU20" s="73" t="inlineStr">
        <is>
          <t>C</t>
        </is>
      </c>
      <c r="AV20" s="73" t="n">
        <v>4</v>
      </c>
      <c r="AW20" s="73" t="inlineStr">
        <is>
          <t>C</t>
        </is>
      </c>
      <c r="AX20" s="73" t="n">
        <v>4</v>
      </c>
      <c r="AY20" s="73" t="inlineStr">
        <is>
          <t>C</t>
        </is>
      </c>
      <c r="AZ20" s="73" t="n">
        <v>4</v>
      </c>
      <c r="BA20" s="73" t="inlineStr"/>
      <c r="BB20" s="73" t="n">
        <v>0</v>
      </c>
      <c r="BC20" s="73" t="inlineStr">
        <is>
          <t>A</t>
        </is>
      </c>
      <c r="BD20" s="73" t="n">
        <v>4</v>
      </c>
      <c r="BE20" s="73" t="inlineStr">
        <is>
          <t>A</t>
        </is>
      </c>
      <c r="BF20" s="73" t="n">
        <v>4</v>
      </c>
      <c r="BG20" s="73" t="inlineStr">
        <is>
          <t>A</t>
        </is>
      </c>
      <c r="BH20" s="73" t="n">
        <v>4</v>
      </c>
      <c r="BI20" s="73" t="inlineStr">
        <is>
          <t>A</t>
        </is>
      </c>
      <c r="BJ20" s="73" t="n">
        <v>4</v>
      </c>
      <c r="BK20" s="73" t="inlineStr">
        <is>
          <t>A</t>
        </is>
      </c>
      <c r="BL20" s="73" t="n">
        <v>4</v>
      </c>
      <c r="BM20" s="73" t="inlineStr">
        <is>
          <t>A</t>
        </is>
      </c>
      <c r="BN20" s="73" t="n">
        <v>4</v>
      </c>
      <c r="BO20" s="73" t="inlineStr"/>
      <c r="BP20" s="73" t="n">
        <v>0</v>
      </c>
      <c r="BQ20" s="195">
        <f>COUNTIF($G20:$BP20,"a")+COUNTIF($G20:$BP20,"r0,a5")/2+COUNTIF($G20:$BP20,"p5,a5")/2</f>
        <v/>
      </c>
      <c r="BR20" s="195">
        <f>COUNTIF($G20:$BP20,"d")+COUNTIF($G20:$BP20,"r0,d5")/2+COUNTIF($G20:$BP20,"p5,d5")/2</f>
        <v/>
      </c>
      <c r="BS20" s="195">
        <f>COUNTIF($G20:$BP20,"b")+COUNTIF($G20:$BP20,"r0,b5")/2+COUNTIF($G20:$BP20,"p5,b5")/2</f>
        <v/>
      </c>
      <c r="BT20" s="195">
        <f>COUNTIF($G20:$BP20,"c")+COUNTIF($G20:$BP20,"r0,c5")/2+COUNTIF($G20:$BP20,"p5,c5")/2</f>
        <v/>
      </c>
      <c r="BU20" s="195">
        <f>COUNTIF($G20:$BP20,"KH")+COUNTIF($G20:$BP20,"TL")+COUNTIF($G20:$BP20,"L")</f>
        <v/>
      </c>
      <c r="BV20" s="202" t="n"/>
      <c r="BW20" s="195">
        <f>COUNTIF($G20:$BP20,"hh")</f>
        <v/>
      </c>
      <c r="BX20" s="195">
        <f>COUNTIF($G20:$BP20,"nt7")</f>
        <v/>
      </c>
      <c r="BY20" s="195">
        <f>COUNTIF($G20:$BP20,"P")+COUNTIF($G20:$BP20,"p5,a5")/2+COUNTIF($G20:$BP20,"p5,b5")/2+COUNTIF($G20:$BP20,"p5,c5")/2+COUNTIF($G20:$BP20,"p5,d5")/2</f>
        <v/>
      </c>
      <c r="BZ20" s="203">
        <f>SUBTOTAL(9,BQ20:BY20)</f>
        <v/>
      </c>
      <c r="CA20" s="54">
        <f>SUM(J20,L20,N20,P20,R20,T20,X20,Z20,AB20,AD20,AF20,AH20,AL20,AN20,AP20,AR20,AT20,AV20,AZ20,BB20,BD20,BF20,BH20,BP20)</f>
        <v/>
      </c>
      <c r="CB20" s="55">
        <f>SUM(H20,V20,AJ20,AX20,BL20)</f>
        <v/>
      </c>
      <c r="CC20" s="56">
        <f>SUM(BJ20,BN20)</f>
        <v/>
      </c>
      <c r="CD20" s="197">
        <f>IF(BZ20&gt;25,4,IF(BZ20&gt;18,3,IF(BZ20&gt;12,2,IF(BZ20&gt;4,1,0))))-BX20-2+1</f>
        <v/>
      </c>
      <c r="CE20" s="49" t="n"/>
      <c r="CF20" s="197">
        <f>CD20*CI20</f>
        <v/>
      </c>
      <c r="CG20" s="198">
        <f>F20-BY20+1</f>
        <v/>
      </c>
      <c r="CH20" s="197">
        <f>CE20*16</f>
        <v/>
      </c>
      <c r="CI20" s="199">
        <f>VLOOKUP(A20,[1]DATA!$A$6:$AI$331,34,0)</f>
        <v/>
      </c>
      <c r="CJ20" s="200">
        <f>VLOOKUP(A20,[2]CHAMCONG!A$7:CI$333,79,0)</f>
        <v/>
      </c>
      <c r="CK20" s="201">
        <f>CJ20-CA20</f>
        <v/>
      </c>
    </row>
    <row r="21" ht="15.75" customFormat="1" customHeight="1" s="68">
      <c r="A21" s="139" t="n">
        <v>9</v>
      </c>
      <c r="B21" s="64" t="inlineStr"/>
      <c r="C21" s="115" t="inlineStr"/>
      <c r="D21" s="46" t="inlineStr"/>
      <c r="E21" s="47" t="inlineStr"/>
      <c r="F21" s="48" t="inlineStr"/>
      <c r="G21" s="49" t="inlineStr">
        <is>
          <t>A</t>
        </is>
      </c>
      <c r="H21" s="73" t="n">
        <v>4</v>
      </c>
      <c r="I21" s="50" t="inlineStr">
        <is>
          <t>A</t>
        </is>
      </c>
      <c r="J21" s="73" t="n">
        <v>4</v>
      </c>
      <c r="K21" s="67" t="inlineStr"/>
      <c r="L21" s="73" t="n">
        <v>0</v>
      </c>
      <c r="M21" s="50" t="inlineStr">
        <is>
          <t>C</t>
        </is>
      </c>
      <c r="N21" s="73" t="n">
        <v>4</v>
      </c>
      <c r="O21" s="50" t="inlineStr">
        <is>
          <t>C</t>
        </is>
      </c>
      <c r="P21" s="73" t="n">
        <v>4</v>
      </c>
      <c r="Q21" s="73" t="inlineStr">
        <is>
          <t>C</t>
        </is>
      </c>
      <c r="R21" s="73" t="n">
        <v>4</v>
      </c>
      <c r="S21" s="50" t="inlineStr">
        <is>
          <t>C</t>
        </is>
      </c>
      <c r="T21" s="73" t="n">
        <v>4</v>
      </c>
      <c r="U21" s="50" t="inlineStr">
        <is>
          <t>C</t>
        </is>
      </c>
      <c r="V21" s="73" t="n">
        <v>4</v>
      </c>
      <c r="W21" s="50" t="inlineStr">
        <is>
          <t>C</t>
        </is>
      </c>
      <c r="X21" s="73" t="n">
        <v>4</v>
      </c>
      <c r="Y21" s="50" t="inlineStr"/>
      <c r="Z21" s="73" t="n">
        <v>0</v>
      </c>
      <c r="AA21" s="50" t="inlineStr">
        <is>
          <t>A</t>
        </is>
      </c>
      <c r="AB21" s="73" t="n">
        <v>4</v>
      </c>
      <c r="AC21" s="49" t="inlineStr">
        <is>
          <t>A</t>
        </is>
      </c>
      <c r="AD21" s="73" t="n">
        <v>4</v>
      </c>
      <c r="AE21" s="49" t="inlineStr">
        <is>
          <t>A</t>
        </is>
      </c>
      <c r="AF21" s="73" t="n">
        <v>4</v>
      </c>
      <c r="AG21" s="50" t="inlineStr">
        <is>
          <t>A</t>
        </is>
      </c>
      <c r="AH21" s="73" t="n">
        <v>4</v>
      </c>
      <c r="AI21" s="50" t="inlineStr">
        <is>
          <t>A</t>
        </is>
      </c>
      <c r="AJ21" s="73" t="n">
        <v>4</v>
      </c>
      <c r="AK21" s="50" t="inlineStr">
        <is>
          <t>A</t>
        </is>
      </c>
      <c r="AL21" s="73" t="n">
        <v>4</v>
      </c>
      <c r="AM21" s="73" t="inlineStr"/>
      <c r="AN21" s="73" t="n">
        <v>0</v>
      </c>
      <c r="AO21" s="50" t="inlineStr">
        <is>
          <t>C</t>
        </is>
      </c>
      <c r="AP21" s="73" t="n">
        <v>4</v>
      </c>
      <c r="AQ21" s="73" t="inlineStr">
        <is>
          <t>C</t>
        </is>
      </c>
      <c r="AR21" s="73" t="n">
        <v>4</v>
      </c>
      <c r="AS21" s="73" t="inlineStr">
        <is>
          <t>C</t>
        </is>
      </c>
      <c r="AT21" s="73" t="n">
        <v>4</v>
      </c>
      <c r="AU21" s="73" t="inlineStr">
        <is>
          <t>C</t>
        </is>
      </c>
      <c r="AV21" s="73" t="n">
        <v>4</v>
      </c>
      <c r="AW21" s="49" t="inlineStr">
        <is>
          <t>C</t>
        </is>
      </c>
      <c r="AX21" s="73" t="n">
        <v>4</v>
      </c>
      <c r="AY21" s="49" t="inlineStr">
        <is>
          <t>C</t>
        </is>
      </c>
      <c r="AZ21" s="73" t="n">
        <v>4</v>
      </c>
      <c r="BA21" s="49" t="inlineStr"/>
      <c r="BB21" s="73" t="n">
        <v>0</v>
      </c>
      <c r="BC21" s="73" t="inlineStr">
        <is>
          <t>A</t>
        </is>
      </c>
      <c r="BD21" s="73" t="n">
        <v>4</v>
      </c>
      <c r="BE21" s="49" t="inlineStr">
        <is>
          <t>A</t>
        </is>
      </c>
      <c r="BF21" s="73" t="n">
        <v>4</v>
      </c>
      <c r="BG21" s="49" t="inlineStr">
        <is>
          <t>A</t>
        </is>
      </c>
      <c r="BH21" s="73" t="n">
        <v>4</v>
      </c>
      <c r="BI21" s="49" t="inlineStr">
        <is>
          <t>A</t>
        </is>
      </c>
      <c r="BJ21" s="73" t="n">
        <v>4</v>
      </c>
      <c r="BK21" s="49" t="inlineStr">
        <is>
          <t>A</t>
        </is>
      </c>
      <c r="BL21" s="73" t="n">
        <v>4</v>
      </c>
      <c r="BM21" s="73" t="inlineStr">
        <is>
          <t>A</t>
        </is>
      </c>
      <c r="BN21" s="73" t="n">
        <v>4</v>
      </c>
      <c r="BO21" s="49" t="inlineStr"/>
      <c r="BP21" s="73" t="n">
        <v>0</v>
      </c>
      <c r="BQ21" s="195">
        <f>COUNTIF($G21:$BP21,"a")+COUNTIF($G21:$BP21,"r0,a5")/2+COUNTIF($G21:$BP21,"p5,a5")/2</f>
        <v/>
      </c>
      <c r="BR21" s="195">
        <f>COUNTIF($G21:$BP21,"d")+COUNTIF($G21:$BP21,"r0,d5")/2+COUNTIF($G21:$BP21,"p5,d5")/2</f>
        <v/>
      </c>
      <c r="BS21" s="195">
        <f>COUNTIF($G21:$BP21,"b")+COUNTIF($G21:$BP21,"r0,b5")/2+COUNTIF($G21:$BP21,"p5,b5")/2</f>
        <v/>
      </c>
      <c r="BT21" s="195">
        <f>COUNTIF($G21:$BP21,"c")+COUNTIF($G21:$BP21,"r0,c5")/2+COUNTIF($G21:$BP21,"p5,c5")/2</f>
        <v/>
      </c>
      <c r="BU21" s="195">
        <f>COUNTIF($G21:$BP21,"KH")+COUNTIF($G21:$BP21,"TL")+COUNTIF($G21:$BP21,"L")</f>
        <v/>
      </c>
      <c r="BV21" s="202" t="n"/>
      <c r="BW21" s="195">
        <f>COUNTIF($G21:$BP21,"hh")</f>
        <v/>
      </c>
      <c r="BX21" s="195">
        <f>COUNTIF($G21:$BP21,"nt7")</f>
        <v/>
      </c>
      <c r="BY21" s="195">
        <f>COUNTIF($G21:$BP21,"P")+COUNTIF($G21:$BP21,"p5,a5")/2+COUNTIF($G21:$BP21,"p5,b5")/2+COUNTIF($G21:$BP21,"p5,c5")/2+COUNTIF($G21:$BP21,"p5,d5")/2</f>
        <v/>
      </c>
      <c r="BZ21" s="203">
        <f>SUBTOTAL(9,BQ21:BY21)</f>
        <v/>
      </c>
      <c r="CA21" s="54">
        <f>SUM(J21,L21,N21,P21,R21,T21,X21,Z21,AB21,AD21,AF21,AH21,AL21,AN21,AP21,AR21,AT21,AV21,AZ21,BB21,BD21,BF21,BH21,BP21)</f>
        <v/>
      </c>
      <c r="CB21" s="55">
        <f>SUM(H21,V21,AJ21,AX21,BL21)</f>
        <v/>
      </c>
      <c r="CC21" s="56">
        <f>SUM(BJ21,BN21)</f>
        <v/>
      </c>
      <c r="CD21" s="197">
        <f>IF(BZ21&gt;25,4,IF(BZ21&gt;18,3,IF(BZ21&gt;12,2,IF(BZ21&gt;4,1,0))))-BX21-2+1</f>
        <v/>
      </c>
      <c r="CE21" s="49" t="n"/>
      <c r="CF21" s="197">
        <f>CD21*CI21</f>
        <v/>
      </c>
      <c r="CG21" s="198">
        <f>F21-BY21+1</f>
        <v/>
      </c>
      <c r="CH21" s="197">
        <f>CE21*16</f>
        <v/>
      </c>
      <c r="CI21" s="199">
        <f>VLOOKUP(A21,[1]DATA!$A$6:$AI$331,34,0)</f>
        <v/>
      </c>
      <c r="CJ21" s="200">
        <f>VLOOKUP(A21,[2]CHAMCONG!A$7:CI$333,79,0)</f>
        <v/>
      </c>
      <c r="CK21" s="201">
        <f>CJ21-CA21</f>
        <v/>
      </c>
    </row>
    <row r="22" ht="15.75" customFormat="1" customHeight="1" s="68">
      <c r="A22" s="139" t="inlineStr">
        <is>
          <t>A1083</t>
        </is>
      </c>
      <c r="B22" s="64" t="inlineStr"/>
      <c r="C22" s="115" t="inlineStr"/>
      <c r="D22" s="46" t="inlineStr"/>
      <c r="E22" s="47" t="inlineStr"/>
      <c r="F22" s="48" t="inlineStr"/>
      <c r="G22" s="49" t="inlineStr">
        <is>
          <t>RR</t>
        </is>
      </c>
      <c r="H22" s="73" t="n">
        <v>0</v>
      </c>
      <c r="I22" s="49" t="inlineStr">
        <is>
          <t>RR</t>
        </is>
      </c>
      <c r="J22" s="73" t="n">
        <v>0</v>
      </c>
      <c r="K22" s="49" t="inlineStr">
        <is>
          <t>RR</t>
        </is>
      </c>
      <c r="L22" s="73" t="n">
        <v>0</v>
      </c>
      <c r="M22" s="73" t="inlineStr">
        <is>
          <t>RR</t>
        </is>
      </c>
      <c r="N22" s="73" t="n">
        <v>0</v>
      </c>
      <c r="O22" s="50" t="inlineStr">
        <is>
          <t>RR</t>
        </is>
      </c>
      <c r="P22" s="73" t="n">
        <v>0</v>
      </c>
      <c r="Q22" s="50" t="inlineStr">
        <is>
          <t>RR</t>
        </is>
      </c>
      <c r="R22" s="67" t="n">
        <v>0</v>
      </c>
      <c r="S22" s="50" t="inlineStr">
        <is>
          <t>RR</t>
        </is>
      </c>
      <c r="T22" s="73" t="n">
        <v>0</v>
      </c>
      <c r="U22" s="49" t="inlineStr">
        <is>
          <t>RR</t>
        </is>
      </c>
      <c r="V22" s="73" t="n">
        <v>0</v>
      </c>
      <c r="W22" s="50" t="inlineStr">
        <is>
          <t>RR</t>
        </is>
      </c>
      <c r="X22" s="73" t="n">
        <v>0</v>
      </c>
      <c r="Y22" s="50" t="inlineStr">
        <is>
          <t>RR</t>
        </is>
      </c>
      <c r="Z22" s="73" t="n">
        <v>0</v>
      </c>
      <c r="AA22" s="73" t="inlineStr">
        <is>
          <t>RR</t>
        </is>
      </c>
      <c r="AB22" s="73" t="n">
        <v>0</v>
      </c>
      <c r="AC22" s="73" t="inlineStr">
        <is>
          <t>RR</t>
        </is>
      </c>
      <c r="AD22" s="73" t="n">
        <v>0</v>
      </c>
      <c r="AE22" s="73" t="inlineStr">
        <is>
          <t>RR</t>
        </is>
      </c>
      <c r="AF22" s="73" t="n">
        <v>0</v>
      </c>
      <c r="AG22" s="73" t="inlineStr">
        <is>
          <t>RR</t>
        </is>
      </c>
      <c r="AH22" s="73" t="n">
        <v>0</v>
      </c>
      <c r="AI22" s="73" t="inlineStr">
        <is>
          <t>RR</t>
        </is>
      </c>
      <c r="AJ22" s="73" t="n">
        <v>0</v>
      </c>
      <c r="AK22" s="49" t="inlineStr">
        <is>
          <t>RR</t>
        </is>
      </c>
      <c r="AL22" s="73" t="n">
        <v>0</v>
      </c>
      <c r="AM22" s="49" t="inlineStr">
        <is>
          <t>RR</t>
        </is>
      </c>
      <c r="AN22" s="73" t="n">
        <v>0</v>
      </c>
      <c r="AO22" s="73" t="inlineStr">
        <is>
          <t>RR</t>
        </is>
      </c>
      <c r="AP22" s="73" t="n">
        <v>0</v>
      </c>
      <c r="AQ22" s="50" t="inlineStr">
        <is>
          <t>RR</t>
        </is>
      </c>
      <c r="AR22" s="73" t="n">
        <v>0</v>
      </c>
      <c r="AS22" s="50" t="inlineStr">
        <is>
          <t>RR</t>
        </is>
      </c>
      <c r="AT22" s="67" t="n">
        <v>0</v>
      </c>
      <c r="AU22" s="50" t="inlineStr">
        <is>
          <t>RR</t>
        </is>
      </c>
      <c r="AV22" s="73" t="n">
        <v>0</v>
      </c>
      <c r="AW22" s="73" t="inlineStr">
        <is>
          <t>RR</t>
        </is>
      </c>
      <c r="AX22" s="73" t="n">
        <v>0</v>
      </c>
      <c r="AY22" s="73" t="inlineStr">
        <is>
          <t>RR</t>
        </is>
      </c>
      <c r="AZ22" s="73" t="n">
        <v>0</v>
      </c>
      <c r="BA22" s="73" t="inlineStr">
        <is>
          <t>RR</t>
        </is>
      </c>
      <c r="BB22" s="73" t="n">
        <v>0</v>
      </c>
      <c r="BC22" s="73" t="inlineStr">
        <is>
          <t>RR</t>
        </is>
      </c>
      <c r="BD22" s="73" t="n">
        <v>0</v>
      </c>
      <c r="BE22" s="73" t="inlineStr">
        <is>
          <t>RR</t>
        </is>
      </c>
      <c r="BF22" s="73" t="n">
        <v>0</v>
      </c>
      <c r="BG22" s="73" t="inlineStr">
        <is>
          <t>RR</t>
        </is>
      </c>
      <c r="BH22" s="73" t="n">
        <v>0</v>
      </c>
      <c r="BI22" s="73" t="inlineStr">
        <is>
          <t>RR</t>
        </is>
      </c>
      <c r="BJ22" s="73" t="n">
        <v>0</v>
      </c>
      <c r="BK22" s="73" t="inlineStr">
        <is>
          <t>RR</t>
        </is>
      </c>
      <c r="BL22" s="73" t="n">
        <v>0</v>
      </c>
      <c r="BM22" s="73" t="inlineStr">
        <is>
          <t>RR</t>
        </is>
      </c>
      <c r="BN22" s="73" t="n">
        <v>0</v>
      </c>
      <c r="BO22" s="73" t="inlineStr">
        <is>
          <t>RR</t>
        </is>
      </c>
      <c r="BP22" s="73" t="n">
        <v>0</v>
      </c>
      <c r="BQ22" s="195">
        <f>COUNTIF($G22:$BP22,"a")+COUNTIF($G22:$BP22,"r0,a5")/2+COUNTIF($G22:$BP22,"p5,a5")/2</f>
        <v/>
      </c>
      <c r="BR22" s="195">
        <f>COUNTIF($G22:$BP22,"d")+COUNTIF($G22:$BP22,"r0,d5")/2+COUNTIF($G22:$BP22,"p5,d5")/2</f>
        <v/>
      </c>
      <c r="BS22" s="195">
        <f>COUNTIF($G22:$BP22,"b")+COUNTIF($G22:$BP22,"r0,b5")/2+COUNTIF($G22:$BP22,"p5,b5")/2</f>
        <v/>
      </c>
      <c r="BT22" s="195">
        <f>COUNTIF($G22:$BP22,"c")+COUNTIF($G22:$BP22,"r0,c5")/2+COUNTIF($G22:$BP22,"p5,c5")/2</f>
        <v/>
      </c>
      <c r="BU22" s="195">
        <f>COUNTIF($G22:$BP22,"KH")+COUNTIF($G22:$BP22,"TL")+COUNTIF($G22:$BP22,"L")</f>
        <v/>
      </c>
      <c r="BV22" s="202" t="n"/>
      <c r="BW22" s="195">
        <f>COUNTIF($G22:$BP22,"hh")</f>
        <v/>
      </c>
      <c r="BX22" s="195">
        <f>COUNTIF($G22:$BP22,"nt7")</f>
        <v/>
      </c>
      <c r="BY22" s="195">
        <f>COUNTIF($G22:$BP22,"P")+COUNTIF($G22:$BP22,"p5,a5")/2+COUNTIF($G22:$BP22,"p5,b5")/2+COUNTIF($G22:$BP22,"p5,c5")/2+COUNTIF($G22:$BP22,"p5,d5")/2</f>
        <v/>
      </c>
      <c r="BZ22" s="203">
        <f>SUBTOTAL(9,BQ22:BY22)</f>
        <v/>
      </c>
      <c r="CA22" s="54">
        <f>SUM(J22,L22,N22,P22,R22,T22,X22,Z22,AB22,AD22,AF22,AH22,AL22,AN22,AP22,AR22,AT22,AV22,AZ22,BB22,BD22,BF22,BH22,BP22)</f>
        <v/>
      </c>
      <c r="CB22" s="55">
        <f>SUM(H22,V22,AJ22,AX22,BL22)</f>
        <v/>
      </c>
      <c r="CC22" s="56">
        <f>SUM(BJ22,BN22)</f>
        <v/>
      </c>
      <c r="CD22" s="197">
        <f>IF(BZ22&gt;25,4,IF(BZ22&gt;18,3,IF(BZ22&gt;12,2,IF(BZ22&gt;4,1,0))))-BX22-2+1</f>
        <v/>
      </c>
      <c r="CE22" s="49" t="n"/>
      <c r="CF22" s="197">
        <f>CD22*CI22</f>
        <v/>
      </c>
      <c r="CG22" s="198">
        <f>F22-BY22+1</f>
        <v/>
      </c>
      <c r="CH22" s="197">
        <f>CE22*16</f>
        <v/>
      </c>
      <c r="CI22" s="199">
        <f>VLOOKUP(A22,[1]DATA!$A$6:$AI$331,34,0)</f>
        <v/>
      </c>
      <c r="CJ22" s="200">
        <f>VLOOKUP(A22,[2]CHAMCONG!A$7:CI$333,79,0)</f>
        <v/>
      </c>
      <c r="CK22" s="201">
        <f>CJ22-CA22</f>
        <v/>
      </c>
    </row>
    <row r="23" ht="15.75" customFormat="1" customHeight="1" s="68">
      <c r="A23" s="139" t="inlineStr">
        <is>
          <t>A1144</t>
        </is>
      </c>
      <c r="B23" s="64" t="inlineStr"/>
      <c r="C23" s="115" t="inlineStr"/>
      <c r="D23" s="46" t="inlineStr"/>
      <c r="E23" s="47" t="inlineStr"/>
      <c r="F23" s="48" t="inlineStr"/>
      <c r="G23" s="49" t="inlineStr">
        <is>
          <t>D</t>
        </is>
      </c>
      <c r="H23" s="73" t="n">
        <v>0</v>
      </c>
      <c r="I23" s="49" t="inlineStr">
        <is>
          <t>D</t>
        </is>
      </c>
      <c r="J23" s="73" t="n">
        <v>0</v>
      </c>
      <c r="K23" s="49" t="inlineStr">
        <is>
          <t>RR</t>
        </is>
      </c>
      <c r="L23" s="73" t="n">
        <v>0</v>
      </c>
      <c r="M23" s="49" t="inlineStr">
        <is>
          <t>D</t>
        </is>
      </c>
      <c r="N23" s="73" t="n">
        <v>0</v>
      </c>
      <c r="O23" s="49" t="inlineStr">
        <is>
          <t>D</t>
        </is>
      </c>
      <c r="P23" s="73" t="n">
        <v>0</v>
      </c>
      <c r="Q23" s="49" t="inlineStr">
        <is>
          <t>D</t>
        </is>
      </c>
      <c r="R23" s="73" t="n">
        <v>0</v>
      </c>
      <c r="S23" s="49" t="inlineStr">
        <is>
          <t>D</t>
        </is>
      </c>
      <c r="T23" s="73" t="n">
        <v>0</v>
      </c>
      <c r="U23" s="49" t="inlineStr">
        <is>
          <t>D</t>
        </is>
      </c>
      <c r="V23" s="73" t="n">
        <v>0</v>
      </c>
      <c r="W23" s="49" t="inlineStr">
        <is>
          <t>RR</t>
        </is>
      </c>
      <c r="X23" s="73" t="n">
        <v>0</v>
      </c>
      <c r="Y23" s="49" t="inlineStr">
        <is>
          <t>RR</t>
        </is>
      </c>
      <c r="Z23" s="73" t="n">
        <v>0</v>
      </c>
      <c r="AA23" s="49" t="inlineStr">
        <is>
          <t>D</t>
        </is>
      </c>
      <c r="AB23" s="73" t="n">
        <v>0</v>
      </c>
      <c r="AC23" s="50" t="inlineStr">
        <is>
          <t>D</t>
        </is>
      </c>
      <c r="AD23" s="73" t="n">
        <v>0</v>
      </c>
      <c r="AE23" s="50" t="inlineStr">
        <is>
          <t>D</t>
        </is>
      </c>
      <c r="AF23" s="67" t="n">
        <v>0</v>
      </c>
      <c r="AG23" s="50" t="inlineStr">
        <is>
          <t>D</t>
        </is>
      </c>
      <c r="AH23" s="73" t="n">
        <v>0</v>
      </c>
      <c r="AI23" s="73" t="inlineStr">
        <is>
          <t>D</t>
        </is>
      </c>
      <c r="AJ23" s="73" t="n">
        <v>0</v>
      </c>
      <c r="AK23" s="49" t="inlineStr">
        <is>
          <t>D</t>
        </is>
      </c>
      <c r="AL23" s="73" t="n">
        <v>0</v>
      </c>
      <c r="AM23" s="49" t="inlineStr">
        <is>
          <t>RR</t>
        </is>
      </c>
      <c r="AN23" s="73" t="n">
        <v>0</v>
      </c>
      <c r="AO23" s="49" t="inlineStr">
        <is>
          <t>D</t>
        </is>
      </c>
      <c r="AP23" s="73" t="n">
        <v>0</v>
      </c>
      <c r="AQ23" s="49" t="inlineStr">
        <is>
          <t>D</t>
        </is>
      </c>
      <c r="AR23" s="73" t="n">
        <v>0</v>
      </c>
      <c r="AS23" s="49" t="inlineStr">
        <is>
          <t>D</t>
        </is>
      </c>
      <c r="AT23" s="73" t="n">
        <v>0</v>
      </c>
      <c r="AU23" s="49" t="inlineStr">
        <is>
          <t>D</t>
        </is>
      </c>
      <c r="AV23" s="73" t="n">
        <v>0</v>
      </c>
      <c r="AW23" s="73" t="inlineStr">
        <is>
          <t>D</t>
        </is>
      </c>
      <c r="AX23" s="73" t="n">
        <v>0</v>
      </c>
      <c r="AY23" s="73" t="inlineStr">
        <is>
          <t>RR</t>
        </is>
      </c>
      <c r="AZ23" s="73" t="n">
        <v>0</v>
      </c>
      <c r="BA23" s="73" t="inlineStr">
        <is>
          <t>RR</t>
        </is>
      </c>
      <c r="BB23" s="73" t="n">
        <v>0</v>
      </c>
      <c r="BC23" s="73" t="inlineStr">
        <is>
          <t>D</t>
        </is>
      </c>
      <c r="BD23" s="73" t="n">
        <v>0</v>
      </c>
      <c r="BE23" s="73" t="inlineStr">
        <is>
          <t>D</t>
        </is>
      </c>
      <c r="BF23" s="73" t="n">
        <v>0</v>
      </c>
      <c r="BG23" s="73" t="inlineStr">
        <is>
          <t>D</t>
        </is>
      </c>
      <c r="BH23" s="73" t="n">
        <v>0</v>
      </c>
      <c r="BI23" s="73" t="inlineStr">
        <is>
          <t>D</t>
        </is>
      </c>
      <c r="BJ23" s="73" t="n">
        <v>0</v>
      </c>
      <c r="BK23" s="73" t="inlineStr">
        <is>
          <t>D</t>
        </is>
      </c>
      <c r="BL23" s="73" t="n">
        <v>0</v>
      </c>
      <c r="BM23" s="73" t="inlineStr">
        <is>
          <t>D</t>
        </is>
      </c>
      <c r="BN23" s="73" t="n">
        <v>0</v>
      </c>
      <c r="BO23" s="73" t="inlineStr">
        <is>
          <t>RR</t>
        </is>
      </c>
      <c r="BP23" s="73" t="n">
        <v>0</v>
      </c>
      <c r="BQ23" s="195">
        <f>COUNTIF($G23:$BP23,"a")+COUNTIF($G23:$BP23,"r0,a5")/2+COUNTIF($G23:$BP23,"p5,a5")/2</f>
        <v/>
      </c>
      <c r="BR23" s="195">
        <f>COUNTIF($G23:$BP23,"d")+COUNTIF($G23:$BP23,"r0,d5")/2+COUNTIF($G23:$BP23,"p5,d5")/2</f>
        <v/>
      </c>
      <c r="BS23" s="195">
        <f>COUNTIF($G23:$BP23,"b")+COUNTIF($G23:$BP23,"r0,b5")/2+COUNTIF($G23:$BP23,"p5,b5")/2</f>
        <v/>
      </c>
      <c r="BT23" s="195">
        <f>COUNTIF($G23:$BP23,"c")+COUNTIF($G23:$BP23,"r0,c5")/2+COUNTIF($G23:$BP23,"p5,c5")/2</f>
        <v/>
      </c>
      <c r="BU23" s="195">
        <f>COUNTIF($G23:$BP23,"KH")+COUNTIF($G23:$BP23,"TL")+COUNTIF($G23:$BP23,"L")</f>
        <v/>
      </c>
      <c r="BV23" s="202" t="n"/>
      <c r="BW23" s="195">
        <f>COUNTIF($G23:$BP23,"hh")</f>
        <v/>
      </c>
      <c r="BX23" s="195">
        <f>COUNTIF($G23:$BP23,"nt7")</f>
        <v/>
      </c>
      <c r="BY23" s="195">
        <f>COUNTIF($G23:$BP23,"P")+COUNTIF($G23:$BP23,"p5,a5")/2+COUNTIF($G23:$BP23,"p5,b5")/2+COUNTIF($G23:$BP23,"p5,c5")/2+COUNTIF($G23:$BP23,"p5,d5")/2</f>
        <v/>
      </c>
      <c r="BZ23" s="203">
        <f>SUBTOTAL(9,BQ23:BY23)</f>
        <v/>
      </c>
      <c r="CA23" s="54">
        <f>SUM(J23,L23,N23,P23,R23,T23,X23,Z23,AB23,AD23,AF23,AH23,AL23,AN23,AP23,AR23,AT23,AV23,AZ23,BB23,BD23,BF23,BH23,BP23)</f>
        <v/>
      </c>
      <c r="CB23" s="55">
        <f>SUM(H23,V23,AJ23,AX23,BL23)</f>
        <v/>
      </c>
      <c r="CC23" s="56">
        <f>SUM(BJ23,BN23)</f>
        <v/>
      </c>
      <c r="CD23" s="197">
        <f>IF(BZ23&gt;25,4,IF(BZ23&gt;18,3,IF(BZ23&gt;12,2,IF(BZ23&gt;4,1,0))))-BX23-2+1</f>
        <v/>
      </c>
      <c r="CE23" s="49" t="n"/>
      <c r="CF23" s="197">
        <f>CD23*CI23</f>
        <v/>
      </c>
      <c r="CG23" s="198">
        <f>F23-BY23+1</f>
        <v/>
      </c>
      <c r="CH23" s="197">
        <f>CE23*16</f>
        <v/>
      </c>
      <c r="CI23" s="199">
        <f>VLOOKUP(A23,[1]DATA!$A$6:$AI$331,34,0)</f>
        <v/>
      </c>
      <c r="CJ23" s="200">
        <f>VLOOKUP(A23,[2]CHAMCONG!A$7:CI$333,79,0)</f>
        <v/>
      </c>
      <c r="CK23" s="201">
        <f>CJ23-CA23</f>
        <v/>
      </c>
    </row>
    <row r="24" ht="17.25" customFormat="1" customHeight="1" s="68">
      <c r="A24" s="139" t="inlineStr">
        <is>
          <t>A1148</t>
        </is>
      </c>
      <c r="B24" s="64" t="inlineStr"/>
      <c r="C24" s="115" t="inlineStr"/>
      <c r="D24" s="46" t="inlineStr"/>
      <c r="E24" s="47" t="inlineStr"/>
      <c r="F24" s="48" t="inlineStr"/>
      <c r="G24" s="49" t="inlineStr">
        <is>
          <t>D</t>
        </is>
      </c>
      <c r="H24" s="73" t="n">
        <v>0</v>
      </c>
      <c r="I24" s="50" t="inlineStr">
        <is>
          <t>D</t>
        </is>
      </c>
      <c r="J24" s="73" t="n">
        <v>0</v>
      </c>
      <c r="K24" s="73" t="inlineStr">
        <is>
          <t>RR</t>
        </is>
      </c>
      <c r="L24" s="73" t="n">
        <v>0</v>
      </c>
      <c r="M24" s="73" t="inlineStr">
        <is>
          <t>D</t>
        </is>
      </c>
      <c r="N24" s="73" t="n">
        <v>0</v>
      </c>
      <c r="O24" s="50" t="inlineStr">
        <is>
          <t>D</t>
        </is>
      </c>
      <c r="P24" s="73" t="n">
        <v>0</v>
      </c>
      <c r="Q24" s="73" t="inlineStr">
        <is>
          <t>D</t>
        </is>
      </c>
      <c r="R24" s="73" t="n">
        <v>0</v>
      </c>
      <c r="S24" s="73" t="inlineStr">
        <is>
          <t>D</t>
        </is>
      </c>
      <c r="T24" s="73" t="n">
        <v>0</v>
      </c>
      <c r="U24" s="49" t="inlineStr">
        <is>
          <t>D</t>
        </is>
      </c>
      <c r="V24" s="73" t="n">
        <v>0</v>
      </c>
      <c r="W24" s="50" t="inlineStr">
        <is>
          <t>RR</t>
        </is>
      </c>
      <c r="X24" s="73" t="n">
        <v>0</v>
      </c>
      <c r="Y24" s="73" t="inlineStr">
        <is>
          <t>RR</t>
        </is>
      </c>
      <c r="Z24" s="73" t="n">
        <v>0</v>
      </c>
      <c r="AA24" s="73" t="inlineStr">
        <is>
          <t>D</t>
        </is>
      </c>
      <c r="AB24" s="73" t="n">
        <v>0</v>
      </c>
      <c r="AC24" s="50" t="inlineStr">
        <is>
          <t>D</t>
        </is>
      </c>
      <c r="AD24" s="73" t="n">
        <v>0</v>
      </c>
      <c r="AE24" s="73" t="inlineStr">
        <is>
          <t>D</t>
        </is>
      </c>
      <c r="AF24" s="73" t="n">
        <v>0</v>
      </c>
      <c r="AG24" s="73" t="inlineStr">
        <is>
          <t>D</t>
        </is>
      </c>
      <c r="AH24" s="73" t="n">
        <v>0</v>
      </c>
      <c r="AI24" s="73" t="inlineStr">
        <is>
          <t>D</t>
        </is>
      </c>
      <c r="AJ24" s="73" t="n">
        <v>0</v>
      </c>
      <c r="AK24" s="50" t="inlineStr">
        <is>
          <t>D</t>
        </is>
      </c>
      <c r="AL24" s="73" t="n">
        <v>0</v>
      </c>
      <c r="AM24" s="73" t="inlineStr">
        <is>
          <t>RR</t>
        </is>
      </c>
      <c r="AN24" s="73" t="n">
        <v>0</v>
      </c>
      <c r="AO24" s="73" t="inlineStr">
        <is>
          <t>D</t>
        </is>
      </c>
      <c r="AP24" s="73" t="n">
        <v>0</v>
      </c>
      <c r="AQ24" s="50" t="inlineStr">
        <is>
          <t>D</t>
        </is>
      </c>
      <c r="AR24" s="73" t="n">
        <v>0</v>
      </c>
      <c r="AS24" s="73" t="inlineStr">
        <is>
          <t>D</t>
        </is>
      </c>
      <c r="AT24" s="73" t="n">
        <v>0</v>
      </c>
      <c r="AU24" s="73" t="inlineStr">
        <is>
          <t>D</t>
        </is>
      </c>
      <c r="AV24" s="73" t="n">
        <v>0</v>
      </c>
      <c r="AW24" s="73" t="inlineStr">
        <is>
          <t>D</t>
        </is>
      </c>
      <c r="AX24" s="73" t="n">
        <v>0</v>
      </c>
      <c r="AY24" s="50" t="inlineStr">
        <is>
          <t>RR</t>
        </is>
      </c>
      <c r="AZ24" s="73" t="n">
        <v>0</v>
      </c>
      <c r="BA24" s="73" t="inlineStr">
        <is>
          <t>RR</t>
        </is>
      </c>
      <c r="BB24" s="73" t="n">
        <v>0</v>
      </c>
      <c r="BC24" s="73" t="inlineStr">
        <is>
          <t>D</t>
        </is>
      </c>
      <c r="BD24" s="73" t="n">
        <v>0</v>
      </c>
      <c r="BE24" s="50" t="inlineStr">
        <is>
          <t>D</t>
        </is>
      </c>
      <c r="BF24" s="73" t="n">
        <v>0</v>
      </c>
      <c r="BG24" s="73" t="inlineStr">
        <is>
          <t>D</t>
        </is>
      </c>
      <c r="BH24" s="73" t="n">
        <v>0</v>
      </c>
      <c r="BI24" s="73" t="inlineStr">
        <is>
          <t>D</t>
        </is>
      </c>
      <c r="BJ24" s="73" t="n">
        <v>0</v>
      </c>
      <c r="BK24" s="73" t="inlineStr">
        <is>
          <t>D</t>
        </is>
      </c>
      <c r="BL24" s="73" t="n">
        <v>0</v>
      </c>
      <c r="BM24" s="73" t="inlineStr">
        <is>
          <t>D</t>
        </is>
      </c>
      <c r="BN24" s="73" t="n">
        <v>0</v>
      </c>
      <c r="BO24" s="73" t="inlineStr">
        <is>
          <t>RR</t>
        </is>
      </c>
      <c r="BP24" s="73" t="n">
        <v>0</v>
      </c>
      <c r="BQ24" s="195">
        <f>COUNTIF($G24:$BP24,"a")+COUNTIF($G24:$BP24,"r0,a5")/2+COUNTIF($G24:$BP24,"p5,a5")/2</f>
        <v/>
      </c>
      <c r="BR24" s="195">
        <f>COUNTIF($G24:$BP24,"d")+COUNTIF($G24:$BP24,"r0,d5")/2+COUNTIF($G24:$BP24,"p5,d5")/2</f>
        <v/>
      </c>
      <c r="BS24" s="195">
        <f>COUNTIF($G24:$BP24,"b")+COUNTIF($G24:$BP24,"r0,b5")/2+COUNTIF($G24:$BP24,"p5,b5")/2</f>
        <v/>
      </c>
      <c r="BT24" s="195">
        <f>COUNTIF($G24:$BP24,"c")+COUNTIF($G24:$BP24,"r0,c5")/2+COUNTIF($G24:$BP24,"p5,c5")/2</f>
        <v/>
      </c>
      <c r="BU24" s="195">
        <f>COUNTIF($G24:$BP24,"KH")+COUNTIF($G24:$BP24,"TL")+COUNTIF($G24:$BP24,"L")</f>
        <v/>
      </c>
      <c r="BV24" s="202" t="n"/>
      <c r="BW24" s="195">
        <f>COUNTIF($G24:$BP24,"hh")</f>
        <v/>
      </c>
      <c r="BX24" s="195">
        <f>COUNTIF($G24:$BP24,"nt7")</f>
        <v/>
      </c>
      <c r="BY24" s="195">
        <f>COUNTIF($G24:$BP24,"P")+COUNTIF($G24:$BP24,"p5,a5")/2+COUNTIF($G24:$BP24,"p5,b5")/2+COUNTIF($G24:$BP24,"p5,c5")/2+COUNTIF($G24:$BP24,"p5,d5")/2</f>
        <v/>
      </c>
      <c r="BZ24" s="203">
        <f>SUBTOTAL(9,BQ24:BY24)</f>
        <v/>
      </c>
      <c r="CA24" s="54">
        <f>SUM(J24,L24,N24,P24,R24,T24,X24,Z24,AB24,AD24,AF24,AH24,AL24,AN24,AP24,AR24,AT24,AV24,AZ24,BB24,BD24,BF24,BH24,BP24)</f>
        <v/>
      </c>
      <c r="CB24" s="55">
        <f>SUM(H24,V24,AJ24,AX24,BL24)</f>
        <v/>
      </c>
      <c r="CC24" s="56">
        <f>SUM(BJ24,BN24)</f>
        <v/>
      </c>
      <c r="CD24" s="197">
        <f>IF(BZ24&gt;25,4,IF(BZ24&gt;18,3,IF(BZ24&gt;12,2,IF(BZ24&gt;4,1,0))))-BX24-2+1</f>
        <v/>
      </c>
      <c r="CE24" s="49" t="n"/>
      <c r="CF24" s="197">
        <f>CD24*CI24</f>
        <v/>
      </c>
      <c r="CG24" s="198">
        <f>F24-BY24+1</f>
        <v/>
      </c>
      <c r="CH24" s="197">
        <f>CE24*16</f>
        <v/>
      </c>
      <c r="CI24" s="199">
        <f>VLOOKUP(A24,[1]DATA!$A$6:$AI$331,34,0)</f>
        <v/>
      </c>
      <c r="CJ24" s="200">
        <f>VLOOKUP(A24,[2]CHAMCONG!A$7:CI$333,79,0)</f>
        <v/>
      </c>
      <c r="CK24" s="201">
        <f>CJ24-CA24</f>
        <v/>
      </c>
    </row>
    <row r="25" ht="15.75" customFormat="1" customHeight="1" s="68">
      <c r="A25" s="139" t="inlineStr">
        <is>
          <t>A1637</t>
        </is>
      </c>
      <c r="B25" s="64" t="inlineStr"/>
      <c r="C25" s="115" t="inlineStr"/>
      <c r="D25" s="46" t="inlineStr"/>
      <c r="E25" s="47" t="inlineStr"/>
      <c r="F25" s="48" t="inlineStr"/>
      <c r="G25" s="49" t="inlineStr">
        <is>
          <t>D</t>
        </is>
      </c>
      <c r="H25" s="73" t="n">
        <v>0</v>
      </c>
      <c r="I25" s="73" t="inlineStr">
        <is>
          <t>D</t>
        </is>
      </c>
      <c r="J25" s="73" t="n">
        <v>0</v>
      </c>
      <c r="K25" s="73" t="inlineStr">
        <is>
          <t>RR</t>
        </is>
      </c>
      <c r="L25" s="73" t="n">
        <v>0</v>
      </c>
      <c r="M25" s="73" t="inlineStr">
        <is>
          <t>D</t>
        </is>
      </c>
      <c r="N25" s="73" t="n">
        <v>0</v>
      </c>
      <c r="O25" s="73" t="inlineStr">
        <is>
          <t>D</t>
        </is>
      </c>
      <c r="P25" s="73" t="n">
        <v>0</v>
      </c>
      <c r="Q25" s="50" t="inlineStr">
        <is>
          <t>D</t>
        </is>
      </c>
      <c r="R25" s="67" t="n">
        <v>0</v>
      </c>
      <c r="S25" s="50" t="inlineStr">
        <is>
          <t>D</t>
        </is>
      </c>
      <c r="T25" s="73" t="n">
        <v>0</v>
      </c>
      <c r="U25" s="50" t="inlineStr">
        <is>
          <t>D</t>
        </is>
      </c>
      <c r="V25" s="73" t="n">
        <v>0</v>
      </c>
      <c r="W25" s="50" t="inlineStr">
        <is>
          <t>RR</t>
        </is>
      </c>
      <c r="X25" s="73" t="n">
        <v>0</v>
      </c>
      <c r="Y25" s="50" t="inlineStr">
        <is>
          <t>RR</t>
        </is>
      </c>
      <c r="Z25" s="73" t="n">
        <v>0</v>
      </c>
      <c r="AA25" s="50" t="inlineStr">
        <is>
          <t>D</t>
        </is>
      </c>
      <c r="AB25" s="73" t="n">
        <v>0</v>
      </c>
      <c r="AC25" s="73" t="inlineStr">
        <is>
          <t>D</t>
        </is>
      </c>
      <c r="AD25" s="73" t="n">
        <v>0</v>
      </c>
      <c r="AE25" s="73" t="inlineStr">
        <is>
          <t>D</t>
        </is>
      </c>
      <c r="AF25" s="73" t="n">
        <v>0</v>
      </c>
      <c r="AG25" s="73" t="inlineStr">
        <is>
          <t>D</t>
        </is>
      </c>
      <c r="AH25" s="73" t="n">
        <v>0</v>
      </c>
      <c r="AI25" s="73" t="inlineStr">
        <is>
          <t>D</t>
        </is>
      </c>
      <c r="AJ25" s="73" t="n">
        <v>0</v>
      </c>
      <c r="AK25" s="73" t="inlineStr">
        <is>
          <t>D</t>
        </is>
      </c>
      <c r="AL25" s="73" t="n">
        <v>0</v>
      </c>
      <c r="AM25" s="73" t="inlineStr">
        <is>
          <t>RR</t>
        </is>
      </c>
      <c r="AN25" s="73" t="n">
        <v>0</v>
      </c>
      <c r="AO25" s="73" t="inlineStr">
        <is>
          <t>D</t>
        </is>
      </c>
      <c r="AP25" s="73" t="n">
        <v>0</v>
      </c>
      <c r="AQ25" s="73" t="inlineStr">
        <is>
          <t>D</t>
        </is>
      </c>
      <c r="AR25" s="73" t="n">
        <v>0</v>
      </c>
      <c r="AS25" s="73" t="inlineStr">
        <is>
          <t>D</t>
        </is>
      </c>
      <c r="AT25" s="73" t="n">
        <v>0</v>
      </c>
      <c r="AU25" s="73" t="inlineStr">
        <is>
          <t>D</t>
        </is>
      </c>
      <c r="AV25" s="73" t="n">
        <v>0</v>
      </c>
      <c r="AW25" s="73" t="inlineStr">
        <is>
          <t>D</t>
        </is>
      </c>
      <c r="AX25" s="73" t="n">
        <v>0</v>
      </c>
      <c r="AY25" s="50" t="inlineStr">
        <is>
          <t>RR</t>
        </is>
      </c>
      <c r="AZ25" s="73" t="n">
        <v>0</v>
      </c>
      <c r="BA25" s="67" t="inlineStr">
        <is>
          <t>RR</t>
        </is>
      </c>
      <c r="BB25" s="73" t="n">
        <v>0</v>
      </c>
      <c r="BC25" s="67" t="inlineStr">
        <is>
          <t>D</t>
        </is>
      </c>
      <c r="BD25" s="73" t="n">
        <v>0</v>
      </c>
      <c r="BE25" s="73" t="inlineStr">
        <is>
          <t>D</t>
        </is>
      </c>
      <c r="BF25" s="73" t="n">
        <v>0</v>
      </c>
      <c r="BG25" s="73" t="inlineStr">
        <is>
          <t>D</t>
        </is>
      </c>
      <c r="BH25" s="73" t="n">
        <v>0</v>
      </c>
      <c r="BI25" s="73" t="inlineStr">
        <is>
          <t>D</t>
        </is>
      </c>
      <c r="BJ25" s="73" t="n">
        <v>0</v>
      </c>
      <c r="BK25" s="73" t="inlineStr">
        <is>
          <t>D</t>
        </is>
      </c>
      <c r="BL25" s="73" t="n">
        <v>0</v>
      </c>
      <c r="BM25" s="73" t="inlineStr">
        <is>
          <t>D</t>
        </is>
      </c>
      <c r="BN25" s="73" t="n">
        <v>0</v>
      </c>
      <c r="BO25" s="73" t="inlineStr">
        <is>
          <t>RR</t>
        </is>
      </c>
      <c r="BP25" s="73" t="n">
        <v>0</v>
      </c>
      <c r="BQ25" s="195">
        <f>COUNTIF($G25:$BP25,"a")+COUNTIF($G25:$BP25,"r0,a5")/2+COUNTIF($G25:$BP25,"p5,a5")/2</f>
        <v/>
      </c>
      <c r="BR25" s="195">
        <f>COUNTIF($G25:$BP25,"d")+COUNTIF($G25:$BP25,"r0,d5")/2+COUNTIF($G25:$BP25,"p5,d5")/2</f>
        <v/>
      </c>
      <c r="BS25" s="195">
        <f>COUNTIF($G25:$BP25,"b")+COUNTIF($G25:$BP25,"r0,b5")/2+COUNTIF($G25:$BP25,"p5,b5")/2</f>
        <v/>
      </c>
      <c r="BT25" s="195">
        <f>COUNTIF($G25:$BP25,"c")+COUNTIF($G25:$BP25,"r0,c5")/2+COUNTIF($G25:$BP25,"p5,c5")/2</f>
        <v/>
      </c>
      <c r="BU25" s="195">
        <f>COUNTIF($G25:$BP25,"KH")+COUNTIF($G25:$BP25,"TL")+COUNTIF($G25:$BP25,"L")</f>
        <v/>
      </c>
      <c r="BV25" s="195" t="n"/>
      <c r="BW25" s="195">
        <f>COUNTIF($G25:$BP25,"hh")</f>
        <v/>
      </c>
      <c r="BX25" s="195">
        <f>COUNTIF($G25:$BP25,"nt7")</f>
        <v/>
      </c>
      <c r="BY25" s="195">
        <f>COUNTIF($G25:$BP25,"P")+COUNTIF($G25:$BP25,"p5,a5")/2+COUNTIF($G25:$BP25,"p5,b5")/2+COUNTIF($G25:$BP25,"p5,c5")/2+COUNTIF($G25:$BP25,"p5,d5")/2</f>
        <v/>
      </c>
      <c r="BZ25" s="203">
        <f>SUBTOTAL(9,BQ25:BY25)</f>
        <v/>
      </c>
      <c r="CA25" s="54">
        <f>SUM(J25,L25,N25,P25,R25,T25,X25,Z25,AB25,AD25,AF25,AH25,AL25,AN25,AP25,AR25,AT25,AV25,AZ25,BB25,BD25,BF25,BH25,BP25)</f>
        <v/>
      </c>
      <c r="CB25" s="55">
        <f>SUM(H25,V25,AJ25,AX25,BL25)</f>
        <v/>
      </c>
      <c r="CC25" s="56">
        <f>SUM(BJ25,BN25)</f>
        <v/>
      </c>
      <c r="CD25" s="197">
        <f>IF(BZ25&gt;25,4,IF(BZ25&gt;18,3,IF(BZ25&gt;12,2,IF(BZ25&gt;4,1,0))))-BX25-2+1</f>
        <v/>
      </c>
      <c r="CE25" s="49" t="n"/>
      <c r="CF25" s="197">
        <f>CD25*CI25</f>
        <v/>
      </c>
      <c r="CG25" s="198">
        <f>F25-BY25+1</f>
        <v/>
      </c>
      <c r="CH25" s="197">
        <f>CE25*16</f>
        <v/>
      </c>
      <c r="CI25" s="199">
        <f>VLOOKUP(A25,[1]DATA!$A$6:$AI$331,34,0)</f>
        <v/>
      </c>
      <c r="CJ25" s="200">
        <f>VLOOKUP(A25,[2]CHAMCONG!A$7:CI$333,79,0)</f>
        <v/>
      </c>
      <c r="CK25" s="201">
        <f>CJ25-CA25</f>
        <v/>
      </c>
    </row>
    <row r="26" ht="17.25" customFormat="1" customHeight="1" s="68">
      <c r="A26" s="139" t="inlineStr">
        <is>
          <t>A1675</t>
        </is>
      </c>
      <c r="B26" s="64" t="inlineStr"/>
      <c r="C26" s="115" t="inlineStr"/>
      <c r="D26" s="46" t="inlineStr"/>
      <c r="E26" s="47" t="inlineStr"/>
      <c r="F26" s="48" t="inlineStr"/>
      <c r="G26" s="49" t="inlineStr">
        <is>
          <t>D</t>
        </is>
      </c>
      <c r="H26" s="73" t="n">
        <v>0</v>
      </c>
      <c r="I26" s="50" t="inlineStr">
        <is>
          <t>D</t>
        </is>
      </c>
      <c r="J26" s="73" t="n">
        <v>0</v>
      </c>
      <c r="K26" s="73" t="inlineStr">
        <is>
          <t>RR</t>
        </is>
      </c>
      <c r="L26" s="73" t="n">
        <v>0</v>
      </c>
      <c r="M26" s="73" t="inlineStr">
        <is>
          <t>D</t>
        </is>
      </c>
      <c r="N26" s="73" t="n">
        <v>0</v>
      </c>
      <c r="O26" s="50" t="inlineStr">
        <is>
          <t>D</t>
        </is>
      </c>
      <c r="P26" s="73" t="n">
        <v>0</v>
      </c>
      <c r="Q26" s="73" t="inlineStr">
        <is>
          <t>D</t>
        </is>
      </c>
      <c r="R26" s="73" t="n">
        <v>0</v>
      </c>
      <c r="S26" s="73" t="inlineStr">
        <is>
          <t>D</t>
        </is>
      </c>
      <c r="T26" s="73" t="n">
        <v>0</v>
      </c>
      <c r="U26" s="49" t="inlineStr">
        <is>
          <t>D</t>
        </is>
      </c>
      <c r="V26" s="73" t="n">
        <v>0</v>
      </c>
      <c r="W26" s="73" t="inlineStr">
        <is>
          <t>RR</t>
        </is>
      </c>
      <c r="X26" s="73" t="n">
        <v>0</v>
      </c>
      <c r="Y26" s="73" t="inlineStr">
        <is>
          <t>RR</t>
        </is>
      </c>
      <c r="Z26" s="73" t="n">
        <v>0</v>
      </c>
      <c r="AA26" s="73" t="inlineStr">
        <is>
          <t>D</t>
        </is>
      </c>
      <c r="AB26" s="73" t="n">
        <v>0</v>
      </c>
      <c r="AC26" s="73" t="inlineStr">
        <is>
          <t>D</t>
        </is>
      </c>
      <c r="AD26" s="73" t="n">
        <v>0</v>
      </c>
      <c r="AE26" s="73" t="inlineStr">
        <is>
          <t>D</t>
        </is>
      </c>
      <c r="AF26" s="73" t="n">
        <v>0</v>
      </c>
      <c r="AG26" s="73" t="inlineStr">
        <is>
          <t>D</t>
        </is>
      </c>
      <c r="AH26" s="73" t="n">
        <v>0</v>
      </c>
      <c r="AI26" s="73" t="inlineStr">
        <is>
          <t>D</t>
        </is>
      </c>
      <c r="AJ26" s="73" t="n">
        <v>0</v>
      </c>
      <c r="AK26" s="73" t="inlineStr">
        <is>
          <t>D</t>
        </is>
      </c>
      <c r="AL26" s="73" t="n">
        <v>0</v>
      </c>
      <c r="AM26" s="73" t="inlineStr">
        <is>
          <t>RR</t>
        </is>
      </c>
      <c r="AN26" s="73" t="n">
        <v>0</v>
      </c>
      <c r="AO26" s="73" t="inlineStr">
        <is>
          <t>D</t>
        </is>
      </c>
      <c r="AP26" s="73" t="n">
        <v>0</v>
      </c>
      <c r="AQ26" s="73" t="inlineStr">
        <is>
          <t>D</t>
        </is>
      </c>
      <c r="AR26" s="73" t="n">
        <v>0</v>
      </c>
      <c r="AS26" s="73" t="inlineStr">
        <is>
          <t>D</t>
        </is>
      </c>
      <c r="AT26" s="73" t="n">
        <v>0</v>
      </c>
      <c r="AU26" s="73" t="inlineStr">
        <is>
          <t>D</t>
        </is>
      </c>
      <c r="AV26" s="73" t="n">
        <v>0</v>
      </c>
      <c r="AW26" s="73" t="inlineStr">
        <is>
          <t>D</t>
        </is>
      </c>
      <c r="AX26" s="73" t="n">
        <v>0</v>
      </c>
      <c r="AY26" s="73" t="inlineStr">
        <is>
          <t>RR</t>
        </is>
      </c>
      <c r="AZ26" s="73" t="n">
        <v>0</v>
      </c>
      <c r="BA26" s="73" t="inlineStr">
        <is>
          <t>RR</t>
        </is>
      </c>
      <c r="BB26" s="73" t="n">
        <v>0</v>
      </c>
      <c r="BC26" s="73" t="inlineStr">
        <is>
          <t>D</t>
        </is>
      </c>
      <c r="BD26" s="73" t="n">
        <v>0</v>
      </c>
      <c r="BE26" s="73" t="inlineStr">
        <is>
          <t>D</t>
        </is>
      </c>
      <c r="BF26" s="73" t="n">
        <v>0</v>
      </c>
      <c r="BG26" s="73" t="inlineStr">
        <is>
          <t>D</t>
        </is>
      </c>
      <c r="BH26" s="73" t="n">
        <v>0</v>
      </c>
      <c r="BI26" s="73" t="inlineStr">
        <is>
          <t>D</t>
        </is>
      </c>
      <c r="BJ26" s="73" t="n">
        <v>0</v>
      </c>
      <c r="BK26" s="73" t="inlineStr">
        <is>
          <t>D</t>
        </is>
      </c>
      <c r="BL26" s="73" t="n">
        <v>0</v>
      </c>
      <c r="BM26" s="73" t="inlineStr">
        <is>
          <t>D</t>
        </is>
      </c>
      <c r="BN26" s="73" t="n">
        <v>0</v>
      </c>
      <c r="BO26" s="73" t="inlineStr">
        <is>
          <t>RR</t>
        </is>
      </c>
      <c r="BP26" s="73" t="n">
        <v>0</v>
      </c>
      <c r="BQ26" s="195">
        <f>COUNTIF($G26:$BP26,"a")+COUNTIF($G26:$BP26,"r0,a5")/2+COUNTIF($G26:$BP26,"p5,a5")/2</f>
        <v/>
      </c>
      <c r="BR26" s="195">
        <f>COUNTIF($G26:$BP26,"d")+COUNTIF($G26:$BP26,"r0,d5")/2+COUNTIF($G26:$BP26,"p5,d5")/2</f>
        <v/>
      </c>
      <c r="BS26" s="195">
        <f>COUNTIF($G26:$BP26,"b")+COUNTIF($G26:$BP26,"r0,b5")/2+COUNTIF($G26:$BP26,"p5,b5")/2</f>
        <v/>
      </c>
      <c r="BT26" s="195">
        <f>COUNTIF($G26:$BP26,"c")+COUNTIF($G26:$BP26,"r0,c5")/2+COUNTIF($G26:$BP26,"p5,c5")/2</f>
        <v/>
      </c>
      <c r="BU26" s="195">
        <f>COUNTIF($G26:$BP26,"KH")+COUNTIF($G26:$BP26,"TL")+COUNTIF($G26:$BP26,"L")</f>
        <v/>
      </c>
      <c r="BV26" s="202" t="n"/>
      <c r="BW26" s="195">
        <f>COUNTIF($G26:$BP26,"hh")</f>
        <v/>
      </c>
      <c r="BX26" s="195">
        <f>COUNTIF($G26:$BP26,"nt7")</f>
        <v/>
      </c>
      <c r="BY26" s="195">
        <f>COUNTIF($G26:$BP26,"P")+COUNTIF($G26:$BP26,"p5,a5")/2+COUNTIF($G26:$BP26,"p5,b5")/2+COUNTIF($G26:$BP26,"p5,c5")/2+COUNTIF($G26:$BP26,"p5,d5")/2</f>
        <v/>
      </c>
      <c r="BZ26" s="203">
        <f>SUBTOTAL(9,BQ26:BY26)</f>
        <v/>
      </c>
      <c r="CA26" s="54">
        <f>SUM(J26,L26,N26,P26,R26,T26,X26,Z26,AB26,AD26,AF26,AH26,AL26,AN26,AP26,AR26,AT26,AV26,AZ26,BB26,BD26,BF26,BH26,BP26)</f>
        <v/>
      </c>
      <c r="CB26" s="55">
        <f>SUM(H26,V26,AJ26,AX26,BL26)</f>
        <v/>
      </c>
      <c r="CC26" s="56">
        <f>SUM(BJ26,BN26)</f>
        <v/>
      </c>
      <c r="CD26" s="197">
        <f>IF(BZ26&gt;25,4,IF(BZ26&gt;18,3,IF(BZ26&gt;12,2,IF(BZ26&gt;4,1,0))))-BX26-2+1</f>
        <v/>
      </c>
      <c r="CE26" s="49" t="n"/>
      <c r="CF26" s="197">
        <f>CD26*CI26</f>
        <v/>
      </c>
      <c r="CG26" s="198">
        <f>F26-BY26+1</f>
        <v/>
      </c>
      <c r="CH26" s="197">
        <f>CE26*16</f>
        <v/>
      </c>
      <c r="CI26" s="199">
        <f>VLOOKUP(A26,[1]DATA!$A$6:$AI$331,34,0)</f>
        <v/>
      </c>
      <c r="CJ26" s="200">
        <f>VLOOKUP(A26,[2]CHAMCONG!A$7:CI$333,79,0)</f>
        <v/>
      </c>
      <c r="CK26" s="201">
        <f>CJ26-CA26</f>
        <v/>
      </c>
    </row>
    <row r="27" ht="17.25" customFormat="1" customHeight="1" s="68">
      <c r="A27" s="139" t="inlineStr">
        <is>
          <t>A1795</t>
        </is>
      </c>
      <c r="B27" s="64" t="inlineStr"/>
      <c r="C27" s="115" t="inlineStr"/>
      <c r="D27" s="46" t="inlineStr"/>
      <c r="E27" s="47" t="inlineStr"/>
      <c r="F27" s="48" t="inlineStr"/>
      <c r="G27" s="49" t="inlineStr">
        <is>
          <t>D</t>
        </is>
      </c>
      <c r="H27" s="73" t="n">
        <v>0</v>
      </c>
      <c r="I27" s="50" t="inlineStr">
        <is>
          <t>D</t>
        </is>
      </c>
      <c r="J27" s="73" t="n">
        <v>0</v>
      </c>
      <c r="K27" s="67" t="inlineStr">
        <is>
          <t>RR</t>
        </is>
      </c>
      <c r="L27" s="73" t="n">
        <v>0</v>
      </c>
      <c r="M27" s="67" t="inlineStr">
        <is>
          <t>D</t>
        </is>
      </c>
      <c r="N27" s="73" t="n">
        <v>0</v>
      </c>
      <c r="O27" s="67" t="inlineStr">
        <is>
          <t>D</t>
        </is>
      </c>
      <c r="P27" s="73" t="n">
        <v>0</v>
      </c>
      <c r="Q27" s="73" t="inlineStr">
        <is>
          <t>D</t>
        </is>
      </c>
      <c r="R27" s="73" t="n">
        <v>0</v>
      </c>
      <c r="S27" s="73" t="inlineStr">
        <is>
          <t>D</t>
        </is>
      </c>
      <c r="T27" s="73" t="n">
        <v>0</v>
      </c>
      <c r="U27" s="73" t="inlineStr">
        <is>
          <t>D</t>
        </is>
      </c>
      <c r="V27" s="73" t="n">
        <v>0</v>
      </c>
      <c r="W27" s="73" t="inlineStr">
        <is>
          <t>RR</t>
        </is>
      </c>
      <c r="X27" s="73" t="n">
        <v>0</v>
      </c>
      <c r="Y27" s="73" t="inlineStr">
        <is>
          <t>RR</t>
        </is>
      </c>
      <c r="Z27" s="73" t="n">
        <v>0</v>
      </c>
      <c r="AA27" s="73" t="inlineStr">
        <is>
          <t>D</t>
        </is>
      </c>
      <c r="AB27" s="73" t="n">
        <v>0</v>
      </c>
      <c r="AC27" s="73" t="inlineStr">
        <is>
          <t>D</t>
        </is>
      </c>
      <c r="AD27" s="73" t="n">
        <v>0</v>
      </c>
      <c r="AE27" s="73" t="inlineStr">
        <is>
          <t>D</t>
        </is>
      </c>
      <c r="AF27" s="73" t="n">
        <v>0</v>
      </c>
      <c r="AG27" s="50" t="inlineStr">
        <is>
          <t>D</t>
        </is>
      </c>
      <c r="AH27" s="73" t="n">
        <v>0</v>
      </c>
      <c r="AI27" s="50" t="inlineStr">
        <is>
          <t>D</t>
        </is>
      </c>
      <c r="AJ27" s="73" t="n">
        <v>0</v>
      </c>
      <c r="AK27" s="50" t="inlineStr">
        <is>
          <t>D</t>
        </is>
      </c>
      <c r="AL27" s="73" t="n">
        <v>0</v>
      </c>
      <c r="AM27" s="50" t="inlineStr">
        <is>
          <t>RR</t>
        </is>
      </c>
      <c r="AN27" s="73" t="n">
        <v>0</v>
      </c>
      <c r="AO27" s="50" t="inlineStr">
        <is>
          <t>D</t>
        </is>
      </c>
      <c r="AP27" s="73" t="n">
        <v>0</v>
      </c>
      <c r="AQ27" s="73" t="inlineStr">
        <is>
          <t>D</t>
        </is>
      </c>
      <c r="AR27" s="73" t="n">
        <v>0</v>
      </c>
      <c r="AS27" s="73" t="inlineStr">
        <is>
          <t>D</t>
        </is>
      </c>
      <c r="AT27" s="73" t="n">
        <v>0</v>
      </c>
      <c r="AU27" s="73" t="inlineStr">
        <is>
          <t>D</t>
        </is>
      </c>
      <c r="AV27" s="73" t="n">
        <v>0</v>
      </c>
      <c r="AW27" s="73" t="inlineStr">
        <is>
          <t>D</t>
        </is>
      </c>
      <c r="AX27" s="73" t="n">
        <v>0</v>
      </c>
      <c r="AY27" s="73" t="inlineStr">
        <is>
          <t>RR</t>
        </is>
      </c>
      <c r="AZ27" s="73" t="n">
        <v>0</v>
      </c>
      <c r="BA27" s="73" t="inlineStr">
        <is>
          <t>RR</t>
        </is>
      </c>
      <c r="BB27" s="73" t="n">
        <v>0</v>
      </c>
      <c r="BC27" s="73" t="inlineStr">
        <is>
          <t>D</t>
        </is>
      </c>
      <c r="BD27" s="73" t="n">
        <v>0</v>
      </c>
      <c r="BE27" s="73" t="inlineStr">
        <is>
          <t>D</t>
        </is>
      </c>
      <c r="BF27" s="73" t="n">
        <v>0</v>
      </c>
      <c r="BG27" s="73" t="inlineStr">
        <is>
          <t>D</t>
        </is>
      </c>
      <c r="BH27" s="73" t="n">
        <v>0</v>
      </c>
      <c r="BI27" s="73" t="inlineStr">
        <is>
          <t>D</t>
        </is>
      </c>
      <c r="BJ27" s="73" t="n">
        <v>0</v>
      </c>
      <c r="BK27" s="73" t="inlineStr">
        <is>
          <t>D</t>
        </is>
      </c>
      <c r="BL27" s="73" t="n">
        <v>0</v>
      </c>
      <c r="BM27" s="73" t="inlineStr">
        <is>
          <t>D</t>
        </is>
      </c>
      <c r="BN27" s="73" t="n">
        <v>0</v>
      </c>
      <c r="BO27" s="73" t="inlineStr">
        <is>
          <t>RR</t>
        </is>
      </c>
      <c r="BP27" s="73" t="n">
        <v>0</v>
      </c>
      <c r="BQ27" s="195">
        <f>COUNTIF($G27:$BP27,"a")+COUNTIF($G27:$BP27,"r0,a5")/2+COUNTIF($G27:$BP27,"p5,a5")/2</f>
        <v/>
      </c>
      <c r="BR27" s="195">
        <f>COUNTIF($G27:$BP27,"d")+COUNTIF($G27:$BP27,"r0,d5")/2+COUNTIF($G27:$BP27,"p5,d5")/2</f>
        <v/>
      </c>
      <c r="BS27" s="195">
        <f>COUNTIF($G27:$BP27,"b")+COUNTIF($G27:$BP27,"r0,b5")/2+COUNTIF($G27:$BP27,"p5,b5")/2</f>
        <v/>
      </c>
      <c r="BT27" s="195">
        <f>COUNTIF($G27:$BP27,"c")+COUNTIF($G27:$BP27,"r0,c5")/2+COUNTIF($G27:$BP27,"p5,c5")/2</f>
        <v/>
      </c>
      <c r="BU27" s="195">
        <f>COUNTIF($G27:$BP27,"KH")+COUNTIF($G27:$BP27,"TL")+COUNTIF($G27:$BP27,"L")</f>
        <v/>
      </c>
      <c r="BV27" s="202" t="n"/>
      <c r="BW27" s="195">
        <f>COUNTIF($G27:$BP27,"hh")</f>
        <v/>
      </c>
      <c r="BX27" s="195">
        <f>COUNTIF($G27:$BP27,"nt7")</f>
        <v/>
      </c>
      <c r="BY27" s="195">
        <f>COUNTIF($G27:$BP27,"P")+COUNTIF($G27:$BP27,"p5,a5")/2+COUNTIF($G27:$BP27,"p5,b5")/2+COUNTIF($G27:$BP27,"p5,c5")/2+COUNTIF($G27:$BP27,"p5,d5")/2</f>
        <v/>
      </c>
      <c r="BZ27" s="203">
        <f>SUBTOTAL(9,BQ27:BY27)</f>
        <v/>
      </c>
      <c r="CA27" s="54">
        <f>SUM(J27,L27,N27,P27,R27,T27,X27,Z27,AB27,AD27,AF27,AH27,AL27,AN27,AP27,AR27,AT27,AV27,AZ27,BB27,BD27,BF27,BH27,BP27)</f>
        <v/>
      </c>
      <c r="CB27" s="55">
        <f>SUM(H27,V27,AJ27,AX27,BL27)</f>
        <v/>
      </c>
      <c r="CC27" s="56">
        <f>SUM(BJ27,BN27)</f>
        <v/>
      </c>
      <c r="CD27" s="197">
        <f>IF(BZ27&gt;25,4,IF(BZ27&gt;18,3,IF(BZ27&gt;12,2,IF(BZ27&gt;4,1,0))))-BX27-2+1</f>
        <v/>
      </c>
      <c r="CE27" s="49" t="n">
        <v>2</v>
      </c>
      <c r="CF27" s="197">
        <f>CD27*CI27</f>
        <v/>
      </c>
      <c r="CG27" s="198">
        <f>F27-BY27+1</f>
        <v/>
      </c>
      <c r="CH27" s="197">
        <f>CE27*16</f>
        <v/>
      </c>
      <c r="CI27" s="199">
        <f>VLOOKUP(A27,[1]DATA!$A$6:$AI$331,34,0)</f>
        <v/>
      </c>
      <c r="CJ27" s="200">
        <f>VLOOKUP(A27,[2]CHAMCONG!A$7:CI$333,79,0)</f>
        <v/>
      </c>
      <c r="CK27" s="201">
        <f>CJ27-CA27</f>
        <v/>
      </c>
    </row>
    <row r="28" ht="17.25" customFormat="1" customHeight="1" s="68">
      <c r="A28" s="139" t="inlineStr">
        <is>
          <t>A1888</t>
        </is>
      </c>
      <c r="B28" s="64" t="inlineStr"/>
      <c r="C28" s="115" t="inlineStr"/>
      <c r="D28" s="46" t="inlineStr"/>
      <c r="E28" s="47" t="inlineStr"/>
      <c r="F28" s="48" t="inlineStr"/>
      <c r="G28" s="49" t="inlineStr">
        <is>
          <t>D</t>
        </is>
      </c>
      <c r="H28" s="73" t="n">
        <v>0</v>
      </c>
      <c r="I28" s="67" t="inlineStr">
        <is>
          <t>RR</t>
        </is>
      </c>
      <c r="J28" s="73" t="n">
        <v>0</v>
      </c>
      <c r="K28" s="67" t="inlineStr">
        <is>
          <t>RR</t>
        </is>
      </c>
      <c r="L28" s="73" t="n">
        <v>0</v>
      </c>
      <c r="M28" s="67" t="inlineStr">
        <is>
          <t>D</t>
        </is>
      </c>
      <c r="N28" s="73" t="n">
        <v>0</v>
      </c>
      <c r="O28" s="67" t="inlineStr">
        <is>
          <t>D</t>
        </is>
      </c>
      <c r="P28" s="73" t="n">
        <v>0</v>
      </c>
      <c r="Q28" s="73" t="inlineStr">
        <is>
          <t>D</t>
        </is>
      </c>
      <c r="R28" s="73" t="n">
        <v>0</v>
      </c>
      <c r="S28" s="67" t="inlineStr">
        <is>
          <t>D</t>
        </is>
      </c>
      <c r="T28" s="73" t="n">
        <v>0</v>
      </c>
      <c r="U28" s="67" t="inlineStr">
        <is>
          <t>D</t>
        </is>
      </c>
      <c r="V28" s="73" t="n">
        <v>0</v>
      </c>
      <c r="W28" s="67" t="inlineStr">
        <is>
          <t>RR</t>
        </is>
      </c>
      <c r="X28" s="73" t="n">
        <v>0</v>
      </c>
      <c r="Y28" s="67" t="inlineStr">
        <is>
          <t>RR</t>
        </is>
      </c>
      <c r="Z28" s="73" t="n">
        <v>0</v>
      </c>
      <c r="AA28" s="67" t="inlineStr">
        <is>
          <t>D</t>
        </is>
      </c>
      <c r="AB28" s="73" t="n">
        <v>0</v>
      </c>
      <c r="AC28" s="67" t="inlineStr">
        <is>
          <t>D</t>
        </is>
      </c>
      <c r="AD28" s="73" t="n">
        <v>0</v>
      </c>
      <c r="AE28" s="73" t="inlineStr">
        <is>
          <t>D</t>
        </is>
      </c>
      <c r="AF28" s="73" t="n">
        <v>0</v>
      </c>
      <c r="AG28" s="67" t="inlineStr">
        <is>
          <t>D</t>
        </is>
      </c>
      <c r="AH28" s="73" t="n">
        <v>0</v>
      </c>
      <c r="AI28" s="67" t="inlineStr">
        <is>
          <t>D</t>
        </is>
      </c>
      <c r="AJ28" s="73" t="n">
        <v>0</v>
      </c>
      <c r="AK28" s="67" t="inlineStr">
        <is>
          <t>RR</t>
        </is>
      </c>
      <c r="AL28" s="73" t="n">
        <v>0</v>
      </c>
      <c r="AM28" s="67" t="inlineStr">
        <is>
          <t>RR</t>
        </is>
      </c>
      <c r="AN28" s="73" t="n">
        <v>0</v>
      </c>
      <c r="AO28" s="67" t="inlineStr">
        <is>
          <t>D</t>
        </is>
      </c>
      <c r="AP28" s="73" t="n">
        <v>0</v>
      </c>
      <c r="AQ28" s="50" t="inlineStr">
        <is>
          <t>D</t>
        </is>
      </c>
      <c r="AR28" s="73" t="n">
        <v>0</v>
      </c>
      <c r="AS28" s="73" t="inlineStr">
        <is>
          <t>D</t>
        </is>
      </c>
      <c r="AT28" s="73" t="n">
        <v>0</v>
      </c>
      <c r="AU28" s="73" t="inlineStr">
        <is>
          <t>D</t>
        </is>
      </c>
      <c r="AV28" s="73" t="n">
        <v>0</v>
      </c>
      <c r="AW28" s="73" t="inlineStr">
        <is>
          <t>D</t>
        </is>
      </c>
      <c r="AX28" s="73" t="n">
        <v>0</v>
      </c>
      <c r="AY28" s="50" t="inlineStr">
        <is>
          <t>RR</t>
        </is>
      </c>
      <c r="AZ28" s="73" t="n">
        <v>0</v>
      </c>
      <c r="BA28" s="73" t="inlineStr">
        <is>
          <t>RR</t>
        </is>
      </c>
      <c r="BB28" s="73" t="n">
        <v>0</v>
      </c>
      <c r="BC28" s="73" t="inlineStr">
        <is>
          <t>D</t>
        </is>
      </c>
      <c r="BD28" s="73" t="n">
        <v>0</v>
      </c>
      <c r="BE28" s="50" t="inlineStr">
        <is>
          <t>D</t>
        </is>
      </c>
      <c r="BF28" s="73" t="n">
        <v>0</v>
      </c>
      <c r="BG28" s="73" t="inlineStr">
        <is>
          <t>D</t>
        </is>
      </c>
      <c r="BH28" s="73" t="n">
        <v>0</v>
      </c>
      <c r="BI28" s="73" t="inlineStr">
        <is>
          <t>D</t>
        </is>
      </c>
      <c r="BJ28" s="73" t="n">
        <v>0</v>
      </c>
      <c r="BK28" s="73" t="inlineStr">
        <is>
          <t>D</t>
        </is>
      </c>
      <c r="BL28" s="73" t="n">
        <v>0</v>
      </c>
      <c r="BM28" s="73" t="inlineStr">
        <is>
          <t>RR</t>
        </is>
      </c>
      <c r="BN28" s="73" t="n">
        <v>0</v>
      </c>
      <c r="BO28" s="73" t="inlineStr">
        <is>
          <t>RR</t>
        </is>
      </c>
      <c r="BP28" s="73" t="n">
        <v>0</v>
      </c>
      <c r="BQ28" s="195">
        <f>COUNTIF($G28:$BP28,"a")+COUNTIF($G28:$BP28,"r0,a5")/2+COUNTIF($G28:$BP28,"p5,a5")/2</f>
        <v/>
      </c>
      <c r="BR28" s="195">
        <f>COUNTIF($G28:$BP28,"d")+COUNTIF($G28:$BP28,"r0,d5")/2+COUNTIF($G28:$BP28,"p5,d5")/2</f>
        <v/>
      </c>
      <c r="BS28" s="195">
        <f>COUNTIF($G28:$BP28,"b")+COUNTIF($G28:$BP28,"r0,b5")/2+COUNTIF($G28:$BP28,"p5,b5")/2</f>
        <v/>
      </c>
      <c r="BT28" s="195">
        <f>COUNTIF($G28:$BP28,"c")+COUNTIF($G28:$BP28,"r0,c5")/2+COUNTIF($G28:$BP28,"p5,c5")/2</f>
        <v/>
      </c>
      <c r="BU28" s="195">
        <f>COUNTIF($G28:$BP28,"KH")+COUNTIF($G28:$BP28,"TL")+COUNTIF($G28:$BP28,"L")</f>
        <v/>
      </c>
      <c r="BV28" s="202" t="n"/>
      <c r="BW28" s="195">
        <f>COUNTIF($G28:$BP28,"hh")</f>
        <v/>
      </c>
      <c r="BX28" s="195">
        <f>COUNTIF($G28:$BP28,"nt7")</f>
        <v/>
      </c>
      <c r="BY28" s="195">
        <f>COUNTIF($G28:$BP28,"P")+COUNTIF($G28:$BP28,"p5,a5")/2+COUNTIF($G28:$BP28,"p5,b5")/2+COUNTIF($G28:$BP28,"p5,c5")/2+COUNTIF($G28:$BP28,"p5,d5")/2</f>
        <v/>
      </c>
      <c r="BZ28" s="203">
        <f>SUBTOTAL(9,BQ28:BY28)</f>
        <v/>
      </c>
      <c r="CA28" s="54">
        <f>SUM(J28,L28,N28,P28,R28,T28,X28,Z28,AB28,AD28,AF28,AH28,AL28,AN28,AP28,AR28,AT28,AV28,AZ28,BB28,BD28,BF28,BH28,BP28)</f>
        <v/>
      </c>
      <c r="CB28" s="55">
        <f>SUM(H28,V28,AJ28,AX28,BL28)</f>
        <v/>
      </c>
      <c r="CC28" s="56">
        <f>SUM(BJ28,BN28)</f>
        <v/>
      </c>
      <c r="CD28" s="197">
        <f>IF(BZ28&gt;25,4,IF(BZ28&gt;18,3,IF(BZ28&gt;12,2,IF(BZ28&gt;4,1,0))))-BX28-2+1</f>
        <v/>
      </c>
      <c r="CE28" s="49" t="n"/>
      <c r="CF28" s="197">
        <f>CD28*CI28</f>
        <v/>
      </c>
      <c r="CG28" s="198">
        <f>F28-BY28+1</f>
        <v/>
      </c>
      <c r="CH28" s="197">
        <f>CE28*16</f>
        <v/>
      </c>
      <c r="CI28" s="199">
        <f>VLOOKUP(A28,[1]DATA!$A$6:$AI$331,34,0)</f>
        <v/>
      </c>
      <c r="CJ28" s="200">
        <f>VLOOKUP(A28,[2]CHAMCONG!A$7:CI$333,79,0)</f>
        <v/>
      </c>
      <c r="CK28" s="201">
        <f>CJ28-CA28</f>
        <v/>
      </c>
    </row>
    <row r="29" ht="15" customFormat="1" customHeight="1" s="68">
      <c r="A29" s="139" t="inlineStr">
        <is>
          <t>A2065</t>
        </is>
      </c>
      <c r="B29" s="64" t="inlineStr"/>
      <c r="C29" s="115" t="inlineStr"/>
      <c r="D29" s="46" t="inlineStr"/>
      <c r="E29" s="47" t="inlineStr"/>
      <c r="F29" s="48" t="inlineStr"/>
      <c r="G29" s="49" t="inlineStr">
        <is>
          <t>D</t>
        </is>
      </c>
      <c r="H29" s="73" t="n">
        <v>0</v>
      </c>
      <c r="I29" s="50" t="inlineStr">
        <is>
          <t>D</t>
        </is>
      </c>
      <c r="J29" s="73" t="n">
        <v>0</v>
      </c>
      <c r="K29" s="50" t="inlineStr">
        <is>
          <t>RR</t>
        </is>
      </c>
      <c r="L29" s="73" t="n">
        <v>0</v>
      </c>
      <c r="M29" s="50" t="inlineStr">
        <is>
          <t>D</t>
        </is>
      </c>
      <c r="N29" s="73" t="n">
        <v>0</v>
      </c>
      <c r="O29" s="50" t="inlineStr">
        <is>
          <t>D</t>
        </is>
      </c>
      <c r="P29" s="73" t="n">
        <v>0</v>
      </c>
      <c r="Q29" s="73" t="inlineStr">
        <is>
          <t>D</t>
        </is>
      </c>
      <c r="R29" s="73" t="n">
        <v>0</v>
      </c>
      <c r="S29" s="73" t="inlineStr">
        <is>
          <t>D</t>
        </is>
      </c>
      <c r="T29" s="73" t="n">
        <v>0</v>
      </c>
      <c r="U29" s="73" t="inlineStr">
        <is>
          <t>D</t>
        </is>
      </c>
      <c r="V29" s="73" t="n">
        <v>0</v>
      </c>
      <c r="W29" s="73" t="inlineStr">
        <is>
          <t>RR</t>
        </is>
      </c>
      <c r="X29" s="73" t="n">
        <v>0</v>
      </c>
      <c r="Y29" s="73" t="inlineStr">
        <is>
          <t>RR</t>
        </is>
      </c>
      <c r="Z29" s="73" t="n">
        <v>0</v>
      </c>
      <c r="AA29" s="73" t="inlineStr">
        <is>
          <t>D</t>
        </is>
      </c>
      <c r="AB29" s="73" t="n">
        <v>0</v>
      </c>
      <c r="AC29" s="73" t="inlineStr">
        <is>
          <t>D</t>
        </is>
      </c>
      <c r="AD29" s="73" t="n">
        <v>0</v>
      </c>
      <c r="AE29" s="73" t="inlineStr">
        <is>
          <t>D</t>
        </is>
      </c>
      <c r="AF29" s="73" t="n">
        <v>0</v>
      </c>
      <c r="AG29" s="73" t="inlineStr">
        <is>
          <t>D</t>
        </is>
      </c>
      <c r="AH29" s="73" t="n">
        <v>0</v>
      </c>
      <c r="AI29" s="73" t="inlineStr">
        <is>
          <t>D</t>
        </is>
      </c>
      <c r="AJ29" s="73" t="n">
        <v>0</v>
      </c>
      <c r="AK29" s="50" t="inlineStr">
        <is>
          <t>D</t>
        </is>
      </c>
      <c r="AL29" s="73" t="n">
        <v>0</v>
      </c>
      <c r="AM29" s="50" t="inlineStr">
        <is>
          <t>RR</t>
        </is>
      </c>
      <c r="AN29" s="73" t="n">
        <v>0</v>
      </c>
      <c r="AO29" s="50" t="inlineStr">
        <is>
          <t>D</t>
        </is>
      </c>
      <c r="AP29" s="73" t="n">
        <v>0</v>
      </c>
      <c r="AQ29" s="73" t="inlineStr">
        <is>
          <t>D</t>
        </is>
      </c>
      <c r="AR29" s="73" t="n">
        <v>0</v>
      </c>
      <c r="AS29" s="73" t="inlineStr">
        <is>
          <t>D</t>
        </is>
      </c>
      <c r="AT29" s="73" t="n">
        <v>0</v>
      </c>
      <c r="AU29" s="73" t="inlineStr">
        <is>
          <t>D</t>
        </is>
      </c>
      <c r="AV29" s="73" t="n">
        <v>0</v>
      </c>
      <c r="AW29" s="73" t="inlineStr">
        <is>
          <t>D</t>
        </is>
      </c>
      <c r="AX29" s="73" t="n">
        <v>0</v>
      </c>
      <c r="AY29" s="73" t="inlineStr">
        <is>
          <t>RR</t>
        </is>
      </c>
      <c r="AZ29" s="73" t="n">
        <v>0</v>
      </c>
      <c r="BA29" s="73" t="inlineStr">
        <is>
          <t>RR</t>
        </is>
      </c>
      <c r="BB29" s="73" t="n">
        <v>0</v>
      </c>
      <c r="BC29" s="73" t="inlineStr">
        <is>
          <t>D</t>
        </is>
      </c>
      <c r="BD29" s="73" t="n">
        <v>0</v>
      </c>
      <c r="BE29" s="73" t="inlineStr">
        <is>
          <t>D</t>
        </is>
      </c>
      <c r="BF29" s="73" t="n">
        <v>0</v>
      </c>
      <c r="BG29" s="73" t="inlineStr">
        <is>
          <t>D</t>
        </is>
      </c>
      <c r="BH29" s="73" t="n">
        <v>0</v>
      </c>
      <c r="BI29" s="73" t="inlineStr">
        <is>
          <t>D</t>
        </is>
      </c>
      <c r="BJ29" s="73" t="n">
        <v>0</v>
      </c>
      <c r="BK29" s="73" t="inlineStr">
        <is>
          <t>D</t>
        </is>
      </c>
      <c r="BL29" s="73" t="n">
        <v>0</v>
      </c>
      <c r="BM29" s="73" t="inlineStr">
        <is>
          <t>D</t>
        </is>
      </c>
      <c r="BN29" s="73" t="n">
        <v>0</v>
      </c>
      <c r="BO29" s="73" t="inlineStr">
        <is>
          <t>RR</t>
        </is>
      </c>
      <c r="BP29" s="73" t="n">
        <v>0</v>
      </c>
      <c r="BQ29" s="195">
        <f>COUNTIF($G29:$BP29,"a")+COUNTIF($G29:$BP29,"r0,a5")/2+COUNTIF($G29:$BP29,"p5,a5")/2</f>
        <v/>
      </c>
      <c r="BR29" s="195">
        <f>COUNTIF($G29:$BP29,"d")+COUNTIF($G29:$BP29,"r0,d5")/2+COUNTIF($G29:$BP29,"p5,d5")/2</f>
        <v/>
      </c>
      <c r="BS29" s="195">
        <f>COUNTIF($G29:$BP29,"b")+COUNTIF($G29:$BP29,"r0,b5")/2+COUNTIF($G29:$BP29,"p5,b5")/2</f>
        <v/>
      </c>
      <c r="BT29" s="195">
        <f>COUNTIF($G29:$BP29,"c")+COUNTIF($G29:$BP29,"r0,c5")/2+COUNTIF($G29:$BP29,"p5,c5")/2</f>
        <v/>
      </c>
      <c r="BU29" s="195">
        <f>COUNTIF($G29:$BP29,"KH")+COUNTIF($G29:$BP29,"TL")+COUNTIF($G29:$BP29,"L")</f>
        <v/>
      </c>
      <c r="BV29" s="202" t="n"/>
      <c r="BW29" s="195">
        <f>COUNTIF($G29:$BP29,"hh")</f>
        <v/>
      </c>
      <c r="BX29" s="195">
        <f>COUNTIF($G29:$BP29,"nt7")</f>
        <v/>
      </c>
      <c r="BY29" s="195">
        <f>COUNTIF($G29:$BP29,"P")+COUNTIF($G29:$BP29,"p5,a5")/2+COUNTIF($G29:$BP29,"p5,b5")/2+COUNTIF($G29:$BP29,"p5,c5")/2+COUNTIF($G29:$BP29,"p5,d5")/2</f>
        <v/>
      </c>
      <c r="BZ29" s="203">
        <f>SUBTOTAL(9,BQ29:BY29)</f>
        <v/>
      </c>
      <c r="CA29" s="54">
        <f>SUM(J29,L29,N29,P29,R29,T29,X29,Z29,AB29,AD29,AF29,AH29,AL29,AN29,AP29,AR29,AT29,AV29,AZ29,BB29,BD29,BF29,BH29,BP29)</f>
        <v/>
      </c>
      <c r="CB29" s="55">
        <f>SUM(H29,V29,AJ29,AX29,BL29)</f>
        <v/>
      </c>
      <c r="CC29" s="56">
        <f>SUM(BJ29,BN29)</f>
        <v/>
      </c>
      <c r="CD29" s="197">
        <f>IF(BZ29&gt;25,4,IF(BZ29&gt;18,3,IF(BZ29&gt;12,2,IF(BZ29&gt;4,1,0))))-BX29-2+1</f>
        <v/>
      </c>
      <c r="CE29" s="49" t="n"/>
      <c r="CF29" s="197">
        <f>CD29*CI29</f>
        <v/>
      </c>
      <c r="CG29" s="198">
        <f>F29-BY29+1</f>
        <v/>
      </c>
      <c r="CH29" s="197">
        <f>CE29*16</f>
        <v/>
      </c>
      <c r="CI29" s="199">
        <f>VLOOKUP(A29,[1]DATA!$A$6:$AI$331,34,0)</f>
        <v/>
      </c>
      <c r="CJ29" s="200">
        <f>VLOOKUP(A29,[2]CHAMCONG!A$7:CI$333,79,0)</f>
        <v/>
      </c>
      <c r="CK29" s="201">
        <f>CJ29-CA29</f>
        <v/>
      </c>
    </row>
    <row r="30" ht="15.75" customFormat="1" customHeight="1" s="68">
      <c r="A30" s="139" t="inlineStr">
        <is>
          <t>A2071</t>
        </is>
      </c>
      <c r="B30" s="64" t="inlineStr"/>
      <c r="C30" s="115" t="inlineStr"/>
      <c r="D30" s="46" t="inlineStr"/>
      <c r="E30" s="47" t="inlineStr"/>
      <c r="F30" s="48" t="inlineStr"/>
      <c r="G30" s="49" t="inlineStr">
        <is>
          <t>D</t>
        </is>
      </c>
      <c r="H30" s="73" t="n">
        <v>0</v>
      </c>
      <c r="I30" s="49" t="inlineStr">
        <is>
          <t>D</t>
        </is>
      </c>
      <c r="J30" s="73" t="n">
        <v>0</v>
      </c>
      <c r="K30" s="49" t="inlineStr">
        <is>
          <t>RR</t>
        </is>
      </c>
      <c r="L30" s="73" t="n">
        <v>0</v>
      </c>
      <c r="M30" s="49" t="inlineStr">
        <is>
          <t>D</t>
        </is>
      </c>
      <c r="N30" s="73" t="n">
        <v>0</v>
      </c>
      <c r="O30" s="49" t="inlineStr">
        <is>
          <t>D</t>
        </is>
      </c>
      <c r="P30" s="73" t="n">
        <v>0</v>
      </c>
      <c r="Q30" s="50" t="inlineStr">
        <is>
          <t>D</t>
        </is>
      </c>
      <c r="R30" s="67" t="n">
        <v>0</v>
      </c>
      <c r="S30" s="50" t="inlineStr">
        <is>
          <t>D</t>
        </is>
      </c>
      <c r="T30" s="73" t="n">
        <v>0</v>
      </c>
      <c r="U30" s="50" t="inlineStr">
        <is>
          <t>D</t>
        </is>
      </c>
      <c r="V30" s="73" t="n">
        <v>0</v>
      </c>
      <c r="W30" s="50" t="inlineStr">
        <is>
          <t>RR</t>
        </is>
      </c>
      <c r="X30" s="73" t="n">
        <v>0</v>
      </c>
      <c r="Y30" s="50" t="inlineStr">
        <is>
          <t>RR</t>
        </is>
      </c>
      <c r="Z30" s="73" t="n">
        <v>0</v>
      </c>
      <c r="AA30" s="50" t="inlineStr">
        <is>
          <t>D</t>
        </is>
      </c>
      <c r="AB30" s="73" t="n">
        <v>0</v>
      </c>
      <c r="AC30" s="50" t="inlineStr">
        <is>
          <t>D</t>
        </is>
      </c>
      <c r="AD30" s="73" t="n">
        <v>0</v>
      </c>
      <c r="AE30" s="73" t="inlineStr">
        <is>
          <t>D</t>
        </is>
      </c>
      <c r="AF30" s="73" t="n">
        <v>0</v>
      </c>
      <c r="AG30" s="73" t="inlineStr">
        <is>
          <t>D</t>
        </is>
      </c>
      <c r="AH30" s="73" t="n">
        <v>0</v>
      </c>
      <c r="AI30" s="73" t="inlineStr">
        <is>
          <t>D</t>
        </is>
      </c>
      <c r="AJ30" s="73" t="n">
        <v>0</v>
      </c>
      <c r="AK30" s="73" t="inlineStr">
        <is>
          <t>D</t>
        </is>
      </c>
      <c r="AL30" s="73" t="n">
        <v>0</v>
      </c>
      <c r="AM30" s="73" t="inlineStr">
        <is>
          <t>RR</t>
        </is>
      </c>
      <c r="AN30" s="73" t="n">
        <v>0</v>
      </c>
      <c r="AO30" s="73" t="inlineStr">
        <is>
          <t>D</t>
        </is>
      </c>
      <c r="AP30" s="73" t="n">
        <v>0</v>
      </c>
      <c r="AQ30" s="73" t="inlineStr">
        <is>
          <t>D</t>
        </is>
      </c>
      <c r="AR30" s="73" t="n">
        <v>0</v>
      </c>
      <c r="AS30" s="73" t="inlineStr">
        <is>
          <t>D</t>
        </is>
      </c>
      <c r="AT30" s="73" t="n">
        <v>0</v>
      </c>
      <c r="AU30" s="73" t="inlineStr">
        <is>
          <t>D</t>
        </is>
      </c>
      <c r="AV30" s="73" t="n">
        <v>0</v>
      </c>
      <c r="AW30" s="73" t="inlineStr">
        <is>
          <t>D</t>
        </is>
      </c>
      <c r="AX30" s="73" t="n">
        <v>0</v>
      </c>
      <c r="AY30" s="73" t="inlineStr">
        <is>
          <t>RR</t>
        </is>
      </c>
      <c r="AZ30" s="73" t="n">
        <v>0</v>
      </c>
      <c r="BA30" s="73" t="inlineStr">
        <is>
          <t>RR</t>
        </is>
      </c>
      <c r="BB30" s="73" t="n">
        <v>0</v>
      </c>
      <c r="BC30" s="73" t="inlineStr">
        <is>
          <t>D</t>
        </is>
      </c>
      <c r="BD30" s="73" t="n">
        <v>0</v>
      </c>
      <c r="BE30" s="73" t="inlineStr">
        <is>
          <t>D</t>
        </is>
      </c>
      <c r="BF30" s="73" t="n">
        <v>0</v>
      </c>
      <c r="BG30" s="73" t="inlineStr">
        <is>
          <t>D</t>
        </is>
      </c>
      <c r="BH30" s="73" t="n">
        <v>0</v>
      </c>
      <c r="BI30" s="73" t="inlineStr">
        <is>
          <t>D</t>
        </is>
      </c>
      <c r="BJ30" s="73" t="n">
        <v>0</v>
      </c>
      <c r="BK30" s="73" t="inlineStr">
        <is>
          <t>D</t>
        </is>
      </c>
      <c r="BL30" s="73" t="n">
        <v>0</v>
      </c>
      <c r="BM30" s="73" t="inlineStr">
        <is>
          <t>D</t>
        </is>
      </c>
      <c r="BN30" s="73" t="n">
        <v>0</v>
      </c>
      <c r="BO30" s="73" t="inlineStr">
        <is>
          <t>RR</t>
        </is>
      </c>
      <c r="BP30" s="73" t="n">
        <v>0</v>
      </c>
      <c r="BQ30" s="195">
        <f>COUNTIF($G30:$BP30,"a")+COUNTIF($G30:$BP30,"r0,a5")/2+COUNTIF($G30:$BP30,"p5,a5")/2</f>
        <v/>
      </c>
      <c r="BR30" s="195">
        <f>COUNTIF($G30:$BP30,"d")+COUNTIF($G30:$BP30,"r0,d5")/2+COUNTIF($G30:$BP30,"p5,d5")/2</f>
        <v/>
      </c>
      <c r="BS30" s="195">
        <f>COUNTIF($G30:$BP30,"b")+COUNTIF($G30:$BP30,"r0,b5")/2+COUNTIF($G30:$BP30,"p5,b5")/2</f>
        <v/>
      </c>
      <c r="BT30" s="195">
        <f>COUNTIF($G30:$BP30,"c")+COUNTIF($G30:$BP30,"r0,c5")/2+COUNTIF($G30:$BP30,"p5,c5")/2</f>
        <v/>
      </c>
      <c r="BU30" s="195">
        <f>COUNTIF($G30:$BP30,"KH")+COUNTIF($G30:$BP30,"TL")+COUNTIF($G30:$BP30,"L")</f>
        <v/>
      </c>
      <c r="BV30" s="202" t="n"/>
      <c r="BW30" s="195">
        <f>COUNTIF($G30:$BP30,"hh")</f>
        <v/>
      </c>
      <c r="BX30" s="195">
        <f>COUNTIF($G30:$BP30,"nt7")</f>
        <v/>
      </c>
      <c r="BY30" s="195">
        <f>COUNTIF($G30:$BP30,"P")+COUNTIF($G30:$BP30,"p5,a5")/2+COUNTIF($G30:$BP30,"p5,b5")/2+COUNTIF($G30:$BP30,"p5,c5")/2+COUNTIF($G30:$BP30,"p5,d5")/2</f>
        <v/>
      </c>
      <c r="BZ30" s="203">
        <f>SUBTOTAL(9,BQ30:BY30)</f>
        <v/>
      </c>
      <c r="CA30" s="54">
        <f>SUM(J30,L30,N30,P30,R30,T30,X30,Z30,AB30,AD30,AF30,AH30,AL30,AN30,AP30,AR30,AT30,AV30,AZ30,BB30,BD30,BF30,BH30,BP30)</f>
        <v/>
      </c>
      <c r="CB30" s="55">
        <f>SUM(H30,V30,AJ30,AX30,BL30)</f>
        <v/>
      </c>
      <c r="CC30" s="56">
        <f>SUM(BJ30,BN30)</f>
        <v/>
      </c>
      <c r="CD30" s="197">
        <f>IF(BZ30&gt;25,4,IF(BZ30&gt;18,3,IF(BZ30&gt;12,2,IF(BZ30&gt;4,1,0))))-BX30-2+1</f>
        <v/>
      </c>
      <c r="CE30" s="49" t="n">
        <v>1</v>
      </c>
      <c r="CF30" s="197">
        <f>CD30*CI30</f>
        <v/>
      </c>
      <c r="CG30" s="198">
        <f>F30-BY30+1</f>
        <v/>
      </c>
      <c r="CH30" s="197">
        <f>CE30*16</f>
        <v/>
      </c>
      <c r="CI30" s="199">
        <f>VLOOKUP(A30,[1]DATA!$A$6:$AI$331,34,0)</f>
        <v/>
      </c>
      <c r="CJ30" s="200">
        <f>VLOOKUP(A30,[2]CHAMCONG!A$7:CI$333,79,0)</f>
        <v/>
      </c>
      <c r="CK30" s="201">
        <f>CJ30-CA30</f>
        <v/>
      </c>
    </row>
    <row r="31" ht="15.75" customFormat="1" customHeight="1" s="68">
      <c r="A31" s="139" t="inlineStr">
        <is>
          <t>A2078</t>
        </is>
      </c>
      <c r="B31" s="64" t="inlineStr"/>
      <c r="C31" s="115" t="inlineStr"/>
      <c r="D31" s="46" t="inlineStr"/>
      <c r="E31" s="47" t="inlineStr"/>
      <c r="F31" s="48" t="inlineStr"/>
      <c r="G31" s="49" t="inlineStr">
        <is>
          <t>D</t>
        </is>
      </c>
      <c r="H31" s="73" t="n">
        <v>0</v>
      </c>
      <c r="I31" s="49" t="inlineStr">
        <is>
          <t>D</t>
        </is>
      </c>
      <c r="J31" s="73" t="n">
        <v>0</v>
      </c>
      <c r="K31" s="49" t="inlineStr">
        <is>
          <t>RR</t>
        </is>
      </c>
      <c r="L31" s="73" t="n">
        <v>0</v>
      </c>
      <c r="M31" s="49" t="inlineStr">
        <is>
          <t>D</t>
        </is>
      </c>
      <c r="N31" s="73" t="n">
        <v>0</v>
      </c>
      <c r="O31" s="49" t="inlineStr">
        <is>
          <t>D</t>
        </is>
      </c>
      <c r="P31" s="73" t="n">
        <v>0</v>
      </c>
      <c r="Q31" s="49" t="inlineStr">
        <is>
          <t>D</t>
        </is>
      </c>
      <c r="R31" s="73" t="n">
        <v>0</v>
      </c>
      <c r="S31" s="50" t="inlineStr">
        <is>
          <t>D</t>
        </is>
      </c>
      <c r="T31" s="73" t="n">
        <v>0</v>
      </c>
      <c r="U31" s="50" t="inlineStr">
        <is>
          <t>D</t>
        </is>
      </c>
      <c r="V31" s="73" t="n">
        <v>0</v>
      </c>
      <c r="W31" s="50" t="inlineStr">
        <is>
          <t>RR</t>
        </is>
      </c>
      <c r="X31" s="73" t="n">
        <v>0</v>
      </c>
      <c r="Y31" s="50" t="inlineStr">
        <is>
          <t>RR</t>
        </is>
      </c>
      <c r="Z31" s="73" t="n">
        <v>0</v>
      </c>
      <c r="AA31" s="50" t="inlineStr">
        <is>
          <t>D</t>
        </is>
      </c>
      <c r="AB31" s="73" t="n">
        <v>0</v>
      </c>
      <c r="AC31" s="50" t="inlineStr">
        <is>
          <t>D</t>
        </is>
      </c>
      <c r="AD31" s="73" t="n">
        <v>0</v>
      </c>
      <c r="AE31" s="73" t="inlineStr">
        <is>
          <t>D</t>
        </is>
      </c>
      <c r="AF31" s="73" t="n">
        <v>0</v>
      </c>
      <c r="AG31" s="73" t="inlineStr">
        <is>
          <t>D</t>
        </is>
      </c>
      <c r="AH31" s="73" t="n">
        <v>0</v>
      </c>
      <c r="AI31" s="73" t="inlineStr">
        <is>
          <t>D</t>
        </is>
      </c>
      <c r="AJ31" s="73" t="n">
        <v>0</v>
      </c>
      <c r="AK31" s="73" t="inlineStr">
        <is>
          <t>D</t>
        </is>
      </c>
      <c r="AL31" s="73" t="n">
        <v>0</v>
      </c>
      <c r="AM31" s="73" t="inlineStr">
        <is>
          <t>RR</t>
        </is>
      </c>
      <c r="AN31" s="73" t="n">
        <v>0</v>
      </c>
      <c r="AO31" s="73" t="inlineStr">
        <is>
          <t>D</t>
        </is>
      </c>
      <c r="AP31" s="73" t="n">
        <v>0</v>
      </c>
      <c r="AQ31" s="49" t="inlineStr">
        <is>
          <t>D</t>
        </is>
      </c>
      <c r="AR31" s="73" t="n">
        <v>0</v>
      </c>
      <c r="AS31" s="49" t="inlineStr">
        <is>
          <t>D</t>
        </is>
      </c>
      <c r="AT31" s="49" t="n">
        <v>0</v>
      </c>
      <c r="AU31" s="49" t="inlineStr">
        <is>
          <t>D</t>
        </is>
      </c>
      <c r="AV31" s="73" t="n">
        <v>0</v>
      </c>
      <c r="AW31" s="73" t="inlineStr">
        <is>
          <t>D</t>
        </is>
      </c>
      <c r="AX31" s="73" t="n">
        <v>0</v>
      </c>
      <c r="AY31" s="73" t="inlineStr">
        <is>
          <t>RR</t>
        </is>
      </c>
      <c r="AZ31" s="73" t="n">
        <v>0</v>
      </c>
      <c r="BA31" s="73" t="inlineStr">
        <is>
          <t>RR</t>
        </is>
      </c>
      <c r="BB31" s="73" t="n">
        <v>0</v>
      </c>
      <c r="BC31" s="73" t="inlineStr">
        <is>
          <t>D</t>
        </is>
      </c>
      <c r="BD31" s="73" t="n">
        <v>0</v>
      </c>
      <c r="BE31" s="73" t="inlineStr">
        <is>
          <t>D</t>
        </is>
      </c>
      <c r="BF31" s="73" t="n">
        <v>0</v>
      </c>
      <c r="BG31" s="73" t="inlineStr">
        <is>
          <t>D</t>
        </is>
      </c>
      <c r="BH31" s="73" t="n">
        <v>0</v>
      </c>
      <c r="BI31" s="73" t="inlineStr">
        <is>
          <t>D</t>
        </is>
      </c>
      <c r="BJ31" s="73" t="n">
        <v>0</v>
      </c>
      <c r="BK31" s="73" t="inlineStr">
        <is>
          <t>D</t>
        </is>
      </c>
      <c r="BL31" s="73" t="n">
        <v>0</v>
      </c>
      <c r="BM31" s="73" t="inlineStr">
        <is>
          <t>D</t>
        </is>
      </c>
      <c r="BN31" s="73" t="n">
        <v>0</v>
      </c>
      <c r="BO31" s="73" t="inlineStr">
        <is>
          <t>RR</t>
        </is>
      </c>
      <c r="BP31" s="73" t="n">
        <v>0</v>
      </c>
      <c r="BQ31" s="195">
        <f>COUNTIF($G31:$BP31,"a")+COUNTIF($G31:$BP31,"r0,a5")/2+COUNTIF($G31:$BP31,"p5,a5")/2</f>
        <v/>
      </c>
      <c r="BR31" s="195">
        <f>COUNTIF($G31:$BP31,"d")+COUNTIF($G31:$BP31,"r0,d5")/2+COUNTIF($G31:$BP31,"p5,d5")/2</f>
        <v/>
      </c>
      <c r="BS31" s="195">
        <f>COUNTIF($G31:$BP31,"b")+COUNTIF($G31:$BP31,"r0,b5")/2+COUNTIF($G31:$BP31,"p5,b5")/2</f>
        <v/>
      </c>
      <c r="BT31" s="195">
        <f>COUNTIF($G31:$BP31,"c")+COUNTIF($G31:$BP31,"r0,c5")/2+COUNTIF($G31:$BP31,"p5,c5")/2</f>
        <v/>
      </c>
      <c r="BU31" s="195">
        <f>COUNTIF($G31:$BP31,"KH")+COUNTIF($G31:$BP31,"TL")+COUNTIF($G31:$BP31,"L")</f>
        <v/>
      </c>
      <c r="BV31" s="202" t="n"/>
      <c r="BW31" s="195">
        <f>COUNTIF($G31:$BP31,"hh")</f>
        <v/>
      </c>
      <c r="BX31" s="195">
        <f>COUNTIF($G31:$BP31,"nt7")</f>
        <v/>
      </c>
      <c r="BY31" s="195">
        <f>COUNTIF($G31:$BP31,"P")+COUNTIF($G31:$BP31,"p5,a5")/2+COUNTIF($G31:$BP31,"p5,b5")/2+COUNTIF($G31:$BP31,"p5,c5")/2+COUNTIF($G31:$BP31,"p5,d5")/2</f>
        <v/>
      </c>
      <c r="BZ31" s="203">
        <f>SUBTOTAL(9,BQ31:BY31)</f>
        <v/>
      </c>
      <c r="CA31" s="54">
        <f>SUM(J31,L31,N31,P31,R31,T31,X31,Z31,AB31,AD31,AF31,AH31,AL31,AN31,AP31,AR31,AT31,AV31,AZ31,BB31,BD31,BF31,BH31,BP31)</f>
        <v/>
      </c>
      <c r="CB31" s="55">
        <f>SUM(H31,V31,AJ31,AX31,BL31)</f>
        <v/>
      </c>
      <c r="CC31" s="56">
        <f>SUM(BJ31,BN31)</f>
        <v/>
      </c>
      <c r="CD31" s="197">
        <f>IF(BZ31&gt;25,4,IF(BZ31&gt;18,3,IF(BZ31&gt;12,2,IF(BZ31&gt;4,1,0))))-BX31-2+1</f>
        <v/>
      </c>
      <c r="CE31" s="49" t="n">
        <v>1</v>
      </c>
      <c r="CF31" s="197">
        <f>CD31*CI31</f>
        <v/>
      </c>
      <c r="CG31" s="198">
        <f>F31-BY31+1</f>
        <v/>
      </c>
      <c r="CH31" s="197">
        <f>CE31*16</f>
        <v/>
      </c>
      <c r="CI31" s="199">
        <f>VLOOKUP(A31,[1]DATA!$A$6:$AI$331,34,0)</f>
        <v/>
      </c>
      <c r="CJ31" s="200">
        <f>VLOOKUP(A31,[2]CHAMCONG!A$7:CI$333,79,0)</f>
        <v/>
      </c>
      <c r="CK31" s="201">
        <f>CJ31-CA31</f>
        <v/>
      </c>
    </row>
    <row r="32" ht="15.75" customFormat="1" customHeight="1" s="68">
      <c r="A32" s="139" t="inlineStr">
        <is>
          <t>A800</t>
        </is>
      </c>
      <c r="B32" s="64" t="inlineStr"/>
      <c r="C32" s="115" t="inlineStr"/>
      <c r="D32" s="46" t="inlineStr"/>
      <c r="E32" s="47" t="inlineStr"/>
      <c r="F32" s="48" t="inlineStr"/>
      <c r="G32" s="49" t="inlineStr">
        <is>
          <t>D</t>
        </is>
      </c>
      <c r="H32" s="73" t="n">
        <v>0</v>
      </c>
      <c r="I32" s="50" t="inlineStr">
        <is>
          <t>D</t>
        </is>
      </c>
      <c r="J32" s="73" t="n">
        <v>0</v>
      </c>
      <c r="K32" s="50" t="inlineStr">
        <is>
          <t>RR</t>
        </is>
      </c>
      <c r="L32" s="73" t="n">
        <v>0</v>
      </c>
      <c r="M32" s="67" t="inlineStr">
        <is>
          <t>D</t>
        </is>
      </c>
      <c r="N32" s="73" t="n">
        <v>0</v>
      </c>
      <c r="O32" s="50" t="inlineStr">
        <is>
          <t>D</t>
        </is>
      </c>
      <c r="P32" s="73" t="n">
        <v>0</v>
      </c>
      <c r="Q32" s="73" t="inlineStr">
        <is>
          <t>D</t>
        </is>
      </c>
      <c r="R32" s="73" t="n">
        <v>0</v>
      </c>
      <c r="S32" s="73" t="inlineStr">
        <is>
          <t>D</t>
        </is>
      </c>
      <c r="T32" s="73" t="n">
        <v>0</v>
      </c>
      <c r="U32" s="73" t="inlineStr">
        <is>
          <t>D</t>
        </is>
      </c>
      <c r="V32" s="73" t="n">
        <v>0</v>
      </c>
      <c r="W32" s="73" t="inlineStr">
        <is>
          <t>RR</t>
        </is>
      </c>
      <c r="X32" s="73" t="n">
        <v>0</v>
      </c>
      <c r="Y32" s="73" t="inlineStr">
        <is>
          <t>RR</t>
        </is>
      </c>
      <c r="Z32" s="73" t="n">
        <v>0</v>
      </c>
      <c r="AA32" s="73" t="inlineStr">
        <is>
          <t>D</t>
        </is>
      </c>
      <c r="AB32" s="73" t="n">
        <v>0</v>
      </c>
      <c r="AC32" s="73" t="inlineStr">
        <is>
          <t>D</t>
        </is>
      </c>
      <c r="AD32" s="73" t="n">
        <v>0</v>
      </c>
      <c r="AE32" s="73" t="inlineStr">
        <is>
          <t>D</t>
        </is>
      </c>
      <c r="AF32" s="73" t="n">
        <v>0</v>
      </c>
      <c r="AG32" s="73" t="inlineStr">
        <is>
          <t>D</t>
        </is>
      </c>
      <c r="AH32" s="73" t="n">
        <v>0</v>
      </c>
      <c r="AI32" s="73" t="inlineStr">
        <is>
          <t>D</t>
        </is>
      </c>
      <c r="AJ32" s="73" t="n">
        <v>0</v>
      </c>
      <c r="AK32" s="73" t="inlineStr">
        <is>
          <t>D</t>
        </is>
      </c>
      <c r="AL32" s="73" t="n">
        <v>0</v>
      </c>
      <c r="AM32" s="73" t="inlineStr">
        <is>
          <t>RR</t>
        </is>
      </c>
      <c r="AN32" s="73" t="n">
        <v>0</v>
      </c>
      <c r="AO32" s="73" t="inlineStr">
        <is>
          <t>D</t>
        </is>
      </c>
      <c r="AP32" s="73" t="n">
        <v>0</v>
      </c>
      <c r="AQ32" s="73" t="inlineStr">
        <is>
          <t>D</t>
        </is>
      </c>
      <c r="AR32" s="73" t="n">
        <v>0</v>
      </c>
      <c r="AS32" s="73" t="inlineStr">
        <is>
          <t>D</t>
        </is>
      </c>
      <c r="AT32" s="73" t="n">
        <v>0</v>
      </c>
      <c r="AU32" s="73" t="inlineStr">
        <is>
          <t>D</t>
        </is>
      </c>
      <c r="AV32" s="73" t="n">
        <v>0</v>
      </c>
      <c r="AW32" s="73" t="inlineStr">
        <is>
          <t>D</t>
        </is>
      </c>
      <c r="AX32" s="73" t="n">
        <v>0</v>
      </c>
      <c r="AY32" s="73" t="inlineStr">
        <is>
          <t>RR</t>
        </is>
      </c>
      <c r="AZ32" s="73" t="n">
        <v>0</v>
      </c>
      <c r="BA32" s="73" t="inlineStr">
        <is>
          <t>RR</t>
        </is>
      </c>
      <c r="BB32" s="73" t="n">
        <v>0</v>
      </c>
      <c r="BC32" s="73" t="inlineStr">
        <is>
          <t>D</t>
        </is>
      </c>
      <c r="BD32" s="73" t="n">
        <v>0</v>
      </c>
      <c r="BE32" s="73" t="inlineStr">
        <is>
          <t>D</t>
        </is>
      </c>
      <c r="BF32" s="73" t="n">
        <v>0</v>
      </c>
      <c r="BG32" s="73" t="inlineStr">
        <is>
          <t>D</t>
        </is>
      </c>
      <c r="BH32" s="73" t="n">
        <v>0</v>
      </c>
      <c r="BI32" s="73" t="inlineStr">
        <is>
          <t>D</t>
        </is>
      </c>
      <c r="BJ32" s="73" t="n">
        <v>0</v>
      </c>
      <c r="BK32" s="73" t="inlineStr">
        <is>
          <t>D</t>
        </is>
      </c>
      <c r="BL32" s="73" t="n">
        <v>0</v>
      </c>
      <c r="BM32" s="73" t="inlineStr">
        <is>
          <t>D</t>
        </is>
      </c>
      <c r="BN32" s="73" t="n">
        <v>0</v>
      </c>
      <c r="BO32" s="73" t="inlineStr"/>
      <c r="BP32" s="73" t="n">
        <v>0</v>
      </c>
      <c r="BQ32" s="195">
        <f>COUNTIF($G32:$BP32,"a")+COUNTIF($G32:$BP32,"r0,a5")/2+COUNTIF($G32:$BP32,"p5,a5")/2</f>
        <v/>
      </c>
      <c r="BR32" s="195">
        <f>COUNTIF($G32:$BP32,"d")+COUNTIF($G32:$BP32,"r0,d5")/2+COUNTIF($G32:$BP32,"p5,d5")/2</f>
        <v/>
      </c>
      <c r="BS32" s="195">
        <f>COUNTIF($G32:$BP32,"b")+COUNTIF($G32:$BP32,"r0,b5")/2+COUNTIF($G32:$BP32,"p5,b5")/2</f>
        <v/>
      </c>
      <c r="BT32" s="195">
        <f>COUNTIF($G32:$BP32,"c")+COUNTIF($G32:$BP32,"r0,c5")/2+COUNTIF($G32:$BP32,"p5,c5")/2</f>
        <v/>
      </c>
      <c r="BU32" s="195">
        <f>COUNTIF($G32:$BP32,"KH")+COUNTIF($G32:$BP32,"TL")+COUNTIF($G32:$BP32,"L")</f>
        <v/>
      </c>
      <c r="BV32" s="202" t="n"/>
      <c r="BW32" s="195">
        <f>COUNTIF($G32:$BP32,"hh")</f>
        <v/>
      </c>
      <c r="BX32" s="195">
        <f>COUNTIF($G32:$BP32,"nt7")</f>
        <v/>
      </c>
      <c r="BY32" s="195">
        <f>COUNTIF($G32:$BP32,"P")+COUNTIF($G32:$BP32,"p5,a5")/2+COUNTIF($G32:$BP32,"p5,b5")/2+COUNTIF($G32:$BP32,"p5,c5")/2+COUNTIF($G32:$BP32,"p5,d5")/2</f>
        <v/>
      </c>
      <c r="BZ32" s="203">
        <f>SUBTOTAL(9,BQ32:BY32)</f>
        <v/>
      </c>
      <c r="CA32" s="54">
        <f>SUM(J32,L32,N32,P32,R32,T32,X32,Z32,AB32,AD32,AF32,AH32,AL32,AN32,AP32,AR32,AT32,AV32,AZ32,BB32,BD32,BF32,BH32,BP32)</f>
        <v/>
      </c>
      <c r="CB32" s="55">
        <f>SUM(H32,V32,AJ32,AX32,BL32)</f>
        <v/>
      </c>
      <c r="CC32" s="56">
        <f>SUM(BJ32,BN32)</f>
        <v/>
      </c>
      <c r="CD32" s="197">
        <f>IF(BZ32&gt;25,4,IF(BZ32&gt;18,3,IF(BZ32&gt;12,2,IF(BZ32&gt;4,1,0))))-BX32-2+1</f>
        <v/>
      </c>
      <c r="CE32" s="49" t="n">
        <v>2</v>
      </c>
      <c r="CF32" s="197">
        <f>CD32*CI32</f>
        <v/>
      </c>
      <c r="CG32" s="198">
        <f>F32-BY32+1</f>
        <v/>
      </c>
      <c r="CH32" s="197">
        <f>CE32*16</f>
        <v/>
      </c>
      <c r="CI32" s="199">
        <f>VLOOKUP(A32,[1]DATA!$A$6:$AI$331,34,0)</f>
        <v/>
      </c>
      <c r="CJ32" s="200">
        <f>VLOOKUP(A32,[2]CHAMCONG!A$7:CI$333,79,0)</f>
        <v/>
      </c>
      <c r="CK32" s="201">
        <f>CJ32-CA32</f>
        <v/>
      </c>
    </row>
    <row r="33" ht="15.75" customFormat="1" customHeight="1" s="68">
      <c r="A33" s="139" t="n"/>
      <c r="B33" s="64" t="n"/>
      <c r="C33" s="115" t="n"/>
      <c r="D33" s="46" t="n"/>
      <c r="E33" s="47" t="n"/>
      <c r="F33" s="48" t="n"/>
      <c r="G33" s="49" t="n"/>
      <c r="H33" s="73" t="n"/>
      <c r="I33" s="73" t="n"/>
      <c r="J33" s="73" t="n"/>
      <c r="K33" s="73" t="n"/>
      <c r="L33" s="73" t="n"/>
      <c r="M33" s="73" t="n"/>
      <c r="N33" s="73" t="n"/>
      <c r="O33" s="50" t="n"/>
      <c r="P33" s="73" t="n"/>
      <c r="Q33" s="50" t="n"/>
      <c r="R33" s="67" t="n"/>
      <c r="S33" s="73" t="n"/>
      <c r="T33" s="73" t="n"/>
      <c r="U33" s="73" t="n"/>
      <c r="V33" s="73" t="n"/>
      <c r="W33" s="73" t="n"/>
      <c r="X33" s="73" t="n"/>
      <c r="Y33" s="73" t="n"/>
      <c r="Z33" s="73" t="n"/>
      <c r="AA33" s="73" t="n"/>
      <c r="AB33" s="73" t="n"/>
      <c r="AC33" s="73" t="n"/>
      <c r="AD33" s="73" t="n"/>
      <c r="AE33" s="73" t="n"/>
      <c r="AF33" s="73" t="n"/>
      <c r="AG33" s="73" t="n"/>
      <c r="AH33" s="73" t="n"/>
      <c r="AI33" s="73" t="n"/>
      <c r="AJ33" s="73" t="n"/>
      <c r="AK33" s="73" t="n"/>
      <c r="AL33" s="73" t="n"/>
      <c r="AM33" s="73" t="n"/>
      <c r="AN33" s="73" t="n"/>
      <c r="AO33" s="73" t="n"/>
      <c r="AP33" s="73" t="n"/>
      <c r="AQ33" s="73" t="n"/>
      <c r="AR33" s="73" t="n"/>
      <c r="AS33" s="49" t="n"/>
      <c r="AT33" s="73" t="n"/>
      <c r="AU33" s="73" t="n"/>
      <c r="AV33" s="73" t="n"/>
      <c r="AW33" s="73" t="n"/>
      <c r="AX33" s="73" t="n"/>
      <c r="AY33" s="73" t="n"/>
      <c r="AZ33" s="73" t="n"/>
      <c r="BA33" s="73" t="n"/>
      <c r="BB33" s="73" t="n"/>
      <c r="BC33" s="73" t="n"/>
      <c r="BD33" s="73" t="n"/>
      <c r="BE33" s="73" t="n"/>
      <c r="BF33" s="73" t="n"/>
      <c r="BG33" s="73" t="n"/>
      <c r="BH33" s="73" t="n"/>
      <c r="BI33" s="73" t="n"/>
      <c r="BJ33" s="73" t="n"/>
      <c r="BK33" s="73" t="n"/>
      <c r="BL33" s="73" t="n"/>
      <c r="BM33" s="73" t="n"/>
      <c r="BN33" s="73" t="n"/>
      <c r="BO33" s="73" t="n"/>
      <c r="BP33" s="73" t="n"/>
      <c r="BQ33" s="195">
        <f>COUNTIF($G33:$BP33,"a")+COUNTIF($G33:$BP33,"r0,a5")/2+COUNTIF($G33:$BP33,"p5,a5")/2</f>
        <v/>
      </c>
      <c r="BR33" s="195">
        <f>COUNTIF($G33:$BP33,"d")+COUNTIF($G33:$BP33,"r0,d5")/2+COUNTIF($G33:$BP33,"p5,d5")/2</f>
        <v/>
      </c>
      <c r="BS33" s="195">
        <f>COUNTIF($G33:$BP33,"b")+COUNTIF($G33:$BP33,"r0,b5")/2+COUNTIF($G33:$BP33,"p5,b5")/2</f>
        <v/>
      </c>
      <c r="BT33" s="195">
        <f>COUNTIF($G33:$BP33,"c")+COUNTIF($G33:$BP33,"r0,c5")/2+COUNTIF($G33:$BP33,"p5,c5")/2</f>
        <v/>
      </c>
      <c r="BU33" s="195">
        <f>COUNTIF($G33:$BP33,"KH")+COUNTIF($G33:$BP33,"TL")+COUNTIF($G33:$BP33,"L")</f>
        <v/>
      </c>
      <c r="BV33" s="202" t="n"/>
      <c r="BW33" s="195">
        <f>COUNTIF($G33:$BP33,"hh")</f>
        <v/>
      </c>
      <c r="BX33" s="195">
        <f>COUNTIF($G33:$BP33,"nt7")</f>
        <v/>
      </c>
      <c r="BY33" s="195">
        <f>COUNTIF($G33:$BP33,"P")+COUNTIF($G33:$BP33,"p5,a5")/2+COUNTIF($G33:$BP33,"p5,b5")/2+COUNTIF($G33:$BP33,"p5,c5")/2+COUNTIF($G33:$BP33,"p5,d5")/2</f>
        <v/>
      </c>
      <c r="BZ33" s="203">
        <f>SUBTOTAL(9,BQ33:BY33)</f>
        <v/>
      </c>
      <c r="CA33" s="54">
        <f>SUM(J33,L33,N33,P33,R33,T33,X33,Z33,AB33,AD33,AF33,AH33,AL33,AN33,AP33,AR33,AT33,AV33,AZ33,BB33,BD33,BF33,BH33,BP33)</f>
        <v/>
      </c>
      <c r="CB33" s="55">
        <f>SUM(H33,V33,AJ33,AX33,BL33)</f>
        <v/>
      </c>
      <c r="CC33" s="56">
        <f>SUM(BJ33,BN33)</f>
        <v/>
      </c>
      <c r="CD33" s="197">
        <f>IF(BZ33&gt;25,4,IF(BZ33&gt;18,3,IF(BZ33&gt;12,2,IF(BZ33&gt;4,1,0))))-BX33-2+1</f>
        <v/>
      </c>
      <c r="CE33" s="49" t="n"/>
      <c r="CF33" s="197">
        <f>CD33*CI33</f>
        <v/>
      </c>
      <c r="CG33" s="198">
        <f>F33-BY33+1</f>
        <v/>
      </c>
      <c r="CH33" s="197">
        <f>CE33*16</f>
        <v/>
      </c>
      <c r="CI33" s="199">
        <f>VLOOKUP(A33,[1]DATA!$A$6:$AI$331,34,0)</f>
        <v/>
      </c>
      <c r="CJ33" s="200">
        <f>VLOOKUP(A33,[2]CHAMCONG!A$7:CI$333,79,0)</f>
        <v/>
      </c>
      <c r="CK33" s="201">
        <f>CJ33-CA33</f>
        <v/>
      </c>
    </row>
    <row r="34" ht="15.75" customFormat="1" customHeight="1" s="68">
      <c r="A34" s="139" t="n"/>
      <c r="B34" s="64" t="n"/>
      <c r="C34" s="115" t="n"/>
      <c r="D34" s="46" t="n"/>
      <c r="E34" s="47" t="n"/>
      <c r="F34" s="48" t="n"/>
      <c r="G34" s="49" t="n"/>
      <c r="H34" s="73" t="n"/>
      <c r="I34" s="50" t="n"/>
      <c r="J34" s="73" t="n"/>
      <c r="K34" s="50" t="n"/>
      <c r="L34" s="73" t="n"/>
      <c r="M34" s="50" t="n"/>
      <c r="N34" s="73" t="n"/>
      <c r="O34" s="50" t="n"/>
      <c r="P34" s="73" t="n"/>
      <c r="Q34" s="50" t="n"/>
      <c r="R34" s="67" t="n"/>
      <c r="S34" s="50" t="n"/>
      <c r="T34" s="73" t="n"/>
      <c r="U34" s="49" t="n"/>
      <c r="V34" s="73" t="n"/>
      <c r="W34" s="49" t="n"/>
      <c r="X34" s="73" t="n"/>
      <c r="Y34" s="49" t="n"/>
      <c r="Z34" s="73" t="n"/>
      <c r="AA34" s="49" t="n"/>
      <c r="AB34" s="73" t="n"/>
      <c r="AC34" s="49" t="n"/>
      <c r="AD34" s="73" t="n"/>
      <c r="AE34" s="73" t="n"/>
      <c r="AF34" s="73" t="n"/>
      <c r="AG34" s="73" t="n"/>
      <c r="AH34" s="73" t="n"/>
      <c r="AI34" s="73" t="n"/>
      <c r="AJ34" s="73" t="n"/>
      <c r="AK34" s="73" t="n"/>
      <c r="AL34" s="73" t="n"/>
      <c r="AM34" s="73" t="n"/>
      <c r="AN34" s="73" t="n"/>
      <c r="AO34" s="73" t="n"/>
      <c r="AP34" s="73" t="n"/>
      <c r="AQ34" s="73" t="n"/>
      <c r="AR34" s="73" t="n"/>
      <c r="AS34" s="73" t="n"/>
      <c r="AT34" s="73" t="n"/>
      <c r="AU34" s="73" t="n"/>
      <c r="AV34" s="73" t="n"/>
      <c r="AW34" s="73" t="n"/>
      <c r="AX34" s="73" t="n"/>
      <c r="AY34" s="73" t="n"/>
      <c r="AZ34" s="73" t="n"/>
      <c r="BA34" s="73" t="n"/>
      <c r="BB34" s="73" t="n"/>
      <c r="BC34" s="50" t="n"/>
      <c r="BD34" s="73" t="n"/>
      <c r="BE34" s="50" t="n"/>
      <c r="BF34" s="73" t="n"/>
      <c r="BG34" s="50" t="n"/>
      <c r="BH34" s="67" t="n"/>
      <c r="BI34" s="73" t="n"/>
      <c r="BJ34" s="73" t="n"/>
      <c r="BK34" s="73" t="n"/>
      <c r="BL34" s="73" t="n"/>
      <c r="BM34" s="73" t="n"/>
      <c r="BN34" s="73" t="n"/>
      <c r="BO34" s="73" t="n"/>
      <c r="BP34" s="73" t="n"/>
      <c r="BQ34" s="195">
        <f>COUNTIF($G34:$BP34,"a")+COUNTIF($G34:$BP34,"r0,a5")/2+COUNTIF($G34:$BP34,"p5,a5")/2</f>
        <v/>
      </c>
      <c r="BR34" s="195">
        <f>COUNTIF($G34:$BP34,"d")+COUNTIF($G34:$BP34,"r0,d5")/2+COUNTIF($G34:$BP34,"p5,d5")/2</f>
        <v/>
      </c>
      <c r="BS34" s="195">
        <f>COUNTIF($G34:$BP34,"b")+COUNTIF($G34:$BP34,"r0,b5")/2+COUNTIF($G34:$BP34,"p5,b5")/2</f>
        <v/>
      </c>
      <c r="BT34" s="195">
        <f>COUNTIF($G34:$BP34,"c")+COUNTIF($G34:$BP34,"r0,c5")/2+COUNTIF($G34:$BP34,"p5,c5")/2</f>
        <v/>
      </c>
      <c r="BU34" s="195">
        <f>COUNTIF($G34:$BP34,"KH")+COUNTIF($G34:$BP34,"TL")+COUNTIF($G34:$BP34,"L")</f>
        <v/>
      </c>
      <c r="BV34" s="202" t="n"/>
      <c r="BW34" s="195">
        <f>COUNTIF($G34:$BP34,"hh")</f>
        <v/>
      </c>
      <c r="BX34" s="195">
        <f>COUNTIF($G34:$BP34,"nt7")</f>
        <v/>
      </c>
      <c r="BY34" s="195">
        <f>COUNTIF($G34:$BP34,"P")+COUNTIF($G34:$BP34,"p5,a5")/2+COUNTIF($G34:$BP34,"p5,b5")/2+COUNTIF($G34:$BP34,"p5,c5")/2+COUNTIF($G34:$BP34,"p5,d5")/2</f>
        <v/>
      </c>
      <c r="BZ34" s="203">
        <f>SUBTOTAL(9,BQ34:BY34)</f>
        <v/>
      </c>
      <c r="CA34" s="54">
        <f>SUM(J34,L34,N34,P34,R34,T34,X34,Z34,AB34,AD34,AF34,AH34,AL34,AN34,AP34,AR34,AT34,AV34,AZ34,BB34,BD34,BF34,BH34,BP34)</f>
        <v/>
      </c>
      <c r="CB34" s="55">
        <f>SUM(H34,V34,AJ34,AX34,BL34)</f>
        <v/>
      </c>
      <c r="CC34" s="56">
        <f>SUM(BJ34,BN34)</f>
        <v/>
      </c>
      <c r="CD34" s="197">
        <f>IF(BZ34&gt;25,4,IF(BZ34&gt;18,3,IF(BZ34&gt;12,2,IF(BZ34&gt;4,1,0))))-BX34-2+1</f>
        <v/>
      </c>
      <c r="CE34" s="49" t="n">
        <v>3</v>
      </c>
      <c r="CF34" s="197">
        <f>CD34*CI34</f>
        <v/>
      </c>
      <c r="CG34" s="198">
        <f>F34-BY34+1</f>
        <v/>
      </c>
      <c r="CH34" s="197">
        <f>CE34*16</f>
        <v/>
      </c>
      <c r="CI34" s="199">
        <f>VLOOKUP(A34,[1]DATA!$A$6:$AI$331,34,0)</f>
        <v/>
      </c>
      <c r="CJ34" s="200">
        <f>VLOOKUP(A34,[2]CHAMCONG!A$7:CI$333,79,0)</f>
        <v/>
      </c>
      <c r="CK34" s="201">
        <f>CJ34-CA34</f>
        <v/>
      </c>
    </row>
    <row r="35" ht="15.75" customFormat="1" customHeight="1" s="68">
      <c r="A35" s="69" t="n"/>
      <c r="B35" s="64" t="n"/>
      <c r="C35" s="115" t="n"/>
      <c r="D35" s="46" t="n"/>
      <c r="E35" s="47" t="n"/>
      <c r="F35" s="48" t="n"/>
      <c r="G35" s="49" t="n"/>
      <c r="H35" s="73" t="n"/>
      <c r="I35" s="49" t="n"/>
      <c r="J35" s="73" t="n"/>
      <c r="K35" s="49" t="n"/>
      <c r="L35" s="73" t="n"/>
      <c r="M35" s="73" t="n"/>
      <c r="N35" s="73" t="n"/>
      <c r="O35" s="50" t="n"/>
      <c r="P35" s="73" t="n"/>
      <c r="Q35" s="73" t="n"/>
      <c r="R35" s="73" t="n"/>
      <c r="S35" s="73" t="n"/>
      <c r="T35" s="73" t="n"/>
      <c r="U35" s="49" t="n"/>
      <c r="V35" s="73" t="n"/>
      <c r="W35" s="49" t="n"/>
      <c r="X35" s="73" t="n"/>
      <c r="Y35" s="49" t="n"/>
      <c r="Z35" s="73" t="n"/>
      <c r="AA35" s="73" t="n"/>
      <c r="AB35" s="73" t="n"/>
      <c r="AC35" s="50" t="n"/>
      <c r="AD35" s="73" t="n"/>
      <c r="AE35" s="73" t="n"/>
      <c r="AF35" s="73" t="n"/>
      <c r="AG35" s="73" t="n"/>
      <c r="AH35" s="73" t="n"/>
      <c r="AI35" s="49" t="n"/>
      <c r="AJ35" s="73" t="n"/>
      <c r="AK35" s="49" t="n"/>
      <c r="AL35" s="73" t="n"/>
      <c r="AM35" s="49" t="n"/>
      <c r="AN35" s="73" t="n"/>
      <c r="AO35" s="73" t="n"/>
      <c r="AP35" s="73" t="n"/>
      <c r="AQ35" s="50" t="n"/>
      <c r="AR35" s="73" t="n"/>
      <c r="AS35" s="73" t="n"/>
      <c r="AT35" s="73" t="n"/>
      <c r="AU35" s="73" t="n"/>
      <c r="AV35" s="73" t="n"/>
      <c r="AW35" s="49" t="n"/>
      <c r="AX35" s="73" t="n"/>
      <c r="AY35" s="49" t="n"/>
      <c r="AZ35" s="73" t="n"/>
      <c r="BA35" s="49" t="n"/>
      <c r="BB35" s="73" t="n"/>
      <c r="BC35" s="73" t="n"/>
      <c r="BD35" s="73" t="n"/>
      <c r="BE35" s="50" t="n"/>
      <c r="BF35" s="73" t="n"/>
      <c r="BG35" s="73" t="n"/>
      <c r="BH35" s="73" t="n"/>
      <c r="BI35" s="73" t="n"/>
      <c r="BJ35" s="73" t="n"/>
      <c r="BK35" s="73" t="n"/>
      <c r="BL35" s="73" t="n"/>
      <c r="BM35" s="73" t="n"/>
      <c r="BN35" s="73" t="n"/>
      <c r="BO35" s="73" t="n"/>
      <c r="BP35" s="73" t="n"/>
      <c r="BQ35" s="195">
        <f>COUNTIF($G35:$BP35,"a")+COUNTIF($G35:$BP35,"r0,a5")/2+COUNTIF($G35:$BP35,"p5,a5")/2</f>
        <v/>
      </c>
      <c r="BR35" s="195">
        <f>COUNTIF($G35:$BP35,"d")+COUNTIF($G35:$BP35,"r0,d5")/2+COUNTIF($G35:$BP35,"p5,d5")/2</f>
        <v/>
      </c>
      <c r="BS35" s="195">
        <f>COUNTIF($G35:$BP35,"b")+COUNTIF($G35:$BP35,"r0,b5")/2+COUNTIF($G35:$BP35,"p5,b5")/2</f>
        <v/>
      </c>
      <c r="BT35" s="195">
        <f>COUNTIF($G35:$BP35,"c")+COUNTIF($G35:$BP35,"r0,c5")/2+COUNTIF($G35:$BP35,"p5,c5")/2</f>
        <v/>
      </c>
      <c r="BU35" s="195">
        <f>COUNTIF($G35:$BP35,"KH")+COUNTIF($G35:$BP35,"TL")+COUNTIF($G35:$BP35,"L")</f>
        <v/>
      </c>
      <c r="BV35" s="202" t="n"/>
      <c r="BW35" s="195">
        <f>COUNTIF($G35:$BP35,"hh")</f>
        <v/>
      </c>
      <c r="BX35" s="195">
        <f>COUNTIF($G35:$BP35,"nt7")</f>
        <v/>
      </c>
      <c r="BY35" s="195">
        <f>COUNTIF($G35:$BP35,"P")+COUNTIF($G35:$BP35,"p5,a5")/2+COUNTIF($G35:$BP35,"p5,b5")/2+COUNTIF($G35:$BP35,"p5,c5")/2+COUNTIF($G35:$BP35,"p5,d5")/2</f>
        <v/>
      </c>
      <c r="BZ35" s="203">
        <f>SUBTOTAL(9,BQ35:BY35)</f>
        <v/>
      </c>
      <c r="CA35" s="54">
        <f>SUM(J35,L35,N35,P35,R35,T35,X35,Z35,AB35,AD35,AF35,AH35,AL35,AN35,AP35,AR35,AT35,AV35,AZ35,BB35,BD35,BF35,BH35,BP35)</f>
        <v/>
      </c>
      <c r="CB35" s="55">
        <f>SUM(H35,V35,AJ35,AX35,BL35)</f>
        <v/>
      </c>
      <c r="CC35" s="56">
        <f>SUM(BJ35,BN35)</f>
        <v/>
      </c>
      <c r="CD35" s="197">
        <f>IF(BZ35&gt;25,4,IF(BZ35&gt;18,3,IF(BZ35&gt;12,2,IF(BZ35&gt;4,1,0))))-BX35-2+1</f>
        <v/>
      </c>
      <c r="CE35" s="49" t="n">
        <v>1</v>
      </c>
      <c r="CF35" s="197">
        <f>CD35*CI35</f>
        <v/>
      </c>
      <c r="CG35" s="198">
        <f>F35-BY35+1</f>
        <v/>
      </c>
      <c r="CH35" s="197">
        <f>CE35*16</f>
        <v/>
      </c>
      <c r="CI35" s="199">
        <f>VLOOKUP(A35,[1]DATA!$A$6:$AI$331,34,0)</f>
        <v/>
      </c>
      <c r="CJ35" s="200">
        <f>VLOOKUP(A35,[2]CHAMCONG!A$7:CI$333,79,0)</f>
        <v/>
      </c>
      <c r="CK35" s="201">
        <f>CJ35-CA35</f>
        <v/>
      </c>
    </row>
    <row r="36" ht="15.75" customFormat="1" customHeight="1" s="68">
      <c r="A36" s="69" t="n"/>
      <c r="B36" s="64" t="n"/>
      <c r="C36" s="115" t="n"/>
      <c r="D36" s="46" t="n"/>
      <c r="E36" s="47" t="n"/>
      <c r="F36" s="48" t="n"/>
      <c r="G36" s="49" t="n"/>
      <c r="H36" s="73" t="n"/>
      <c r="I36" s="50" t="n"/>
      <c r="J36" s="73" t="n"/>
      <c r="K36" s="50" t="n"/>
      <c r="L36" s="73" t="n"/>
      <c r="M36" s="50" t="n"/>
      <c r="N36" s="73" t="n"/>
      <c r="O36" s="50" t="n"/>
      <c r="P36" s="73" t="n"/>
      <c r="Q36" s="50" t="n"/>
      <c r="R36" s="67" t="n"/>
      <c r="S36" s="50" t="n"/>
      <c r="T36" s="73" t="n"/>
      <c r="U36" s="50" t="n"/>
      <c r="V36" s="73" t="n"/>
      <c r="W36" s="50" t="n"/>
      <c r="X36" s="73" t="n"/>
      <c r="Y36" s="50" t="n"/>
      <c r="Z36" s="73" t="n"/>
      <c r="AA36" s="50" t="n"/>
      <c r="AB36" s="73" t="n"/>
      <c r="AC36" s="50" t="n"/>
      <c r="AD36" s="73" t="n"/>
      <c r="AE36" s="50" t="n"/>
      <c r="AF36" s="67" t="n"/>
      <c r="AG36" s="50" t="n"/>
      <c r="AH36" s="73" t="n"/>
      <c r="AI36" s="49" t="n"/>
      <c r="AJ36" s="73" t="n"/>
      <c r="AK36" s="50" t="n"/>
      <c r="AL36" s="73" t="n"/>
      <c r="AM36" s="50" t="n"/>
      <c r="AN36" s="73" t="n"/>
      <c r="AO36" s="50" t="n"/>
      <c r="AP36" s="73" t="n"/>
      <c r="AQ36" s="50" t="n"/>
      <c r="AR36" s="73" t="n"/>
      <c r="AS36" s="50" t="n"/>
      <c r="AT36" s="67" t="n"/>
      <c r="AU36" s="50" t="n"/>
      <c r="AV36" s="73" t="n"/>
      <c r="AW36" s="73" t="n"/>
      <c r="AX36" s="73" t="n"/>
      <c r="AY36" s="50" t="n"/>
      <c r="AZ36" s="73" t="n"/>
      <c r="BA36" s="50" t="n"/>
      <c r="BB36" s="73" t="n"/>
      <c r="BC36" s="50" t="n"/>
      <c r="BD36" s="73" t="n"/>
      <c r="BE36" s="50" t="n"/>
      <c r="BF36" s="73" t="n"/>
      <c r="BG36" s="50" t="n"/>
      <c r="BH36" s="67" t="n"/>
      <c r="BI36" s="73" t="n"/>
      <c r="BJ36" s="73" t="n"/>
      <c r="BK36" s="73" t="n"/>
      <c r="BL36" s="73" t="n"/>
      <c r="BM36" s="73" t="n"/>
      <c r="BN36" s="73" t="n"/>
      <c r="BO36" s="73" t="n"/>
      <c r="BP36" s="73" t="n"/>
      <c r="BQ36" s="195">
        <f>COUNTIF($G36:$BP36,"a")+COUNTIF($G36:$BP36,"r0,a5")/2+COUNTIF($G36:$BP36,"p5,a5")/2</f>
        <v/>
      </c>
      <c r="BR36" s="195">
        <f>COUNTIF($G36:$BP36,"d")+COUNTIF($G36:$BP36,"r0,d5")/2+COUNTIF($G36:$BP36,"p5,d5")/2</f>
        <v/>
      </c>
      <c r="BS36" s="195">
        <f>COUNTIF($G36:$BP36,"b")+COUNTIF($G36:$BP36,"r0,b5")/2+COUNTIF($G36:$BP36,"p5,b5")/2</f>
        <v/>
      </c>
      <c r="BT36" s="195">
        <f>COUNTIF($G36:$BP36,"c")+COUNTIF($G36:$BP36,"r0,c5")/2+COUNTIF($G36:$BP36,"p5,c5")/2</f>
        <v/>
      </c>
      <c r="BU36" s="195">
        <f>COUNTIF($G36:$BP36,"KH")+COUNTIF($G36:$BP36,"TL")+COUNTIF($G36:$BP36,"L")</f>
        <v/>
      </c>
      <c r="BV36" s="202" t="n"/>
      <c r="BW36" s="195">
        <f>COUNTIF($G36:$BP36,"hh")</f>
        <v/>
      </c>
      <c r="BX36" s="195">
        <f>COUNTIF($G36:$BP36,"nt7")</f>
        <v/>
      </c>
      <c r="BY36" s="195">
        <f>COUNTIF($G36:$BP36,"P")+COUNTIF($G36:$BP36,"p5,a5")/2+COUNTIF($G36:$BP36,"p5,b5")/2+COUNTIF($G36:$BP36,"p5,c5")/2+COUNTIF($G36:$BP36,"p5,d5")/2</f>
        <v/>
      </c>
      <c r="BZ36" s="203">
        <f>SUBTOTAL(9,BQ36:BY36)</f>
        <v/>
      </c>
      <c r="CA36" s="54">
        <f>SUM(J36,L36,N36,P36,R36,T36,X36,Z36,AB36,AD36,AF36,AH36,AL36,AN36,AP36,AR36,AT36,AV36,AZ36,BB36,BD36,BF36,BH36,BP36)</f>
        <v/>
      </c>
      <c r="CB36" s="55">
        <f>SUM(H36,V36,AJ36,AX36,BL36)</f>
        <v/>
      </c>
      <c r="CC36" s="56">
        <f>SUM(BJ36,BN36)</f>
        <v/>
      </c>
      <c r="CD36" s="197">
        <f>IF(BZ36&gt;25,4,IF(BZ36&gt;18,3,IF(BZ36&gt;12,2,IF(BZ36&gt;4,1,0))))-BX36-2+1</f>
        <v/>
      </c>
      <c r="CE36" s="49" t="n">
        <v>4</v>
      </c>
      <c r="CF36" s="197">
        <f>CD36*CI36</f>
        <v/>
      </c>
      <c r="CG36" s="198">
        <f>F36-BY36+1</f>
        <v/>
      </c>
      <c r="CH36" s="197">
        <f>CE36*16</f>
        <v/>
      </c>
      <c r="CI36" s="199">
        <f>VLOOKUP(A36,[1]DATA!$A$6:$AI$331,34,0)</f>
        <v/>
      </c>
      <c r="CJ36" s="200">
        <f>VLOOKUP(A36,[2]CHAMCONG!A$7:CI$333,79,0)</f>
        <v/>
      </c>
      <c r="CK36" s="201">
        <f>CJ36-CA36</f>
        <v/>
      </c>
    </row>
    <row r="37" ht="15.75" customFormat="1" customHeight="1" s="68">
      <c r="A37" s="139" t="n"/>
      <c r="B37" s="64" t="n"/>
      <c r="C37" s="115" t="n"/>
      <c r="D37" s="46" t="n"/>
      <c r="E37" s="47" t="n"/>
      <c r="F37" s="48" t="n"/>
      <c r="G37" s="49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73" t="n"/>
      <c r="Q37" s="50" t="n"/>
      <c r="R37" s="67" t="n"/>
      <c r="S37" s="50" t="n"/>
      <c r="T37" s="73" t="n"/>
      <c r="U37" s="50" t="n"/>
      <c r="V37" s="73" t="n"/>
      <c r="W37" s="50" t="n"/>
      <c r="X37" s="73" t="n"/>
      <c r="Y37" s="50" t="n"/>
      <c r="Z37" s="73" t="n"/>
      <c r="AA37" s="50" t="n"/>
      <c r="AB37" s="73" t="n"/>
      <c r="AC37" s="73" t="n"/>
      <c r="AD37" s="73" t="n"/>
      <c r="AE37" s="73" t="n"/>
      <c r="AF37" s="73" t="n"/>
      <c r="AG37" s="73" t="n"/>
      <c r="AH37" s="73" t="n"/>
      <c r="AI37" s="73" t="n"/>
      <c r="AJ37" s="73" t="n"/>
      <c r="AK37" s="73" t="n"/>
      <c r="AL37" s="73" t="n"/>
      <c r="AM37" s="73" t="n"/>
      <c r="AN37" s="73" t="n"/>
      <c r="AO37" s="73" t="n"/>
      <c r="AP37" s="73" t="n"/>
      <c r="AQ37" s="73" t="n"/>
      <c r="AR37" s="73" t="n"/>
      <c r="AS37" s="73" t="n"/>
      <c r="AT37" s="73" t="n"/>
      <c r="AU37" s="73" t="n"/>
      <c r="AV37" s="73" t="n"/>
      <c r="AW37" s="73" t="n"/>
      <c r="AX37" s="73" t="n"/>
      <c r="AY37" s="50" t="n"/>
      <c r="AZ37" s="73" t="n"/>
      <c r="BA37" s="67" t="n"/>
      <c r="BB37" s="73" t="n"/>
      <c r="BC37" s="67" t="n"/>
      <c r="BD37" s="73" t="n"/>
      <c r="BE37" s="73" t="n"/>
      <c r="BF37" s="73" t="n"/>
      <c r="BG37" s="73" t="n"/>
      <c r="BH37" s="73" t="n"/>
      <c r="BI37" s="73" t="n"/>
      <c r="BJ37" s="73" t="n"/>
      <c r="BK37" s="73" t="n"/>
      <c r="BL37" s="73" t="n"/>
      <c r="BM37" s="73" t="n"/>
      <c r="BN37" s="73" t="n"/>
      <c r="BO37" s="73" t="n"/>
      <c r="BP37" s="73" t="n"/>
      <c r="BQ37" s="195">
        <f>COUNTIF($G37:$BP37,"a")+COUNTIF($G37:$BP37,"r0,a5")/2+COUNTIF($G37:$BP37,"p5,a5")/2</f>
        <v/>
      </c>
      <c r="BR37" s="195">
        <f>COUNTIF($G37:$BP37,"d")+COUNTIF($G37:$BP37,"r0,d5")/2+COUNTIF($G37:$BP37,"p5,d5")/2</f>
        <v/>
      </c>
      <c r="BS37" s="195">
        <f>COUNTIF($G37:$BP37,"b")+COUNTIF($G37:$BP37,"r0,b5")/2+COUNTIF($G37:$BP37,"p5,b5")/2</f>
        <v/>
      </c>
      <c r="BT37" s="195">
        <f>COUNTIF($G37:$BP37,"c")+COUNTIF($G37:$BP37,"r0,c5")/2+COUNTIF($G37:$BP37,"p5,c5")/2</f>
        <v/>
      </c>
      <c r="BU37" s="195">
        <f>COUNTIF($G37:$BP37,"KH")+COUNTIF($G37:$BP37,"TL")+COUNTIF($G37:$BP37,"L")</f>
        <v/>
      </c>
      <c r="BV37" s="202" t="n"/>
      <c r="BW37" s="195">
        <f>COUNTIF($G37:$BP37,"hh")</f>
        <v/>
      </c>
      <c r="BX37" s="195">
        <f>COUNTIF($G37:$BP37,"nt7")</f>
        <v/>
      </c>
      <c r="BY37" s="195">
        <f>COUNTIF($G37:$BP37,"P")+COUNTIF($G37:$BP37,"p5,a5")/2+COUNTIF($G37:$BP37,"p5,b5")/2+COUNTIF($G37:$BP37,"p5,c5")/2+COUNTIF($G37:$BP37,"p5,d5")/2</f>
        <v/>
      </c>
      <c r="BZ37" s="203">
        <f>SUBTOTAL(9,BQ37:BY37)</f>
        <v/>
      </c>
      <c r="CA37" s="54">
        <f>SUM(J37,L37,N37,P37,R37,T37,X37,Z37,AB37,AD37,AF37,AH37,AL37,AN37,AP37,AR37,AT37,AV37,AZ37,BB37,BD37,BF37,BH37,BP37)</f>
        <v/>
      </c>
      <c r="CB37" s="55">
        <f>SUM(H37,V37,AJ37,AX37,BL37)</f>
        <v/>
      </c>
      <c r="CC37" s="56">
        <f>SUM(BJ37,BN37)</f>
        <v/>
      </c>
      <c r="CD37" s="197">
        <f>IF(BZ37&gt;25,4,IF(BZ37&gt;18,3,IF(BZ37&gt;12,2,IF(BZ37&gt;4,1,0))))-BX37-2+1</f>
        <v/>
      </c>
      <c r="CE37" s="49" t="n"/>
      <c r="CF37" s="197">
        <f>CD37*CI37</f>
        <v/>
      </c>
      <c r="CG37" s="198">
        <f>F37-BY37+1</f>
        <v/>
      </c>
      <c r="CH37" s="197">
        <f>CE37*16</f>
        <v/>
      </c>
      <c r="CI37" s="199">
        <f>VLOOKUP(A37,[1]DATA!$A$6:$AI$331,34,0)</f>
        <v/>
      </c>
      <c r="CJ37" s="200">
        <f>VLOOKUP(A37,[2]CHAMCONG!A$7:CI$333,79,0)</f>
        <v/>
      </c>
      <c r="CK37" s="201">
        <f>CJ37-CA37</f>
        <v/>
      </c>
    </row>
    <row r="38" ht="15.75" customFormat="1" customHeight="1" s="68">
      <c r="A38" s="139" t="n"/>
      <c r="B38" s="64" t="n"/>
      <c r="C38" s="115" t="n"/>
      <c r="D38" s="46" t="n"/>
      <c r="E38" s="47" t="n"/>
      <c r="F38" s="48" t="n"/>
      <c r="G38" s="49" t="n"/>
      <c r="H38" s="73" t="n"/>
      <c r="I38" s="50" t="n"/>
      <c r="J38" s="73" t="n"/>
      <c r="K38" s="50" t="n"/>
      <c r="L38" s="73" t="n"/>
      <c r="M38" s="50" t="n"/>
      <c r="N38" s="73" t="n"/>
      <c r="O38" s="50" t="n"/>
      <c r="P38" s="73" t="n"/>
      <c r="Q38" s="50" t="n"/>
      <c r="R38" s="67" t="n"/>
      <c r="S38" s="50" t="n"/>
      <c r="T38" s="73" t="n"/>
      <c r="U38" s="50" t="n"/>
      <c r="V38" s="73" t="n"/>
      <c r="W38" s="50" t="n"/>
      <c r="X38" s="73" t="n"/>
      <c r="Y38" s="50" t="n"/>
      <c r="Z38" s="73" t="n"/>
      <c r="AA38" s="50" t="n"/>
      <c r="AB38" s="73" t="n"/>
      <c r="AC38" s="50" t="n"/>
      <c r="AD38" s="73" t="n"/>
      <c r="AE38" s="50" t="n"/>
      <c r="AF38" s="67" t="n"/>
      <c r="AG38" s="50" t="n"/>
      <c r="AH38" s="73" t="n"/>
      <c r="AI38" s="50" t="n"/>
      <c r="AJ38" s="73" t="n"/>
      <c r="AK38" s="50" t="n"/>
      <c r="AL38" s="73" t="n"/>
      <c r="AM38" s="50" t="n"/>
      <c r="AN38" s="73" t="n"/>
      <c r="AO38" s="50" t="n"/>
      <c r="AP38" s="73" t="n"/>
      <c r="AQ38" s="50" t="n"/>
      <c r="AR38" s="73" t="n"/>
      <c r="AS38" s="50" t="n"/>
      <c r="AT38" s="67" t="n"/>
      <c r="AU38" s="50" t="n"/>
      <c r="AV38" s="73" t="n"/>
      <c r="AW38" s="73" t="n"/>
      <c r="AX38" s="73" t="n"/>
      <c r="AY38" s="50" t="n"/>
      <c r="AZ38" s="73" t="n"/>
      <c r="BA38" s="50" t="n"/>
      <c r="BB38" s="73" t="n"/>
      <c r="BC38" s="50" t="n"/>
      <c r="BD38" s="73" t="n"/>
      <c r="BE38" s="50" t="n"/>
      <c r="BF38" s="73" t="n"/>
      <c r="BG38" s="50" t="n"/>
      <c r="BH38" s="67" t="n"/>
      <c r="BI38" s="73" t="n"/>
      <c r="BJ38" s="73" t="n"/>
      <c r="BK38" s="73" t="n"/>
      <c r="BL38" s="73" t="n"/>
      <c r="BM38" s="73" t="n"/>
      <c r="BN38" s="73" t="n"/>
      <c r="BO38" s="73" t="n"/>
      <c r="BP38" s="73" t="n"/>
      <c r="BQ38" s="195">
        <f>COUNTIF($G38:$BP38,"a")+COUNTIF($G38:$BP38,"r0,a5")/2+COUNTIF($G38:$BP38,"p5,a5")/2</f>
        <v/>
      </c>
      <c r="BR38" s="195">
        <f>COUNTIF($G38:$BP38,"d")+COUNTIF($G38:$BP38,"r0,d5")/2+COUNTIF($G38:$BP38,"p5,d5")/2</f>
        <v/>
      </c>
      <c r="BS38" s="195">
        <f>COUNTIF($G38:$BP38,"b")+COUNTIF($G38:$BP38,"r0,b5")/2+COUNTIF($G38:$BP38,"p5,b5")/2</f>
        <v/>
      </c>
      <c r="BT38" s="195">
        <f>COUNTIF($G38:$BP38,"c")+COUNTIF($G38:$BP38,"r0,c5")/2+COUNTIF($G38:$BP38,"p5,c5")/2</f>
        <v/>
      </c>
      <c r="BU38" s="195">
        <f>COUNTIF($G38:$BP38,"KH")+COUNTIF($G38:$BP38,"TL")+COUNTIF($G38:$BP38,"L")</f>
        <v/>
      </c>
      <c r="BV38" s="202" t="n"/>
      <c r="BW38" s="195">
        <f>COUNTIF($G38:$BP38,"hh")</f>
        <v/>
      </c>
      <c r="BX38" s="195">
        <f>COUNTIF($G38:$BP38,"nt7")</f>
        <v/>
      </c>
      <c r="BY38" s="195">
        <f>COUNTIF($G38:$BP38,"P")+COUNTIF($G38:$BP38,"p5,a5")/2+COUNTIF($G38:$BP38,"p5,b5")/2+COUNTIF($G38:$BP38,"p5,c5")/2+COUNTIF($G38:$BP38,"p5,d5")/2</f>
        <v/>
      </c>
      <c r="BZ38" s="203">
        <f>SUBTOTAL(9,BQ38:BY38)</f>
        <v/>
      </c>
      <c r="CA38" s="54">
        <f>SUM(J38,L38,N38,P38,R38,T38,X38,Z38,AB38,AD38,AF38,AH38,AL38,AN38,AP38,AR38,AT38,AV38,AZ38,BB38,BD38,BF38,BH38,BP38)</f>
        <v/>
      </c>
      <c r="CB38" s="55">
        <f>SUM(H38,V38,AJ38,AX38,BL38)</f>
        <v/>
      </c>
      <c r="CC38" s="56">
        <f>SUM(BJ38,BN38)</f>
        <v/>
      </c>
      <c r="CD38" s="197">
        <f>IF(BZ38&gt;25,4,IF(BZ38&gt;18,3,IF(BZ38&gt;12,2,IF(BZ38&gt;4,1,0))))-BX38-2+1</f>
        <v/>
      </c>
      <c r="CE38" s="49" t="n">
        <v>4</v>
      </c>
      <c r="CF38" s="197">
        <f>CD38*CI38</f>
        <v/>
      </c>
      <c r="CG38" s="198">
        <f>F38-BY38+1</f>
        <v/>
      </c>
      <c r="CH38" s="197">
        <f>CE38*16</f>
        <v/>
      </c>
      <c r="CI38" s="199">
        <f>VLOOKUP(A38,[1]DATA!$A$6:$AI$331,34,0)</f>
        <v/>
      </c>
      <c r="CJ38" s="200">
        <f>VLOOKUP(A38,[2]CHAMCONG!A$7:CI$333,79,0)</f>
        <v/>
      </c>
      <c r="CK38" s="201">
        <f>CJ38-CA38</f>
        <v/>
      </c>
    </row>
    <row r="39" ht="15.75" customFormat="1" customHeight="1" s="68">
      <c r="A39" s="139" t="n"/>
      <c r="B39" s="64" t="n"/>
      <c r="C39" s="115" t="n"/>
      <c r="D39" s="46" t="n"/>
      <c r="E39" s="47" t="n"/>
      <c r="F39" s="48" t="n"/>
      <c r="G39" s="49" t="n"/>
      <c r="H39" s="73" t="n"/>
      <c r="I39" s="49" t="n"/>
      <c r="J39" s="73" t="n"/>
      <c r="K39" s="49" t="n"/>
      <c r="L39" s="73" t="n"/>
      <c r="M39" s="49" t="n"/>
      <c r="N39" s="73" t="n"/>
      <c r="O39" s="49" t="n"/>
      <c r="P39" s="73" t="n"/>
      <c r="Q39" s="50" t="n"/>
      <c r="R39" s="67" t="n"/>
      <c r="S39" s="73" t="n"/>
      <c r="T39" s="73" t="n"/>
      <c r="U39" s="49" t="n"/>
      <c r="V39" s="73" t="n"/>
      <c r="W39" s="50" t="n"/>
      <c r="X39" s="73" t="n"/>
      <c r="Y39" s="50" t="n"/>
      <c r="Z39" s="73" t="n"/>
      <c r="AA39" s="50" t="n"/>
      <c r="AB39" s="73" t="n"/>
      <c r="AC39" s="50" t="n"/>
      <c r="AD39" s="73" t="n"/>
      <c r="AE39" s="50" t="n"/>
      <c r="AF39" s="67" t="n"/>
      <c r="AG39" s="50" t="n"/>
      <c r="AH39" s="73" t="n"/>
      <c r="AI39" s="73" t="n"/>
      <c r="AJ39" s="73" t="n"/>
      <c r="AK39" s="50" t="n"/>
      <c r="AL39" s="73" t="n"/>
      <c r="AM39" s="50" t="n"/>
      <c r="AN39" s="73" t="n"/>
      <c r="AO39" s="50" t="n"/>
      <c r="AP39" s="73" t="n"/>
      <c r="AQ39" s="50" t="n"/>
      <c r="AR39" s="73" t="n"/>
      <c r="AS39" s="50" t="n"/>
      <c r="AT39" s="67" t="n"/>
      <c r="AU39" s="50" t="n"/>
      <c r="AV39" s="73" t="n"/>
      <c r="AW39" s="49" t="n"/>
      <c r="AX39" s="73" t="n"/>
      <c r="AY39" s="50" t="n"/>
      <c r="AZ39" s="73" t="n"/>
      <c r="BA39" s="50" t="n"/>
      <c r="BB39" s="73" t="n"/>
      <c r="BC39" s="50" t="n"/>
      <c r="BD39" s="73" t="n"/>
      <c r="BE39" s="50" t="n"/>
      <c r="BF39" s="73" t="n"/>
      <c r="BG39" s="50" t="n"/>
      <c r="BH39" s="67" t="n"/>
      <c r="BI39" s="73" t="n"/>
      <c r="BJ39" s="73" t="n"/>
      <c r="BK39" s="73" t="n"/>
      <c r="BL39" s="73" t="n"/>
      <c r="BM39" s="73" t="n"/>
      <c r="BN39" s="73" t="n"/>
      <c r="BO39" s="73" t="n"/>
      <c r="BP39" s="73" t="n"/>
      <c r="BQ39" s="195">
        <f>COUNTIF($G39:$BP39,"a")+COUNTIF($G39:$BP39,"r0,a5")/2+COUNTIF($G39:$BP39,"p5,a5")/2</f>
        <v/>
      </c>
      <c r="BR39" s="195">
        <f>COUNTIF($G39:$BP39,"d")+COUNTIF($G39:$BP39,"r0,d5")/2+COUNTIF($G39:$BP39,"p5,d5")/2</f>
        <v/>
      </c>
      <c r="BS39" s="195">
        <f>COUNTIF($G39:$BP39,"b")+COUNTIF($G39:$BP39,"r0,b5")/2+COUNTIF($G39:$BP39,"p5,b5")/2</f>
        <v/>
      </c>
      <c r="BT39" s="195">
        <f>COUNTIF($G39:$BP39,"c")+COUNTIF($G39:$BP39,"r0,c5")/2+COUNTIF($G39:$BP39,"p5,c5")/2</f>
        <v/>
      </c>
      <c r="BU39" s="195">
        <f>COUNTIF($G39:$BP39,"KH")+COUNTIF($G39:$BP39,"TL")+COUNTIF($G39:$BP39,"L")</f>
        <v/>
      </c>
      <c r="BV39" s="202" t="n"/>
      <c r="BW39" s="195">
        <f>COUNTIF($G39:$BP39,"hh")</f>
        <v/>
      </c>
      <c r="BX39" s="195">
        <f>COUNTIF($G39:$BP39,"nt7")</f>
        <v/>
      </c>
      <c r="BY39" s="195">
        <f>COUNTIF($G39:$BP39,"P")+COUNTIF($G39:$BP39,"p5,a5")/2+COUNTIF($G39:$BP39,"p5,b5")/2+COUNTIF($G39:$BP39,"p5,c5")/2+COUNTIF($G39:$BP39,"p5,d5")/2</f>
        <v/>
      </c>
      <c r="BZ39" s="203">
        <f>SUBTOTAL(9,BQ39:BY39)</f>
        <v/>
      </c>
      <c r="CA39" s="54">
        <f>SUM(J39,L39,N39,P39,R39,T39,X39,Z39,AB39,AD39,AF39,AH39,AL39,AN39,AP39,AR39,AT39,AV39,AZ39,BB39,BD39,BF39,BH39,BP39)</f>
        <v/>
      </c>
      <c r="CB39" s="55">
        <f>SUM(H39,V39,AJ39,AX39,BL39)</f>
        <v/>
      </c>
      <c r="CC39" s="56">
        <f>SUM(BJ39,BN39)</f>
        <v/>
      </c>
      <c r="CD39" s="197">
        <f>IF(BZ39&gt;25,4,IF(BZ39&gt;18,3,IF(BZ39&gt;12,2,IF(BZ39&gt;4,1,0))))-BX39-2+1</f>
        <v/>
      </c>
      <c r="CE39" s="49" t="n">
        <v>3</v>
      </c>
      <c r="CF39" s="197">
        <f>CD39*CI39</f>
        <v/>
      </c>
      <c r="CG39" s="198">
        <f>F39-BY39+1</f>
        <v/>
      </c>
      <c r="CH39" s="197">
        <f>CE39*16</f>
        <v/>
      </c>
      <c r="CI39" s="199">
        <f>VLOOKUP(A39,[1]DATA!$A$6:$AI$331,34,0)</f>
        <v/>
      </c>
      <c r="CJ39" s="200">
        <f>VLOOKUP(A39,[2]CHAMCONG!A$7:CI$333,79,0)</f>
        <v/>
      </c>
      <c r="CK39" s="201">
        <f>CJ39-CA39</f>
        <v/>
      </c>
    </row>
    <row r="40" ht="15.75" customFormat="1" customHeight="1" s="68">
      <c r="A40" s="69" t="n"/>
      <c r="B40" s="64" t="n"/>
      <c r="C40" s="115" t="n"/>
      <c r="D40" s="46" t="n"/>
      <c r="E40" s="47" t="n"/>
      <c r="F40" s="48" t="n"/>
      <c r="G40" s="49" t="n"/>
      <c r="H40" s="73" t="n"/>
      <c r="I40" s="50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50" t="n"/>
      <c r="T40" s="73" t="n"/>
      <c r="U40" s="50" t="n"/>
      <c r="V40" s="73" t="n"/>
      <c r="W40" s="50" t="n"/>
      <c r="X40" s="73" t="n"/>
      <c r="Y40" s="50" t="n"/>
      <c r="Z40" s="73" t="n"/>
      <c r="AA40" s="50" t="n"/>
      <c r="AB40" s="73" t="n"/>
      <c r="AC40" s="50" t="n"/>
      <c r="AD40" s="73" t="n"/>
      <c r="AE40" s="73" t="n"/>
      <c r="AF40" s="73" t="n"/>
      <c r="AG40" s="73" t="n"/>
      <c r="AH40" s="73" t="n"/>
      <c r="AI40" s="73" t="n"/>
      <c r="AJ40" s="73" t="n"/>
      <c r="AK40" s="73" t="n"/>
      <c r="AL40" s="73" t="n"/>
      <c r="AM40" s="73" t="n"/>
      <c r="AN40" s="73" t="n"/>
      <c r="AO40" s="73" t="n"/>
      <c r="AP40" s="73" t="n"/>
      <c r="AQ40" s="73" t="n"/>
      <c r="AR40" s="73" t="n"/>
      <c r="AS40" s="73" t="n"/>
      <c r="AT40" s="73" t="n"/>
      <c r="AU40" s="73" t="n"/>
      <c r="AV40" s="73" t="n"/>
      <c r="AW40" s="73" t="n"/>
      <c r="AX40" s="73" t="n"/>
      <c r="AY40" s="73" t="n"/>
      <c r="AZ40" s="73" t="n"/>
      <c r="BA40" s="73" t="n"/>
      <c r="BB40" s="73" t="n"/>
      <c r="BC40" s="73" t="n"/>
      <c r="BD40" s="73" t="n"/>
      <c r="BE40" s="73" t="n"/>
      <c r="BF40" s="73" t="n"/>
      <c r="BG40" s="73" t="n"/>
      <c r="BH40" s="73" t="n"/>
      <c r="BI40" s="73" t="n"/>
      <c r="BJ40" s="73" t="n"/>
      <c r="BK40" s="73" t="n"/>
      <c r="BL40" s="73" t="n"/>
      <c r="BM40" s="73" t="n"/>
      <c r="BN40" s="73" t="n"/>
      <c r="BO40" s="73" t="n"/>
      <c r="BP40" s="73" t="n"/>
      <c r="BQ40" s="195">
        <f>COUNTIF($G40:$BP40,"a")+COUNTIF($G40:$BP40,"r0,a5")/2+COUNTIF($G40:$BP40,"p5,a5")/2</f>
        <v/>
      </c>
      <c r="BR40" s="195">
        <f>COUNTIF($G40:$BP40,"d")+COUNTIF($G40:$BP40,"r0,d5")/2+COUNTIF($G40:$BP40,"p5,d5")/2</f>
        <v/>
      </c>
      <c r="BS40" s="195">
        <f>COUNTIF($G40:$BP40,"b")+COUNTIF($G40:$BP40,"r0,b5")/2+COUNTIF($G40:$BP40,"p5,b5")/2</f>
        <v/>
      </c>
      <c r="BT40" s="195">
        <f>COUNTIF($G40:$BP40,"c")+COUNTIF($G40:$BP40,"r0,c5")/2+COUNTIF($G40:$BP40,"p5,c5")/2</f>
        <v/>
      </c>
      <c r="BU40" s="195">
        <f>COUNTIF($G40:$BP40,"KH")+COUNTIF($G40:$BP40,"TL")+COUNTIF($G40:$BP40,"L")</f>
        <v/>
      </c>
      <c r="BV40" s="202" t="n"/>
      <c r="BW40" s="195">
        <f>COUNTIF($G40:$BP40,"hh")</f>
        <v/>
      </c>
      <c r="BX40" s="195">
        <f>COUNTIF($G40:$BP40,"nt7")</f>
        <v/>
      </c>
      <c r="BY40" s="195">
        <f>COUNTIF($G40:$BP40,"P")+COUNTIF($G40:$BP40,"p5,a5")/2+COUNTIF($G40:$BP40,"p5,b5")/2+COUNTIF($G40:$BP40,"p5,c5")/2+COUNTIF($G40:$BP40,"p5,d5")/2</f>
        <v/>
      </c>
      <c r="BZ40" s="203">
        <f>SUBTOTAL(9,BQ40:BY40)</f>
        <v/>
      </c>
      <c r="CA40" s="54">
        <f>SUM(J40,L40,N40,P40,R40,T40,X40,Z40,AB40,AD40,AF40,AH40,AL40,AN40,AP40,AR40,AT40,AV40,AZ40,BB40,BD40,BF40,BH40,BP40)</f>
        <v/>
      </c>
      <c r="CB40" s="55">
        <f>SUM(H40,V40,AJ40,AX40,BL40)</f>
        <v/>
      </c>
      <c r="CC40" s="56">
        <f>SUM(BJ40,BN40)</f>
        <v/>
      </c>
      <c r="CD40" s="197">
        <f>IF(BZ40&gt;25,4,IF(BZ40&gt;18,3,IF(BZ40&gt;12,2,IF(BZ40&gt;4,1,0))))-BX40-2+1</f>
        <v/>
      </c>
      <c r="CE40" s="49" t="n">
        <v>3</v>
      </c>
      <c r="CF40" s="197">
        <f>CD40*CI40</f>
        <v/>
      </c>
      <c r="CG40" s="198">
        <f>F40-BY40+1</f>
        <v/>
      </c>
      <c r="CH40" s="197">
        <f>CE40*16</f>
        <v/>
      </c>
      <c r="CI40" s="199">
        <f>VLOOKUP(A40,[1]DATA!$A$6:$AI$331,34,0)</f>
        <v/>
      </c>
      <c r="CJ40" s="200">
        <f>VLOOKUP(A40,[2]CHAMCONG!A$7:CI$333,79,0)</f>
        <v/>
      </c>
      <c r="CK40" s="201">
        <f>CJ40-CA40</f>
        <v/>
      </c>
    </row>
    <row r="41" ht="15.75" customFormat="1" customHeight="1" s="68">
      <c r="A41" s="69" t="n"/>
      <c r="B41" s="64" t="n"/>
      <c r="C41" s="115" t="n"/>
      <c r="D41" s="46" t="n"/>
      <c r="E41" s="47" t="n"/>
      <c r="F41" s="48" t="n"/>
      <c r="G41" s="49" t="n"/>
      <c r="H41" s="73" t="n"/>
      <c r="I41" s="50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49" t="n"/>
      <c r="V41" s="73" t="n"/>
      <c r="W41" s="73" t="n"/>
      <c r="X41" s="73" t="n"/>
      <c r="Y41" s="73" t="n"/>
      <c r="Z41" s="73" t="n"/>
      <c r="AA41" s="73" t="n"/>
      <c r="AB41" s="73" t="n"/>
      <c r="AC41" s="73" t="n"/>
      <c r="AD41" s="73" t="n"/>
      <c r="AE41" s="73" t="n"/>
      <c r="AF41" s="73" t="n"/>
      <c r="AG41" s="73" t="n"/>
      <c r="AH41" s="73" t="n"/>
      <c r="AI41" s="73" t="n"/>
      <c r="AJ41" s="73" t="n"/>
      <c r="AK41" s="73" t="n"/>
      <c r="AL41" s="73" t="n"/>
      <c r="AM41" s="73" t="n"/>
      <c r="AN41" s="73" t="n"/>
      <c r="AO41" s="73" t="n"/>
      <c r="AP41" s="73" t="n"/>
      <c r="AQ41" s="73" t="n"/>
      <c r="AR41" s="73" t="n"/>
      <c r="AS41" s="73" t="n"/>
      <c r="AT41" s="73" t="n"/>
      <c r="AU41" s="73" t="n"/>
      <c r="AV41" s="73" t="n"/>
      <c r="AW41" s="73" t="n"/>
      <c r="AX41" s="73" t="n"/>
      <c r="AY41" s="73" t="n"/>
      <c r="AZ41" s="73" t="n"/>
      <c r="BA41" s="73" t="n"/>
      <c r="BB41" s="73" t="n"/>
      <c r="BC41" s="73" t="n"/>
      <c r="BD41" s="73" t="n"/>
      <c r="BE41" s="73" t="n"/>
      <c r="BF41" s="73" t="n"/>
      <c r="BG41" s="73" t="n"/>
      <c r="BH41" s="73" t="n"/>
      <c r="BI41" s="73" t="n"/>
      <c r="BJ41" s="73" t="n"/>
      <c r="BK41" s="73" t="n"/>
      <c r="BL41" s="73" t="n"/>
      <c r="BM41" s="73" t="n"/>
      <c r="BN41" s="73" t="n"/>
      <c r="BO41" s="73" t="n"/>
      <c r="BP41" s="73" t="n"/>
      <c r="BQ41" s="195">
        <f>COUNTIF($G41:$BP41,"a")+COUNTIF($G41:$BP41,"r0,a5")/2+COUNTIF($G41:$BP41,"p5,a5")/2</f>
        <v/>
      </c>
      <c r="BR41" s="195">
        <f>COUNTIF($G41:$BP41,"d")+COUNTIF($G41:$BP41,"r0,d5")/2+COUNTIF($G41:$BP41,"p5,d5")/2</f>
        <v/>
      </c>
      <c r="BS41" s="195">
        <f>COUNTIF($G41:$BP41,"b")+COUNTIF($G41:$BP41,"r0,b5")/2+COUNTIF($G41:$BP41,"p5,b5")/2</f>
        <v/>
      </c>
      <c r="BT41" s="195">
        <f>COUNTIF($G41:$BP41,"c")+COUNTIF($G41:$BP41,"r0,c5")/2+COUNTIF($G41:$BP41,"p5,c5")/2</f>
        <v/>
      </c>
      <c r="BU41" s="195">
        <f>COUNTIF($G41:$BP41,"KH")+COUNTIF($G41:$BP41,"TL")+COUNTIF($G41:$BP41,"L")</f>
        <v/>
      </c>
      <c r="BV41" s="202" t="n"/>
      <c r="BW41" s="195">
        <f>COUNTIF($G41:$BP41,"hh")</f>
        <v/>
      </c>
      <c r="BX41" s="195">
        <f>COUNTIF($G41:$BP41,"nt7")</f>
        <v/>
      </c>
      <c r="BY41" s="195">
        <f>COUNTIF($G41:$BP41,"P")+COUNTIF($G41:$BP41,"p5,a5")/2+COUNTIF($G41:$BP41,"p5,b5")/2+COUNTIF($G41:$BP41,"p5,c5")/2+COUNTIF($G41:$BP41,"p5,d5")/2</f>
        <v/>
      </c>
      <c r="BZ41" s="203">
        <f>SUBTOTAL(9,BQ41:BY41)</f>
        <v/>
      </c>
      <c r="CA41" s="54">
        <f>SUM(J41,L41,N41,P41,R41,T41,X41,Z41,AB41,AD41,AF41,AH41,AL41,AN41,AP41,AR41,AT41,AV41,AZ41,BB41,BD41,BF41,BH41,BP41)</f>
        <v/>
      </c>
      <c r="CB41" s="55">
        <f>SUM(H41,V41,AJ41,AX41,BL41)</f>
        <v/>
      </c>
      <c r="CC41" s="56">
        <f>SUM(BJ41,BN41)</f>
        <v/>
      </c>
      <c r="CD41" s="197">
        <f>IF(BZ41&gt;25,4,IF(BZ41&gt;18,3,IF(BZ41&gt;12,2,IF(BZ41&gt;4,1,0))))-BX41-2+1</f>
        <v/>
      </c>
      <c r="CE41" s="49" t="n">
        <v>4</v>
      </c>
      <c r="CF41" s="197">
        <f>CD41*CI41</f>
        <v/>
      </c>
      <c r="CG41" s="198">
        <f>F41-BY41+1</f>
        <v/>
      </c>
      <c r="CH41" s="197">
        <f>CE41*16</f>
        <v/>
      </c>
      <c r="CI41" s="199">
        <f>VLOOKUP(A41,[1]DATA!$A$6:$AI$331,34,0)</f>
        <v/>
      </c>
      <c r="CJ41" s="200">
        <f>VLOOKUP(A41,[2]CHAMCONG!A$7:CI$333,79,0)</f>
        <v/>
      </c>
      <c r="CK41" s="201">
        <f>CJ41-CA41</f>
        <v/>
      </c>
    </row>
    <row r="42" ht="15.75" customFormat="1" customHeight="1" s="68">
      <c r="A42" s="139" t="n"/>
      <c r="B42" s="64" t="n"/>
      <c r="C42" s="115" t="n"/>
      <c r="D42" s="46" t="n"/>
      <c r="E42" s="47" t="n"/>
      <c r="F42" s="48" t="n"/>
      <c r="G42" s="49" t="n"/>
      <c r="H42" s="73" t="n"/>
      <c r="I42" s="49" t="n"/>
      <c r="J42" s="73" t="n"/>
      <c r="K42" s="49" t="n"/>
      <c r="L42" s="73" t="n"/>
      <c r="M42" s="49" t="n"/>
      <c r="N42" s="73" t="n"/>
      <c r="O42" s="49" t="n"/>
      <c r="P42" s="73" t="n"/>
      <c r="Q42" s="50" t="n"/>
      <c r="R42" s="67" t="n"/>
      <c r="S42" s="73" t="n"/>
      <c r="T42" s="73" t="n"/>
      <c r="U42" s="49" t="n"/>
      <c r="V42" s="73" t="n"/>
      <c r="W42" s="50" t="n"/>
      <c r="X42" s="73" t="n"/>
      <c r="Y42" s="50" t="n"/>
      <c r="Z42" s="73" t="n"/>
      <c r="AA42" s="50" t="n"/>
      <c r="AB42" s="73" t="n"/>
      <c r="AC42" s="50" t="n"/>
      <c r="AD42" s="73" t="n"/>
      <c r="AE42" s="50" t="n"/>
      <c r="AF42" s="67" t="n"/>
      <c r="AG42" s="50" t="n"/>
      <c r="AH42" s="73" t="n"/>
      <c r="AI42" s="73" t="n"/>
      <c r="AJ42" s="73" t="n"/>
      <c r="AK42" s="50" t="n"/>
      <c r="AL42" s="73" t="n"/>
      <c r="AM42" s="50" t="n"/>
      <c r="AN42" s="73" t="n"/>
      <c r="AO42" s="50" t="n"/>
      <c r="AP42" s="73" t="n"/>
      <c r="AQ42" s="50" t="n"/>
      <c r="AR42" s="73" t="n"/>
      <c r="AS42" s="50" t="n"/>
      <c r="AT42" s="67" t="n"/>
      <c r="AU42" s="73" t="n"/>
      <c r="AV42" s="73" t="n"/>
      <c r="AW42" s="49" t="n"/>
      <c r="AX42" s="73" t="n"/>
      <c r="AY42" s="50" t="n"/>
      <c r="AZ42" s="73" t="n"/>
      <c r="BA42" s="50" t="n"/>
      <c r="BB42" s="73" t="n"/>
      <c r="BC42" s="50" t="n"/>
      <c r="BD42" s="73" t="n"/>
      <c r="BE42" s="50" t="n"/>
      <c r="BF42" s="73" t="n"/>
      <c r="BG42" s="50" t="n"/>
      <c r="BH42" s="67" t="n"/>
      <c r="BI42" s="73" t="n"/>
      <c r="BJ42" s="73" t="n"/>
      <c r="BK42" s="73" t="n"/>
      <c r="BL42" s="73" t="n"/>
      <c r="BM42" s="73" t="n"/>
      <c r="BN42" s="73" t="n"/>
      <c r="BO42" s="73" t="n"/>
      <c r="BP42" s="73" t="n"/>
      <c r="BQ42" s="195">
        <f>COUNTIF($G42:$BP42,"a")+COUNTIF($G42:$BP42,"r0,a5")/2+COUNTIF($G42:$BP42,"p5,a5")/2</f>
        <v/>
      </c>
      <c r="BR42" s="195">
        <f>COUNTIF($G42:$BP42,"d")+COUNTIF($G42:$BP42,"r0,d5")/2+COUNTIF($G42:$BP42,"p5,d5")/2</f>
        <v/>
      </c>
      <c r="BS42" s="195">
        <f>COUNTIF($G42:$BP42,"b")+COUNTIF($G42:$BP42,"r0,b5")/2+COUNTIF($G42:$BP42,"p5,b5")/2</f>
        <v/>
      </c>
      <c r="BT42" s="195">
        <f>COUNTIF($G42:$BP42,"c")+COUNTIF($G42:$BP42,"r0,c5")/2+COUNTIF($G42:$BP42,"p5,c5")/2</f>
        <v/>
      </c>
      <c r="BU42" s="195">
        <f>COUNTIF($G42:$BP42,"KH")+COUNTIF($G42:$BP42,"TL")+COUNTIF($G42:$BP42,"L")</f>
        <v/>
      </c>
      <c r="BV42" s="202" t="n"/>
      <c r="BW42" s="195">
        <f>COUNTIF($G42:$BP42,"hh")</f>
        <v/>
      </c>
      <c r="BX42" s="195">
        <f>COUNTIF($G42:$BP42,"nt7")</f>
        <v/>
      </c>
      <c r="BY42" s="195">
        <f>COUNTIF($G42:$BP42,"P")+COUNTIF($G42:$BP42,"p5,a5")/2+COUNTIF($G42:$BP42,"p5,b5")/2+COUNTIF($G42:$BP42,"p5,c5")/2+COUNTIF($G42:$BP42,"p5,d5")/2</f>
        <v/>
      </c>
      <c r="BZ42" s="203">
        <f>SUBTOTAL(9,BQ42:BY42)</f>
        <v/>
      </c>
      <c r="CA42" s="54">
        <f>SUM(J42,L42,N42,P42,R42,T42,X42,Z42,AB42,AD42,AF42,AH42,AL42,AN42,AP42,AR42,AT42,AV42,AZ42,BB42,BD42,BF42,BH42,BP42)</f>
        <v/>
      </c>
      <c r="CB42" s="55">
        <f>SUM(H42,V42,AJ42,AX42,BL42)</f>
        <v/>
      </c>
      <c r="CC42" s="56">
        <f>SUM(BJ42,BN42)</f>
        <v/>
      </c>
      <c r="CD42" s="197">
        <f>IF(BZ42&gt;25,4,IF(BZ42&gt;18,3,IF(BZ42&gt;12,2,IF(BZ42&gt;4,1,0))))-BX42-2+1</f>
        <v/>
      </c>
      <c r="CE42" s="49" t="n">
        <v>1</v>
      </c>
      <c r="CF42" s="197">
        <f>CD42*CI42</f>
        <v/>
      </c>
      <c r="CG42" s="198">
        <f>F42-BY42+1</f>
        <v/>
      </c>
      <c r="CH42" s="197">
        <f>CE42*16</f>
        <v/>
      </c>
      <c r="CI42" s="199">
        <f>VLOOKUP(A42,[1]DATA!$A$6:$AI$331,34,0)</f>
        <v/>
      </c>
      <c r="CJ42" s="200">
        <f>VLOOKUP(A42,[2]CHAMCONG!A$7:CI$333,79,0)</f>
        <v/>
      </c>
      <c r="CK42" s="201">
        <f>CJ42-CA42</f>
        <v/>
      </c>
    </row>
    <row r="43" ht="15.75" customFormat="1" customHeight="1" s="68">
      <c r="A43" s="139" t="n"/>
      <c r="B43" s="64" t="n"/>
      <c r="C43" s="115" t="n"/>
      <c r="D43" s="46" t="n"/>
      <c r="E43" s="47" t="n"/>
      <c r="F43" s="48" t="n"/>
      <c r="G43" s="49" t="n"/>
      <c r="H43" s="73" t="n"/>
      <c r="I43" s="49" t="n"/>
      <c r="J43" s="73" t="n"/>
      <c r="K43" s="49" t="n"/>
      <c r="L43" s="73" t="n"/>
      <c r="M43" s="49" t="n"/>
      <c r="N43" s="73" t="n"/>
      <c r="O43" s="49" t="n"/>
      <c r="P43" s="73" t="n"/>
      <c r="Q43" s="50" t="n"/>
      <c r="R43" s="67" t="n"/>
      <c r="S43" s="50" t="n"/>
      <c r="T43" s="73" t="n"/>
      <c r="U43" s="50" t="n"/>
      <c r="V43" s="73" t="n"/>
      <c r="W43" s="50" t="n"/>
      <c r="X43" s="73" t="n"/>
      <c r="Y43" s="50" t="n"/>
      <c r="Z43" s="73" t="n"/>
      <c r="AA43" s="50" t="n"/>
      <c r="AB43" s="73" t="n"/>
      <c r="AC43" s="50" t="n"/>
      <c r="AD43" s="73" t="n"/>
      <c r="AE43" s="50" t="n"/>
      <c r="AF43" s="67" t="n"/>
      <c r="AG43" s="49" t="n"/>
      <c r="AH43" s="73" t="n"/>
      <c r="AI43" s="49" t="n"/>
      <c r="AJ43" s="73" t="n"/>
      <c r="AK43" s="49" t="n"/>
      <c r="AL43" s="73" t="n"/>
      <c r="AM43" s="49" t="n"/>
      <c r="AN43" s="73" t="n"/>
      <c r="AO43" s="49" t="n"/>
      <c r="AP43" s="73" t="n"/>
      <c r="AQ43" s="73" t="n"/>
      <c r="AR43" s="73" t="n"/>
      <c r="AS43" s="73" t="n"/>
      <c r="AT43" s="73" t="n"/>
      <c r="AU43" s="73" t="n"/>
      <c r="AV43" s="73" t="n"/>
      <c r="AW43" s="49" t="n"/>
      <c r="AX43" s="73" t="n"/>
      <c r="AY43" s="73" t="n"/>
      <c r="AZ43" s="73" t="n"/>
      <c r="BA43" s="73" t="n"/>
      <c r="BB43" s="73" t="n"/>
      <c r="BC43" s="73" t="n"/>
      <c r="BD43" s="73" t="n"/>
      <c r="BE43" s="73" t="n"/>
      <c r="BF43" s="73" t="n"/>
      <c r="BG43" s="73" t="n"/>
      <c r="BH43" s="73" t="n"/>
      <c r="BI43" s="73" t="n"/>
      <c r="BJ43" s="73" t="n"/>
      <c r="BK43" s="73" t="n"/>
      <c r="BL43" s="73" t="n"/>
      <c r="BM43" s="73" t="n"/>
      <c r="BN43" s="73" t="n"/>
      <c r="BO43" s="73" t="n"/>
      <c r="BP43" s="73" t="n"/>
      <c r="BQ43" s="195">
        <f>COUNTIF($G43:$BP43,"a")+COUNTIF($G43:$BP43,"r0,a5")/2+COUNTIF($G43:$BP43,"p5,a5")/2</f>
        <v/>
      </c>
      <c r="BR43" s="195">
        <f>COUNTIF($G43:$BP43,"d")+COUNTIF($G43:$BP43,"r0,d5")/2+COUNTIF($G43:$BP43,"p5,d5")/2</f>
        <v/>
      </c>
      <c r="BS43" s="195">
        <f>COUNTIF($G43:$BP43,"b")+COUNTIF($G43:$BP43,"r0,b5")/2+COUNTIF($G43:$BP43,"p5,b5")/2</f>
        <v/>
      </c>
      <c r="BT43" s="195">
        <f>COUNTIF($G43:$BP43,"c")+COUNTIF($G43:$BP43,"r0,c5")/2+COUNTIF($G43:$BP43,"p5,c5")/2</f>
        <v/>
      </c>
      <c r="BU43" s="195">
        <f>COUNTIF($G43:$BP43,"KH")+COUNTIF($G43:$BP43,"TL")+COUNTIF($G43:$BP43,"L")</f>
        <v/>
      </c>
      <c r="BV43" s="202" t="n"/>
      <c r="BW43" s="195">
        <f>COUNTIF($G43:$BP43,"hh")</f>
        <v/>
      </c>
      <c r="BX43" s="195">
        <f>COUNTIF($G43:$BP43,"nt7")</f>
        <v/>
      </c>
      <c r="BY43" s="195">
        <f>COUNTIF($G43:$BP43,"P")+COUNTIF($G43:$BP43,"p5,a5")/2+COUNTIF($G43:$BP43,"p5,b5")/2+COUNTIF($G43:$BP43,"p5,c5")/2+COUNTIF($G43:$BP43,"p5,d5")/2</f>
        <v/>
      </c>
      <c r="BZ43" s="203">
        <f>SUBTOTAL(9,BQ43:BY43)</f>
        <v/>
      </c>
      <c r="CA43" s="54">
        <f>SUM(J43,L43,N43,P43,R43,T43,X43,Z43,AB43,AD43,AF43,AH43,AL43,AN43,AP43,AR43,AT43,AV43,AZ43,BB43,BD43,BF43,BH43,BP43)</f>
        <v/>
      </c>
      <c r="CB43" s="55">
        <f>SUM(H43,V43,AJ43,AX43,BL43)</f>
        <v/>
      </c>
      <c r="CC43" s="56">
        <f>SUM(BJ43,BN43)</f>
        <v/>
      </c>
      <c r="CD43" s="197">
        <f>IF(BZ43&gt;25,4,IF(BZ43&gt;18,3,IF(BZ43&gt;12,2,IF(BZ43&gt;4,1,0))))-BX43-2+1</f>
        <v/>
      </c>
      <c r="CE43" s="49" t="n"/>
      <c r="CF43" s="197">
        <f>CD43*CI43</f>
        <v/>
      </c>
      <c r="CG43" s="198">
        <f>F43-BY43+1</f>
        <v/>
      </c>
      <c r="CH43" s="197">
        <f>CE43*16</f>
        <v/>
      </c>
      <c r="CI43" s="199">
        <f>VLOOKUP(A43,[1]DATA!$A$6:$AI$331,34,0)</f>
        <v/>
      </c>
      <c r="CJ43" s="200">
        <f>VLOOKUP(A43,[2]CHAMCONG!A$7:CI$333,79,0)</f>
        <v/>
      </c>
      <c r="CK43" s="201">
        <f>CJ43-CA43</f>
        <v/>
      </c>
    </row>
    <row r="44" ht="15.75" customFormat="1" customHeight="1" s="68">
      <c r="A44" s="139" t="n"/>
      <c r="B44" s="64" t="n"/>
      <c r="C44" s="115" t="n"/>
      <c r="D44" s="46" t="n"/>
      <c r="E44" s="47" t="n"/>
      <c r="F44" s="48" t="n"/>
      <c r="G44" s="49" t="n"/>
      <c r="H44" s="73" t="n"/>
      <c r="I44" s="49" t="n"/>
      <c r="J44" s="73" t="n"/>
      <c r="K44" s="49" t="n"/>
      <c r="L44" s="73" t="n"/>
      <c r="M44" s="73" t="n"/>
      <c r="N44" s="73" t="n"/>
      <c r="O44" s="50" t="n"/>
      <c r="P44" s="73" t="n"/>
      <c r="Q44" s="50" t="n"/>
      <c r="R44" s="67" t="n"/>
      <c r="S44" s="50" t="n"/>
      <c r="T44" s="73" t="n"/>
      <c r="U44" s="49" t="n"/>
      <c r="V44" s="73" t="n"/>
      <c r="W44" s="50" t="n"/>
      <c r="X44" s="73" t="n"/>
      <c r="Y44" s="50" t="n"/>
      <c r="Z44" s="73" t="n"/>
      <c r="AA44" s="73" t="n"/>
      <c r="AB44" s="73" t="n"/>
      <c r="AC44" s="73" t="n"/>
      <c r="AD44" s="73" t="n"/>
      <c r="AE44" s="73" t="n"/>
      <c r="AF44" s="73" t="n"/>
      <c r="AG44" s="73" t="n"/>
      <c r="AH44" s="73" t="n"/>
      <c r="AI44" s="73" t="n"/>
      <c r="AJ44" s="73" t="n"/>
      <c r="AK44" s="73" t="n"/>
      <c r="AL44" s="73" t="n"/>
      <c r="AM44" s="73" t="n"/>
      <c r="AN44" s="73" t="n"/>
      <c r="AO44" s="73" t="n"/>
      <c r="AP44" s="73" t="n"/>
      <c r="AQ44" s="50" t="n"/>
      <c r="AR44" s="73" t="n"/>
      <c r="AS44" s="50" t="n"/>
      <c r="AT44" s="67" t="n"/>
      <c r="AU44" s="50" t="n"/>
      <c r="AV44" s="73" t="n"/>
      <c r="AW44" s="73" t="n"/>
      <c r="AX44" s="73" t="n"/>
      <c r="AY44" s="73" t="n"/>
      <c r="AZ44" s="73" t="n"/>
      <c r="BA44" s="73" t="n"/>
      <c r="BB44" s="73" t="n"/>
      <c r="BC44" s="73" t="n"/>
      <c r="BD44" s="73" t="n"/>
      <c r="BE44" s="73" t="n"/>
      <c r="BF44" s="73" t="n"/>
      <c r="BG44" s="73" t="n"/>
      <c r="BH44" s="73" t="n"/>
      <c r="BI44" s="73" t="n"/>
      <c r="BJ44" s="73" t="n"/>
      <c r="BK44" s="73" t="n"/>
      <c r="BL44" s="73" t="n"/>
      <c r="BM44" s="73" t="n"/>
      <c r="BN44" s="73" t="n"/>
      <c r="BO44" s="73" t="n"/>
      <c r="BP44" s="73" t="n"/>
      <c r="BQ44" s="195">
        <f>COUNTIF($G44:$BP44,"a")+COUNTIF($G44:$BP44,"r0,a5")/2+COUNTIF($G44:$BP44,"p5,a5")/2</f>
        <v/>
      </c>
      <c r="BR44" s="195">
        <f>COUNTIF($G44:$BP44,"d")+COUNTIF($G44:$BP44,"r0,d5")/2+COUNTIF($G44:$BP44,"p5,d5")/2</f>
        <v/>
      </c>
      <c r="BS44" s="195">
        <f>COUNTIF($G44:$BP44,"b")+COUNTIF($G44:$BP44,"r0,b5")/2+COUNTIF($G44:$BP44,"p5,b5")/2</f>
        <v/>
      </c>
      <c r="BT44" s="195">
        <f>COUNTIF($G44:$BP44,"c")+COUNTIF($G44:$BP44,"r0,c5")/2+COUNTIF($G44:$BP44,"p5,c5")/2</f>
        <v/>
      </c>
      <c r="BU44" s="195">
        <f>COUNTIF($G44:$BP44,"KH")+COUNTIF($G44:$BP44,"TL")+COUNTIF($G44:$BP44,"L")</f>
        <v/>
      </c>
      <c r="BV44" s="202" t="n"/>
      <c r="BW44" s="195">
        <f>COUNTIF($G44:$BP44,"hh")</f>
        <v/>
      </c>
      <c r="BX44" s="195">
        <f>COUNTIF($G44:$BP44,"nt7")</f>
        <v/>
      </c>
      <c r="BY44" s="195">
        <f>COUNTIF($G44:$BP44,"P")+COUNTIF($G44:$BP44,"p5,a5")/2+COUNTIF($G44:$BP44,"p5,b5")/2+COUNTIF($G44:$BP44,"p5,c5")/2+COUNTIF($G44:$BP44,"p5,d5")/2</f>
        <v/>
      </c>
      <c r="BZ44" s="203">
        <f>SUBTOTAL(9,BQ44:BY44)</f>
        <v/>
      </c>
      <c r="CA44" s="54">
        <f>SUM(J44,L44,N44,P44,R44,T44,X44,Z44,AB44,AD44,AF44,AH44,AL44,AN44,AP44,AR44,AT44,AV44,AZ44,BB44,BD44,BF44,BH44,BP44)</f>
        <v/>
      </c>
      <c r="CB44" s="55">
        <f>SUM(H44,V44,AJ44,AX44,BL44)</f>
        <v/>
      </c>
      <c r="CC44" s="56">
        <f>SUM(BJ44,BN44)</f>
        <v/>
      </c>
      <c r="CD44" s="197">
        <f>IF(BZ44&gt;25,4,IF(BZ44&gt;18,3,IF(BZ44&gt;12,2,IF(BZ44&gt;4,1,0))))-BX44-2+1</f>
        <v/>
      </c>
      <c r="CE44" s="49" t="n"/>
      <c r="CF44" s="197">
        <f>CD44*CI44</f>
        <v/>
      </c>
      <c r="CG44" s="198">
        <f>F44-BY44+1</f>
        <v/>
      </c>
      <c r="CH44" s="197">
        <f>CE44*16</f>
        <v/>
      </c>
      <c r="CI44" s="199">
        <f>VLOOKUP(A44,[1]DATA!$A$6:$AI$331,34,0)</f>
        <v/>
      </c>
      <c r="CJ44" s="200">
        <f>VLOOKUP(A44,[2]CHAMCONG!A$7:CI$333,79,0)</f>
        <v/>
      </c>
      <c r="CK44" s="201">
        <f>CJ44-CA44</f>
        <v/>
      </c>
    </row>
    <row r="45" ht="15.75" customFormat="1" customHeight="1" s="68">
      <c r="A45" s="139" t="n"/>
      <c r="B45" s="64" t="n"/>
      <c r="C45" s="115" t="n"/>
      <c r="D45" s="46" t="n"/>
      <c r="E45" s="47" t="n"/>
      <c r="F45" s="48" t="n"/>
      <c r="G45" s="49" t="n"/>
      <c r="H45" s="73" t="n"/>
      <c r="I45" s="50" t="n"/>
      <c r="J45" s="73" t="n"/>
      <c r="K45" s="73" t="n"/>
      <c r="L45" s="73" t="n"/>
      <c r="M45" s="73" t="n"/>
      <c r="N45" s="73" t="n"/>
      <c r="O45" s="50" t="n"/>
      <c r="P45" s="73" t="n"/>
      <c r="Q45" s="50" t="n"/>
      <c r="R45" s="67" t="n"/>
      <c r="S45" s="50" t="n"/>
      <c r="T45" s="73" t="n"/>
      <c r="U45" s="49" t="n"/>
      <c r="V45" s="73" t="n"/>
      <c r="W45" s="50" t="n"/>
      <c r="X45" s="73" t="n"/>
      <c r="Y45" s="50" t="n"/>
      <c r="Z45" s="73" t="n"/>
      <c r="AA45" s="73" t="n"/>
      <c r="AB45" s="73" t="n"/>
      <c r="AC45" s="73" t="n"/>
      <c r="AD45" s="73" t="n"/>
      <c r="AE45" s="73" t="n"/>
      <c r="AF45" s="73" t="n"/>
      <c r="AG45" s="73" t="n"/>
      <c r="AH45" s="73" t="n"/>
      <c r="AI45" s="73" t="n"/>
      <c r="AJ45" s="73" t="n"/>
      <c r="AK45" s="73" t="n"/>
      <c r="AL45" s="73" t="n"/>
      <c r="AM45" s="73" t="n"/>
      <c r="AN45" s="73" t="n"/>
      <c r="AO45" s="73" t="n"/>
      <c r="AP45" s="73" t="n"/>
      <c r="AQ45" s="73" t="n"/>
      <c r="AR45" s="73" t="n"/>
      <c r="AS45" s="73" t="n"/>
      <c r="AT45" s="73" t="n"/>
      <c r="AU45" s="73" t="n"/>
      <c r="AV45" s="73" t="n"/>
      <c r="AW45" s="73" t="n"/>
      <c r="AX45" s="73" t="n"/>
      <c r="AY45" s="73" t="n"/>
      <c r="AZ45" s="73" t="n"/>
      <c r="BA45" s="73" t="n"/>
      <c r="BB45" s="73" t="n"/>
      <c r="BC45" s="73" t="n"/>
      <c r="BD45" s="73" t="n"/>
      <c r="BE45" s="73" t="n"/>
      <c r="BF45" s="73" t="n"/>
      <c r="BG45" s="73" t="n"/>
      <c r="BH45" s="73" t="n"/>
      <c r="BI45" s="73" t="n"/>
      <c r="BJ45" s="73" t="n"/>
      <c r="BK45" s="73" t="n"/>
      <c r="BL45" s="73" t="n"/>
      <c r="BM45" s="73" t="n"/>
      <c r="BN45" s="73" t="n"/>
      <c r="BO45" s="73" t="n"/>
      <c r="BP45" s="73" t="n"/>
      <c r="BQ45" s="195">
        <f>COUNTIF($G45:$BP45,"a")+COUNTIF($G45:$BP45,"r0,a5")/2+COUNTIF($G45:$BP45,"p5,a5")/2</f>
        <v/>
      </c>
      <c r="BR45" s="195">
        <f>COUNTIF($G45:$BP45,"d")+COUNTIF($G45:$BP45,"r0,d5")/2+COUNTIF($G45:$BP45,"p5,d5")/2</f>
        <v/>
      </c>
      <c r="BS45" s="195">
        <f>COUNTIF($G45:$BP45,"b")+COUNTIF($G45:$BP45,"r0,b5")/2+COUNTIF($G45:$BP45,"p5,b5")/2</f>
        <v/>
      </c>
      <c r="BT45" s="195">
        <f>COUNTIF($G45:$BP45,"c")+COUNTIF($G45:$BP45,"r0,c5")/2+COUNTIF($G45:$BP45,"p5,c5")/2</f>
        <v/>
      </c>
      <c r="BU45" s="195">
        <f>COUNTIF($G45:$BP45,"KH")+COUNTIF($G45:$BP45,"TL")+COUNTIF($G45:$BP45,"L")</f>
        <v/>
      </c>
      <c r="BV45" s="202" t="n"/>
      <c r="BW45" s="195">
        <f>COUNTIF($G45:$BP45,"hh")</f>
        <v/>
      </c>
      <c r="BX45" s="195">
        <f>COUNTIF($G45:$BP45,"nt7")</f>
        <v/>
      </c>
      <c r="BY45" s="195">
        <f>COUNTIF($G45:$BP45,"P")+COUNTIF($G45:$BP45,"p5,a5")/2+COUNTIF($G45:$BP45,"p5,b5")/2+COUNTIF($G45:$BP45,"p5,c5")/2+COUNTIF($G45:$BP45,"p5,d5")/2</f>
        <v/>
      </c>
      <c r="BZ45" s="203">
        <f>SUBTOTAL(9,BQ45:BY45)</f>
        <v/>
      </c>
      <c r="CA45" s="54">
        <f>SUM(J45,L45,N45,P45,R45,T45,X45,Z45,AB45,AD45,AF45,AH45,AL45,AN45,AP45,AR45,AT45,AV45,AZ45,BB45,BD45,BF45,BH45,BP45)</f>
        <v/>
      </c>
      <c r="CB45" s="55">
        <f>SUM(H45,V45,AJ45,AX45,BL45)</f>
        <v/>
      </c>
      <c r="CC45" s="56">
        <f>SUM(BJ45,BN45)</f>
        <v/>
      </c>
      <c r="CD45" s="197">
        <f>IF(BZ45&gt;25,4,IF(BZ45&gt;18,3,IF(BZ45&gt;12,2,IF(BZ45&gt;4,1,0))))-BX45-2+1</f>
        <v/>
      </c>
      <c r="CE45" s="49" t="n"/>
      <c r="CF45" s="197">
        <f>CD45*CI45</f>
        <v/>
      </c>
      <c r="CG45" s="198">
        <f>F45-BY45+1</f>
        <v/>
      </c>
      <c r="CH45" s="197">
        <f>CE45*16</f>
        <v/>
      </c>
      <c r="CI45" s="199">
        <f>VLOOKUP(A45,[1]DATA!$A$6:$AI$331,34,0)</f>
        <v/>
      </c>
      <c r="CJ45" s="200">
        <f>VLOOKUP(A45,[2]CHAMCONG!A$7:CI$333,79,0)</f>
        <v/>
      </c>
      <c r="CK45" s="201">
        <f>CJ45-CA45</f>
        <v/>
      </c>
    </row>
    <row r="46" ht="15.75" customFormat="1" customHeight="1" s="68">
      <c r="A46" s="139" t="n"/>
      <c r="B46" s="64" t="n"/>
      <c r="C46" s="115" t="n"/>
      <c r="D46" s="46" t="n"/>
      <c r="E46" s="47" t="n"/>
      <c r="F46" s="48" t="n"/>
      <c r="G46" s="49" t="n"/>
      <c r="H46" s="73" t="n"/>
      <c r="I46" s="49" t="n"/>
      <c r="J46" s="73" t="n"/>
      <c r="K46" s="49" t="n"/>
      <c r="L46" s="73" t="n"/>
      <c r="M46" s="73" t="n"/>
      <c r="N46" s="73" t="n"/>
      <c r="O46" s="49" t="n"/>
      <c r="P46" s="73" t="n"/>
      <c r="Q46" s="49" t="n"/>
      <c r="R46" s="73" t="n"/>
      <c r="S46" s="49" t="n"/>
      <c r="T46" s="73" t="n"/>
      <c r="U46" s="49" t="n"/>
      <c r="V46" s="73" t="n"/>
      <c r="W46" s="49" t="n"/>
      <c r="X46" s="73" t="n"/>
      <c r="Y46" s="49" t="n"/>
      <c r="Z46" s="73" t="n"/>
      <c r="AA46" s="73" t="n"/>
      <c r="AB46" s="73" t="n"/>
      <c r="AC46" s="49" t="n"/>
      <c r="AD46" s="73" t="n"/>
      <c r="AE46" s="49" t="n"/>
      <c r="AF46" s="73" t="n"/>
      <c r="AG46" s="49" t="n"/>
      <c r="AH46" s="73" t="n"/>
      <c r="AI46" s="49" t="n"/>
      <c r="AJ46" s="73" t="n"/>
      <c r="AK46" s="49" t="n"/>
      <c r="AL46" s="73" t="n"/>
      <c r="AM46" s="49" t="n"/>
      <c r="AN46" s="73" t="n"/>
      <c r="AO46" s="73" t="n"/>
      <c r="AP46" s="73" t="n"/>
      <c r="AQ46" s="49" t="n"/>
      <c r="AR46" s="73" t="n"/>
      <c r="AS46" s="49" t="n"/>
      <c r="AT46" s="73" t="n"/>
      <c r="AU46" s="49" t="n"/>
      <c r="AV46" s="73" t="n"/>
      <c r="AW46" s="49" t="n"/>
      <c r="AX46" s="73" t="n"/>
      <c r="AY46" s="49" t="n"/>
      <c r="AZ46" s="73" t="n"/>
      <c r="BA46" s="49" t="n"/>
      <c r="BB46" s="73" t="n"/>
      <c r="BC46" s="73" t="n"/>
      <c r="BD46" s="73" t="n"/>
      <c r="BE46" s="49" t="n"/>
      <c r="BF46" s="73" t="n"/>
      <c r="BG46" s="49" t="n"/>
      <c r="BH46" s="73" t="n"/>
      <c r="BI46" s="49" t="n"/>
      <c r="BJ46" s="73" t="n"/>
      <c r="BK46" s="49" t="n"/>
      <c r="BL46" s="73" t="n"/>
      <c r="BM46" s="49" t="n"/>
      <c r="BN46" s="73" t="n"/>
      <c r="BO46" s="49" t="n"/>
      <c r="BP46" s="73" t="n"/>
      <c r="BQ46" s="195">
        <f>COUNTIF($G46:$BP46,"a")+COUNTIF($G46:$BP46,"r0,a5")/2+COUNTIF($G46:$BP46,"p5,a5")/2</f>
        <v/>
      </c>
      <c r="BR46" s="195">
        <f>COUNTIF($G46:$BP46,"d")+COUNTIF($G46:$BP46,"r0,d5")/2+COUNTIF($G46:$BP46,"p5,d5")/2</f>
        <v/>
      </c>
      <c r="BS46" s="195">
        <f>COUNTIF($G46:$BP46,"b")+COUNTIF($G46:$BP46,"r0,b5")/2+COUNTIF($G46:$BP46,"p5,b5")/2</f>
        <v/>
      </c>
      <c r="BT46" s="195">
        <f>COUNTIF($G46:$BP46,"c")+COUNTIF($G46:$BP46,"r0,c5")/2+COUNTIF($G46:$BP46,"p5,c5")/2</f>
        <v/>
      </c>
      <c r="BU46" s="195">
        <f>COUNTIF($G46:$BP46,"KH")+COUNTIF($G46:$BP46,"TL")+COUNTIF($G46:$BP46,"L")</f>
        <v/>
      </c>
      <c r="BV46" s="202" t="n"/>
      <c r="BW46" s="195">
        <f>COUNTIF($G46:$BP46,"hh")</f>
        <v/>
      </c>
      <c r="BX46" s="195">
        <f>COUNTIF($G46:$BP46,"nt7")</f>
        <v/>
      </c>
      <c r="BY46" s="195">
        <f>COUNTIF($G46:$BP46,"P")+COUNTIF($G46:$BP46,"p5,a5")/2+COUNTIF($G46:$BP46,"p5,b5")/2+COUNTIF($G46:$BP46,"p5,c5")/2+COUNTIF($G46:$BP46,"p5,d5")/2</f>
        <v/>
      </c>
      <c r="BZ46" s="203">
        <f>SUBTOTAL(9,BQ46:BY46)</f>
        <v/>
      </c>
      <c r="CA46" s="54">
        <f>SUM(J46,L46,N46,P46,R46,T46,X46,Z46,AB46,AD46,AF46,AH46,AL46,AN46,AP46,AR46,AT46,AV46,AZ46,BB46,BD46,BF46,BH46,BP46)</f>
        <v/>
      </c>
      <c r="CB46" s="55">
        <f>SUM(H46,V46,AJ46,AX46,BL46)</f>
        <v/>
      </c>
      <c r="CC46" s="56">
        <f>SUM(BJ46,BN46)</f>
        <v/>
      </c>
      <c r="CD46" s="197" t="n"/>
      <c r="CE46" s="49" t="n"/>
      <c r="CF46" s="197">
        <f>CD46*CI46</f>
        <v/>
      </c>
      <c r="CG46" s="198">
        <f>F46-BY46+1</f>
        <v/>
      </c>
      <c r="CH46" s="197">
        <f>CE46*16</f>
        <v/>
      </c>
      <c r="CI46" s="199">
        <f>VLOOKUP(A46,[1]DATA!$A$6:$AI$331,34,0)</f>
        <v/>
      </c>
      <c r="CJ46" s="200">
        <f>VLOOKUP(A46,[2]CHAMCONG!A$7:CI$333,79,0)</f>
        <v/>
      </c>
      <c r="CK46" s="201">
        <f>CJ46-CA46</f>
        <v/>
      </c>
    </row>
    <row r="47" ht="15.75" customFormat="1" customHeight="1" s="68">
      <c r="A47" s="139" t="n"/>
      <c r="B47" s="64" t="n"/>
      <c r="C47" s="115" t="n"/>
      <c r="D47" s="46" t="n"/>
      <c r="E47" s="47" t="n"/>
      <c r="F47" s="48" t="n"/>
      <c r="G47" s="49" t="n"/>
      <c r="H47" s="73" t="n"/>
      <c r="I47" s="49" t="n"/>
      <c r="J47" s="73" t="n"/>
      <c r="K47" s="49" t="n"/>
      <c r="L47" s="73" t="n"/>
      <c r="M47" s="49" t="n"/>
      <c r="N47" s="73" t="n"/>
      <c r="O47" s="50" t="n"/>
      <c r="P47" s="73" t="n"/>
      <c r="Q47" s="50" t="n"/>
      <c r="R47" s="73" t="n"/>
      <c r="S47" s="50" t="n"/>
      <c r="T47" s="73" t="n"/>
      <c r="U47" s="49" t="n"/>
      <c r="V47" s="73" t="n"/>
      <c r="W47" s="50" t="n"/>
      <c r="X47" s="73" t="n"/>
      <c r="Y47" s="50" t="n"/>
      <c r="Z47" s="73" t="n"/>
      <c r="AA47" s="73" t="n"/>
      <c r="AB47" s="73" t="n"/>
      <c r="AC47" s="73" t="n"/>
      <c r="AD47" s="73" t="n"/>
      <c r="AE47" s="73" t="n"/>
      <c r="AF47" s="73" t="n"/>
      <c r="AG47" s="73" t="n"/>
      <c r="AH47" s="73" t="n"/>
      <c r="AI47" s="73" t="n"/>
      <c r="AJ47" s="73" t="n"/>
      <c r="AK47" s="73" t="n"/>
      <c r="AL47" s="73" t="n"/>
      <c r="AM47" s="73" t="n"/>
      <c r="AN47" s="73" t="n"/>
      <c r="AO47" s="73" t="n"/>
      <c r="AP47" s="73" t="n"/>
      <c r="AQ47" s="73" t="n"/>
      <c r="AR47" s="73" t="n"/>
      <c r="AS47" s="73" t="n"/>
      <c r="AT47" s="73" t="n"/>
      <c r="AU47" s="73" t="n"/>
      <c r="AV47" s="73" t="n"/>
      <c r="AW47" s="73" t="n"/>
      <c r="AX47" s="73" t="n"/>
      <c r="AY47" s="73" t="n"/>
      <c r="AZ47" s="73" t="n"/>
      <c r="BA47" s="73" t="n"/>
      <c r="BB47" s="73" t="n"/>
      <c r="BC47" s="73" t="n"/>
      <c r="BD47" s="73" t="n"/>
      <c r="BE47" s="73" t="n"/>
      <c r="BF47" s="73" t="n"/>
      <c r="BG47" s="73" t="n"/>
      <c r="BH47" s="73" t="n"/>
      <c r="BI47" s="73" t="n"/>
      <c r="BJ47" s="73" t="n"/>
      <c r="BK47" s="73" t="n"/>
      <c r="BL47" s="73" t="n"/>
      <c r="BM47" s="73" t="n"/>
      <c r="BN47" s="73" t="n"/>
      <c r="BO47" s="73" t="n"/>
      <c r="BP47" s="73" t="n"/>
      <c r="BQ47" s="195">
        <f>COUNTIF($G47:$BP47,"a")+COUNTIF($G47:$BP47,"r0,a5")/2+COUNTIF($G47:$BP47,"p5,a5")/2</f>
        <v/>
      </c>
      <c r="BR47" s="195">
        <f>COUNTIF($G47:$BP47,"d")+COUNTIF($G47:$BP47,"r0,d5")/2+COUNTIF($G47:$BP47,"p5,d5")/2</f>
        <v/>
      </c>
      <c r="BS47" s="195">
        <f>COUNTIF($G47:$BP47,"b")+COUNTIF($G47:$BP47,"r0,b5")/2+COUNTIF($G47:$BP47,"p5,b5")/2</f>
        <v/>
      </c>
      <c r="BT47" s="195">
        <f>COUNTIF($G47:$BP47,"c")+COUNTIF($G47:$BP47,"r0,c5")/2+COUNTIF($G47:$BP47,"p5,c5")/2</f>
        <v/>
      </c>
      <c r="BU47" s="195">
        <f>COUNTIF($G47:$BP47,"KH")+COUNTIF($G47:$BP47,"TL")+COUNTIF($G47:$BP47,"L")</f>
        <v/>
      </c>
      <c r="BV47" s="202" t="n"/>
      <c r="BW47" s="195">
        <f>COUNTIF($G47:$BP47,"hh")</f>
        <v/>
      </c>
      <c r="BX47" s="195">
        <f>COUNTIF($G47:$BP47,"nt7")</f>
        <v/>
      </c>
      <c r="BY47" s="195">
        <f>COUNTIF($G47:$BP47,"P")+COUNTIF($G47:$BP47,"p5,a5")/2+COUNTIF($G47:$BP47,"p5,b5")/2+COUNTIF($G47:$BP47,"p5,c5")/2+COUNTIF($G47:$BP47,"p5,d5")/2</f>
        <v/>
      </c>
      <c r="BZ47" s="203">
        <f>SUBTOTAL(9,BQ47:BY47)</f>
        <v/>
      </c>
      <c r="CA47" s="54">
        <f>SUM(J47,L47,N47,P47,R47,T47,X47,Z47,AB47,AD47,AF47,AH47,AL47,AN47,AP47,AR47,AT47,AV47,AZ47,BB47,BD47,BF47,BH47,BP47)</f>
        <v/>
      </c>
      <c r="CB47" s="55">
        <f>SUM(H47,V47,AJ47,AX47,BL47)</f>
        <v/>
      </c>
      <c r="CC47" s="56">
        <f>SUM(BJ47,BN47)</f>
        <v/>
      </c>
      <c r="CD47" s="197">
        <f>IF(BZ47&gt;25,4,IF(BZ47&gt;18,3,IF(BZ47&gt;12,2,IF(BZ47&gt;4,1,0))))-BX47-2+1</f>
        <v/>
      </c>
      <c r="CE47" s="49" t="n"/>
      <c r="CF47" s="197">
        <f>CD47*CI47</f>
        <v/>
      </c>
      <c r="CG47" s="198">
        <f>F47-BY47+1</f>
        <v/>
      </c>
      <c r="CH47" s="197">
        <f>CE47*16</f>
        <v/>
      </c>
      <c r="CI47" s="199">
        <f>VLOOKUP(A47,[1]DATA!$A$6:$AI$331,34,0)</f>
        <v/>
      </c>
      <c r="CJ47" s="200">
        <f>VLOOKUP(A47,[2]CHAMCONG!A$7:CI$333,79,0)</f>
        <v/>
      </c>
      <c r="CK47" s="201">
        <f>CJ47-CA47</f>
        <v/>
      </c>
    </row>
    <row r="48" ht="15.75" customFormat="1" customHeight="1" s="68">
      <c r="A48" s="139" t="n"/>
      <c r="B48" s="64" t="n"/>
      <c r="C48" s="115" t="n"/>
      <c r="D48" s="46" t="n"/>
      <c r="E48" s="47" t="n"/>
      <c r="F48" s="48" t="n"/>
      <c r="G48" s="49" t="n"/>
      <c r="H48" s="73" t="n"/>
      <c r="I48" s="50" t="n"/>
      <c r="J48" s="73" t="n"/>
      <c r="K48" s="73" t="n"/>
      <c r="L48" s="73" t="n"/>
      <c r="M48" s="73" t="n"/>
      <c r="N48" s="73" t="n"/>
      <c r="O48" s="50" t="n"/>
      <c r="P48" s="73" t="n"/>
      <c r="Q48" s="73" t="n"/>
      <c r="R48" s="73" t="n"/>
      <c r="S48" s="73" t="n"/>
      <c r="T48" s="73" t="n"/>
      <c r="U48" s="73" t="n"/>
      <c r="V48" s="73" t="n"/>
      <c r="W48" s="73" t="n"/>
      <c r="X48" s="73" t="n"/>
      <c r="Y48" s="73" t="n"/>
      <c r="Z48" s="73" t="n"/>
      <c r="AA48" s="73" t="n"/>
      <c r="AB48" s="73" t="n"/>
      <c r="AC48" s="73" t="n"/>
      <c r="AD48" s="73" t="n"/>
      <c r="AE48" s="73" t="n"/>
      <c r="AF48" s="73" t="n"/>
      <c r="AG48" s="73" t="n"/>
      <c r="AH48" s="73" t="n"/>
      <c r="AI48" s="73" t="n"/>
      <c r="AJ48" s="73" t="n"/>
      <c r="AK48" s="73" t="n"/>
      <c r="AL48" s="73" t="n"/>
      <c r="AM48" s="73" t="n"/>
      <c r="AN48" s="73" t="n"/>
      <c r="AO48" s="73" t="n"/>
      <c r="AP48" s="73" t="n"/>
      <c r="AQ48" s="73" t="n"/>
      <c r="AR48" s="73" t="n"/>
      <c r="AS48" s="73" t="n"/>
      <c r="AT48" s="73" t="n"/>
      <c r="AU48" s="73" t="n"/>
      <c r="AV48" s="73" t="n"/>
      <c r="AW48" s="73" t="n"/>
      <c r="AX48" s="73" t="n"/>
      <c r="AY48" s="73" t="n"/>
      <c r="AZ48" s="73" t="n"/>
      <c r="BA48" s="73" t="n"/>
      <c r="BB48" s="73" t="n"/>
      <c r="BC48" s="73" t="n"/>
      <c r="BD48" s="73" t="n"/>
      <c r="BE48" s="73" t="n"/>
      <c r="BF48" s="73" t="n"/>
      <c r="BG48" s="73" t="n"/>
      <c r="BH48" s="73" t="n"/>
      <c r="BI48" s="73" t="n"/>
      <c r="BJ48" s="73" t="n"/>
      <c r="BK48" s="73" t="n"/>
      <c r="BL48" s="73" t="n"/>
      <c r="BM48" s="73" t="n"/>
      <c r="BN48" s="73" t="n"/>
      <c r="BO48" s="73" t="n"/>
      <c r="BP48" s="73" t="n"/>
      <c r="BQ48" s="195">
        <f>COUNTIF($G48:$BP48,"a")+COUNTIF($G48:$BP48,"r0,a5")/2+COUNTIF($G48:$BP48,"p5,a5")/2</f>
        <v/>
      </c>
      <c r="BR48" s="195">
        <f>COUNTIF($G48:$BP48,"d")+COUNTIF($G48:$BP48,"r0,d5")/2+COUNTIF($G48:$BP48,"p5,d5")/2</f>
        <v/>
      </c>
      <c r="BS48" s="195">
        <f>COUNTIF($G48:$BP48,"b")+COUNTIF($G48:$BP48,"r0,b5")/2+COUNTIF($G48:$BP48,"p5,b5")/2</f>
        <v/>
      </c>
      <c r="BT48" s="195">
        <f>COUNTIF($G48:$BP48,"c")+COUNTIF($G48:$BP48,"r0,c5")/2+COUNTIF($G48:$BP48,"p5,c5")/2</f>
        <v/>
      </c>
      <c r="BU48" s="195">
        <f>COUNTIF($G48:$BP48,"KH")+COUNTIF($G48:$BP48,"TL")+COUNTIF($G48:$BP48,"L")</f>
        <v/>
      </c>
      <c r="BV48" s="202" t="n"/>
      <c r="BW48" s="195">
        <f>COUNTIF($G48:$BP48,"hh")</f>
        <v/>
      </c>
      <c r="BX48" s="195">
        <f>COUNTIF($G48:$BP48,"nt7")</f>
        <v/>
      </c>
      <c r="BY48" s="195">
        <f>COUNTIF($G48:$BP48,"P")+COUNTIF($G48:$BP48,"p5,a5")/2+COUNTIF($G48:$BP48,"p5,b5")/2+COUNTIF($G48:$BP48,"p5,c5")/2+COUNTIF($G48:$BP48,"p5,d5")/2</f>
        <v/>
      </c>
      <c r="BZ48" s="203">
        <f>SUBTOTAL(9,BQ48:BY48)</f>
        <v/>
      </c>
      <c r="CA48" s="54">
        <f>SUM(J48,L48,N48,P48,R48,T48,X48,Z48,AB48,AD48,AF48,AH48,AL48,AN48,AP48,AR48,AT48,AV48,AZ48,BB48,BD48,BF48,BH48,BP48)</f>
        <v/>
      </c>
      <c r="CB48" s="55">
        <f>SUM(H48,V48,AJ48,AX48,BL48)</f>
        <v/>
      </c>
      <c r="CC48" s="56">
        <f>SUM(BJ48,BN48)</f>
        <v/>
      </c>
      <c r="CD48" s="197">
        <f>IF(BZ48&gt;25,4,IF(BZ48&gt;18,3,IF(BZ48&gt;12,2,IF(BZ48&gt;4,1,0))))-BX48-2+1</f>
        <v/>
      </c>
      <c r="CE48" s="49" t="n"/>
      <c r="CF48" s="197">
        <f>CD48*CI48</f>
        <v/>
      </c>
      <c r="CG48" s="198">
        <f>F48-BY48+1</f>
        <v/>
      </c>
      <c r="CH48" s="197">
        <f>CE48*16</f>
        <v/>
      </c>
      <c r="CI48" s="199">
        <f>VLOOKUP(A48,[1]DATA!$A$6:$AI$331,34,0)</f>
        <v/>
      </c>
      <c r="CJ48" s="200">
        <f>VLOOKUP(A48,[2]CHAMCONG!A$7:CI$333,79,0)</f>
        <v/>
      </c>
      <c r="CK48" s="201">
        <f>CJ48-CA48</f>
        <v/>
      </c>
    </row>
    <row r="49" ht="15.75" customFormat="1" customHeight="1" s="68">
      <c r="A49" s="69" t="n"/>
      <c r="B49" s="64" t="n"/>
      <c r="C49" s="115" t="n"/>
      <c r="D49" s="46" t="n"/>
      <c r="E49" s="47" t="n"/>
      <c r="F49" s="48" t="n"/>
      <c r="G49" s="49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73" t="n"/>
      <c r="Q49" s="50" t="n"/>
      <c r="R49" s="67" t="n"/>
      <c r="S49" s="50" t="n"/>
      <c r="T49" s="73" t="n"/>
      <c r="U49" s="50" t="n"/>
      <c r="V49" s="73" t="n"/>
      <c r="W49" s="50" t="n"/>
      <c r="X49" s="73" t="n"/>
      <c r="Y49" s="50" t="n"/>
      <c r="Z49" s="73" t="n"/>
      <c r="AA49" s="50" t="n"/>
      <c r="AB49" s="73" t="n"/>
      <c r="AC49" s="73" t="n"/>
      <c r="AD49" s="73" t="n"/>
      <c r="AE49" s="73" t="n"/>
      <c r="AF49" s="73" t="n"/>
      <c r="AG49" s="73" t="n"/>
      <c r="AH49" s="73" t="n"/>
      <c r="AI49" s="73" t="n"/>
      <c r="AJ49" s="73" t="n"/>
      <c r="AK49" s="73" t="n"/>
      <c r="AL49" s="73" t="n"/>
      <c r="AM49" s="73" t="n"/>
      <c r="AN49" s="73" t="n"/>
      <c r="AO49" s="73" t="n"/>
      <c r="AP49" s="73" t="n"/>
      <c r="AQ49" s="73" t="n"/>
      <c r="AR49" s="73" t="n"/>
      <c r="AS49" s="73" t="n"/>
      <c r="AT49" s="73" t="n"/>
      <c r="AU49" s="73" t="n"/>
      <c r="AV49" s="73" t="n"/>
      <c r="AW49" s="73" t="n"/>
      <c r="AX49" s="73" t="n"/>
      <c r="AY49" s="50" t="n"/>
      <c r="AZ49" s="73" t="n"/>
      <c r="BA49" s="67" t="n"/>
      <c r="BB49" s="73" t="n"/>
      <c r="BC49" s="67" t="n"/>
      <c r="BD49" s="73" t="n"/>
      <c r="BE49" s="73" t="n"/>
      <c r="BF49" s="73" t="n"/>
      <c r="BG49" s="73" t="n"/>
      <c r="BH49" s="73" t="n"/>
      <c r="BI49" s="73" t="n"/>
      <c r="BJ49" s="73" t="n"/>
      <c r="BK49" s="73" t="n"/>
      <c r="BL49" s="73" t="n"/>
      <c r="BM49" s="73" t="n"/>
      <c r="BN49" s="73" t="n"/>
      <c r="BO49" s="73" t="n"/>
      <c r="BP49" s="73" t="n"/>
      <c r="BQ49" s="195">
        <f>COUNTIF($G49:$BP49,"a")+COUNTIF($G49:$BP49,"r0,a5")/2+COUNTIF($G49:$BP49,"p5,a5")/2</f>
        <v/>
      </c>
      <c r="BR49" s="195">
        <f>COUNTIF($G49:$BP49,"d")+COUNTIF($G49:$BP49,"r0,d5")/2+COUNTIF($G49:$BP49,"p5,d5")/2</f>
        <v/>
      </c>
      <c r="BS49" s="195">
        <f>COUNTIF($G49:$BP49,"b")+COUNTIF($G49:$BP49,"r0,b5")/2+COUNTIF($G49:$BP49,"p5,b5")/2</f>
        <v/>
      </c>
      <c r="BT49" s="195">
        <f>COUNTIF($G49:$BP49,"c")+COUNTIF($G49:$BP49,"r0,c5")/2+COUNTIF($G49:$BP49,"p5,c5")/2</f>
        <v/>
      </c>
      <c r="BU49" s="195">
        <f>COUNTIF($G49:$BP49,"KH")+COUNTIF($G49:$BP49,"TL")+COUNTIF($G49:$BP49,"L")</f>
        <v/>
      </c>
      <c r="BV49" s="202" t="n"/>
      <c r="BW49" s="195">
        <f>COUNTIF($G49:$BP49,"hh")</f>
        <v/>
      </c>
      <c r="BX49" s="195">
        <f>COUNTIF($G49:$BP49,"nt7")</f>
        <v/>
      </c>
      <c r="BY49" s="195">
        <f>COUNTIF($G49:$BP49,"P")+COUNTIF($G49:$BP49,"p5,a5")/2+COUNTIF($G49:$BP49,"p5,b5")/2+COUNTIF($G49:$BP49,"p5,c5")/2+COUNTIF($G49:$BP49,"p5,d5")/2</f>
        <v/>
      </c>
      <c r="BZ49" s="203">
        <f>SUBTOTAL(9,BQ49:BY49)</f>
        <v/>
      </c>
      <c r="CA49" s="54">
        <f>SUM(J49,L49,N49,P49,R49,T49,X49,Z49,AB49,AD49,AF49,AH49,AL49,AN49,AP49,AR49,AT49,AV49,AZ49,BB49,BD49,BF49,BH49,BP49)</f>
        <v/>
      </c>
      <c r="CB49" s="55">
        <f>SUM(H49,V49,AJ49,AX49,BL49)</f>
        <v/>
      </c>
      <c r="CC49" s="56">
        <f>SUM(BJ49,BN49)</f>
        <v/>
      </c>
      <c r="CD49" s="197">
        <f>IF(BZ49&gt;25,4,IF(BZ49&gt;18,3,IF(BZ49&gt;12,2,IF(BZ49&gt;4,1,0))))-BX49-2+1</f>
        <v/>
      </c>
      <c r="CE49" s="49" t="n"/>
      <c r="CF49" s="197">
        <f>CD49*CI49</f>
        <v/>
      </c>
      <c r="CG49" s="198">
        <f>F49-BY49+1</f>
        <v/>
      </c>
      <c r="CH49" s="197">
        <f>CE49*16</f>
        <v/>
      </c>
      <c r="CI49" s="199">
        <f>VLOOKUP(A49,[1]DATA!$A$6:$AI$331,34,0)</f>
        <v/>
      </c>
      <c r="CJ49" s="200">
        <f>VLOOKUP(A49,[2]CHAMCONG!A$7:CI$333,79,0)</f>
        <v/>
      </c>
      <c r="CK49" s="201">
        <f>CJ49-CA49</f>
        <v/>
      </c>
    </row>
    <row r="50" ht="15.75" customFormat="1" customHeight="1" s="68">
      <c r="A50" s="139" t="n"/>
      <c r="B50" s="64" t="n"/>
      <c r="C50" s="115" t="n"/>
      <c r="D50" s="46" t="n"/>
      <c r="E50" s="47" t="n"/>
      <c r="F50" s="48" t="n"/>
      <c r="G50" s="49" t="n"/>
      <c r="H50" s="73" t="n"/>
      <c r="I50" s="49" t="n"/>
      <c r="J50" s="73" t="n"/>
      <c r="K50" s="49" t="n"/>
      <c r="L50" s="73" t="n"/>
      <c r="M50" s="49" t="n"/>
      <c r="N50" s="73" t="n"/>
      <c r="O50" s="49" t="n"/>
      <c r="P50" s="73" t="n"/>
      <c r="Q50" s="49" t="n"/>
      <c r="R50" s="73" t="n"/>
      <c r="S50" s="49" t="n"/>
      <c r="T50" s="73" t="n"/>
      <c r="U50" s="49" t="n"/>
      <c r="V50" s="73" t="n"/>
      <c r="W50" s="49" t="n"/>
      <c r="X50" s="73" t="n"/>
      <c r="Y50" s="49" t="n"/>
      <c r="Z50" s="73" t="n"/>
      <c r="AA50" s="49" t="n"/>
      <c r="AB50" s="73" t="n"/>
      <c r="AC50" s="49" t="n"/>
      <c r="AD50" s="73" t="n"/>
      <c r="AE50" s="49" t="n"/>
      <c r="AF50" s="73" t="n"/>
      <c r="AG50" s="49" t="n"/>
      <c r="AH50" s="73" t="n"/>
      <c r="AI50" s="49" t="n"/>
      <c r="AJ50" s="73" t="n"/>
      <c r="AK50" s="49" t="n"/>
      <c r="AL50" s="73" t="n"/>
      <c r="AM50" s="49" t="n"/>
      <c r="AN50" s="73" t="n"/>
      <c r="AO50" s="49" t="n"/>
      <c r="AP50" s="73" t="n"/>
      <c r="AQ50" s="49" t="n"/>
      <c r="AR50" s="73" t="n"/>
      <c r="AS50" s="49" t="n"/>
      <c r="AT50" s="73" t="n"/>
      <c r="AU50" s="49" t="n"/>
      <c r="AV50" s="73" t="n"/>
      <c r="AW50" s="73" t="n"/>
      <c r="AX50" s="73" t="n"/>
      <c r="AY50" s="49" t="n"/>
      <c r="AZ50" s="73" t="n"/>
      <c r="BA50" s="49" t="n"/>
      <c r="BB50" s="73" t="n"/>
      <c r="BC50" s="73" t="n"/>
      <c r="BD50" s="73" t="n"/>
      <c r="BE50" s="49" t="n"/>
      <c r="BF50" s="73" t="n"/>
      <c r="BG50" s="49" t="n"/>
      <c r="BH50" s="73" t="n"/>
      <c r="BI50" s="73" t="n"/>
      <c r="BJ50" s="73" t="n"/>
      <c r="BK50" s="73" t="n"/>
      <c r="BL50" s="73" t="n"/>
      <c r="BM50" s="73" t="n"/>
      <c r="BN50" s="73" t="n"/>
      <c r="BO50" s="73" t="n"/>
      <c r="BP50" s="73" t="n"/>
      <c r="BQ50" s="195">
        <f>COUNTIF($G50:$BP50,"a")+COUNTIF($G50:$BP50,"r0,a5")/2+COUNTIF($G50:$BP50,"p5,a5")/2</f>
        <v/>
      </c>
      <c r="BR50" s="195">
        <f>COUNTIF($G50:$BP50,"d")+COUNTIF($G50:$BP50,"r0,d5")/2+COUNTIF($G50:$BP50,"p5,d5")/2</f>
        <v/>
      </c>
      <c r="BS50" s="195">
        <f>COUNTIF($G50:$BP50,"b")+COUNTIF($G50:$BP50,"r0,b5")/2+COUNTIF($G50:$BP50,"p5,b5")/2</f>
        <v/>
      </c>
      <c r="BT50" s="195">
        <f>COUNTIF($G50:$BP50,"c")+COUNTIF($G50:$BP50,"r0,c5")/2+COUNTIF($G50:$BP50,"p5,c5")/2</f>
        <v/>
      </c>
      <c r="BU50" s="195">
        <f>COUNTIF($G50:$BP50,"KH")+COUNTIF($G50:$BP50,"TL")+COUNTIF($G50:$BP50,"L")</f>
        <v/>
      </c>
      <c r="BV50" s="202" t="n"/>
      <c r="BW50" s="195">
        <f>COUNTIF($G50:$BP50,"hh")</f>
        <v/>
      </c>
      <c r="BX50" s="195">
        <f>COUNTIF($G50:$BP50,"nt7")</f>
        <v/>
      </c>
      <c r="BY50" s="195">
        <f>COUNTIF($G50:$BP50,"P")+COUNTIF($G50:$BP50,"p5,a5")/2+COUNTIF($G50:$BP50,"p5,b5")/2+COUNTIF($G50:$BP50,"p5,c5")/2+COUNTIF($G50:$BP50,"p5,d5")/2</f>
        <v/>
      </c>
      <c r="BZ50" s="203">
        <f>SUBTOTAL(9,BQ50:BY50)</f>
        <v/>
      </c>
      <c r="CA50" s="54">
        <f>SUM(J50,L50,N50,P50,R50,T50,X50,Z50,AB50,AD50,AF50,AH50,AL50,AN50,AP50,AR50,AT50,AV50,AZ50,BB50,BD50,BF50,BH50,BP50)</f>
        <v/>
      </c>
      <c r="CB50" s="55">
        <f>SUM(H50,V50,AJ50,AX50,BL50)</f>
        <v/>
      </c>
      <c r="CC50" s="56">
        <f>SUM(BJ50,BN50)</f>
        <v/>
      </c>
      <c r="CD50" s="197">
        <f>IF(BZ50&gt;25,4,IF(BZ50&gt;18,3,IF(BZ50&gt;12,2,IF(BZ50&gt;4,1,0))))-BX50-2+1</f>
        <v/>
      </c>
      <c r="CE50" s="49" t="n">
        <v>1</v>
      </c>
      <c r="CF50" s="197">
        <f>CD50*CI50</f>
        <v/>
      </c>
      <c r="CG50" s="198">
        <f>F50-BY50+1</f>
        <v/>
      </c>
      <c r="CH50" s="197">
        <f>CE50*16</f>
        <v/>
      </c>
      <c r="CI50" s="199">
        <f>VLOOKUP(A50,[1]DATA!$A$6:$AI$331,34,0)</f>
        <v/>
      </c>
      <c r="CJ50" s="200">
        <f>VLOOKUP(A50,[2]CHAMCONG!A$7:CI$333,79,0)</f>
        <v/>
      </c>
      <c r="CK50" s="201">
        <f>CJ50-CA50</f>
        <v/>
      </c>
    </row>
    <row r="51" ht="15.75" customFormat="1" customHeight="1" s="68">
      <c r="A51" s="139" t="n"/>
      <c r="B51" s="71" t="n"/>
      <c r="C51" s="115" t="n"/>
      <c r="D51" s="46" t="n"/>
      <c r="E51" s="47" t="n"/>
      <c r="F51" s="48" t="n"/>
      <c r="G51" s="49" t="n"/>
      <c r="H51" s="73" t="n"/>
      <c r="I51" s="50" t="n"/>
      <c r="J51" s="73" t="n"/>
      <c r="K51" s="73" t="n"/>
      <c r="L51" s="73" t="n"/>
      <c r="M51" s="50" t="n"/>
      <c r="N51" s="73" t="n"/>
      <c r="O51" s="73" t="n"/>
      <c r="P51" s="73" t="n"/>
      <c r="Q51" s="73" t="n"/>
      <c r="R51" s="73" t="n"/>
      <c r="S51" s="49" t="n"/>
      <c r="T51" s="73" t="n"/>
      <c r="U51" s="49" t="n"/>
      <c r="V51" s="73" t="n"/>
      <c r="W51" s="49" t="n"/>
      <c r="X51" s="73" t="n"/>
      <c r="Y51" s="49" t="n"/>
      <c r="Z51" s="73" t="n"/>
      <c r="AA51" s="73" t="n"/>
      <c r="AB51" s="73" t="n"/>
      <c r="AC51" s="73" t="n"/>
      <c r="AD51" s="73" t="n"/>
      <c r="AE51" s="73" t="n"/>
      <c r="AF51" s="73" t="n"/>
      <c r="AG51" s="73" t="n"/>
      <c r="AH51" s="73" t="n"/>
      <c r="AI51" s="49" t="n"/>
      <c r="AJ51" s="73" t="n"/>
      <c r="AK51" s="49" t="n"/>
      <c r="AL51" s="73" t="n"/>
      <c r="AM51" s="49" t="n"/>
      <c r="AN51" s="73" t="n"/>
      <c r="AO51" s="49" t="n"/>
      <c r="AP51" s="73" t="n"/>
      <c r="AQ51" s="73" t="n"/>
      <c r="AR51" s="73" t="n"/>
      <c r="AS51" s="73" t="n"/>
      <c r="AT51" s="73" t="n"/>
      <c r="AU51" s="73" t="n"/>
      <c r="AV51" s="73" t="n"/>
      <c r="AW51" s="73" t="n"/>
      <c r="AX51" s="73" t="n"/>
      <c r="AY51" s="73" t="n"/>
      <c r="AZ51" s="73" t="n"/>
      <c r="BA51" s="73" t="n"/>
      <c r="BB51" s="73" t="n"/>
      <c r="BC51" s="73" t="n"/>
      <c r="BD51" s="73" t="n"/>
      <c r="BE51" s="73" t="n"/>
      <c r="BF51" s="73" t="n"/>
      <c r="BG51" s="73" t="n"/>
      <c r="BH51" s="73" t="n"/>
      <c r="BI51" s="73" t="n"/>
      <c r="BJ51" s="73" t="n"/>
      <c r="BK51" s="73" t="n"/>
      <c r="BL51" s="73" t="n"/>
      <c r="BM51" s="73" t="n"/>
      <c r="BN51" s="73" t="n"/>
      <c r="BO51" s="73" t="n"/>
      <c r="BP51" s="73" t="n"/>
      <c r="BQ51" s="195">
        <f>COUNTIF($G51:$BP51,"a")+COUNTIF($G51:$BP51,"r0,a5")/2+COUNTIF($G51:$BP51,"p5,a5")/2</f>
        <v/>
      </c>
      <c r="BR51" s="195">
        <f>COUNTIF($G51:$BP51,"d")+COUNTIF($G51:$BP51,"r0,d5")/2+COUNTIF($G51:$BP51,"p5,d5")/2</f>
        <v/>
      </c>
      <c r="BS51" s="195">
        <f>COUNTIF($G51:$BP51,"b")+COUNTIF($G51:$BP51,"r0,b5")/2+COUNTIF($G51:$BP51,"p5,b5")/2</f>
        <v/>
      </c>
      <c r="BT51" s="195">
        <f>COUNTIF($G51:$BP51,"c")+COUNTIF($G51:$BP51,"r0,c5")/2+COUNTIF($G51:$BP51,"p5,c5")/2</f>
        <v/>
      </c>
      <c r="BU51" s="195">
        <f>COUNTIF($G51:$BP51,"KH")+COUNTIF($G51:$BP51,"TL")+COUNTIF($G51:$BP51,"L")</f>
        <v/>
      </c>
      <c r="BV51" s="202" t="n"/>
      <c r="BW51" s="195">
        <f>COUNTIF($G51:$BP51,"hh")</f>
        <v/>
      </c>
      <c r="BX51" s="195">
        <f>COUNTIF($G51:$BP51,"nt7")</f>
        <v/>
      </c>
      <c r="BY51" s="195">
        <f>COUNTIF($G51:$BP51,"P")+COUNTIF($G51:$BP51,"p5,a5")/2+COUNTIF($G51:$BP51,"p5,b5")/2+COUNTIF($G51:$BP51,"p5,c5")/2+COUNTIF($G51:$BP51,"p5,d5")/2</f>
        <v/>
      </c>
      <c r="BZ51" s="203">
        <f>SUBTOTAL(9,BQ51:BY51)</f>
        <v/>
      </c>
      <c r="CA51" s="54">
        <f>SUM(J51,L51,N51,P51,R51,T51,X51,Z51,AB51,AD51,AF51,AH51,AL51,AN51,AP51,AR51,AT51,AV51,AZ51,BB51,BD51,BF51,BH51,BP51)</f>
        <v/>
      </c>
      <c r="CB51" s="55">
        <f>SUM(H51,V51,AJ51,AX51,BL51)</f>
        <v/>
      </c>
      <c r="CC51" s="56">
        <f>SUM(BJ51,BN51)</f>
        <v/>
      </c>
      <c r="CD51" s="197">
        <f>IF(BZ51&gt;25,4,IF(BZ51&gt;18,3,IF(BZ51&gt;12,2,IF(BZ51&gt;4,1,0))))-BX51-2+1</f>
        <v/>
      </c>
      <c r="CE51" s="49" t="n"/>
      <c r="CF51" s="197">
        <f>CD51*CI51</f>
        <v/>
      </c>
      <c r="CG51" s="198">
        <f>F51-BY51+1</f>
        <v/>
      </c>
      <c r="CH51" s="197">
        <f>CE51*16</f>
        <v/>
      </c>
      <c r="CI51" s="199">
        <f>VLOOKUP(A51,[1]DATA!$A$6:$AI$331,34,0)</f>
        <v/>
      </c>
      <c r="CJ51" s="200">
        <f>VLOOKUP(A51,[2]CHAMCONG!A$7:CI$333,79,0)</f>
        <v/>
      </c>
      <c r="CK51" s="201">
        <f>CJ51-CA51</f>
        <v/>
      </c>
    </row>
    <row r="52" ht="15.75" customFormat="1" customHeight="1" s="68">
      <c r="A52" s="139" t="n"/>
      <c r="B52" s="64" t="n"/>
      <c r="C52" s="115" t="n"/>
      <c r="D52" s="46" t="n"/>
      <c r="E52" s="47" t="n"/>
      <c r="F52" s="48" t="n"/>
      <c r="G52" s="49" t="n"/>
      <c r="H52" s="73" t="n"/>
      <c r="I52" s="50" t="n"/>
      <c r="J52" s="73" t="n"/>
      <c r="K52" s="50" t="n"/>
      <c r="L52" s="73" t="n"/>
      <c r="M52" s="50" t="n"/>
      <c r="N52" s="73" t="n"/>
      <c r="O52" s="50" t="n"/>
      <c r="P52" s="73" t="n"/>
      <c r="Q52" s="50" t="n"/>
      <c r="R52" s="67" t="n"/>
      <c r="S52" s="50" t="n"/>
      <c r="T52" s="73" t="n"/>
      <c r="U52" s="50" t="n"/>
      <c r="V52" s="73" t="n"/>
      <c r="W52" s="50" t="n"/>
      <c r="X52" s="73" t="n"/>
      <c r="Y52" s="50" t="n"/>
      <c r="Z52" s="73" t="n"/>
      <c r="AA52" s="50" t="n"/>
      <c r="AB52" s="73" t="n"/>
      <c r="AC52" s="50" t="n"/>
      <c r="AD52" s="73" t="n"/>
      <c r="AE52" s="50" t="n"/>
      <c r="AF52" s="67" t="n"/>
      <c r="AG52" s="50" t="n"/>
      <c r="AH52" s="73" t="n"/>
      <c r="AI52" s="50" t="n"/>
      <c r="AJ52" s="73" t="n"/>
      <c r="AK52" s="50" t="n"/>
      <c r="AL52" s="73" t="n"/>
      <c r="AM52" s="50" t="n"/>
      <c r="AN52" s="73" t="n"/>
      <c r="AO52" s="50" t="n"/>
      <c r="AP52" s="73" t="n"/>
      <c r="AQ52" s="50" t="n"/>
      <c r="AR52" s="73" t="n"/>
      <c r="AS52" s="50" t="n"/>
      <c r="AT52" s="67" t="n"/>
      <c r="AU52" s="50" t="n"/>
      <c r="AV52" s="73" t="n"/>
      <c r="AW52" s="49" t="n"/>
      <c r="AX52" s="73" t="n"/>
      <c r="AY52" s="50" t="n"/>
      <c r="AZ52" s="73" t="n"/>
      <c r="BA52" s="50" t="n"/>
      <c r="BB52" s="73" t="n"/>
      <c r="BC52" s="50" t="n"/>
      <c r="BD52" s="73" t="n"/>
      <c r="BE52" s="50" t="n"/>
      <c r="BF52" s="73" t="n"/>
      <c r="BG52" s="50" t="n"/>
      <c r="BH52" s="67" t="n"/>
      <c r="BI52" s="73" t="n"/>
      <c r="BJ52" s="73" t="n"/>
      <c r="BK52" s="73" t="n"/>
      <c r="BL52" s="73" t="n"/>
      <c r="BM52" s="73" t="n"/>
      <c r="BN52" s="73" t="n"/>
      <c r="BO52" s="73" t="n"/>
      <c r="BP52" s="73" t="n"/>
      <c r="BQ52" s="195">
        <f>COUNTIF($G52:$BP52,"a")+COUNTIF($G52:$BP52,"r0,a5")/2+COUNTIF($G52:$BP52,"p5,a5")/2</f>
        <v/>
      </c>
      <c r="BR52" s="195">
        <f>COUNTIF($G52:$BP52,"d")+COUNTIF($G52:$BP52,"r0,d5")/2+COUNTIF($G52:$BP52,"p5,d5")/2</f>
        <v/>
      </c>
      <c r="BS52" s="195">
        <f>COUNTIF($G52:$BP52,"b")+COUNTIF($G52:$BP52,"r0,b5")/2+COUNTIF($G52:$BP52,"p5,b5")/2</f>
        <v/>
      </c>
      <c r="BT52" s="195">
        <f>COUNTIF($G52:$BP52,"c")+COUNTIF($G52:$BP52,"r0,c5")/2+COUNTIF($G52:$BP52,"p5,c5")/2</f>
        <v/>
      </c>
      <c r="BU52" s="195">
        <f>COUNTIF($G52:$BP52,"KH")+COUNTIF($G52:$BP52,"TL")+COUNTIF($G52:$BP52,"L")</f>
        <v/>
      </c>
      <c r="BV52" s="202" t="n"/>
      <c r="BW52" s="195">
        <f>COUNTIF($G52:$BP52,"hh")</f>
        <v/>
      </c>
      <c r="BX52" s="195">
        <f>COUNTIF($G52:$BP52,"nt7")</f>
        <v/>
      </c>
      <c r="BY52" s="195">
        <f>COUNTIF($G52:$BP52,"P")+COUNTIF($G52:$BP52,"p5,a5")/2+COUNTIF($G52:$BP52,"p5,b5")/2+COUNTIF($G52:$BP52,"p5,c5")/2+COUNTIF($G52:$BP52,"p5,d5")/2</f>
        <v/>
      </c>
      <c r="BZ52" s="203">
        <f>SUBTOTAL(9,BQ52:BY52)</f>
        <v/>
      </c>
      <c r="CA52" s="54">
        <f>SUM(J52,L52,N52,P52,R52,T52,X52,Z52,AB52,AD52,AF52,AH52,AL52,AN52,AP52,AR52,AT52,AV52,AZ52,BB52,BD52,BF52,BH52,BP52)</f>
        <v/>
      </c>
      <c r="CB52" s="55">
        <f>SUM(H52,V52,AJ52,AX52,BL52)</f>
        <v/>
      </c>
      <c r="CC52" s="56">
        <f>SUM(BJ52,BN52)</f>
        <v/>
      </c>
      <c r="CD52" s="197">
        <f>IF(BZ52&gt;25,4,IF(BZ52&gt;18,3,IF(BZ52&gt;12,2,IF(BZ52&gt;4,1,0))))-BX52-2+1</f>
        <v/>
      </c>
      <c r="CE52" s="49" t="n">
        <v>3</v>
      </c>
      <c r="CF52" s="197">
        <f>CD52*CI52</f>
        <v/>
      </c>
      <c r="CG52" s="198">
        <f>F52-BY52+1</f>
        <v/>
      </c>
      <c r="CH52" s="197">
        <f>CE52*16</f>
        <v/>
      </c>
      <c r="CI52" s="199">
        <f>VLOOKUP(A52,[1]DATA!$A$6:$AI$331,34,0)</f>
        <v/>
      </c>
      <c r="CJ52" s="200">
        <f>VLOOKUP(A52,[2]CHAMCONG!A$7:CI$333,79,0)</f>
        <v/>
      </c>
      <c r="CK52" s="201">
        <f>CJ52-CA52</f>
        <v/>
      </c>
    </row>
    <row r="53" ht="15.75" customFormat="1" customHeight="1" s="68">
      <c r="A53" s="139" t="n"/>
      <c r="B53" s="64" t="n"/>
      <c r="C53" s="115" t="n"/>
      <c r="D53" s="46" t="n"/>
      <c r="E53" s="47" t="n"/>
      <c r="F53" s="48" t="n"/>
      <c r="G53" s="49" t="n"/>
      <c r="H53" s="73" t="n"/>
      <c r="I53" s="49" t="n"/>
      <c r="J53" s="73" t="n"/>
      <c r="K53" s="50" t="n"/>
      <c r="L53" s="73" t="n"/>
      <c r="M53" s="49" t="n"/>
      <c r="N53" s="73" t="n"/>
      <c r="O53" s="49" t="n"/>
      <c r="P53" s="73" t="n"/>
      <c r="Q53" s="50" t="n"/>
      <c r="R53" s="67" t="n"/>
      <c r="S53" s="49" t="n"/>
      <c r="T53" s="73" t="n"/>
      <c r="U53" s="49" t="n"/>
      <c r="V53" s="73" t="n"/>
      <c r="W53" s="49" t="n"/>
      <c r="X53" s="73" t="n"/>
      <c r="Y53" s="49" t="n"/>
      <c r="Z53" s="73" t="n"/>
      <c r="AA53" s="49" t="n"/>
      <c r="AB53" s="73" t="n"/>
      <c r="AC53" s="49" t="n"/>
      <c r="AD53" s="73" t="n"/>
      <c r="AE53" s="50" t="n"/>
      <c r="AF53" s="67" t="n"/>
      <c r="AG53" s="50" t="n"/>
      <c r="AH53" s="73" t="n"/>
      <c r="AI53" s="50" t="n"/>
      <c r="AJ53" s="73" t="n"/>
      <c r="AK53" s="50" t="n"/>
      <c r="AL53" s="73" t="n"/>
      <c r="AM53" s="50" t="n"/>
      <c r="AN53" s="73" t="n"/>
      <c r="AO53" s="50" t="n"/>
      <c r="AP53" s="73" t="n"/>
      <c r="AQ53" s="73" t="n"/>
      <c r="AR53" s="73" t="n"/>
      <c r="AS53" s="73" t="n"/>
      <c r="AT53" s="73" t="n"/>
      <c r="AU53" s="73" t="n"/>
      <c r="AV53" s="73" t="n"/>
      <c r="AW53" s="49" t="n"/>
      <c r="AX53" s="73" t="n"/>
      <c r="AY53" s="73" t="n"/>
      <c r="AZ53" s="73" t="n"/>
      <c r="BA53" s="73" t="n"/>
      <c r="BB53" s="73" t="n"/>
      <c r="BC53" s="73" t="n"/>
      <c r="BD53" s="73" t="n"/>
      <c r="BE53" s="73" t="n"/>
      <c r="BF53" s="73" t="n"/>
      <c r="BG53" s="73" t="n"/>
      <c r="BH53" s="73" t="n"/>
      <c r="BI53" s="73" t="n"/>
      <c r="BJ53" s="73" t="n"/>
      <c r="BK53" s="73" t="n"/>
      <c r="BL53" s="73" t="n"/>
      <c r="BM53" s="73" t="n"/>
      <c r="BN53" s="73" t="n"/>
      <c r="BO53" s="73" t="n"/>
      <c r="BP53" s="73" t="n"/>
      <c r="BQ53" s="195">
        <f>COUNTIF($G53:$BP53,"a")+COUNTIF($G53:$BP53,"r0,a5")/2+COUNTIF($G53:$BP53,"p5,a5")/2</f>
        <v/>
      </c>
      <c r="BR53" s="195">
        <f>COUNTIF($G53:$BP53,"d")+COUNTIF($G53:$BP53,"r0,d5")/2+COUNTIF($G53:$BP53,"p5,d5")/2</f>
        <v/>
      </c>
      <c r="BS53" s="195">
        <f>COUNTIF($G53:$BP53,"b")+COUNTIF($G53:$BP53,"r0,b5")/2+COUNTIF($G53:$BP53,"p5,b5")/2</f>
        <v/>
      </c>
      <c r="BT53" s="195">
        <f>COUNTIF($G53:$BP53,"c")+COUNTIF($G53:$BP53,"r0,c5")/2+COUNTIF($G53:$BP53,"p5,c5")/2</f>
        <v/>
      </c>
      <c r="BU53" s="195">
        <f>COUNTIF($G53:$BP53,"KH")+COUNTIF($G53:$BP53,"TL")+COUNTIF($G53:$BP53,"L")</f>
        <v/>
      </c>
      <c r="BV53" s="202" t="n"/>
      <c r="BW53" s="195">
        <f>COUNTIF($G53:$BP53,"hh")</f>
        <v/>
      </c>
      <c r="BX53" s="195">
        <f>COUNTIF($G53:$BP53,"nt7")</f>
        <v/>
      </c>
      <c r="BY53" s="195">
        <f>COUNTIF($G53:$BP53,"P")+COUNTIF($G53:$BP53,"p5,a5")/2+COUNTIF($G53:$BP53,"p5,b5")/2+COUNTIF($G53:$BP53,"p5,c5")/2+COUNTIF($G53:$BP53,"p5,d5")/2</f>
        <v/>
      </c>
      <c r="BZ53" s="203">
        <f>SUBTOTAL(9,BQ53:BY53)</f>
        <v/>
      </c>
      <c r="CA53" s="54">
        <f>SUM(J53,L53,N53,P53,R53,T53,X53,Z53,AB53,AD53,AF53,AH53,AL53,AN53,AP53,AR53,AT53,AV53,AZ53,BB53,BD53,BF53,BH53,BP53)</f>
        <v/>
      </c>
      <c r="CB53" s="55">
        <f>SUM(H53,V53,AJ53,AX53,BL53)</f>
        <v/>
      </c>
      <c r="CC53" s="56">
        <f>SUM(BJ53,BN53)</f>
        <v/>
      </c>
      <c r="CD53" s="197">
        <f>IF(BZ53&gt;25,4,IF(BZ53&gt;18,3,IF(BZ53&gt;12,2,IF(BZ53&gt;4,1,0))))-BX53-2+1</f>
        <v/>
      </c>
      <c r="CE53" s="49" t="n"/>
      <c r="CF53" s="197">
        <f>CD53*CI53</f>
        <v/>
      </c>
      <c r="CG53" s="198">
        <f>F53-BY53+1</f>
        <v/>
      </c>
      <c r="CH53" s="197">
        <f>CE53*16</f>
        <v/>
      </c>
      <c r="CI53" s="199">
        <f>VLOOKUP(A53,[1]DATA!$A$6:$AI$331,34,0)</f>
        <v/>
      </c>
      <c r="CJ53" s="200">
        <f>VLOOKUP(A53,[2]CHAMCONG!A$7:CI$333,79,0)</f>
        <v/>
      </c>
      <c r="CK53" s="201">
        <f>CJ53-CA53</f>
        <v/>
      </c>
    </row>
    <row r="54" ht="15.75" customFormat="1" customHeight="1" s="68">
      <c r="A54" s="139" t="n"/>
      <c r="B54" s="64" t="n"/>
      <c r="C54" s="115" t="n"/>
      <c r="D54" s="46" t="n"/>
      <c r="E54" s="47" t="n"/>
      <c r="F54" s="48" t="n"/>
      <c r="G54" s="49" t="n"/>
      <c r="H54" s="73" t="n"/>
      <c r="I54" s="50" t="n"/>
      <c r="J54" s="73" t="n"/>
      <c r="K54" s="50" t="n"/>
      <c r="L54" s="73" t="n"/>
      <c r="M54" s="50" t="n"/>
      <c r="N54" s="73" t="n"/>
      <c r="O54" s="50" t="n"/>
      <c r="P54" s="73" t="n"/>
      <c r="Q54" s="73" t="n"/>
      <c r="R54" s="73" t="n"/>
      <c r="S54" s="73" t="n"/>
      <c r="T54" s="73" t="n"/>
      <c r="U54" s="73" t="n"/>
      <c r="V54" s="73" t="n"/>
      <c r="W54" s="73" t="n"/>
      <c r="X54" s="73" t="n"/>
      <c r="Y54" s="73" t="n"/>
      <c r="Z54" s="73" t="n"/>
      <c r="AA54" s="73" t="n"/>
      <c r="AB54" s="73" t="n"/>
      <c r="AC54" s="73" t="n"/>
      <c r="AD54" s="73" t="n"/>
      <c r="AE54" s="73" t="n"/>
      <c r="AF54" s="73" t="n"/>
      <c r="AG54" s="73" t="n"/>
      <c r="AH54" s="73" t="n"/>
      <c r="AI54" s="73" t="n"/>
      <c r="AJ54" s="73" t="n"/>
      <c r="AK54" s="73" t="n"/>
      <c r="AL54" s="73" t="n"/>
      <c r="AM54" s="73" t="n"/>
      <c r="AN54" s="73" t="n"/>
      <c r="AO54" s="73" t="n"/>
      <c r="AP54" s="73" t="n"/>
      <c r="AQ54" s="73" t="n"/>
      <c r="AR54" s="73" t="n"/>
      <c r="AS54" s="73" t="n"/>
      <c r="AT54" s="73" t="n"/>
      <c r="AU54" s="73" t="n"/>
      <c r="AV54" s="73" t="n"/>
      <c r="AW54" s="73" t="n"/>
      <c r="AX54" s="73" t="n"/>
      <c r="AY54" s="73" t="n"/>
      <c r="AZ54" s="73" t="n"/>
      <c r="BA54" s="73" t="n"/>
      <c r="BB54" s="73" t="n"/>
      <c r="BC54" s="73" t="n"/>
      <c r="BD54" s="73" t="n"/>
      <c r="BE54" s="73" t="n"/>
      <c r="BF54" s="73" t="n"/>
      <c r="BG54" s="73" t="n"/>
      <c r="BH54" s="73" t="n"/>
      <c r="BI54" s="73" t="n"/>
      <c r="BJ54" s="73" t="n"/>
      <c r="BK54" s="73" t="n"/>
      <c r="BL54" s="73" t="n"/>
      <c r="BM54" s="73" t="n"/>
      <c r="BN54" s="73" t="n"/>
      <c r="BO54" s="73" t="n"/>
      <c r="BP54" s="73" t="n"/>
      <c r="BQ54" s="195">
        <f>COUNTIF($G54:$BP54,"a")+COUNTIF($G54:$BP54,"r0,a5")/2+COUNTIF($G54:$BP54,"p5,a5")/2</f>
        <v/>
      </c>
      <c r="BR54" s="195">
        <f>COUNTIF($G54:$BP54,"d")+COUNTIF($G54:$BP54,"r0,d5")/2+COUNTIF($G54:$BP54,"p5,d5")/2</f>
        <v/>
      </c>
      <c r="BS54" s="195">
        <f>COUNTIF($G54:$BP54,"b")+COUNTIF($G54:$BP54,"r0,b5")/2+COUNTIF($G54:$BP54,"p5,b5")/2</f>
        <v/>
      </c>
      <c r="BT54" s="195">
        <f>COUNTIF($G54:$BP54,"c")+COUNTIF($G54:$BP54,"r0,c5")/2+COUNTIF($G54:$BP54,"p5,c5")/2</f>
        <v/>
      </c>
      <c r="BU54" s="195">
        <f>COUNTIF($G54:$BP54,"KH")+COUNTIF($G54:$BP54,"TL")+COUNTIF($G54:$BP54,"L")</f>
        <v/>
      </c>
      <c r="BV54" s="202" t="n"/>
      <c r="BW54" s="195">
        <f>COUNTIF($G54:$BP54,"hh")</f>
        <v/>
      </c>
      <c r="BX54" s="195">
        <f>COUNTIF($G54:$BP54,"nt7")</f>
        <v/>
      </c>
      <c r="BY54" s="195">
        <f>COUNTIF($G54:$BP54,"P")+COUNTIF($G54:$BP54,"p5,a5")/2+COUNTIF($G54:$BP54,"p5,b5")/2+COUNTIF($G54:$BP54,"p5,c5")/2+COUNTIF($G54:$BP54,"p5,d5")/2</f>
        <v/>
      </c>
      <c r="BZ54" s="203">
        <f>SUBTOTAL(9,BQ54:BY54)</f>
        <v/>
      </c>
      <c r="CA54" s="54">
        <f>SUM(J54,L54,N54,P54,R54,T54,X54,Z54,AB54,AD54,AF54,AH54,AL54,AN54,AP54,AR54,AT54,AV54,AZ54,BB54,BD54,BF54,BH54,BP54)</f>
        <v/>
      </c>
      <c r="CB54" s="55">
        <f>SUM(H54,V54,AJ54,AX54,BL54)</f>
        <v/>
      </c>
      <c r="CC54" s="56">
        <f>SUM(BJ54,BN54)</f>
        <v/>
      </c>
      <c r="CD54" s="197">
        <f>IF(BZ54&gt;25,4,IF(BZ54&gt;18,3,IF(BZ54&gt;12,2,IF(BZ54&gt;4,1,0))))-BX54-2+1</f>
        <v/>
      </c>
      <c r="CE54" s="49" t="n"/>
      <c r="CF54" s="197">
        <f>CD54*CI54</f>
        <v/>
      </c>
      <c r="CG54" s="198">
        <f>F54-BY54+1</f>
        <v/>
      </c>
      <c r="CH54" s="197">
        <f>CE54*16</f>
        <v/>
      </c>
      <c r="CI54" s="199">
        <f>VLOOKUP(A54,[1]DATA!$A$6:$AI$331,34,0)</f>
        <v/>
      </c>
      <c r="CJ54" s="200">
        <f>VLOOKUP(A54,[2]CHAMCONG!A$7:CI$333,79,0)</f>
        <v/>
      </c>
      <c r="CK54" s="201">
        <f>CJ54-CA54</f>
        <v/>
      </c>
    </row>
    <row r="55" ht="15.75" customFormat="1" customHeight="1" s="68">
      <c r="A55" s="139" t="n"/>
      <c r="B55" s="64" t="n"/>
      <c r="C55" s="115" t="n"/>
      <c r="D55" s="46" t="n"/>
      <c r="E55" s="47" t="n"/>
      <c r="F55" s="48" t="n"/>
      <c r="G55" s="49" t="n"/>
      <c r="H55" s="73" t="n"/>
      <c r="I55" s="50" t="n"/>
      <c r="J55" s="73" t="n"/>
      <c r="K55" s="50" t="n"/>
      <c r="L55" s="73" t="n"/>
      <c r="M55" s="50" t="n"/>
      <c r="N55" s="73" t="n"/>
      <c r="O55" s="50" t="n"/>
      <c r="P55" s="73" t="n"/>
      <c r="Q55" s="73" t="n"/>
      <c r="R55" s="73" t="n"/>
      <c r="S55" s="73" t="n"/>
      <c r="T55" s="73" t="n"/>
      <c r="U55" s="73" t="n"/>
      <c r="V55" s="73" t="n"/>
      <c r="W55" s="73" t="n"/>
      <c r="X55" s="73" t="n"/>
      <c r="Y55" s="73" t="n"/>
      <c r="Z55" s="73" t="n"/>
      <c r="AA55" s="73" t="n"/>
      <c r="AB55" s="73" t="n"/>
      <c r="AC55" s="73" t="n"/>
      <c r="AD55" s="73" t="n"/>
      <c r="AE55" s="73" t="n"/>
      <c r="AF55" s="73" t="n"/>
      <c r="AG55" s="73" t="n"/>
      <c r="AH55" s="73" t="n"/>
      <c r="AI55" s="73" t="n"/>
      <c r="AJ55" s="73" t="n"/>
      <c r="AK55" s="73" t="n"/>
      <c r="AL55" s="73" t="n"/>
      <c r="AM55" s="73" t="n"/>
      <c r="AN55" s="73" t="n"/>
      <c r="AO55" s="73" t="n"/>
      <c r="AP55" s="73" t="n"/>
      <c r="AQ55" s="73" t="n"/>
      <c r="AR55" s="73" t="n"/>
      <c r="AS55" s="73" t="n"/>
      <c r="AT55" s="73" t="n"/>
      <c r="AU55" s="73" t="n"/>
      <c r="AV55" s="73" t="n"/>
      <c r="AW55" s="73" t="n"/>
      <c r="AX55" s="73" t="n"/>
      <c r="AY55" s="73" t="n"/>
      <c r="AZ55" s="73" t="n"/>
      <c r="BA55" s="73" t="n"/>
      <c r="BB55" s="73" t="n"/>
      <c r="BC55" s="73" t="n"/>
      <c r="BD55" s="73" t="n"/>
      <c r="BE55" s="73" t="n"/>
      <c r="BF55" s="73" t="n"/>
      <c r="BG55" s="73" t="n"/>
      <c r="BH55" s="73" t="n"/>
      <c r="BI55" s="73" t="n"/>
      <c r="BJ55" s="73" t="n"/>
      <c r="BK55" s="73" t="n"/>
      <c r="BL55" s="73" t="n"/>
      <c r="BM55" s="73" t="n"/>
      <c r="BN55" s="73" t="n"/>
      <c r="BO55" s="73" t="n"/>
      <c r="BP55" s="73" t="n"/>
      <c r="BQ55" s="195">
        <f>COUNTIF($G55:$BP55,"a")+COUNTIF($G55:$BP55,"r0,a5")/2+COUNTIF($G55:$BP55,"p5,a5")/2</f>
        <v/>
      </c>
      <c r="BR55" s="195">
        <f>COUNTIF($G55:$BP55,"d")+COUNTIF($G55:$BP55,"r0,d5")/2+COUNTIF($G55:$BP55,"p5,d5")/2</f>
        <v/>
      </c>
      <c r="BS55" s="195">
        <f>COUNTIF($G55:$BP55,"b")+COUNTIF($G55:$BP55,"r0,b5")/2+COUNTIF($G55:$BP55,"p5,b5")/2</f>
        <v/>
      </c>
      <c r="BT55" s="195">
        <f>COUNTIF($G55:$BP55,"c")+COUNTIF($G55:$BP55,"r0,c5")/2+COUNTIF($G55:$BP55,"p5,c5")/2</f>
        <v/>
      </c>
      <c r="BU55" s="195">
        <f>COUNTIF($G55:$BP55,"KH")+COUNTIF($G55:$BP55,"TL")+COUNTIF($G55:$BP55,"L")</f>
        <v/>
      </c>
      <c r="BV55" s="202" t="n"/>
      <c r="BW55" s="195">
        <f>COUNTIF($G55:$BP55,"hh")</f>
        <v/>
      </c>
      <c r="BX55" s="195">
        <f>COUNTIF($G55:$BP55,"nt7")</f>
        <v/>
      </c>
      <c r="BY55" s="195">
        <f>COUNTIF($G55:$BP55,"P")+COUNTIF($G55:$BP55,"p5,a5")/2+COUNTIF($G55:$BP55,"p5,b5")/2+COUNTIF($G55:$BP55,"p5,c5")/2+COUNTIF($G55:$BP55,"p5,d5")/2</f>
        <v/>
      </c>
      <c r="BZ55" s="203">
        <f>SUBTOTAL(9,BQ55:BY55)</f>
        <v/>
      </c>
      <c r="CA55" s="54">
        <f>SUM(J55,L55,N55,P55,R55,T55,X55,Z55,AB55,AD55,AF55,AH55,AL55,AN55,AP55,AR55,AT55,AV55,AZ55,BB55,BD55,BF55,BH55,BP55)</f>
        <v/>
      </c>
      <c r="CB55" s="55">
        <f>SUM(H55,V55,AJ55,AX55,BL55)</f>
        <v/>
      </c>
      <c r="CC55" s="56">
        <f>SUM(BJ55,BN55)</f>
        <v/>
      </c>
      <c r="CD55" s="197">
        <f>IF(BZ55&gt;25,4,IF(BZ55&gt;18,3,IF(BZ55&gt;12,2,IF(BZ55&gt;4,1,0))))-BX55-2+1</f>
        <v/>
      </c>
      <c r="CE55" s="49" t="n"/>
      <c r="CF55" s="197">
        <f>CD55*CI55</f>
        <v/>
      </c>
      <c r="CG55" s="198">
        <f>F55-BY55+1</f>
        <v/>
      </c>
      <c r="CH55" s="197">
        <f>CE55*16</f>
        <v/>
      </c>
      <c r="CI55" s="199">
        <f>VLOOKUP(A55,[1]DATA!$A$6:$AI$331,34,0)</f>
        <v/>
      </c>
      <c r="CJ55" s="200">
        <f>VLOOKUP(A55,[2]CHAMCONG!A$7:CI$333,79,0)</f>
        <v/>
      </c>
      <c r="CK55" s="201">
        <f>CJ55-CA55</f>
        <v/>
      </c>
    </row>
    <row r="56" ht="15.75" customFormat="1" customHeight="1" s="68">
      <c r="A56" s="139" t="n"/>
      <c r="B56" s="64" t="n"/>
      <c r="C56" s="115" t="n"/>
      <c r="D56" s="46" t="n"/>
      <c r="E56" s="47" t="n"/>
      <c r="F56" s="48" t="n"/>
      <c r="G56" s="49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73" t="n"/>
      <c r="Q56" s="50" t="n"/>
      <c r="R56" s="67" t="n"/>
      <c r="S56" s="50" t="n"/>
      <c r="T56" s="73" t="n"/>
      <c r="U56" s="50" t="n"/>
      <c r="V56" s="73" t="n"/>
      <c r="W56" s="50" t="n"/>
      <c r="X56" s="73" t="n"/>
      <c r="Y56" s="50" t="n"/>
      <c r="Z56" s="73" t="n"/>
      <c r="AA56" s="50" t="n"/>
      <c r="AB56" s="73" t="n"/>
      <c r="AC56" s="73" t="n"/>
      <c r="AD56" s="73" t="n"/>
      <c r="AE56" s="73" t="n"/>
      <c r="AF56" s="73" t="n"/>
      <c r="AG56" s="73" t="n"/>
      <c r="AH56" s="73" t="n"/>
      <c r="AI56" s="73" t="n"/>
      <c r="AJ56" s="73" t="n"/>
      <c r="AK56" s="73" t="n"/>
      <c r="AL56" s="73" t="n"/>
      <c r="AM56" s="73" t="n"/>
      <c r="AN56" s="73" t="n"/>
      <c r="AO56" s="73" t="n"/>
      <c r="AP56" s="73" t="n"/>
      <c r="AQ56" s="73" t="n"/>
      <c r="AR56" s="73" t="n"/>
      <c r="AS56" s="73" t="n"/>
      <c r="AT56" s="73" t="n"/>
      <c r="AU56" s="73" t="n"/>
      <c r="AV56" s="73" t="n"/>
      <c r="AW56" s="73" t="n"/>
      <c r="AX56" s="73" t="n"/>
      <c r="AY56" s="50" t="n"/>
      <c r="AZ56" s="73" t="n"/>
      <c r="BA56" s="67" t="n"/>
      <c r="BB56" s="73" t="n"/>
      <c r="BC56" s="67" t="n"/>
      <c r="BD56" s="73" t="n"/>
      <c r="BE56" s="73" t="n"/>
      <c r="BF56" s="73" t="n"/>
      <c r="BG56" s="73" t="n"/>
      <c r="BH56" s="73" t="n"/>
      <c r="BI56" s="73" t="n"/>
      <c r="BJ56" s="73" t="n"/>
      <c r="BK56" s="73" t="n"/>
      <c r="BL56" s="73" t="n"/>
      <c r="BM56" s="73" t="n"/>
      <c r="BN56" s="73" t="n"/>
      <c r="BO56" s="73" t="n"/>
      <c r="BP56" s="73" t="n"/>
      <c r="BQ56" s="195">
        <f>COUNTIF($G56:$BP56,"a")+COUNTIF($G56:$BP56,"r0,a5")/2+COUNTIF($G56:$BP56,"p5,a5")/2</f>
        <v/>
      </c>
      <c r="BR56" s="195">
        <f>COUNTIF($G56:$BP56,"d")+COUNTIF($G56:$BP56,"r0,d5")/2+COUNTIF($G56:$BP56,"p5,d5")/2</f>
        <v/>
      </c>
      <c r="BS56" s="195">
        <f>COUNTIF($G56:$BP56,"b")+COUNTIF($G56:$BP56,"r0,b5")/2+COUNTIF($G56:$BP56,"p5,b5")/2</f>
        <v/>
      </c>
      <c r="BT56" s="195">
        <f>COUNTIF($G56:$BP56,"c")+COUNTIF($G56:$BP56,"r0,c5")/2+COUNTIF($G56:$BP56,"p5,c5")/2</f>
        <v/>
      </c>
      <c r="BU56" s="195">
        <f>COUNTIF($G56:$BP56,"KH")+COUNTIF($G56:$BP56,"TL")+COUNTIF($G56:$BP56,"L")</f>
        <v/>
      </c>
      <c r="BV56" s="202" t="n"/>
      <c r="BW56" s="195">
        <f>COUNTIF($G56:$BP56,"hh")</f>
        <v/>
      </c>
      <c r="BX56" s="195">
        <f>COUNTIF($G56:$BP56,"nt7")</f>
        <v/>
      </c>
      <c r="BY56" s="195">
        <f>COUNTIF($G56:$BP56,"P")+COUNTIF($G56:$BP56,"p5,a5")/2+COUNTIF($G56:$BP56,"p5,b5")/2+COUNTIF($G56:$BP56,"p5,c5")/2+COUNTIF($G56:$BP56,"p5,d5")/2</f>
        <v/>
      </c>
      <c r="BZ56" s="203">
        <f>SUBTOTAL(9,BQ56:BY56)</f>
        <v/>
      </c>
      <c r="CA56" s="54">
        <f>SUM(J56,L56,N56,P56,R56,T56,X56,Z56,AB56,AD56,AF56,AH56,AL56,AN56,AP56,AR56,AT56,AV56,AZ56,BB56,BD56,BF56,BH56,BP56)</f>
        <v/>
      </c>
      <c r="CB56" s="55">
        <f>SUM(H56,V56,AJ56,AX56,BL56)</f>
        <v/>
      </c>
      <c r="CC56" s="56">
        <f>SUM(BJ56,BN56)</f>
        <v/>
      </c>
      <c r="CD56" s="197">
        <f>IF(BZ56&gt;25,4,IF(BZ56&gt;18,3,IF(BZ56&gt;12,2,IF(BZ56&gt;4,1,0))))-BX56-2+1</f>
        <v/>
      </c>
      <c r="CE56" s="49" t="n"/>
      <c r="CF56" s="197">
        <f>CD56*CI56</f>
        <v/>
      </c>
      <c r="CG56" s="198">
        <f>F56-BY56+1</f>
        <v/>
      </c>
      <c r="CH56" s="197">
        <f>CE56*16</f>
        <v/>
      </c>
      <c r="CI56" s="199">
        <f>VLOOKUP(A56,[1]DATA!$A$6:$AI$331,34,0)</f>
        <v/>
      </c>
      <c r="CJ56" s="200">
        <f>VLOOKUP(A56,[2]CHAMCONG!A$7:CI$333,79,0)</f>
        <v/>
      </c>
      <c r="CK56" s="201">
        <f>CJ56-CA56</f>
        <v/>
      </c>
    </row>
    <row r="57" ht="15.75" customFormat="1" customHeight="1" s="68">
      <c r="A57" s="139" t="n"/>
      <c r="B57" s="64" t="n"/>
      <c r="C57" s="115" t="n"/>
      <c r="D57" s="46" t="n"/>
      <c r="E57" s="47" t="n"/>
      <c r="F57" s="48" t="n"/>
      <c r="G57" s="49" t="n"/>
      <c r="H57" s="73" t="n"/>
      <c r="I57" s="50" t="n"/>
      <c r="J57" s="73" t="n"/>
      <c r="K57" s="50" t="n"/>
      <c r="L57" s="73" t="n"/>
      <c r="M57" s="50" t="n"/>
      <c r="N57" s="73" t="n"/>
      <c r="O57" s="50" t="n"/>
      <c r="P57" s="73" t="n"/>
      <c r="Q57" s="49" t="n"/>
      <c r="R57" s="73" t="n"/>
      <c r="S57" s="50" t="n"/>
      <c r="T57" s="73" t="n"/>
      <c r="U57" s="50" t="n"/>
      <c r="V57" s="73" t="n"/>
      <c r="W57" s="50" t="n"/>
      <c r="X57" s="73" t="n"/>
      <c r="Y57" s="50" t="n"/>
      <c r="Z57" s="73" t="n"/>
      <c r="AA57" s="50" t="n"/>
      <c r="AB57" s="73" t="n"/>
      <c r="AC57" s="50" t="n"/>
      <c r="AD57" s="73" t="n"/>
      <c r="AE57" s="50" t="n"/>
      <c r="AF57" s="67" t="n"/>
      <c r="AG57" s="50" t="n"/>
      <c r="AH57" s="73" t="n"/>
      <c r="AI57" s="50" t="n"/>
      <c r="AJ57" s="73" t="n"/>
      <c r="AK57" s="50" t="n"/>
      <c r="AL57" s="73" t="n"/>
      <c r="AM57" s="50" t="n"/>
      <c r="AN57" s="73" t="n"/>
      <c r="AO57" s="50" t="n"/>
      <c r="AP57" s="73" t="n"/>
      <c r="AQ57" s="49" t="n"/>
      <c r="AR57" s="73" t="n"/>
      <c r="AS57" s="49" t="n"/>
      <c r="AT57" s="73" t="n"/>
      <c r="AU57" s="49" t="n"/>
      <c r="AV57" s="73" t="n"/>
      <c r="AW57" s="49" t="n"/>
      <c r="AX57" s="73" t="n"/>
      <c r="AY57" s="49" t="n"/>
      <c r="AZ57" s="73" t="n"/>
      <c r="BA57" s="49" t="n"/>
      <c r="BB57" s="73" t="n"/>
      <c r="BC57" s="73" t="n"/>
      <c r="BD57" s="73" t="n"/>
      <c r="BE57" s="49" t="n"/>
      <c r="BF57" s="73" t="n"/>
      <c r="BG57" s="49" t="n"/>
      <c r="BH57" s="73" t="n"/>
      <c r="BI57" s="73" t="n"/>
      <c r="BJ57" s="73" t="n"/>
      <c r="BK57" s="73" t="n"/>
      <c r="BL57" s="73" t="n"/>
      <c r="BM57" s="73" t="n"/>
      <c r="BN57" s="73" t="n"/>
      <c r="BO57" s="73" t="n"/>
      <c r="BP57" s="73" t="n"/>
      <c r="BQ57" s="195">
        <f>COUNTIF($G57:$BP57,"a")+COUNTIF($G57:$BP57,"r0,a5")/2+COUNTIF($G57:$BP57,"p5,a5")/2</f>
        <v/>
      </c>
      <c r="BR57" s="195">
        <f>COUNTIF($G57:$BP57,"d")+COUNTIF($G57:$BP57,"r0,d5")/2+COUNTIF($G57:$BP57,"p5,d5")/2</f>
        <v/>
      </c>
      <c r="BS57" s="195">
        <f>COUNTIF($G57:$BP57,"b")+COUNTIF($G57:$BP57,"r0,b5")/2+COUNTIF($G57:$BP57,"p5,b5")/2</f>
        <v/>
      </c>
      <c r="BT57" s="195">
        <f>COUNTIF($G57:$BP57,"c")+COUNTIF($G57:$BP57,"r0,c5")/2+COUNTIF($G57:$BP57,"p5,c5")/2</f>
        <v/>
      </c>
      <c r="BU57" s="195">
        <f>COUNTIF($G57:$BP57,"KH")+COUNTIF($G57:$BP57,"TL")+COUNTIF($G57:$BP57,"L")</f>
        <v/>
      </c>
      <c r="BV57" s="202" t="n"/>
      <c r="BW57" s="195">
        <f>COUNTIF($G57:$BP57,"hh")</f>
        <v/>
      </c>
      <c r="BX57" s="195">
        <f>COUNTIF($G57:$BP57,"nt7")</f>
        <v/>
      </c>
      <c r="BY57" s="195">
        <f>COUNTIF($G57:$BP57,"P")+COUNTIF($G57:$BP57,"p5,a5")/2+COUNTIF($G57:$BP57,"p5,b5")/2+COUNTIF($G57:$BP57,"p5,c5")/2+COUNTIF($G57:$BP57,"p5,d5")/2</f>
        <v/>
      </c>
      <c r="BZ57" s="203">
        <f>SUBTOTAL(9,BQ57:BY57)</f>
        <v/>
      </c>
      <c r="CA57" s="54">
        <f>SUM(J57,L57,N57,P57,R57,T57,X57,Z57,AB57,AD57,AF57,AH57,AL57,AN57,AP57,AR57,AT57,AV57,AZ57,BB57,BD57,BF57,BH57,BP57)</f>
        <v/>
      </c>
      <c r="CB57" s="55">
        <f>SUM(H57,V57,AJ57,AX57,BL57)</f>
        <v/>
      </c>
      <c r="CC57" s="56">
        <f>SUM(BJ57,BN57)</f>
        <v/>
      </c>
      <c r="CD57" s="197">
        <f>IF(BZ57&gt;25,4,IF(BZ57&gt;18,3,IF(BZ57&gt;12,2,IF(BZ57&gt;4,1,0))))-BX57-2+1</f>
        <v/>
      </c>
      <c r="CE57" s="49" t="n">
        <v>1</v>
      </c>
      <c r="CF57" s="197">
        <f>CD57*CI57</f>
        <v/>
      </c>
      <c r="CG57" s="198">
        <f>F57-BY57+1</f>
        <v/>
      </c>
      <c r="CH57" s="197">
        <f>CE57*16</f>
        <v/>
      </c>
      <c r="CI57" s="199">
        <f>VLOOKUP(A57,[1]DATA!$A$6:$AI$331,34,0)</f>
        <v/>
      </c>
      <c r="CJ57" s="200">
        <f>VLOOKUP(A57,[2]CHAMCONG!A$7:CI$333,79,0)</f>
        <v/>
      </c>
      <c r="CK57" s="201">
        <f>CJ57-CA57</f>
        <v/>
      </c>
    </row>
    <row r="58" ht="15.75" customFormat="1" customHeight="1" s="68">
      <c r="A58" s="139" t="n"/>
      <c r="B58" s="64" t="n"/>
      <c r="C58" s="115" t="n"/>
      <c r="D58" s="46" t="n"/>
      <c r="E58" s="47" t="n"/>
      <c r="F58" s="48" t="n"/>
      <c r="G58" s="49" t="n"/>
      <c r="H58" s="73" t="n"/>
      <c r="I58" s="50" t="n"/>
      <c r="J58" s="73" t="n"/>
      <c r="K58" s="73" t="n"/>
      <c r="L58" s="73" t="n"/>
      <c r="M58" s="73" t="n"/>
      <c r="N58" s="73" t="n"/>
      <c r="O58" s="50" t="n"/>
      <c r="P58" s="73" t="n"/>
      <c r="Q58" s="73" t="n"/>
      <c r="R58" s="73" t="n"/>
      <c r="S58" s="73" t="n"/>
      <c r="T58" s="73" t="n"/>
      <c r="U58" s="49" t="n"/>
      <c r="V58" s="73" t="n"/>
      <c r="W58" s="73" t="n"/>
      <c r="X58" s="73" t="n"/>
      <c r="Y58" s="73" t="n"/>
      <c r="Z58" s="73" t="n"/>
      <c r="AA58" s="73" t="n"/>
      <c r="AB58" s="73" t="n"/>
      <c r="AC58" s="73" t="n"/>
      <c r="AD58" s="73" t="n"/>
      <c r="AE58" s="73" t="n"/>
      <c r="AF58" s="73" t="n"/>
      <c r="AG58" s="73" t="n"/>
      <c r="AH58" s="73" t="n"/>
      <c r="AI58" s="73" t="n"/>
      <c r="AJ58" s="73" t="n"/>
      <c r="AK58" s="73" t="n"/>
      <c r="AL58" s="73" t="n"/>
      <c r="AM58" s="73" t="n"/>
      <c r="AN58" s="73" t="n"/>
      <c r="AO58" s="73" t="n"/>
      <c r="AP58" s="73" t="n"/>
      <c r="AQ58" s="73" t="n"/>
      <c r="AR58" s="73" t="n"/>
      <c r="AS58" s="73" t="n"/>
      <c r="AT58" s="73" t="n"/>
      <c r="AU58" s="73" t="n"/>
      <c r="AV58" s="73" t="n"/>
      <c r="AW58" s="73" t="n"/>
      <c r="AX58" s="73" t="n"/>
      <c r="AY58" s="73" t="n"/>
      <c r="AZ58" s="73" t="n"/>
      <c r="BA58" s="73" t="n"/>
      <c r="BB58" s="73" t="n"/>
      <c r="BC58" s="73" t="n"/>
      <c r="BD58" s="73" t="n"/>
      <c r="BE58" s="73" t="n"/>
      <c r="BF58" s="73" t="n"/>
      <c r="BG58" s="73" t="n"/>
      <c r="BH58" s="73" t="n"/>
      <c r="BI58" s="73" t="n"/>
      <c r="BJ58" s="73" t="n"/>
      <c r="BK58" s="73" t="n"/>
      <c r="BL58" s="73" t="n"/>
      <c r="BM58" s="73" t="n"/>
      <c r="BN58" s="73" t="n"/>
      <c r="BO58" s="73" t="n"/>
      <c r="BP58" s="73" t="n"/>
      <c r="BQ58" s="195">
        <f>COUNTIF($G58:$BP58,"a")+COUNTIF($G58:$BP58,"r0,a5")/2+COUNTIF($G58:$BP58,"p5,a5")/2</f>
        <v/>
      </c>
      <c r="BR58" s="195">
        <f>COUNTIF($G58:$BP58,"d")+COUNTIF($G58:$BP58,"r0,d5")/2+COUNTIF($G58:$BP58,"p5,d5")/2</f>
        <v/>
      </c>
      <c r="BS58" s="195">
        <f>COUNTIF($G58:$BP58,"b")+COUNTIF($G58:$BP58,"r0,b5")/2+COUNTIF($G58:$BP58,"p5,b5")/2</f>
        <v/>
      </c>
      <c r="BT58" s="195">
        <f>COUNTIF($G58:$BP58,"c")+COUNTIF($G58:$BP58,"r0,c5")/2+COUNTIF($G58:$BP58,"p5,c5")/2</f>
        <v/>
      </c>
      <c r="BU58" s="195">
        <f>COUNTIF($G58:$BP58,"KH")+COUNTIF($G58:$BP58,"TL")+COUNTIF($G58:$BP58,"L")</f>
        <v/>
      </c>
      <c r="BV58" s="202" t="n"/>
      <c r="BW58" s="195">
        <f>COUNTIF($G58:$BP58,"hh")</f>
        <v/>
      </c>
      <c r="BX58" s="195">
        <f>COUNTIF($G58:$BP58,"nt7")</f>
        <v/>
      </c>
      <c r="BY58" s="195">
        <f>COUNTIF($G58:$BP58,"P")+COUNTIF($G58:$BP58,"p5,a5")/2+COUNTIF($G58:$BP58,"p5,b5")/2+COUNTIF($G58:$BP58,"p5,c5")/2+COUNTIF($G58:$BP58,"p5,d5")/2</f>
        <v/>
      </c>
      <c r="BZ58" s="203">
        <f>SUBTOTAL(9,BQ58:BY58)</f>
        <v/>
      </c>
      <c r="CA58" s="54">
        <f>SUM(J58,L58,N58,P58,R58,T58,X58,Z58,AB58,AD58,AF58,AH58,AL58,AN58,AP58,AR58,AT58,AV58,AZ58,BB58,BD58,BF58,BH58,BP58)</f>
        <v/>
      </c>
      <c r="CB58" s="55">
        <f>SUM(H58,V58,AJ58,AX58,BL58)</f>
        <v/>
      </c>
      <c r="CC58" s="56">
        <f>SUM(BJ58,BN58)</f>
        <v/>
      </c>
      <c r="CD58" s="197">
        <f>IF(BZ58&gt;25,4,IF(BZ58&gt;18,3,IF(BZ58&gt;12,2,IF(BZ58&gt;4,1,0))))-BX58-2+1</f>
        <v/>
      </c>
      <c r="CE58" s="49" t="n"/>
      <c r="CF58" s="197">
        <f>CD58*CI58</f>
        <v/>
      </c>
      <c r="CG58" s="198">
        <f>F58-BY58+1</f>
        <v/>
      </c>
      <c r="CH58" s="197">
        <f>CE58*16</f>
        <v/>
      </c>
      <c r="CI58" s="199">
        <f>VLOOKUP(A58,[1]DATA!$A$6:$AI$331,34,0)</f>
        <v/>
      </c>
      <c r="CJ58" s="200">
        <f>VLOOKUP(A58,[2]CHAMCONG!A$7:CI$333,79,0)</f>
        <v/>
      </c>
      <c r="CK58" s="201">
        <f>CJ58-CA58</f>
        <v/>
      </c>
    </row>
    <row r="59" ht="15.75" customFormat="1" customHeight="1" s="68">
      <c r="A59" s="139" t="n"/>
      <c r="B59" s="64" t="n"/>
      <c r="C59" s="115" t="n"/>
      <c r="D59" s="46" t="n"/>
      <c r="E59" s="47" t="n"/>
      <c r="F59" s="48" t="n"/>
      <c r="G59" s="49" t="n"/>
      <c r="H59" s="73" t="n"/>
      <c r="I59" s="50" t="n"/>
      <c r="J59" s="73" t="n"/>
      <c r="K59" s="50" t="n"/>
      <c r="L59" s="73" t="n"/>
      <c r="M59" s="50" t="n"/>
      <c r="N59" s="73" t="n"/>
      <c r="O59" s="50" t="n"/>
      <c r="P59" s="73" t="n"/>
      <c r="Q59" s="50" t="n"/>
      <c r="R59" s="67" t="n"/>
      <c r="S59" s="50" t="n"/>
      <c r="T59" s="73" t="n"/>
      <c r="U59" s="50" t="n"/>
      <c r="V59" s="73" t="n"/>
      <c r="W59" s="50" t="n"/>
      <c r="X59" s="73" t="n"/>
      <c r="Y59" s="50" t="n"/>
      <c r="Z59" s="73" t="n"/>
      <c r="AA59" s="50" t="n"/>
      <c r="AB59" s="73" t="n"/>
      <c r="AC59" s="50" t="n"/>
      <c r="AD59" s="73" t="n"/>
      <c r="AE59" s="50" t="n"/>
      <c r="AF59" s="67" t="n"/>
      <c r="AG59" s="50" t="n"/>
      <c r="AH59" s="73" t="n"/>
      <c r="AI59" s="50" t="n"/>
      <c r="AJ59" s="73" t="n"/>
      <c r="AK59" s="50" t="n"/>
      <c r="AL59" s="73" t="n"/>
      <c r="AM59" s="50" t="n"/>
      <c r="AN59" s="73" t="n"/>
      <c r="AO59" s="50" t="n"/>
      <c r="AP59" s="73" t="n"/>
      <c r="AQ59" s="50" t="n"/>
      <c r="AR59" s="73" t="n"/>
      <c r="AS59" s="50" t="n"/>
      <c r="AT59" s="67" t="n"/>
      <c r="AU59" s="50" t="n"/>
      <c r="AV59" s="73" t="n"/>
      <c r="AW59" s="73" t="n"/>
      <c r="AX59" s="73" t="n"/>
      <c r="AY59" s="50" t="n"/>
      <c r="AZ59" s="73" t="n"/>
      <c r="BA59" s="50" t="n"/>
      <c r="BB59" s="73" t="n"/>
      <c r="BC59" s="50" t="n"/>
      <c r="BD59" s="73" t="n"/>
      <c r="BE59" s="50" t="n"/>
      <c r="BF59" s="73" t="n"/>
      <c r="BG59" s="50" t="n"/>
      <c r="BH59" s="67" t="n"/>
      <c r="BI59" s="73" t="n"/>
      <c r="BJ59" s="73" t="n"/>
      <c r="BK59" s="73" t="n"/>
      <c r="BL59" s="73" t="n"/>
      <c r="BM59" s="73" t="n"/>
      <c r="BN59" s="73" t="n"/>
      <c r="BO59" s="73" t="n"/>
      <c r="BP59" s="73" t="n"/>
      <c r="BQ59" s="195">
        <f>COUNTIF($G59:$BP59,"a")+COUNTIF($G59:$BP59,"r0,a5")/2+COUNTIF($G59:$BP59,"p5,a5")/2</f>
        <v/>
      </c>
      <c r="BR59" s="195">
        <f>COUNTIF($G59:$BP59,"d")+COUNTIF($G59:$BP59,"r0,d5")/2+COUNTIF($G59:$BP59,"p5,d5")/2</f>
        <v/>
      </c>
      <c r="BS59" s="195">
        <f>COUNTIF($G59:$BP59,"b")+COUNTIF($G59:$BP59,"r0,b5")/2+COUNTIF($G59:$BP59,"p5,b5")/2</f>
        <v/>
      </c>
      <c r="BT59" s="195">
        <f>COUNTIF($G59:$BP59,"c")+COUNTIF($G59:$BP59,"r0,c5")/2+COUNTIF($G59:$BP59,"p5,c5")/2</f>
        <v/>
      </c>
      <c r="BU59" s="195">
        <f>COUNTIF($G59:$BP59,"KH")+COUNTIF($G59:$BP59,"TL")+COUNTIF($G59:$BP59,"L")</f>
        <v/>
      </c>
      <c r="BV59" s="202" t="n"/>
      <c r="BW59" s="195">
        <f>COUNTIF($G59:$BP59,"hh")</f>
        <v/>
      </c>
      <c r="BX59" s="195">
        <f>COUNTIF($G59:$BP59,"nt7")</f>
        <v/>
      </c>
      <c r="BY59" s="195">
        <f>COUNTIF($G59:$BP59,"P")+COUNTIF($G59:$BP59,"p5,a5")/2+COUNTIF($G59:$BP59,"p5,b5")/2+COUNTIF($G59:$BP59,"p5,c5")/2+COUNTIF($G59:$BP59,"p5,d5")/2</f>
        <v/>
      </c>
      <c r="BZ59" s="203">
        <f>SUBTOTAL(9,BQ59:BY59)</f>
        <v/>
      </c>
      <c r="CA59" s="54">
        <f>SUM(J59,L59,N59,P59,R59,T59,X59,Z59,AB59,AD59,AF59,AH59,AL59,AN59,AP59,AR59,AT59,AV59,AZ59,BB59,BD59,BF59,BH59,BP59)</f>
        <v/>
      </c>
      <c r="CB59" s="55">
        <f>SUM(H59,V59,AJ59,AX59,BL59)</f>
        <v/>
      </c>
      <c r="CC59" s="56">
        <f>SUM(BJ59,BN59)</f>
        <v/>
      </c>
      <c r="CD59" s="197">
        <f>IF(BZ59&gt;25,4,IF(BZ59&gt;18,3,IF(BZ59&gt;12,2,IF(BZ59&gt;4,1,0))))-BX59-2+1</f>
        <v/>
      </c>
      <c r="CE59" s="49" t="n">
        <v>2</v>
      </c>
      <c r="CF59" s="197">
        <f>CD59*CI59</f>
        <v/>
      </c>
      <c r="CG59" s="198">
        <f>F59-BY59+1</f>
        <v/>
      </c>
      <c r="CH59" s="197">
        <f>CE59*16</f>
        <v/>
      </c>
      <c r="CI59" s="199">
        <f>VLOOKUP(A59,[1]DATA!$A$6:$AI$331,34,0)</f>
        <v/>
      </c>
      <c r="CJ59" s="200">
        <f>VLOOKUP(A59,[2]CHAMCONG!A$7:CI$333,79,0)</f>
        <v/>
      </c>
      <c r="CK59" s="201">
        <f>CJ59-CA59</f>
        <v/>
      </c>
    </row>
    <row r="60" ht="15.75" customFormat="1" customHeight="1" s="68">
      <c r="A60" s="139" t="n"/>
      <c r="B60" s="64" t="n"/>
      <c r="C60" s="115" t="n"/>
      <c r="D60" s="46" t="n"/>
      <c r="E60" s="47" t="n"/>
      <c r="F60" s="48" t="n"/>
      <c r="G60" s="49" t="n"/>
      <c r="H60" s="73" t="n"/>
      <c r="I60" s="49" t="n"/>
      <c r="J60" s="73" t="n"/>
      <c r="K60" s="49" t="n"/>
      <c r="L60" s="73" t="n"/>
      <c r="M60" s="49" t="n"/>
      <c r="N60" s="73" t="n"/>
      <c r="O60" s="49" t="n"/>
      <c r="P60" s="73" t="n"/>
      <c r="Q60" s="49" t="n"/>
      <c r="R60" s="49" t="n"/>
      <c r="S60" s="49" t="n"/>
      <c r="T60" s="73" t="n"/>
      <c r="U60" s="49" t="n"/>
      <c r="V60" s="73" t="n"/>
      <c r="W60" s="49" t="n"/>
      <c r="X60" s="73" t="n"/>
      <c r="Y60" s="49" t="n"/>
      <c r="Z60" s="73" t="n"/>
      <c r="AA60" s="49" t="n"/>
      <c r="AB60" s="73" t="n"/>
      <c r="AC60" s="49" t="n"/>
      <c r="AD60" s="73" t="n"/>
      <c r="AE60" s="49" t="n"/>
      <c r="AF60" s="49" t="n"/>
      <c r="AG60" s="49" t="n"/>
      <c r="AH60" s="73" t="n"/>
      <c r="AI60" s="73" t="n"/>
      <c r="AJ60" s="73" t="n"/>
      <c r="AK60" s="49" t="n"/>
      <c r="AL60" s="73" t="n"/>
      <c r="AM60" s="49" t="n"/>
      <c r="AN60" s="73" t="n"/>
      <c r="AO60" s="49" t="n"/>
      <c r="AP60" s="73" t="n"/>
      <c r="AQ60" s="49" t="n"/>
      <c r="AR60" s="73" t="n"/>
      <c r="AS60" s="49" t="n"/>
      <c r="AT60" s="49" t="n"/>
      <c r="AU60" s="49" t="n"/>
      <c r="AV60" s="73" t="n"/>
      <c r="AW60" s="73" t="n"/>
      <c r="AX60" s="73" t="n"/>
      <c r="AY60" s="73" t="n"/>
      <c r="AZ60" s="73" t="n"/>
      <c r="BA60" s="73" t="n"/>
      <c r="BB60" s="73" t="n"/>
      <c r="BC60" s="73" t="n"/>
      <c r="BD60" s="73" t="n"/>
      <c r="BE60" s="73" t="n"/>
      <c r="BF60" s="73" t="n"/>
      <c r="BG60" s="73" t="n"/>
      <c r="BH60" s="73" t="n"/>
      <c r="BI60" s="73" t="n"/>
      <c r="BJ60" s="73" t="n"/>
      <c r="BK60" s="73" t="n"/>
      <c r="BL60" s="73" t="n"/>
      <c r="BM60" s="73" t="n"/>
      <c r="BN60" s="73" t="n"/>
      <c r="BO60" s="73" t="n"/>
      <c r="BP60" s="73" t="n"/>
      <c r="BQ60" s="195">
        <f>COUNTIF($G60:$BP60,"a")+COUNTIF($G60:$BP60,"r0,a5")/2+COUNTIF($G60:$BP60,"p5,a5")/2</f>
        <v/>
      </c>
      <c r="BR60" s="195">
        <f>COUNTIF($G60:$BP60,"d")+COUNTIF($G60:$BP60,"r0,d5")/2+COUNTIF($G60:$BP60,"p5,d5")/2</f>
        <v/>
      </c>
      <c r="BS60" s="195">
        <f>COUNTIF($G60:$BP60,"b")+COUNTIF($G60:$BP60,"r0,b5")/2+COUNTIF($G60:$BP60,"p5,b5")/2</f>
        <v/>
      </c>
      <c r="BT60" s="195">
        <f>COUNTIF($G60:$BP60,"c")+COUNTIF($G60:$BP60,"r0,c5")/2+COUNTIF($G60:$BP60,"p5,c5")/2</f>
        <v/>
      </c>
      <c r="BU60" s="195">
        <f>COUNTIF($G60:$BP60,"KH")+COUNTIF($G60:$BP60,"TL")+COUNTIF($G60:$BP60,"L")</f>
        <v/>
      </c>
      <c r="BV60" s="202" t="n"/>
      <c r="BW60" s="195">
        <f>COUNTIF($G60:$BP60,"hh")</f>
        <v/>
      </c>
      <c r="BX60" s="195">
        <f>COUNTIF($G60:$BP60,"nt7")</f>
        <v/>
      </c>
      <c r="BY60" s="195">
        <f>COUNTIF($G60:$BP60,"P")+COUNTIF($G60:$BP60,"p5,a5")/2+COUNTIF($G60:$BP60,"p5,b5")/2+COUNTIF($G60:$BP60,"p5,c5")/2+COUNTIF($G60:$BP60,"p5,d5")/2</f>
        <v/>
      </c>
      <c r="BZ60" s="203">
        <f>SUBTOTAL(9,BQ60:BY60)</f>
        <v/>
      </c>
      <c r="CA60" s="54">
        <f>SUM(J60,L60,N60,P60,R60,T60,X60,Z60,AB60,AD60,AF60,AH60,AL60,AN60,AP60,AR60,AT60,AV60,AZ60,BB60,BD60,BF60,BH60,BP60)</f>
        <v/>
      </c>
      <c r="CB60" s="55">
        <f>SUM(H60,V60,AJ60,AX60,BL60)</f>
        <v/>
      </c>
      <c r="CC60" s="56">
        <f>SUM(BJ60,BN60)</f>
        <v/>
      </c>
      <c r="CD60" s="197">
        <f>IF(BZ60&gt;25,4,IF(BZ60&gt;18,3,IF(BZ60&gt;12,2,IF(BZ60&gt;4,1,0))))-BX60-2+1</f>
        <v/>
      </c>
      <c r="CE60" s="49" t="n">
        <v>1</v>
      </c>
      <c r="CF60" s="197">
        <f>CD60*CI60</f>
        <v/>
      </c>
      <c r="CG60" s="198">
        <f>F60-BY60+1</f>
        <v/>
      </c>
      <c r="CH60" s="197">
        <f>CE60*16</f>
        <v/>
      </c>
      <c r="CI60" s="199">
        <f>VLOOKUP(A60,[1]DATA!$A$6:$AI$331,34,0)</f>
        <v/>
      </c>
      <c r="CJ60" s="200">
        <f>VLOOKUP(A60,[2]CHAMCONG!A$7:CI$333,79,0)</f>
        <v/>
      </c>
      <c r="CK60" s="201">
        <f>CJ60-CA60</f>
        <v/>
      </c>
    </row>
    <row r="61" ht="15.75" customFormat="1" customHeight="1" s="68">
      <c r="A61" s="139" t="n"/>
      <c r="B61" s="64" t="n"/>
      <c r="C61" s="115" t="n"/>
      <c r="D61" s="46" t="n"/>
      <c r="E61" s="47" t="n"/>
      <c r="F61" s="48" t="n"/>
      <c r="G61" s="49" t="n"/>
      <c r="H61" s="73" t="n"/>
      <c r="I61" s="49" t="n"/>
      <c r="J61" s="73" t="n"/>
      <c r="K61" s="49" t="n"/>
      <c r="L61" s="73" t="n"/>
      <c r="M61" s="49" t="n"/>
      <c r="N61" s="73" t="n"/>
      <c r="O61" s="49" t="n"/>
      <c r="P61" s="73" t="n"/>
      <c r="Q61" s="49" t="n"/>
      <c r="R61" s="73" t="n"/>
      <c r="S61" s="49" t="n"/>
      <c r="T61" s="73" t="n"/>
      <c r="U61" s="49" t="n"/>
      <c r="V61" s="73" t="n"/>
      <c r="W61" s="49" t="n"/>
      <c r="X61" s="73" t="n"/>
      <c r="Y61" s="49" t="n"/>
      <c r="Z61" s="73" t="n"/>
      <c r="AA61" s="49" t="n"/>
      <c r="AB61" s="73" t="n"/>
      <c r="AC61" s="50" t="n"/>
      <c r="AD61" s="73" t="n"/>
      <c r="AE61" s="50" t="n"/>
      <c r="AF61" s="67" t="n"/>
      <c r="AG61" s="50" t="n"/>
      <c r="AH61" s="73" t="n"/>
      <c r="AI61" s="73" t="n"/>
      <c r="AJ61" s="73" t="n"/>
      <c r="AK61" s="49" t="n"/>
      <c r="AL61" s="73" t="n"/>
      <c r="AM61" s="49" t="n"/>
      <c r="AN61" s="73" t="n"/>
      <c r="AO61" s="49" t="n"/>
      <c r="AP61" s="73" t="n"/>
      <c r="AQ61" s="49" t="n"/>
      <c r="AR61" s="73" t="n"/>
      <c r="AS61" s="49" t="n"/>
      <c r="AT61" s="73" t="n"/>
      <c r="AU61" s="49" t="n"/>
      <c r="AV61" s="73" t="n"/>
      <c r="AW61" s="73" t="n"/>
      <c r="AX61" s="73" t="n"/>
      <c r="AY61" s="73" t="n"/>
      <c r="AZ61" s="73" t="n"/>
      <c r="BA61" s="73" t="n"/>
      <c r="BB61" s="73" t="n"/>
      <c r="BC61" s="73" t="n"/>
      <c r="BD61" s="73" t="n"/>
      <c r="BE61" s="73" t="n"/>
      <c r="BF61" s="73" t="n"/>
      <c r="BG61" s="73" t="n"/>
      <c r="BH61" s="73" t="n"/>
      <c r="BI61" s="73" t="n"/>
      <c r="BJ61" s="73" t="n"/>
      <c r="BK61" s="73" t="n"/>
      <c r="BL61" s="73" t="n"/>
      <c r="BM61" s="73" t="n"/>
      <c r="BN61" s="73" t="n"/>
      <c r="BO61" s="73" t="n"/>
      <c r="BP61" s="73" t="n"/>
      <c r="BQ61" s="195">
        <f>COUNTIF($G61:$BP61,"a")+COUNTIF($G61:$BP61,"r0,a5")/2+COUNTIF($G61:$BP61,"p5,a5")/2</f>
        <v/>
      </c>
      <c r="BR61" s="195">
        <f>COUNTIF($G61:$BP61,"d")+COUNTIF($G61:$BP61,"r0,d5")/2+COUNTIF($G61:$BP61,"p5,d5")/2</f>
        <v/>
      </c>
      <c r="BS61" s="195">
        <f>COUNTIF($G61:$BP61,"b")+COUNTIF($G61:$BP61,"r0,b5")/2+COUNTIF($G61:$BP61,"p5,b5")/2</f>
        <v/>
      </c>
      <c r="BT61" s="195">
        <f>COUNTIF($G61:$BP61,"c")+COUNTIF($G61:$BP61,"r0,c5")/2+COUNTIF($G61:$BP61,"p5,c5")/2</f>
        <v/>
      </c>
      <c r="BU61" s="195">
        <f>COUNTIF($G61:$BP61,"KH")+COUNTIF($G61:$BP61,"TL")+COUNTIF($G61:$BP61,"L")</f>
        <v/>
      </c>
      <c r="BV61" s="202" t="n"/>
      <c r="BW61" s="195">
        <f>COUNTIF($G61:$BP61,"hh")</f>
        <v/>
      </c>
      <c r="BX61" s="195">
        <f>COUNTIF($G61:$BP61,"nt7")</f>
        <v/>
      </c>
      <c r="BY61" s="195">
        <f>COUNTIF($G61:$BP61,"P")+COUNTIF($G61:$BP61,"p5,a5")/2+COUNTIF($G61:$BP61,"p5,b5")/2+COUNTIF($G61:$BP61,"p5,c5")/2+COUNTIF($G61:$BP61,"p5,d5")/2</f>
        <v/>
      </c>
      <c r="BZ61" s="203">
        <f>SUBTOTAL(9,BQ61:BY61)</f>
        <v/>
      </c>
      <c r="CA61" s="54">
        <f>SUM(J61,L61,N61,P61,R61,T61,X61,Z61,AB61,AD61,AF61,AH61,AL61,AN61,AP61,AR61,AT61,AV61,AZ61,BB61,BD61,BF61,BH61,BP61)</f>
        <v/>
      </c>
      <c r="CB61" s="55">
        <f>SUM(H61,V61,AJ61,AX61,BL61)</f>
        <v/>
      </c>
      <c r="CC61" s="56">
        <f>SUM(BJ61,BN61)</f>
        <v/>
      </c>
      <c r="CD61" s="197">
        <f>IF(BZ61&gt;25,4,IF(BZ61&gt;18,3,IF(BZ61&gt;12,2,IF(BZ61&gt;4,1,0))))-BX61-2+1</f>
        <v/>
      </c>
      <c r="CE61" s="49" t="n">
        <v>2</v>
      </c>
      <c r="CF61" s="197">
        <f>CD61*CI61</f>
        <v/>
      </c>
      <c r="CG61" s="198">
        <f>F61-BY61+1</f>
        <v/>
      </c>
      <c r="CH61" s="197">
        <f>CE61*16</f>
        <v/>
      </c>
      <c r="CI61" s="199">
        <f>VLOOKUP(A61,[1]DATA!$A$6:$AI$331,34,0)</f>
        <v/>
      </c>
      <c r="CJ61" s="200">
        <f>VLOOKUP(A61,[2]CHAMCONG!A$7:CI$333,79,0)</f>
        <v/>
      </c>
      <c r="CK61" s="201">
        <f>CJ61-CA61</f>
        <v/>
      </c>
    </row>
    <row r="62" ht="15.75" customFormat="1" customHeight="1" s="68">
      <c r="A62" s="139" t="n"/>
      <c r="B62" s="64" t="n"/>
      <c r="C62" s="115" t="n"/>
      <c r="D62" s="46" t="n"/>
      <c r="E62" s="47" t="n"/>
      <c r="F62" s="48" t="n"/>
      <c r="G62" s="49" t="n"/>
      <c r="H62" s="73" t="n"/>
      <c r="I62" s="50" t="n"/>
      <c r="J62" s="73" t="n"/>
      <c r="K62" s="50" t="n"/>
      <c r="L62" s="73" t="n"/>
      <c r="M62" s="50" t="n"/>
      <c r="N62" s="73" t="n"/>
      <c r="O62" s="50" t="n"/>
      <c r="P62" s="73" t="n"/>
      <c r="Q62" s="50" t="n"/>
      <c r="R62" s="67" t="n"/>
      <c r="S62" s="50" t="n"/>
      <c r="T62" s="73" t="n"/>
      <c r="U62" s="50" t="n"/>
      <c r="V62" s="73" t="n"/>
      <c r="W62" s="50" t="n"/>
      <c r="X62" s="73" t="n"/>
      <c r="Y62" s="50" t="n"/>
      <c r="Z62" s="73" t="n"/>
      <c r="AA62" s="50" t="n"/>
      <c r="AB62" s="73" t="n"/>
      <c r="AC62" s="50" t="n"/>
      <c r="AD62" s="73" t="n"/>
      <c r="AE62" s="49" t="n"/>
      <c r="AF62" s="73" t="n"/>
      <c r="AG62" s="50" t="n"/>
      <c r="AH62" s="73" t="n"/>
      <c r="AI62" s="50" t="n"/>
      <c r="AJ62" s="73" t="n"/>
      <c r="AK62" s="49" t="n"/>
      <c r="AL62" s="73" t="n"/>
      <c r="AM62" s="49" t="n"/>
      <c r="AN62" s="73" t="n"/>
      <c r="AO62" s="49" t="n"/>
      <c r="AP62" s="73" t="n"/>
      <c r="AQ62" s="49" t="n"/>
      <c r="AR62" s="73" t="n"/>
      <c r="AS62" s="49" t="n"/>
      <c r="AT62" s="73" t="n"/>
      <c r="AU62" s="49" t="n"/>
      <c r="AV62" s="73" t="n"/>
      <c r="AW62" s="73" t="n"/>
      <c r="AX62" s="73" t="n"/>
      <c r="AY62" s="73" t="n"/>
      <c r="AZ62" s="73" t="n"/>
      <c r="BA62" s="73" t="n"/>
      <c r="BB62" s="73" t="n"/>
      <c r="BC62" s="73" t="n"/>
      <c r="BD62" s="73" t="n"/>
      <c r="BE62" s="73" t="n"/>
      <c r="BF62" s="73" t="n"/>
      <c r="BG62" s="73" t="n"/>
      <c r="BH62" s="73" t="n"/>
      <c r="BI62" s="73" t="n"/>
      <c r="BJ62" s="73" t="n"/>
      <c r="BK62" s="73" t="n"/>
      <c r="BL62" s="73" t="n"/>
      <c r="BM62" s="73" t="n"/>
      <c r="BN62" s="73" t="n"/>
      <c r="BO62" s="73" t="n"/>
      <c r="BP62" s="73" t="n"/>
      <c r="BQ62" s="195">
        <f>COUNTIF($G62:$BP62,"a")+COUNTIF($G62:$BP62,"r0,a5")/2+COUNTIF($G62:$BP62,"p5,a5")/2</f>
        <v/>
      </c>
      <c r="BR62" s="195">
        <f>COUNTIF($G62:$BP62,"d")+COUNTIF($G62:$BP62,"r0,d5")/2+COUNTIF($G62:$BP62,"p5,d5")/2</f>
        <v/>
      </c>
      <c r="BS62" s="195">
        <f>COUNTIF($G62:$BP62,"b")+COUNTIF($G62:$BP62,"r0,b5")/2+COUNTIF($G62:$BP62,"p5,b5")/2</f>
        <v/>
      </c>
      <c r="BT62" s="195">
        <f>COUNTIF($G62:$BP62,"c")+COUNTIF($G62:$BP62,"r0,c5")/2+COUNTIF($G62:$BP62,"p5,c5")/2</f>
        <v/>
      </c>
      <c r="BU62" s="195">
        <f>COUNTIF($G62:$BP62,"KH")+COUNTIF($G62:$BP62,"TL")+COUNTIF($G62:$BP62,"L")</f>
        <v/>
      </c>
      <c r="BV62" s="202" t="n"/>
      <c r="BW62" s="195">
        <f>COUNTIF($G62:$BP62,"hh")</f>
        <v/>
      </c>
      <c r="BX62" s="195">
        <f>COUNTIF($G62:$BP62,"nt7")</f>
        <v/>
      </c>
      <c r="BY62" s="195">
        <f>COUNTIF($G62:$BP62,"P")+COUNTIF($G62:$BP62,"p5,a5")/2+COUNTIF($G62:$BP62,"p5,b5")/2+COUNTIF($G62:$BP62,"p5,c5")/2+COUNTIF($G62:$BP62,"p5,d5")/2</f>
        <v/>
      </c>
      <c r="BZ62" s="203">
        <f>SUBTOTAL(9,BQ62:BY62)</f>
        <v/>
      </c>
      <c r="CA62" s="54">
        <f>SUM(J62,L62,N62,P62,R62,T62,X62,Z62,AB62,AD62,AF62,AH62,AL62,AN62,AP62,AR62,AT62,AV62,AZ62,BB62,BD62,BF62,BH62,BP62)</f>
        <v/>
      </c>
      <c r="CB62" s="55">
        <f>SUM(H62,V62,AJ62,AX62,BL62)</f>
        <v/>
      </c>
      <c r="CC62" s="56">
        <f>SUM(BJ62,BN62)</f>
        <v/>
      </c>
      <c r="CD62" s="197">
        <f>IF(BZ62&gt;25,4,IF(BZ62&gt;18,3,IF(BZ62&gt;12,2,IF(BZ62&gt;4,1,0))))-BX62-2+1</f>
        <v/>
      </c>
      <c r="CE62" s="49" t="n">
        <v>2</v>
      </c>
      <c r="CF62" s="197">
        <f>CD62*CI62</f>
        <v/>
      </c>
      <c r="CG62" s="198">
        <f>F62-BY62+1</f>
        <v/>
      </c>
      <c r="CH62" s="197">
        <f>CE62*16</f>
        <v/>
      </c>
      <c r="CI62" s="199">
        <f>VLOOKUP(A62,[1]DATA!$A$6:$AI$331,34,0)</f>
        <v/>
      </c>
      <c r="CJ62" s="200">
        <f>VLOOKUP(A62,[2]CHAMCONG!A$7:CI$333,79,0)</f>
        <v/>
      </c>
      <c r="CK62" s="201">
        <f>CJ62-CA62</f>
        <v/>
      </c>
    </row>
    <row r="63" ht="15.75" customFormat="1" customHeight="1" s="68">
      <c r="A63" s="69" t="n"/>
      <c r="B63" s="64" t="n"/>
      <c r="C63" s="115" t="n"/>
      <c r="D63" s="46" t="n"/>
      <c r="E63" s="47" t="n"/>
      <c r="F63" s="48" t="n"/>
      <c r="G63" s="49" t="n"/>
      <c r="H63" s="73" t="n"/>
      <c r="I63" s="49" t="n"/>
      <c r="J63" s="73" t="n"/>
      <c r="K63" s="49" t="n"/>
      <c r="L63" s="73" t="n"/>
      <c r="M63" s="73" t="n"/>
      <c r="N63" s="73" t="n"/>
      <c r="O63" s="50" t="n"/>
      <c r="P63" s="73" t="n"/>
      <c r="Q63" s="50" t="n"/>
      <c r="R63" s="67" t="n"/>
      <c r="S63" s="50" t="n"/>
      <c r="T63" s="73" t="n"/>
      <c r="U63" s="49" t="n"/>
      <c r="V63" s="73" t="n"/>
      <c r="W63" s="73" t="n"/>
      <c r="X63" s="73" t="n"/>
      <c r="Y63" s="73" t="n"/>
      <c r="Z63" s="73" t="n"/>
      <c r="AA63" s="73" t="n"/>
      <c r="AB63" s="73" t="n"/>
      <c r="AC63" s="73" t="n"/>
      <c r="AD63" s="73" t="n"/>
      <c r="AE63" s="73" t="n"/>
      <c r="AF63" s="73" t="n"/>
      <c r="AG63" s="73" t="n"/>
      <c r="AH63" s="73" t="n"/>
      <c r="AI63" s="73" t="n"/>
      <c r="AJ63" s="73" t="n"/>
      <c r="AK63" s="73" t="n"/>
      <c r="AL63" s="73" t="n"/>
      <c r="AM63" s="73" t="n"/>
      <c r="AN63" s="73" t="n"/>
      <c r="AO63" s="73" t="n"/>
      <c r="AP63" s="73" t="n"/>
      <c r="AQ63" s="73" t="n"/>
      <c r="AR63" s="73" t="n"/>
      <c r="AS63" s="73" t="n"/>
      <c r="AT63" s="73" t="n"/>
      <c r="AU63" s="73" t="n"/>
      <c r="AV63" s="73" t="n"/>
      <c r="AW63" s="73" t="n"/>
      <c r="AX63" s="73" t="n"/>
      <c r="AY63" s="73" t="n"/>
      <c r="AZ63" s="73" t="n"/>
      <c r="BA63" s="73" t="n"/>
      <c r="BB63" s="73" t="n"/>
      <c r="BC63" s="73" t="n"/>
      <c r="BD63" s="73" t="n"/>
      <c r="BE63" s="72" t="n"/>
      <c r="BF63" s="73" t="n"/>
      <c r="BG63" s="72" t="n"/>
      <c r="BH63" s="72" t="n"/>
      <c r="BI63" s="73" t="n"/>
      <c r="BJ63" s="73" t="n"/>
      <c r="BK63" s="73" t="n"/>
      <c r="BL63" s="73" t="n"/>
      <c r="BM63" s="73" t="n"/>
      <c r="BN63" s="73" t="n"/>
      <c r="BO63" s="73" t="n"/>
      <c r="BP63" s="73" t="n"/>
      <c r="BQ63" s="195">
        <f>COUNTIF($G63:$BP63,"a")+COUNTIF($G63:$BP63,"r0,a5")/2+COUNTIF($G63:$BP63,"p5,a5")/2</f>
        <v/>
      </c>
      <c r="BR63" s="195">
        <f>COUNTIF($G63:$BP63,"d")+COUNTIF($G63:$BP63,"r0,d5")/2+COUNTIF($G63:$BP63,"p5,d5")/2</f>
        <v/>
      </c>
      <c r="BS63" s="195">
        <f>COUNTIF($G63:$BP63,"b")+COUNTIF($G63:$BP63,"r0,b5")/2+COUNTIF($G63:$BP63,"p5,b5")/2</f>
        <v/>
      </c>
      <c r="BT63" s="195">
        <f>COUNTIF($G63:$BP63,"c")+COUNTIF($G63:$BP63,"r0,c5")/2+COUNTIF($G63:$BP63,"p5,c5")/2</f>
        <v/>
      </c>
      <c r="BU63" s="195">
        <f>COUNTIF($G63:$BP63,"KH")+COUNTIF($G63:$BP63,"TL")+COUNTIF($G63:$BP63,"L")</f>
        <v/>
      </c>
      <c r="BV63" s="202" t="n"/>
      <c r="BW63" s="195">
        <f>COUNTIF($G63:$BP63,"hh")</f>
        <v/>
      </c>
      <c r="BX63" s="195">
        <f>COUNTIF($G63:$BP63,"nt7")</f>
        <v/>
      </c>
      <c r="BY63" s="195">
        <f>COUNTIF($G63:$BP63,"P")+COUNTIF($G63:$BP63,"p5,a5")/2+COUNTIF($G63:$BP63,"p5,b5")/2+COUNTIF($G63:$BP63,"p5,c5")/2+COUNTIF($G63:$BP63,"p5,d5")/2</f>
        <v/>
      </c>
      <c r="BZ63" s="203">
        <f>SUBTOTAL(9,BQ63:BY63)</f>
        <v/>
      </c>
      <c r="CA63" s="54">
        <f>SUM(J63,L63,N63,P63,R63,T63,X63,Z63,AB63,AD63,AF63,AH63,AL63,AN63,AP63,AR63,AT63,AV63,AZ63,BB63,BD63,BF63,BH63,BP63)</f>
        <v/>
      </c>
      <c r="CB63" s="55">
        <f>SUM(H63,V63,AJ63,AX63,BL63)</f>
        <v/>
      </c>
      <c r="CC63" s="56">
        <f>SUM(BJ63,BN63)</f>
        <v/>
      </c>
      <c r="CD63" s="197">
        <f>IF(BZ63&gt;25,4,IF(BZ63&gt;18,3,IF(BZ63&gt;12,2,IF(BZ63&gt;4,1,0))))-BX63-2+1</f>
        <v/>
      </c>
      <c r="CE63" s="49" t="n">
        <v>4</v>
      </c>
      <c r="CF63" s="197">
        <f>CD63*CI63</f>
        <v/>
      </c>
      <c r="CG63" s="198">
        <f>F63-BY63+1</f>
        <v/>
      </c>
      <c r="CH63" s="197">
        <f>CE63*16</f>
        <v/>
      </c>
      <c r="CI63" s="199">
        <f>VLOOKUP(A63,[1]DATA!$A$6:$AI$331,34,0)</f>
        <v/>
      </c>
      <c r="CJ63" s="200">
        <f>VLOOKUP(A63,[2]CHAMCONG!A$7:CI$333,79,0)</f>
        <v/>
      </c>
      <c r="CK63" s="201">
        <f>CJ63-CA63</f>
        <v/>
      </c>
    </row>
    <row r="64" ht="15.75" customFormat="1" customHeight="1" s="68">
      <c r="A64" s="139" t="n"/>
      <c r="B64" s="64" t="n"/>
      <c r="C64" s="115" t="n"/>
      <c r="D64" s="46" t="n"/>
      <c r="E64" s="47" t="n"/>
      <c r="F64" s="48" t="n"/>
      <c r="G64" s="49" t="n"/>
      <c r="H64" s="73" t="n"/>
      <c r="I64" s="49" t="n"/>
      <c r="J64" s="73" t="n"/>
      <c r="K64" s="49" t="n"/>
      <c r="L64" s="73" t="n"/>
      <c r="M64" s="49" t="n"/>
      <c r="N64" s="73" t="n"/>
      <c r="O64" s="49" t="n"/>
      <c r="P64" s="73" t="n"/>
      <c r="Q64" s="50" t="n"/>
      <c r="R64" s="67" t="n"/>
      <c r="S64" s="50" t="n"/>
      <c r="T64" s="73" t="n"/>
      <c r="U64" s="50" t="n"/>
      <c r="V64" s="73" t="n"/>
      <c r="W64" s="50" t="n"/>
      <c r="X64" s="73" t="n"/>
      <c r="Y64" s="50" t="n"/>
      <c r="Z64" s="73" t="n"/>
      <c r="AA64" s="50" t="n"/>
      <c r="AB64" s="73" t="n"/>
      <c r="AC64" s="50" t="n"/>
      <c r="AD64" s="73" t="n"/>
      <c r="AE64" s="50" t="n"/>
      <c r="AF64" s="67" t="n"/>
      <c r="AG64" s="49" t="n"/>
      <c r="AH64" s="73" t="n"/>
      <c r="AI64" s="49" t="n"/>
      <c r="AJ64" s="73" t="n"/>
      <c r="AK64" s="49" t="n"/>
      <c r="AL64" s="73" t="n"/>
      <c r="AM64" s="49" t="n"/>
      <c r="AN64" s="73" t="n"/>
      <c r="AO64" s="49" t="n"/>
      <c r="AP64" s="73" t="n"/>
      <c r="AQ64" s="73" t="n"/>
      <c r="AR64" s="73" t="n"/>
      <c r="AS64" s="73" t="n"/>
      <c r="AT64" s="73" t="n"/>
      <c r="AU64" s="73" t="n"/>
      <c r="AV64" s="73" t="n"/>
      <c r="AW64" s="49" t="n"/>
      <c r="AX64" s="73" t="n"/>
      <c r="AY64" s="73" t="n"/>
      <c r="AZ64" s="73" t="n"/>
      <c r="BA64" s="73" t="n"/>
      <c r="BB64" s="73" t="n"/>
      <c r="BC64" s="73" t="n"/>
      <c r="BD64" s="73" t="n"/>
      <c r="BE64" s="73" t="n"/>
      <c r="BF64" s="73" t="n"/>
      <c r="BG64" s="73" t="n"/>
      <c r="BH64" s="73" t="n"/>
      <c r="BI64" s="73" t="n"/>
      <c r="BJ64" s="73" t="n"/>
      <c r="BK64" s="73" t="n"/>
      <c r="BL64" s="73" t="n"/>
      <c r="BM64" s="73" t="n"/>
      <c r="BN64" s="73" t="n"/>
      <c r="BO64" s="73" t="n"/>
      <c r="BP64" s="73" t="n"/>
      <c r="BQ64" s="195">
        <f>COUNTIF($G64:$BP64,"a")+COUNTIF($G64:$BP64,"r0,a5")/2+COUNTIF($G64:$BP64,"p5,a5")/2</f>
        <v/>
      </c>
      <c r="BR64" s="195">
        <f>COUNTIF($G64:$BP64,"d")+COUNTIF($G64:$BP64,"r0,d5")/2+COUNTIF($G64:$BP64,"p5,d5")/2</f>
        <v/>
      </c>
      <c r="BS64" s="195">
        <f>COUNTIF($G64:$BP64,"b")+COUNTIF($G64:$BP64,"r0,b5")/2+COUNTIF($G64:$BP64,"p5,b5")/2</f>
        <v/>
      </c>
      <c r="BT64" s="195">
        <f>COUNTIF($G64:$BP64,"c")+COUNTIF($G64:$BP64,"r0,c5")/2+COUNTIF($G64:$BP64,"p5,c5")/2</f>
        <v/>
      </c>
      <c r="BU64" s="195">
        <f>COUNTIF($G64:$BP64,"KH")+COUNTIF($G64:$BP64,"TL")+COUNTIF($G64:$BP64,"L")</f>
        <v/>
      </c>
      <c r="BV64" s="202" t="n"/>
      <c r="BW64" s="195">
        <f>COUNTIF($G64:$BP64,"hh")</f>
        <v/>
      </c>
      <c r="BX64" s="195">
        <f>COUNTIF($G64:$BP64,"nt7")</f>
        <v/>
      </c>
      <c r="BY64" s="195">
        <f>COUNTIF($G64:$BP64,"P")+COUNTIF($G64:$BP64,"p5,a5")/2+COUNTIF($G64:$BP64,"p5,b5")/2+COUNTIF($G64:$BP64,"p5,c5")/2+COUNTIF($G64:$BP64,"p5,d5")/2</f>
        <v/>
      </c>
      <c r="BZ64" s="203">
        <f>SUBTOTAL(9,BQ64:BY64)</f>
        <v/>
      </c>
      <c r="CA64" s="54">
        <f>SUM(J64,L64,N64,P64,R64,T64,X64,Z64,AB64,AD64,AF64,AH64,AL64,AN64,AP64,AR64,AT64,AV64,AZ64,BB64,BD64,BF64,BH64,BP64)</f>
        <v/>
      </c>
      <c r="CB64" s="55">
        <f>SUM(H64,V64,AJ64,AX64,BL64)</f>
        <v/>
      </c>
      <c r="CC64" s="56">
        <f>SUM(BJ64,BN64)</f>
        <v/>
      </c>
      <c r="CD64" s="197">
        <f>IF(BZ64&gt;25,4,IF(BZ64&gt;18,3,IF(BZ64&gt;12,2,IF(BZ64&gt;4,1,0))))-BX64-2+1</f>
        <v/>
      </c>
      <c r="CE64" s="49" t="n">
        <v>2</v>
      </c>
      <c r="CF64" s="197">
        <f>CD64*CI64</f>
        <v/>
      </c>
      <c r="CG64" s="198">
        <f>F64-BY64+1</f>
        <v/>
      </c>
      <c r="CH64" s="197">
        <f>CE64*16</f>
        <v/>
      </c>
      <c r="CI64" s="199">
        <f>VLOOKUP(A64,[1]DATA!$A$6:$AI$331,34,0)</f>
        <v/>
      </c>
      <c r="CJ64" s="200">
        <f>VLOOKUP(A64,[2]CHAMCONG!A$7:CI$333,79,0)</f>
        <v/>
      </c>
      <c r="CK64" s="201">
        <f>CJ64-CA64</f>
        <v/>
      </c>
    </row>
    <row r="65" ht="15.75" customFormat="1" customHeight="1" s="68">
      <c r="A65" s="139" t="n"/>
      <c r="B65" s="64" t="n"/>
      <c r="C65" s="115" t="n"/>
      <c r="D65" s="46" t="n"/>
      <c r="E65" s="47" t="n"/>
      <c r="F65" s="48" t="n"/>
      <c r="G65" s="49" t="n"/>
      <c r="H65" s="73" t="n"/>
      <c r="I65" s="50" t="n"/>
      <c r="J65" s="73" t="n"/>
      <c r="K65" s="49" t="n"/>
      <c r="L65" s="73" t="n"/>
      <c r="M65" s="73" t="n"/>
      <c r="N65" s="73" t="n"/>
      <c r="O65" s="50" t="n"/>
      <c r="P65" s="73" t="n"/>
      <c r="Q65" s="49" t="n"/>
      <c r="R65" s="73" t="n"/>
      <c r="S65" s="50" t="n"/>
      <c r="T65" s="73" t="n"/>
      <c r="U65" s="49" t="n"/>
      <c r="V65" s="73" t="n"/>
      <c r="W65" s="50" t="n"/>
      <c r="X65" s="73" t="n"/>
      <c r="Y65" s="50" t="n"/>
      <c r="Z65" s="73" t="n"/>
      <c r="AA65" s="73" t="n"/>
      <c r="AB65" s="73" t="n"/>
      <c r="AC65" s="50" t="n"/>
      <c r="AD65" s="73" t="n"/>
      <c r="AE65" s="50" t="n"/>
      <c r="AF65" s="67" t="n"/>
      <c r="AG65" s="50" t="n"/>
      <c r="AH65" s="73" t="n"/>
      <c r="AI65" s="50" t="n"/>
      <c r="AJ65" s="73" t="n"/>
      <c r="AK65" s="49" t="n"/>
      <c r="AL65" s="73" t="n"/>
      <c r="AM65" s="49" t="n"/>
      <c r="AN65" s="73" t="n"/>
      <c r="AO65" s="73" t="n"/>
      <c r="AP65" s="73" t="n"/>
      <c r="AQ65" s="49" t="n"/>
      <c r="AR65" s="73" t="n"/>
      <c r="AS65" s="49" t="n"/>
      <c r="AT65" s="73" t="n"/>
      <c r="AU65" s="49" t="n"/>
      <c r="AV65" s="73" t="n"/>
      <c r="AW65" s="49" t="n"/>
      <c r="AX65" s="73" t="n"/>
      <c r="AY65" s="49" t="n"/>
      <c r="AZ65" s="73" t="n"/>
      <c r="BA65" s="49" t="n"/>
      <c r="BB65" s="73" t="n"/>
      <c r="BC65" s="73" t="n"/>
      <c r="BD65" s="73" t="n"/>
      <c r="BE65" s="49" t="n"/>
      <c r="BF65" s="73" t="n"/>
      <c r="BG65" s="49" t="n"/>
      <c r="BH65" s="73" t="n"/>
      <c r="BI65" s="73" t="n"/>
      <c r="BJ65" s="73" t="n"/>
      <c r="BK65" s="73" t="n"/>
      <c r="BL65" s="73" t="n"/>
      <c r="BM65" s="73" t="n"/>
      <c r="BN65" s="73" t="n"/>
      <c r="BO65" s="73" t="n"/>
      <c r="BP65" s="73" t="n"/>
      <c r="BQ65" s="195">
        <f>COUNTIF($G65:$BP65,"a")+COUNTIF($G65:$BP65,"r0,a5")/2+COUNTIF($G65:$BP65,"p5,a5")/2</f>
        <v/>
      </c>
      <c r="BR65" s="195">
        <f>COUNTIF($G65:$BP65,"d")+COUNTIF($G65:$BP65,"r0,d5")/2+COUNTIF($G65:$BP65,"p5,d5")/2</f>
        <v/>
      </c>
      <c r="BS65" s="195">
        <f>COUNTIF($G65:$BP65,"b")+COUNTIF($G65:$BP65,"r0,b5")/2+COUNTIF($G65:$BP65,"p5,b5")/2</f>
        <v/>
      </c>
      <c r="BT65" s="195">
        <f>COUNTIF($G65:$BP65,"c")+COUNTIF($G65:$BP65,"r0,c5")/2+COUNTIF($G65:$BP65,"p5,c5")/2</f>
        <v/>
      </c>
      <c r="BU65" s="195">
        <f>COUNTIF($G65:$BP65,"KH")+COUNTIF($G65:$BP65,"TL")+COUNTIF($G65:$BP65,"L")</f>
        <v/>
      </c>
      <c r="BV65" s="202" t="n"/>
      <c r="BW65" s="195">
        <f>COUNTIF($G65:$BP65,"hh")</f>
        <v/>
      </c>
      <c r="BX65" s="195">
        <f>COUNTIF($G65:$BP65,"nt7")</f>
        <v/>
      </c>
      <c r="BY65" s="195">
        <f>COUNTIF($G65:$BP65,"P")+COUNTIF($G65:$BP65,"p5,a5")/2+COUNTIF($G65:$BP65,"p5,b5")/2+COUNTIF($G65:$BP65,"p5,c5")/2+COUNTIF($G65:$BP65,"p5,d5")/2</f>
        <v/>
      </c>
      <c r="BZ65" s="203">
        <f>SUBTOTAL(9,BQ65:BY65)</f>
        <v/>
      </c>
      <c r="CA65" s="54">
        <f>SUM(J65,L65,N65,P65,R65,T65,X65,Z65,AB65,AD65,AF65,AH65,AL65,AN65,AP65,AR65,AT65,AV65,AZ65,BB65,BD65,BF65,BH65,BP65)</f>
        <v/>
      </c>
      <c r="CB65" s="55">
        <f>SUM(H65,V65,AJ65,AX65,BL65)</f>
        <v/>
      </c>
      <c r="CC65" s="56">
        <f>SUM(BJ65,BN65)</f>
        <v/>
      </c>
      <c r="CD65" s="197">
        <f>IF(BZ65&gt;25,4,IF(BZ65&gt;18,3,IF(BZ65&gt;12,2,IF(BZ65&gt;4,1,0))))-BX65-2+1</f>
        <v/>
      </c>
      <c r="CE65" s="49" t="n">
        <v>1</v>
      </c>
      <c r="CF65" s="197">
        <f>CD65*CI65</f>
        <v/>
      </c>
      <c r="CG65" s="198">
        <f>F65-BY65+1</f>
        <v/>
      </c>
      <c r="CH65" s="197">
        <f>CE65*16</f>
        <v/>
      </c>
      <c r="CI65" s="199">
        <f>VLOOKUP(A65,[1]DATA!$A$6:$AI$331,34,0)</f>
        <v/>
      </c>
      <c r="CJ65" s="200">
        <f>VLOOKUP(A65,[2]CHAMCONG!A$7:CI$333,79,0)</f>
        <v/>
      </c>
      <c r="CK65" s="201">
        <f>CJ65-CA65</f>
        <v/>
      </c>
    </row>
    <row r="66" ht="15.75" customFormat="1" customHeight="1" s="68">
      <c r="A66" s="69" t="n"/>
      <c r="B66" s="64" t="n"/>
      <c r="C66" s="115" t="n"/>
      <c r="D66" s="46" t="n"/>
      <c r="E66" s="47" t="n"/>
      <c r="F66" s="48" t="n"/>
      <c r="G66" s="49" t="n"/>
      <c r="H66" s="73" t="n"/>
      <c r="I66" s="50" t="n"/>
      <c r="J66" s="73" t="n"/>
      <c r="K66" s="73" t="n"/>
      <c r="L66" s="73" t="n"/>
      <c r="M66" s="73" t="n"/>
      <c r="N66" s="73" t="n"/>
      <c r="O66" s="50" t="n"/>
      <c r="P66" s="73" t="n"/>
      <c r="Q66" s="73" t="n"/>
      <c r="R66" s="73" t="n"/>
      <c r="S66" s="73" t="n"/>
      <c r="T66" s="73" t="n"/>
      <c r="U66" s="49" t="n"/>
      <c r="V66" s="73" t="n"/>
      <c r="W66" s="50" t="n"/>
      <c r="X66" s="73" t="n"/>
      <c r="Y66" s="73" t="n"/>
      <c r="Z66" s="73" t="n"/>
      <c r="AA66" s="73" t="n"/>
      <c r="AB66" s="73" t="n"/>
      <c r="AC66" s="50" t="n"/>
      <c r="AD66" s="73" t="n"/>
      <c r="AE66" s="73" t="n"/>
      <c r="AF66" s="73" t="n"/>
      <c r="AG66" s="73" t="n"/>
      <c r="AH66" s="73" t="n"/>
      <c r="AI66" s="73" t="n"/>
      <c r="AJ66" s="73" t="n"/>
      <c r="AK66" s="50" t="n"/>
      <c r="AL66" s="73" t="n"/>
      <c r="AM66" s="73" t="n"/>
      <c r="AN66" s="73" t="n"/>
      <c r="AO66" s="73" t="n"/>
      <c r="AP66" s="73" t="n"/>
      <c r="AQ66" s="50" t="n"/>
      <c r="AR66" s="73" t="n"/>
      <c r="AS66" s="73" t="n"/>
      <c r="AT66" s="73" t="n"/>
      <c r="AU66" s="73" t="n"/>
      <c r="AV66" s="73" t="n"/>
      <c r="AW66" s="73" t="n"/>
      <c r="AX66" s="73" t="n"/>
      <c r="AY66" s="50" t="n"/>
      <c r="AZ66" s="73" t="n"/>
      <c r="BA66" s="73" t="n"/>
      <c r="BB66" s="73" t="n"/>
      <c r="BC66" s="73" t="n"/>
      <c r="BD66" s="73" t="n"/>
      <c r="BE66" s="50" t="n"/>
      <c r="BF66" s="73" t="n"/>
      <c r="BG66" s="73" t="n"/>
      <c r="BH66" s="73" t="n"/>
      <c r="BI66" s="73" t="n"/>
      <c r="BJ66" s="73" t="n"/>
      <c r="BK66" s="73" t="n"/>
      <c r="BL66" s="73" t="n"/>
      <c r="BM66" s="73" t="n"/>
      <c r="BN66" s="73" t="n"/>
      <c r="BO66" s="73" t="n"/>
      <c r="BP66" s="73" t="n"/>
      <c r="BQ66" s="195">
        <f>COUNTIF($G66:$BP66,"a")+COUNTIF($G66:$BP66,"r0,a5")/2+COUNTIF($G66:$BP66,"p5,a5")/2</f>
        <v/>
      </c>
      <c r="BR66" s="195">
        <f>COUNTIF($G66:$BP66,"d")+COUNTIF($G66:$BP66,"r0,d5")/2+COUNTIF($G66:$BP66,"p5,d5")/2</f>
        <v/>
      </c>
      <c r="BS66" s="195">
        <f>COUNTIF($G66:$BP66,"b")+COUNTIF($G66:$BP66,"r0,b5")/2+COUNTIF($G66:$BP66,"p5,b5")/2</f>
        <v/>
      </c>
      <c r="BT66" s="195">
        <f>COUNTIF($G66:$BP66,"c")+COUNTIF($G66:$BP66,"r0,c5")/2+COUNTIF($G66:$BP66,"p5,c5")/2</f>
        <v/>
      </c>
      <c r="BU66" s="195">
        <f>COUNTIF($G66:$BP66,"KH")+COUNTIF($G66:$BP66,"TL")+COUNTIF($G66:$BP66,"L")</f>
        <v/>
      </c>
      <c r="BV66" s="202" t="n"/>
      <c r="BW66" s="195">
        <f>COUNTIF($G66:$BP66,"hh")</f>
        <v/>
      </c>
      <c r="BX66" s="195">
        <f>COUNTIF($G66:$BP66,"nt7")</f>
        <v/>
      </c>
      <c r="BY66" s="195">
        <f>COUNTIF($G66:$BP66,"P")+COUNTIF($G66:$BP66,"p5,a5")/2+COUNTIF($G66:$BP66,"p5,b5")/2+COUNTIF($G66:$BP66,"p5,c5")/2+COUNTIF($G66:$BP66,"p5,d5")/2</f>
        <v/>
      </c>
      <c r="BZ66" s="203">
        <f>SUBTOTAL(9,BQ66:BY66)</f>
        <v/>
      </c>
      <c r="CA66" s="54">
        <f>SUM(J66,L66,N66,P66,R66,T66,X66,Z66,AB66,AD66,AF66,AH66,AL66,AN66,AP66,AR66,AT66,AV66,AZ66,BB66,BD66,BF66,BH66,BP66)</f>
        <v/>
      </c>
      <c r="CB66" s="55">
        <f>SUM(H66,V66,AJ66,AX66,BL66)</f>
        <v/>
      </c>
      <c r="CC66" s="56">
        <f>SUM(BJ66,BN66)</f>
        <v/>
      </c>
      <c r="CD66" s="197">
        <f>IF(BZ66&gt;25,4,IF(BZ66&gt;18,3,IF(BZ66&gt;12,2,IF(BZ66&gt;4,1,0))))-BX66-2+1</f>
        <v/>
      </c>
      <c r="CE66" s="49" t="n"/>
      <c r="CF66" s="197">
        <f>CD66*CI66</f>
        <v/>
      </c>
      <c r="CG66" s="198">
        <f>F66-BY66+1</f>
        <v/>
      </c>
      <c r="CH66" s="197">
        <f>CE66*16</f>
        <v/>
      </c>
      <c r="CI66" s="199">
        <f>VLOOKUP(A66,[1]DATA!$A$6:$AI$331,34,0)</f>
        <v/>
      </c>
      <c r="CJ66" s="200">
        <f>VLOOKUP(A66,[2]CHAMCONG!A$7:CI$333,79,0)</f>
        <v/>
      </c>
      <c r="CK66" s="201">
        <f>CJ66-CA66</f>
        <v/>
      </c>
    </row>
    <row r="67" ht="15.75" customFormat="1" customHeight="1" s="68">
      <c r="A67" s="69" t="n"/>
      <c r="B67" s="64" t="n"/>
      <c r="C67" s="115" t="n"/>
      <c r="D67" s="46" t="n"/>
      <c r="E67" s="47" t="n"/>
      <c r="F67" s="48" t="n"/>
      <c r="G67" s="49" t="n"/>
      <c r="H67" s="73" t="n"/>
      <c r="I67" s="49" t="n"/>
      <c r="J67" s="73" t="n"/>
      <c r="K67" s="49" t="n"/>
      <c r="L67" s="73" t="n"/>
      <c r="M67" s="49" t="n"/>
      <c r="N67" s="73" t="n"/>
      <c r="O67" s="49" t="n"/>
      <c r="P67" s="73" t="n"/>
      <c r="Q67" s="50" t="n"/>
      <c r="R67" s="67" t="n"/>
      <c r="S67" s="49" t="n"/>
      <c r="T67" s="73" t="n"/>
      <c r="U67" s="49" t="n"/>
      <c r="V67" s="73" t="n"/>
      <c r="W67" s="49" t="n"/>
      <c r="X67" s="73" t="n"/>
      <c r="Y67" s="49" t="n"/>
      <c r="Z67" s="73" t="n"/>
      <c r="AA67" s="49" t="n"/>
      <c r="AB67" s="73" t="n"/>
      <c r="AC67" s="50" t="n"/>
      <c r="AD67" s="73" t="n"/>
      <c r="AE67" s="50" t="n"/>
      <c r="AF67" s="67" t="n"/>
      <c r="AG67" s="49" t="n"/>
      <c r="AH67" s="73" t="n"/>
      <c r="AI67" s="49" t="n"/>
      <c r="AJ67" s="73" t="n"/>
      <c r="AK67" s="49" t="n"/>
      <c r="AL67" s="73" t="n"/>
      <c r="AM67" s="49" t="n"/>
      <c r="AN67" s="73" t="n"/>
      <c r="AO67" s="49" t="n"/>
      <c r="AP67" s="73" t="n"/>
      <c r="AQ67" s="50" t="n"/>
      <c r="AR67" s="73" t="n"/>
      <c r="AS67" s="50" t="n"/>
      <c r="AT67" s="67" t="n"/>
      <c r="AU67" s="50" t="n"/>
      <c r="AV67" s="73" t="n"/>
      <c r="AW67" s="73" t="n"/>
      <c r="AX67" s="73" t="n"/>
      <c r="AY67" s="73" t="n"/>
      <c r="AZ67" s="73" t="n"/>
      <c r="BA67" s="73" t="n"/>
      <c r="BB67" s="73" t="n"/>
      <c r="BC67" s="73" t="n"/>
      <c r="BD67" s="73" t="n"/>
      <c r="BE67" s="72" t="n"/>
      <c r="BF67" s="73" t="n"/>
      <c r="BG67" s="72" t="n"/>
      <c r="BH67" s="72" t="n"/>
      <c r="BI67" s="72" t="n"/>
      <c r="BJ67" s="73" t="n"/>
      <c r="BK67" s="72" t="n"/>
      <c r="BL67" s="73" t="n"/>
      <c r="BM67" s="72" t="n"/>
      <c r="BN67" s="73" t="n"/>
      <c r="BO67" s="72" t="n"/>
      <c r="BP67" s="73" t="n"/>
      <c r="BQ67" s="195">
        <f>COUNTIF($G67:$BP67,"a")+COUNTIF($G67:$BP67,"r0,a5")/2+COUNTIF($G67:$BP67,"p5,a5")/2</f>
        <v/>
      </c>
      <c r="BR67" s="195">
        <f>COUNTIF($G67:$BP67,"d")+COUNTIF($G67:$BP67,"r0,d5")/2+COUNTIF($G67:$BP67,"p5,d5")/2</f>
        <v/>
      </c>
      <c r="BS67" s="195">
        <f>COUNTIF($G67:$BP67,"b")+COUNTIF($G67:$BP67,"r0,b5")/2+COUNTIF($G67:$BP67,"p5,b5")/2</f>
        <v/>
      </c>
      <c r="BT67" s="195">
        <f>COUNTIF($G67:$BP67,"c")+COUNTIF($G67:$BP67,"r0,c5")/2+COUNTIF($G67:$BP67,"p5,c5")/2</f>
        <v/>
      </c>
      <c r="BU67" s="195">
        <f>COUNTIF($G67:$BP67,"KH")+COUNTIF($G67:$BP67,"TL")+COUNTIF($G67:$BP67,"L")</f>
        <v/>
      </c>
      <c r="BV67" s="202" t="n"/>
      <c r="BW67" s="195">
        <f>COUNTIF($G67:$BP67,"hh")</f>
        <v/>
      </c>
      <c r="BX67" s="195">
        <f>COUNTIF($G67:$BP67,"nt7")</f>
        <v/>
      </c>
      <c r="BY67" s="195">
        <f>COUNTIF($G67:$BP67,"P")+COUNTIF($G67:$BP67,"p5,a5")/2+COUNTIF($G67:$BP67,"p5,b5")/2+COUNTIF($G67:$BP67,"p5,c5")/2+COUNTIF($G67:$BP67,"p5,d5")/2</f>
        <v/>
      </c>
      <c r="BZ67" s="203">
        <f>SUBTOTAL(9,BQ67:BY67)</f>
        <v/>
      </c>
      <c r="CA67" s="54">
        <f>SUM(J67,L67,N67,P67,R67,T67,X67,Z67,AB67,AD67,AF67,AH67,AL67,AN67,AP67,AR67,AT67,AV67,AZ67,BB67,BD67,BF67,BH67,BP67)</f>
        <v/>
      </c>
      <c r="CB67" s="55">
        <f>SUM(H67,V67,AJ67,AX67,BL67)</f>
        <v/>
      </c>
      <c r="CC67" s="56">
        <f>SUM(BJ67,BN67)</f>
        <v/>
      </c>
      <c r="CD67" s="197">
        <f>IF(BZ67&gt;25,4,IF(BZ67&gt;18,3,IF(BZ67&gt;12,2,IF(BZ67&gt;4,1,0))))-BX67-2+1</f>
        <v/>
      </c>
      <c r="CE67" s="49" t="n">
        <v>4</v>
      </c>
      <c r="CF67" s="197">
        <f>CD67*CI67</f>
        <v/>
      </c>
      <c r="CG67" s="198">
        <f>F67-BY67+1</f>
        <v/>
      </c>
      <c r="CH67" s="197">
        <f>CE67*16</f>
        <v/>
      </c>
      <c r="CI67" s="199">
        <f>VLOOKUP(A67,[1]DATA!$A$6:$AI$331,34,0)</f>
        <v/>
      </c>
      <c r="CJ67" s="200">
        <f>VLOOKUP(A67,[2]CHAMCONG!A$7:CI$333,79,0)</f>
        <v/>
      </c>
      <c r="CK67" s="201">
        <f>CJ67-CA67</f>
        <v/>
      </c>
    </row>
    <row r="68" ht="15.75" customFormat="1" customHeight="1" s="68">
      <c r="A68" s="139" t="n"/>
      <c r="B68" s="64" t="n"/>
      <c r="C68" s="115" t="n"/>
      <c r="D68" s="46" t="n"/>
      <c r="E68" s="47" t="n"/>
      <c r="F68" s="48" t="n"/>
      <c r="G68" s="49" t="n"/>
      <c r="H68" s="73" t="n"/>
      <c r="I68" s="50" t="n"/>
      <c r="J68" s="73" t="n"/>
      <c r="K68" s="50" t="n"/>
      <c r="L68" s="73" t="n"/>
      <c r="M68" s="50" t="n"/>
      <c r="N68" s="73" t="n"/>
      <c r="O68" s="50" t="n"/>
      <c r="P68" s="73" t="n"/>
      <c r="Q68" s="50" t="n"/>
      <c r="R68" s="67" t="n"/>
      <c r="S68" s="50" t="n"/>
      <c r="T68" s="73" t="n"/>
      <c r="U68" s="50" t="n"/>
      <c r="V68" s="73" t="n"/>
      <c r="W68" s="50" t="n"/>
      <c r="X68" s="73" t="n"/>
      <c r="Y68" s="49" t="n"/>
      <c r="Z68" s="73" t="n"/>
      <c r="AA68" s="49" t="n"/>
      <c r="AB68" s="73" t="n"/>
      <c r="AC68" s="49" t="n"/>
      <c r="AD68" s="73" t="n"/>
      <c r="AE68" s="49" t="n"/>
      <c r="AF68" s="73" t="n"/>
      <c r="AG68" s="49" t="n"/>
      <c r="AH68" s="73" t="n"/>
      <c r="AI68" s="73" t="n"/>
      <c r="AJ68" s="73" t="n"/>
      <c r="AK68" s="49" t="n"/>
      <c r="AL68" s="73" t="n"/>
      <c r="AM68" s="49" t="n"/>
      <c r="AN68" s="73" t="n"/>
      <c r="AO68" s="49" t="n"/>
      <c r="AP68" s="73" t="n"/>
      <c r="AQ68" s="49" t="n"/>
      <c r="AR68" s="73" t="n"/>
      <c r="AS68" s="49" t="n"/>
      <c r="AT68" s="73" t="n"/>
      <c r="AU68" s="49" t="n"/>
      <c r="AV68" s="73" t="n"/>
      <c r="AW68" s="73" t="n"/>
      <c r="AX68" s="73" t="n"/>
      <c r="AY68" s="73" t="n"/>
      <c r="AZ68" s="73" t="n"/>
      <c r="BA68" s="73" t="n"/>
      <c r="BB68" s="73" t="n"/>
      <c r="BC68" s="73" t="n"/>
      <c r="BD68" s="73" t="n"/>
      <c r="BE68" s="73" t="n"/>
      <c r="BF68" s="73" t="n"/>
      <c r="BG68" s="73" t="n"/>
      <c r="BH68" s="73" t="n"/>
      <c r="BI68" s="73" t="n"/>
      <c r="BJ68" s="73" t="n"/>
      <c r="BK68" s="73" t="n"/>
      <c r="BL68" s="73" t="n"/>
      <c r="BM68" s="73" t="n"/>
      <c r="BN68" s="73" t="n"/>
      <c r="BO68" s="73" t="n"/>
      <c r="BP68" s="73" t="n"/>
      <c r="BQ68" s="195">
        <f>COUNTIF($G68:$BP68,"a")+COUNTIF($G68:$BP68,"r0,a5")/2+COUNTIF($G68:$BP68,"p5,a5")/2</f>
        <v/>
      </c>
      <c r="BR68" s="195">
        <f>COUNTIF($G68:$BP68,"d")+COUNTIF($G68:$BP68,"r0,d5")/2+COUNTIF($G68:$BP68,"p5,d5")/2</f>
        <v/>
      </c>
      <c r="BS68" s="195">
        <f>COUNTIF($G68:$BP68,"b")+COUNTIF($G68:$BP68,"r0,b5")/2+COUNTIF($G68:$BP68,"p5,b5")/2</f>
        <v/>
      </c>
      <c r="BT68" s="195">
        <f>COUNTIF($G68:$BP68,"c")+COUNTIF($G68:$BP68,"r0,c5")/2+COUNTIF($G68:$BP68,"p5,c5")/2</f>
        <v/>
      </c>
      <c r="BU68" s="195">
        <f>COUNTIF($G68:$BP68,"KH")+COUNTIF($G68:$BP68,"TL")+COUNTIF($G68:$BP68,"L")</f>
        <v/>
      </c>
      <c r="BV68" s="202" t="n"/>
      <c r="BW68" s="195">
        <f>COUNTIF($G68:$BP68,"hh")</f>
        <v/>
      </c>
      <c r="BX68" s="195">
        <f>COUNTIF($G68:$BP68,"nt7")</f>
        <v/>
      </c>
      <c r="BY68" s="195">
        <f>COUNTIF($G68:$BP68,"P")+COUNTIF($G68:$BP68,"p5,a5")/2+COUNTIF($G68:$BP68,"p5,b5")/2+COUNTIF($G68:$BP68,"p5,c5")/2+COUNTIF($G68:$BP68,"p5,d5")/2</f>
        <v/>
      </c>
      <c r="BZ68" s="203">
        <f>SUBTOTAL(9,BQ68:BY68)</f>
        <v/>
      </c>
      <c r="CA68" s="54">
        <f>SUM(J68,L68,N68,P68,R68,T68,X68,Z68,AB68,AD68,AF68,AH68,AL68,AN68,AP68,AR68,AT68,AV68,AZ68,BB68,BD68,BF68,BH68,BP68)</f>
        <v/>
      </c>
      <c r="CB68" s="55">
        <f>SUM(H68,V68,AJ68,AX68,BL68)</f>
        <v/>
      </c>
      <c r="CC68" s="56">
        <f>SUM(BJ68,BN68)</f>
        <v/>
      </c>
      <c r="CD68" s="197">
        <f>IF(BZ68&gt;25,4,IF(BZ68&gt;18,3,IF(BZ68&gt;12,2,IF(BZ68&gt;4,1,0))))-BX68-2+1</f>
        <v/>
      </c>
      <c r="CE68" s="49" t="n">
        <v>1</v>
      </c>
      <c r="CF68" s="197">
        <f>CD68*CI68</f>
        <v/>
      </c>
      <c r="CG68" s="198">
        <f>F68-BY68+1</f>
        <v/>
      </c>
      <c r="CH68" s="197">
        <f>CE68*16</f>
        <v/>
      </c>
      <c r="CI68" s="199">
        <f>VLOOKUP(A68,[1]DATA!$A$6:$AI$331,34,0)</f>
        <v/>
      </c>
      <c r="CJ68" s="200">
        <f>VLOOKUP(A68,[2]CHAMCONG!A$7:CI$333,79,0)</f>
        <v/>
      </c>
      <c r="CK68" s="201">
        <f>CJ68-CA68</f>
        <v/>
      </c>
    </row>
    <row r="69" ht="15.75" customFormat="1" customHeight="1" s="68">
      <c r="A69" s="139" t="n"/>
      <c r="B69" s="64" t="n"/>
      <c r="C69" s="115" t="n"/>
      <c r="D69" s="46" t="n"/>
      <c r="E69" s="47" t="n"/>
      <c r="F69" s="48" t="n"/>
      <c r="G69" s="49" t="n"/>
      <c r="H69" s="73" t="n"/>
      <c r="I69" s="49" t="n"/>
      <c r="J69" s="73" t="n"/>
      <c r="K69" s="49" t="n"/>
      <c r="L69" s="73" t="n"/>
      <c r="M69" s="73" t="n"/>
      <c r="N69" s="73" t="n"/>
      <c r="O69" s="50" t="n"/>
      <c r="P69" s="73" t="n"/>
      <c r="Q69" s="50" t="n"/>
      <c r="R69" s="67" t="n"/>
      <c r="S69" s="73" t="n"/>
      <c r="T69" s="73" t="n"/>
      <c r="U69" s="73" t="n"/>
      <c r="V69" s="73" t="n"/>
      <c r="W69" s="73" t="n"/>
      <c r="X69" s="73" t="n"/>
      <c r="Y69" s="73" t="n"/>
      <c r="Z69" s="73" t="n"/>
      <c r="AA69" s="73" t="n"/>
      <c r="AB69" s="73" t="n"/>
      <c r="AC69" s="73" t="n"/>
      <c r="AD69" s="73" t="n"/>
      <c r="AE69" s="73" t="n"/>
      <c r="AF69" s="73" t="n"/>
      <c r="AG69" s="73" t="n"/>
      <c r="AH69" s="73" t="n"/>
      <c r="AI69" s="49" t="n"/>
      <c r="AJ69" s="73" t="n"/>
      <c r="AK69" s="73" t="n"/>
      <c r="AL69" s="73" t="n"/>
      <c r="AM69" s="73" t="n"/>
      <c r="AN69" s="73" t="n"/>
      <c r="AO69" s="73" t="n"/>
      <c r="AP69" s="73" t="n"/>
      <c r="AQ69" s="49" t="n"/>
      <c r="AR69" s="73" t="n"/>
      <c r="AS69" s="49" t="n"/>
      <c r="AT69" s="73" t="n"/>
      <c r="AU69" s="49" t="n"/>
      <c r="AV69" s="73" t="n"/>
      <c r="AW69" s="73" t="n"/>
      <c r="AX69" s="73" t="n"/>
      <c r="AY69" s="73" t="n"/>
      <c r="AZ69" s="73" t="n"/>
      <c r="BA69" s="73" t="n"/>
      <c r="BB69" s="73" t="n"/>
      <c r="BC69" s="73" t="n"/>
      <c r="BD69" s="73" t="n"/>
      <c r="BE69" s="73" t="n"/>
      <c r="BF69" s="73" t="n"/>
      <c r="BG69" s="73" t="n"/>
      <c r="BH69" s="73" t="n"/>
      <c r="BI69" s="73" t="n"/>
      <c r="BJ69" s="73" t="n"/>
      <c r="BK69" s="73" t="n"/>
      <c r="BL69" s="73" t="n"/>
      <c r="BM69" s="73" t="n"/>
      <c r="BN69" s="73" t="n"/>
      <c r="BO69" s="73" t="n"/>
      <c r="BP69" s="73" t="n"/>
      <c r="BQ69" s="195">
        <f>COUNTIF($G69:$BP69,"a")+COUNTIF($G69:$BP69,"r0,a5")/2+COUNTIF($G69:$BP69,"p5,a5")/2</f>
        <v/>
      </c>
      <c r="BR69" s="195">
        <f>COUNTIF($G69:$BP69,"d")+COUNTIF($G69:$BP69,"r0,d5")/2+COUNTIF($G69:$BP69,"p5,d5")/2</f>
        <v/>
      </c>
      <c r="BS69" s="195">
        <f>COUNTIF($G69:$BP69,"b")+COUNTIF($G69:$BP69,"r0,b5")/2+COUNTIF($G69:$BP69,"p5,b5")/2</f>
        <v/>
      </c>
      <c r="BT69" s="195">
        <f>COUNTIF($G69:$BP69,"c")+COUNTIF($G69:$BP69,"r0,c5")/2+COUNTIF($G69:$BP69,"p5,c5")/2</f>
        <v/>
      </c>
      <c r="BU69" s="195">
        <f>COUNTIF($G69:$BP69,"KH")+COUNTIF($G69:$BP69,"TL")+COUNTIF($G69:$BP69,"L")</f>
        <v/>
      </c>
      <c r="BV69" s="202" t="n"/>
      <c r="BW69" s="195">
        <f>COUNTIF($G69:$BP69,"hh")</f>
        <v/>
      </c>
      <c r="BX69" s="195">
        <f>COUNTIF($G69:$BP69,"nt7")</f>
        <v/>
      </c>
      <c r="BY69" s="195">
        <f>COUNTIF($G69:$BP69,"P")+COUNTIF($G69:$BP69,"p5,a5")/2+COUNTIF($G69:$BP69,"p5,b5")/2+COUNTIF($G69:$BP69,"p5,c5")/2+COUNTIF($G69:$BP69,"p5,d5")/2</f>
        <v/>
      </c>
      <c r="BZ69" s="203">
        <f>SUBTOTAL(9,BQ69:BY69)</f>
        <v/>
      </c>
      <c r="CA69" s="54">
        <f>SUM(J69,L69,N69,P69,R69,T69,X69,Z69,AB69,AD69,AF69,AH69,AL69,AN69,AP69,AR69,AT69,AV69,AZ69,BB69,BD69,BF69,BH69,BP69)</f>
        <v/>
      </c>
      <c r="CB69" s="55">
        <f>SUM(H69,V69,AJ69,AX69,BL69)</f>
        <v/>
      </c>
      <c r="CC69" s="56">
        <f>SUM(BJ69,BN69)</f>
        <v/>
      </c>
      <c r="CD69" s="197">
        <f>IF(BZ69&gt;25,4,IF(BZ69&gt;18,3,IF(BZ69&gt;12,2,IF(BZ69&gt;4,1,0))))-BX69-2+1</f>
        <v/>
      </c>
      <c r="CE69" s="49" t="n"/>
      <c r="CF69" s="197">
        <f>CD69*CI69</f>
        <v/>
      </c>
      <c r="CG69" s="198">
        <f>F69-BY69+1</f>
        <v/>
      </c>
      <c r="CH69" s="197">
        <f>CE69*16</f>
        <v/>
      </c>
      <c r="CI69" s="199">
        <f>VLOOKUP(A69,[1]DATA!$A$6:$AI$331,34,0)</f>
        <v/>
      </c>
      <c r="CJ69" s="200">
        <f>VLOOKUP(A69,[2]CHAMCONG!A$7:CI$333,79,0)</f>
        <v/>
      </c>
      <c r="CK69" s="201">
        <f>CJ69-CA69</f>
        <v/>
      </c>
    </row>
    <row r="70" ht="15.75" customFormat="1" customHeight="1" s="68">
      <c r="A70" s="139" t="n"/>
      <c r="B70" s="64" t="n"/>
      <c r="C70" s="115" t="n"/>
      <c r="D70" s="46" t="n"/>
      <c r="E70" s="47" t="n"/>
      <c r="F70" s="48" t="n"/>
      <c r="G70" s="49" t="n"/>
      <c r="H70" s="73" t="n"/>
      <c r="I70" s="50" t="n"/>
      <c r="J70" s="73" t="n"/>
      <c r="K70" s="50" t="n"/>
      <c r="L70" s="73" t="n"/>
      <c r="M70" s="50" t="n"/>
      <c r="N70" s="73" t="n"/>
      <c r="O70" s="50" t="n"/>
      <c r="P70" s="73" t="n"/>
      <c r="Q70" s="73" t="n"/>
      <c r="R70" s="73" t="n"/>
      <c r="S70" s="50" t="n"/>
      <c r="T70" s="73" t="n"/>
      <c r="U70" s="50" t="n"/>
      <c r="V70" s="73" t="n"/>
      <c r="W70" s="50" t="n"/>
      <c r="X70" s="73" t="n"/>
      <c r="Y70" s="50" t="n"/>
      <c r="Z70" s="73" t="n"/>
      <c r="AA70" s="50" t="n"/>
      <c r="AB70" s="73" t="n"/>
      <c r="AC70" s="50" t="n"/>
      <c r="AD70" s="73" t="n"/>
      <c r="AE70" s="73" t="n"/>
      <c r="AF70" s="73" t="n"/>
      <c r="AG70" s="50" t="n"/>
      <c r="AH70" s="73" t="n"/>
      <c r="AI70" s="50" t="n"/>
      <c r="AJ70" s="73" t="n"/>
      <c r="AK70" s="50" t="n"/>
      <c r="AL70" s="73" t="n"/>
      <c r="AM70" s="50" t="n"/>
      <c r="AN70" s="73" t="n"/>
      <c r="AO70" s="50" t="n"/>
      <c r="AP70" s="73" t="n"/>
      <c r="AQ70" s="50" t="n"/>
      <c r="AR70" s="73" t="n"/>
      <c r="AS70" s="73" t="n"/>
      <c r="AT70" s="73" t="n"/>
      <c r="AU70" s="73" t="n"/>
      <c r="AV70" s="73" t="n"/>
      <c r="AW70" s="73" t="n"/>
      <c r="AX70" s="73" t="n"/>
      <c r="AY70" s="50" t="n"/>
      <c r="AZ70" s="73" t="n"/>
      <c r="BA70" s="73" t="n"/>
      <c r="BB70" s="73" t="n"/>
      <c r="BC70" s="73" t="n"/>
      <c r="BD70" s="73" t="n"/>
      <c r="BE70" s="50" t="n"/>
      <c r="BF70" s="73" t="n"/>
      <c r="BG70" s="73" t="n"/>
      <c r="BH70" s="73" t="n"/>
      <c r="BI70" s="73" t="n"/>
      <c r="BJ70" s="73" t="n"/>
      <c r="BK70" s="73" t="n"/>
      <c r="BL70" s="73" t="n"/>
      <c r="BM70" s="73" t="n"/>
      <c r="BN70" s="73" t="n"/>
      <c r="BO70" s="73" t="n"/>
      <c r="BP70" s="73" t="n"/>
      <c r="BQ70" s="195">
        <f>COUNTIF($G70:$BP70,"a")+COUNTIF($G70:$BP70,"r0,a5")/2+COUNTIF($G70:$BP70,"p5,a5")/2</f>
        <v/>
      </c>
      <c r="BR70" s="195">
        <f>COUNTIF($G70:$BP70,"d")+COUNTIF($G70:$BP70,"r0,d5")/2+COUNTIF($G70:$BP70,"p5,d5")/2</f>
        <v/>
      </c>
      <c r="BS70" s="195">
        <f>COUNTIF($G70:$BP70,"b")+COUNTIF($G70:$BP70,"r0,b5")/2+COUNTIF($G70:$BP70,"p5,b5")/2</f>
        <v/>
      </c>
      <c r="BT70" s="195">
        <f>COUNTIF($G70:$BP70,"c")+COUNTIF($G70:$BP70,"r0,c5")/2+COUNTIF($G70:$BP70,"p5,c5")/2</f>
        <v/>
      </c>
      <c r="BU70" s="195">
        <f>COUNTIF($G70:$BP70,"KH")+COUNTIF($G70:$BP70,"TL")+COUNTIF($G70:$BP70,"L")</f>
        <v/>
      </c>
      <c r="BV70" s="202" t="n"/>
      <c r="BW70" s="195">
        <f>COUNTIF($G70:$BP70,"hh")</f>
        <v/>
      </c>
      <c r="BX70" s="195">
        <f>COUNTIF($G70:$BP70,"nt7")</f>
        <v/>
      </c>
      <c r="BY70" s="195">
        <f>COUNTIF($G70:$BP70,"P")+COUNTIF($G70:$BP70,"p5,a5")/2+COUNTIF($G70:$BP70,"p5,b5")/2+COUNTIF($G70:$BP70,"p5,c5")/2+COUNTIF($G70:$BP70,"p5,d5")/2</f>
        <v/>
      </c>
      <c r="BZ70" s="203">
        <f>SUBTOTAL(9,BQ70:BY70)</f>
        <v/>
      </c>
      <c r="CA70" s="54">
        <f>SUM(J70,L70,N70,P70,R70,T70,X70,Z70,AB70,AD70,AF70,AH70,AL70,AN70,AP70,AR70,AT70,AV70,AZ70,BB70,BD70,BF70,BH70,BP70)</f>
        <v/>
      </c>
      <c r="CB70" s="55">
        <f>SUM(H70,V70,AJ70,AX70,BL70)</f>
        <v/>
      </c>
      <c r="CC70" s="56">
        <f>SUM(BJ70,BN70)</f>
        <v/>
      </c>
      <c r="CD70" s="197">
        <f>IF(BZ70&gt;25,4,IF(BZ70&gt;18,3,IF(BZ70&gt;12,2,IF(BZ70&gt;4,1,0))))-BX70-2+1</f>
        <v/>
      </c>
      <c r="CE70" s="49" t="n"/>
      <c r="CF70" s="197">
        <f>CD70*CI70</f>
        <v/>
      </c>
      <c r="CG70" s="198">
        <f>F70-BY70+1</f>
        <v/>
      </c>
      <c r="CH70" s="197">
        <f>CE70*16</f>
        <v/>
      </c>
      <c r="CI70" s="199">
        <f>VLOOKUP(A70,[1]DATA!$A$6:$AI$331,34,0)</f>
        <v/>
      </c>
      <c r="CJ70" s="200">
        <f>VLOOKUP(A70,[2]CHAMCONG!A$7:CI$333,79,0)</f>
        <v/>
      </c>
      <c r="CK70" s="201">
        <f>CJ70-CA70</f>
        <v/>
      </c>
    </row>
    <row r="71" ht="15.75" customFormat="1" customHeight="1" s="68">
      <c r="A71" s="139" t="n"/>
      <c r="B71" s="64" t="n"/>
      <c r="C71" s="115" t="n"/>
      <c r="D71" s="46" t="n"/>
      <c r="E71" s="47" t="n"/>
      <c r="F71" s="48" t="n"/>
      <c r="G71" s="49" t="n"/>
      <c r="H71" s="73" t="n"/>
      <c r="I71" s="49" t="n"/>
      <c r="J71" s="73" t="n"/>
      <c r="K71" s="49" t="n"/>
      <c r="L71" s="73" t="n"/>
      <c r="M71" s="49" t="n"/>
      <c r="N71" s="73" t="n"/>
      <c r="O71" s="49" t="n"/>
      <c r="P71" s="73" t="n"/>
      <c r="Q71" s="49" t="n"/>
      <c r="R71" s="73" t="n"/>
      <c r="S71" s="49" t="n"/>
      <c r="T71" s="73" t="n"/>
      <c r="U71" s="49" t="n"/>
      <c r="V71" s="73" t="n"/>
      <c r="W71" s="49" t="n"/>
      <c r="X71" s="73" t="n"/>
      <c r="Y71" s="49" t="n"/>
      <c r="Z71" s="73" t="n"/>
      <c r="AA71" s="49" t="n"/>
      <c r="AB71" s="73" t="n"/>
      <c r="AC71" s="49" t="n"/>
      <c r="AD71" s="73" t="n"/>
      <c r="AE71" s="49" t="n"/>
      <c r="AF71" s="73" t="n"/>
      <c r="AG71" s="49" t="n"/>
      <c r="AH71" s="73" t="n"/>
      <c r="AI71" s="49" t="n"/>
      <c r="AJ71" s="73" t="n"/>
      <c r="AK71" s="49" t="n"/>
      <c r="AL71" s="73" t="n"/>
      <c r="AM71" s="49" t="n"/>
      <c r="AN71" s="73" t="n"/>
      <c r="AO71" s="49" t="n"/>
      <c r="AP71" s="73" t="n"/>
      <c r="AQ71" s="49" t="n"/>
      <c r="AR71" s="73" t="n"/>
      <c r="AS71" s="49" t="n"/>
      <c r="AT71" s="73" t="n"/>
      <c r="AU71" s="49" t="n"/>
      <c r="AV71" s="73" t="n"/>
      <c r="AW71" s="73" t="n"/>
      <c r="AX71" s="73" t="n"/>
      <c r="AY71" s="49" t="n"/>
      <c r="AZ71" s="73" t="n"/>
      <c r="BA71" s="49" t="n"/>
      <c r="BB71" s="73" t="n"/>
      <c r="BC71" s="73" t="n"/>
      <c r="BD71" s="73" t="n"/>
      <c r="BE71" s="49" t="n"/>
      <c r="BF71" s="73" t="n"/>
      <c r="BG71" s="49" t="n"/>
      <c r="BH71" s="73" t="n"/>
      <c r="BI71" s="73" t="n"/>
      <c r="BJ71" s="73" t="n"/>
      <c r="BK71" s="73" t="n"/>
      <c r="BL71" s="73" t="n"/>
      <c r="BM71" s="73" t="n"/>
      <c r="BN71" s="73" t="n"/>
      <c r="BO71" s="73" t="n"/>
      <c r="BP71" s="73" t="n"/>
      <c r="BQ71" s="195">
        <f>COUNTIF($G71:$BP71,"a")+COUNTIF($G71:$BP71,"r0,a5")/2+COUNTIF($G71:$BP71,"p5,a5")/2</f>
        <v/>
      </c>
      <c r="BR71" s="195">
        <f>COUNTIF($G71:$BP71,"d")+COUNTIF($G71:$BP71,"r0,d5")/2+COUNTIF($G71:$BP71,"p5,d5")/2</f>
        <v/>
      </c>
      <c r="BS71" s="195">
        <f>COUNTIF($G71:$BP71,"b")+COUNTIF($G71:$BP71,"r0,b5")/2+COUNTIF($G71:$BP71,"p5,b5")/2</f>
        <v/>
      </c>
      <c r="BT71" s="195">
        <f>COUNTIF($G71:$BP71,"c")+COUNTIF($G71:$BP71,"r0,c5")/2+COUNTIF($G71:$BP71,"p5,c5")/2</f>
        <v/>
      </c>
      <c r="BU71" s="195">
        <f>COUNTIF($G71:$BP71,"KH")+COUNTIF($G71:$BP71,"TL")+COUNTIF($G71:$BP71,"L")</f>
        <v/>
      </c>
      <c r="BV71" s="202" t="n"/>
      <c r="BW71" s="195">
        <f>COUNTIF($G71:$BP71,"hh")</f>
        <v/>
      </c>
      <c r="BX71" s="195">
        <f>COUNTIF($G71:$BP71,"nt7")</f>
        <v/>
      </c>
      <c r="BY71" s="195">
        <f>COUNTIF($G71:$BP71,"P")+COUNTIF($G71:$BP71,"p5,a5")/2+COUNTIF($G71:$BP71,"p5,b5")/2+COUNTIF($G71:$BP71,"p5,c5")/2+COUNTIF($G71:$BP71,"p5,d5")/2</f>
        <v/>
      </c>
      <c r="BZ71" s="203">
        <f>SUBTOTAL(9,BQ71:BY71)</f>
        <v/>
      </c>
      <c r="CA71" s="54">
        <f>SUM(J71,L71,N71,P71,R71,T71,X71,Z71,AB71,AD71,AF71,AH71,AL71,AN71,AP71,AR71,AT71,AV71,AZ71,BB71,BD71,BF71,BH71,BP71)</f>
        <v/>
      </c>
      <c r="CB71" s="55">
        <f>SUM(H71,V71,AJ71,AX71,BL71)</f>
        <v/>
      </c>
      <c r="CC71" s="56">
        <f>SUM(BJ71,BN71)</f>
        <v/>
      </c>
      <c r="CD71" s="197">
        <f>IF(BZ71&gt;25,4,IF(BZ71&gt;18,3,IF(BZ71&gt;12,2,IF(BZ71&gt;4,1,0))))-BX71-2+1</f>
        <v/>
      </c>
      <c r="CE71" s="49" t="n">
        <v>1</v>
      </c>
      <c r="CF71" s="197">
        <f>CD71*CI71</f>
        <v/>
      </c>
      <c r="CG71" s="198">
        <f>F71-BY71+1</f>
        <v/>
      </c>
      <c r="CH71" s="197">
        <f>CE71*16</f>
        <v/>
      </c>
      <c r="CI71" s="199">
        <f>VLOOKUP(A71,[1]DATA!$A$6:$AI$331,34,0)</f>
        <v/>
      </c>
      <c r="CJ71" s="200">
        <f>VLOOKUP(A71,[2]CHAMCONG!A$7:CI$333,79,0)</f>
        <v/>
      </c>
      <c r="CK71" s="201">
        <f>CJ71-CA71</f>
        <v/>
      </c>
    </row>
    <row r="72" ht="15.75" customFormat="1" customHeight="1" s="68">
      <c r="A72" s="139" t="n"/>
      <c r="B72" s="64" t="n"/>
      <c r="C72" s="115" t="n"/>
      <c r="D72" s="46" t="n"/>
      <c r="E72" s="47" t="n"/>
      <c r="F72" s="48" t="n"/>
      <c r="G72" s="49" t="n"/>
      <c r="H72" s="73" t="n"/>
      <c r="I72" s="50" t="n"/>
      <c r="J72" s="73" t="n"/>
      <c r="K72" s="50" t="n"/>
      <c r="L72" s="73" t="n"/>
      <c r="M72" s="50" t="n"/>
      <c r="N72" s="73" t="n"/>
      <c r="O72" s="50" t="n"/>
      <c r="P72" s="73" t="n"/>
      <c r="Q72" s="49" t="n"/>
      <c r="R72" s="73" t="n"/>
      <c r="S72" s="50" t="n"/>
      <c r="T72" s="73" t="n"/>
      <c r="U72" s="50" t="n"/>
      <c r="V72" s="73" t="n"/>
      <c r="W72" s="50" t="n"/>
      <c r="X72" s="73" t="n"/>
      <c r="Y72" s="49" t="n"/>
      <c r="Z72" s="73" t="n"/>
      <c r="AA72" s="50" t="n"/>
      <c r="AB72" s="73" t="n"/>
      <c r="AC72" s="50" t="n"/>
      <c r="AD72" s="73" t="n"/>
      <c r="AE72" s="49" t="n"/>
      <c r="AF72" s="73" t="n"/>
      <c r="AG72" s="50" t="n"/>
      <c r="AH72" s="73" t="n"/>
      <c r="AI72" s="50" t="n"/>
      <c r="AJ72" s="73" t="n"/>
      <c r="AK72" s="50" t="n"/>
      <c r="AL72" s="73" t="n"/>
      <c r="AM72" s="50" t="n"/>
      <c r="AN72" s="73" t="n"/>
      <c r="AO72" s="50" t="n"/>
      <c r="AP72" s="73" t="n"/>
      <c r="AQ72" s="49" t="n"/>
      <c r="AR72" s="73" t="n"/>
      <c r="AS72" s="49" t="n"/>
      <c r="AT72" s="73" t="n"/>
      <c r="AU72" s="49" t="n"/>
      <c r="AV72" s="73" t="n"/>
      <c r="AW72" s="73" t="n"/>
      <c r="AX72" s="73" t="n"/>
      <c r="AY72" s="49" t="n"/>
      <c r="AZ72" s="73" t="n"/>
      <c r="BA72" s="49" t="n"/>
      <c r="BB72" s="73" t="n"/>
      <c r="BC72" s="73" t="n"/>
      <c r="BD72" s="73" t="n"/>
      <c r="BE72" s="49" t="n"/>
      <c r="BF72" s="73" t="n"/>
      <c r="BG72" s="49" t="n"/>
      <c r="BH72" s="73" t="n"/>
      <c r="BI72" s="73" t="n"/>
      <c r="BJ72" s="73" t="n"/>
      <c r="BK72" s="73" t="n"/>
      <c r="BL72" s="73" t="n"/>
      <c r="BM72" s="73" t="n"/>
      <c r="BN72" s="73" t="n"/>
      <c r="BO72" s="73" t="n"/>
      <c r="BP72" s="73" t="n"/>
      <c r="BQ72" s="195">
        <f>COUNTIF($G72:$BP72,"a")+COUNTIF($G72:$BP72,"r0,a5")/2+COUNTIF($G72:$BP72,"p5,a5")/2</f>
        <v/>
      </c>
      <c r="BR72" s="195">
        <f>COUNTIF($G72:$BP72,"d")+COUNTIF($G72:$BP72,"r0,d5")/2+COUNTIF($G72:$BP72,"p5,d5")/2</f>
        <v/>
      </c>
      <c r="BS72" s="195">
        <f>COUNTIF($G72:$BP72,"b")+COUNTIF($G72:$BP72,"r0,b5")/2+COUNTIF($G72:$BP72,"p5,b5")/2</f>
        <v/>
      </c>
      <c r="BT72" s="195">
        <f>COUNTIF($G72:$BP72,"c")+COUNTIF($G72:$BP72,"r0,c5")/2+COUNTIF($G72:$BP72,"p5,c5")/2</f>
        <v/>
      </c>
      <c r="BU72" s="195">
        <f>COUNTIF($G72:$BP72,"KH")+COUNTIF($G72:$BP72,"TL")+COUNTIF($G72:$BP72,"L")</f>
        <v/>
      </c>
      <c r="BV72" s="202" t="n"/>
      <c r="BW72" s="195">
        <f>COUNTIF($G72:$BP72,"hh")</f>
        <v/>
      </c>
      <c r="BX72" s="195">
        <f>COUNTIF($G72:$BP72,"nt7")</f>
        <v/>
      </c>
      <c r="BY72" s="195">
        <f>COUNTIF($G72:$BP72,"P")+COUNTIF($G72:$BP72,"p5,a5")/2+COUNTIF($G72:$BP72,"p5,b5")/2+COUNTIF($G72:$BP72,"p5,c5")/2+COUNTIF($G72:$BP72,"p5,d5")/2</f>
        <v/>
      </c>
      <c r="BZ72" s="203">
        <f>SUBTOTAL(9,BQ72:BY72)</f>
        <v/>
      </c>
      <c r="CA72" s="54">
        <f>SUM(J72,L72,N72,P72,R72,T72,X72,Z72,AB72,AD72,AF72,AH72,AL72,AN72,AP72,AR72,AT72,AV72,AZ72,BB72,BD72,BF72,BH72,BP72)</f>
        <v/>
      </c>
      <c r="CB72" s="55">
        <f>SUM(H72,V72,AJ72,AX72,BL72)</f>
        <v/>
      </c>
      <c r="CC72" s="56">
        <f>SUM(BJ72,BN72)</f>
        <v/>
      </c>
      <c r="CD72" s="197">
        <f>IF(BZ72&gt;25,4,IF(BZ72&gt;18,3,IF(BZ72&gt;12,2,IF(BZ72&gt;4,1,0))))-BX72-2+1</f>
        <v/>
      </c>
      <c r="CE72" s="49" t="n">
        <v>1</v>
      </c>
      <c r="CF72" s="197">
        <f>CD72*CI72</f>
        <v/>
      </c>
      <c r="CG72" s="198">
        <f>F72-BY72+1</f>
        <v/>
      </c>
      <c r="CH72" s="197">
        <f>CE72*16</f>
        <v/>
      </c>
      <c r="CI72" s="199">
        <f>VLOOKUP(A72,[1]DATA!$A$6:$AI$331,34,0)</f>
        <v/>
      </c>
      <c r="CJ72" s="200">
        <f>VLOOKUP(A72,[2]CHAMCONG!A$7:CI$333,79,0)</f>
        <v/>
      </c>
      <c r="CK72" s="201">
        <f>CJ72-CA72</f>
        <v/>
      </c>
    </row>
    <row r="73" ht="15.75" customFormat="1" customHeight="1" s="68">
      <c r="A73" s="139" t="n"/>
      <c r="B73" s="64" t="n"/>
      <c r="C73" s="115" t="n"/>
      <c r="D73" s="46" t="n"/>
      <c r="E73" s="47" t="n"/>
      <c r="F73" s="48" t="n"/>
      <c r="G73" s="49" t="n"/>
      <c r="H73" s="73" t="n"/>
      <c r="I73" s="49" t="n"/>
      <c r="J73" s="73" t="n"/>
      <c r="K73" s="73" t="n"/>
      <c r="L73" s="73" t="n"/>
      <c r="M73" s="73" t="n"/>
      <c r="N73" s="73" t="n"/>
      <c r="O73" s="49" t="n"/>
      <c r="P73" s="73" t="n"/>
      <c r="Q73" s="49" t="n"/>
      <c r="R73" s="49" t="n"/>
      <c r="S73" s="49" t="n"/>
      <c r="T73" s="73" t="n"/>
      <c r="U73" s="49" t="n"/>
      <c r="V73" s="73" t="n"/>
      <c r="W73" s="73" t="n"/>
      <c r="X73" s="73" t="n"/>
      <c r="Y73" s="73" t="n"/>
      <c r="Z73" s="73" t="n"/>
      <c r="AA73" s="50" t="n"/>
      <c r="AB73" s="73" t="n"/>
      <c r="AC73" s="50" t="n"/>
      <c r="AD73" s="73" t="n"/>
      <c r="AE73" s="50" t="n"/>
      <c r="AF73" s="67" t="n"/>
      <c r="AG73" s="50" t="n"/>
      <c r="AH73" s="73" t="n"/>
      <c r="AI73" s="73" t="n"/>
      <c r="AJ73" s="73" t="n"/>
      <c r="AK73" s="73" t="n"/>
      <c r="AL73" s="73" t="n"/>
      <c r="AM73" s="73" t="n"/>
      <c r="AN73" s="73" t="n"/>
      <c r="AO73" s="73" t="n"/>
      <c r="AP73" s="73" t="n"/>
      <c r="AQ73" s="50" t="n"/>
      <c r="AR73" s="73" t="n"/>
      <c r="AS73" s="50" t="n"/>
      <c r="AT73" s="67" t="n"/>
      <c r="AU73" s="49" t="n"/>
      <c r="AV73" s="73" t="n"/>
      <c r="AW73" s="49" t="n"/>
      <c r="AX73" s="73" t="n"/>
      <c r="AY73" s="73" t="n"/>
      <c r="AZ73" s="73" t="n"/>
      <c r="BA73" s="73" t="n"/>
      <c r="BB73" s="73" t="n"/>
      <c r="BC73" s="73" t="n"/>
      <c r="BD73" s="73" t="n"/>
      <c r="BE73" s="73" t="n"/>
      <c r="BF73" s="73" t="n"/>
      <c r="BG73" s="73" t="n"/>
      <c r="BH73" s="73" t="n"/>
      <c r="BI73" s="73" t="n"/>
      <c r="BJ73" s="73" t="n"/>
      <c r="BK73" s="73" t="n"/>
      <c r="BL73" s="73" t="n"/>
      <c r="BM73" s="73" t="n"/>
      <c r="BN73" s="73" t="n"/>
      <c r="BO73" s="73" t="n"/>
      <c r="BP73" s="73" t="n"/>
      <c r="BQ73" s="195">
        <f>COUNTIF($G73:$BP73,"a")+COUNTIF($G73:$BP73,"r0,a5")/2+COUNTIF($G73:$BP73,"p5,a5")/2</f>
        <v/>
      </c>
      <c r="BR73" s="195">
        <f>COUNTIF($G73:$BP73,"d")+COUNTIF($G73:$BP73,"r0,d5")/2+COUNTIF($G73:$BP73,"p5,d5")/2</f>
        <v/>
      </c>
      <c r="BS73" s="195">
        <f>COUNTIF($G73:$BP73,"b")+COUNTIF($G73:$BP73,"r0,b5")/2+COUNTIF($G73:$BP73,"p5,b5")/2</f>
        <v/>
      </c>
      <c r="BT73" s="195">
        <f>COUNTIF($G73:$BP73,"c")+COUNTIF($G73:$BP73,"r0,c5")/2+COUNTIF($G73:$BP73,"p5,c5")/2</f>
        <v/>
      </c>
      <c r="BU73" s="195">
        <f>COUNTIF($G73:$BP73,"KH")+COUNTIF($G73:$BP73,"TL")+COUNTIF($G73:$BP73,"L")</f>
        <v/>
      </c>
      <c r="BV73" s="202" t="n"/>
      <c r="BW73" s="195">
        <f>COUNTIF($G73:$BP73,"hh")</f>
        <v/>
      </c>
      <c r="BX73" s="195">
        <f>COUNTIF($G73:$BP73,"nt7")</f>
        <v/>
      </c>
      <c r="BY73" s="195">
        <f>COUNTIF($G73:$BP73,"P")+COUNTIF($G73:$BP73,"p5,a5")/2+COUNTIF($G73:$BP73,"p5,b5")/2+COUNTIF($G73:$BP73,"p5,c5")/2+COUNTIF($G73:$BP73,"p5,d5")/2</f>
        <v/>
      </c>
      <c r="BZ73" s="203">
        <f>SUBTOTAL(9,BQ73:BY73)</f>
        <v/>
      </c>
      <c r="CA73" s="54">
        <f>SUM(J73,L73,N73,P73,R73,T73,X73,Z73,AB73,AD73,AF73,AH73,AL73,AN73,AP73,AR73,AT73,AV73,AZ73,BB73,BD73,BF73,BH73,BP73)</f>
        <v/>
      </c>
      <c r="CB73" s="55">
        <f>SUM(H73,V73,AJ73,AX73,BL73)</f>
        <v/>
      </c>
      <c r="CC73" s="56">
        <f>SUM(BJ73,BN73)</f>
        <v/>
      </c>
      <c r="CD73" s="197">
        <f>IF(BZ73&gt;25,4,IF(BZ73&gt;18,3,IF(BZ73&gt;12,2,IF(BZ73&gt;4,1,0))))-BX73-2+1</f>
        <v/>
      </c>
      <c r="CE73" s="49" t="n">
        <v>2</v>
      </c>
      <c r="CF73" s="197">
        <f>CD73*CI73</f>
        <v/>
      </c>
      <c r="CG73" s="198">
        <f>F73-BY73+1</f>
        <v/>
      </c>
      <c r="CH73" s="197">
        <f>CE73*16</f>
        <v/>
      </c>
      <c r="CI73" s="199">
        <f>VLOOKUP(A73,[1]DATA!$A$6:$AI$331,34,0)</f>
        <v/>
      </c>
      <c r="CJ73" s="200">
        <f>VLOOKUP(A73,[2]CHAMCONG!A$7:CI$333,79,0)</f>
        <v/>
      </c>
      <c r="CK73" s="201">
        <f>CJ73-CA73</f>
        <v/>
      </c>
    </row>
    <row r="74" ht="15.75" customFormat="1" customHeight="1" s="68">
      <c r="A74" s="139" t="n"/>
      <c r="B74" s="64" t="n"/>
      <c r="C74" s="115" t="n"/>
      <c r="D74" s="46" t="n"/>
      <c r="E74" s="47" t="n"/>
      <c r="F74" s="48" t="n"/>
      <c r="G74" s="49" t="n"/>
      <c r="H74" s="73" t="n"/>
      <c r="I74" s="50" t="n"/>
      <c r="J74" s="73" t="n"/>
      <c r="K74" s="50" t="n"/>
      <c r="L74" s="73" t="n"/>
      <c r="M74" s="50" t="n"/>
      <c r="N74" s="73" t="n"/>
      <c r="O74" s="50" t="n"/>
      <c r="P74" s="73" t="n"/>
      <c r="Q74" s="49" t="n"/>
      <c r="R74" s="73" t="n"/>
      <c r="S74" s="50" t="n"/>
      <c r="T74" s="73" t="n"/>
      <c r="U74" s="50" t="n"/>
      <c r="V74" s="73" t="n"/>
      <c r="W74" s="49" t="n"/>
      <c r="X74" s="73" t="n"/>
      <c r="Y74" s="50" t="n"/>
      <c r="Z74" s="73" t="n"/>
      <c r="AA74" s="50" t="n"/>
      <c r="AB74" s="73" t="n"/>
      <c r="AC74" s="50" t="n"/>
      <c r="AD74" s="73" t="n"/>
      <c r="AE74" s="49" t="n"/>
      <c r="AF74" s="73" t="n"/>
      <c r="AG74" s="50" t="n"/>
      <c r="AH74" s="73" t="n"/>
      <c r="AI74" s="50" t="n"/>
      <c r="AJ74" s="73" t="n"/>
      <c r="AK74" s="50" t="n"/>
      <c r="AL74" s="73" t="n"/>
      <c r="AM74" s="50" t="n"/>
      <c r="AN74" s="73" t="n"/>
      <c r="AO74" s="50" t="n"/>
      <c r="AP74" s="73" t="n"/>
      <c r="AQ74" s="49" t="n"/>
      <c r="AR74" s="73" t="n"/>
      <c r="AS74" s="49" t="n"/>
      <c r="AT74" s="73" t="n"/>
      <c r="AU74" s="49" t="n"/>
      <c r="AV74" s="73" t="n"/>
      <c r="AW74" s="73" t="n"/>
      <c r="AX74" s="73" t="n"/>
      <c r="AY74" s="49" t="n"/>
      <c r="AZ74" s="73" t="n"/>
      <c r="BA74" s="49" t="n"/>
      <c r="BB74" s="73" t="n"/>
      <c r="BC74" s="73" t="n"/>
      <c r="BD74" s="73" t="n"/>
      <c r="BE74" s="49" t="n"/>
      <c r="BF74" s="73" t="n"/>
      <c r="BG74" s="49" t="n"/>
      <c r="BH74" s="73" t="n"/>
      <c r="BI74" s="73" t="n"/>
      <c r="BJ74" s="73" t="n"/>
      <c r="BK74" s="73" t="n"/>
      <c r="BL74" s="73" t="n"/>
      <c r="BM74" s="73" t="n"/>
      <c r="BN74" s="73" t="n"/>
      <c r="BO74" s="73" t="n"/>
      <c r="BP74" s="73" t="n"/>
      <c r="BQ74" s="195">
        <f>COUNTIF($G74:$BP74,"a")+COUNTIF($G74:$BP74,"r0,a5")/2+COUNTIF($G74:$BP74,"p5,a5")/2</f>
        <v/>
      </c>
      <c r="BR74" s="195">
        <f>COUNTIF($G74:$BP74,"d")+COUNTIF($G74:$BP74,"r0,d5")/2+COUNTIF($G74:$BP74,"p5,d5")/2</f>
        <v/>
      </c>
      <c r="BS74" s="195">
        <f>COUNTIF($G74:$BP74,"b")+COUNTIF($G74:$BP74,"r0,b5")/2+COUNTIF($G74:$BP74,"p5,b5")/2</f>
        <v/>
      </c>
      <c r="BT74" s="195">
        <f>COUNTIF($G74:$BP74,"c")+COUNTIF($G74:$BP74,"r0,c5")/2+COUNTIF($G74:$BP74,"p5,c5")/2</f>
        <v/>
      </c>
      <c r="BU74" s="195">
        <f>COUNTIF($G74:$BP74,"KH")+COUNTIF($G74:$BP74,"TL")+COUNTIF($G74:$BP74,"L")</f>
        <v/>
      </c>
      <c r="BV74" s="202" t="n"/>
      <c r="BW74" s="195">
        <f>COUNTIF($G74:$BP74,"hh")</f>
        <v/>
      </c>
      <c r="BX74" s="195">
        <f>COUNTIF($G74:$BP74,"nt7")</f>
        <v/>
      </c>
      <c r="BY74" s="195">
        <f>COUNTIF($G74:$BP74,"P")+COUNTIF($G74:$BP74,"p5,a5")/2+COUNTIF($G74:$BP74,"p5,b5")/2+COUNTIF($G74:$BP74,"p5,c5")/2+COUNTIF($G74:$BP74,"p5,d5")/2</f>
        <v/>
      </c>
      <c r="BZ74" s="203">
        <f>SUBTOTAL(9,BQ74:BY74)</f>
        <v/>
      </c>
      <c r="CA74" s="54">
        <f>SUM(J74,L74,N74,P74,R74,T74,X74,Z74,AB74,AD74,AF74,AH74,AL74,AN74,AP74,AR74,AT74,AV74,AZ74,BB74,BD74,BF74,BH74,BP74)</f>
        <v/>
      </c>
      <c r="CB74" s="55">
        <f>SUM(H74,V74,AJ74,AX74,BL74)</f>
        <v/>
      </c>
      <c r="CC74" s="56">
        <f>SUM(BJ74,BN74)</f>
        <v/>
      </c>
      <c r="CD74" s="197">
        <f>IF(BZ74&gt;25,4,IF(BZ74&gt;18,3,IF(BZ74&gt;12,2,IF(BZ74&gt;4,1,0))))-BX74-2+1</f>
        <v/>
      </c>
      <c r="CE74" s="49" t="n">
        <v>2</v>
      </c>
      <c r="CF74" s="197">
        <f>CD74*CI74</f>
        <v/>
      </c>
      <c r="CG74" s="198">
        <f>F74-BY74+1</f>
        <v/>
      </c>
      <c r="CH74" s="197">
        <f>CE74*16</f>
        <v/>
      </c>
      <c r="CI74" s="199">
        <f>VLOOKUP(A74,[1]DATA!$A$6:$AI$331,34,0)</f>
        <v/>
      </c>
      <c r="CJ74" s="200">
        <f>VLOOKUP(A74,[2]CHAMCONG!A$7:CI$333,79,0)</f>
        <v/>
      </c>
      <c r="CK74" s="201">
        <f>CJ74-CA74</f>
        <v/>
      </c>
    </row>
    <row r="75" ht="15.75" customFormat="1" customHeight="1" s="68">
      <c r="A75" s="139" t="n"/>
      <c r="B75" s="64" t="n"/>
      <c r="C75" s="115" t="n"/>
      <c r="D75" s="46" t="n"/>
      <c r="E75" s="47" t="n"/>
      <c r="F75" s="48" t="n"/>
      <c r="G75" s="49" t="n"/>
      <c r="H75" s="73" t="n"/>
      <c r="I75" s="50" t="n"/>
      <c r="J75" s="73" t="n"/>
      <c r="K75" s="49" t="n"/>
      <c r="L75" s="73" t="n"/>
      <c r="M75" s="49" t="n"/>
      <c r="N75" s="73" t="n"/>
      <c r="O75" s="50" t="n"/>
      <c r="P75" s="73" t="n"/>
      <c r="Q75" s="49" t="n"/>
      <c r="R75" s="73" t="n"/>
      <c r="S75" s="49" t="n"/>
      <c r="T75" s="73" t="n"/>
      <c r="U75" s="50" t="n"/>
      <c r="V75" s="73" t="n"/>
      <c r="W75" s="49" t="n"/>
      <c r="X75" s="73" t="n"/>
      <c r="Y75" s="50" t="n"/>
      <c r="Z75" s="73" t="n"/>
      <c r="AA75" s="50" t="n"/>
      <c r="AB75" s="73" t="n"/>
      <c r="AC75" s="49" t="n"/>
      <c r="AD75" s="73" t="n"/>
      <c r="AE75" s="73" t="n"/>
      <c r="AF75" s="73" t="n"/>
      <c r="AG75" s="49" t="n"/>
      <c r="AH75" s="73" t="n"/>
      <c r="AI75" s="49" t="n"/>
      <c r="AJ75" s="73" t="n"/>
      <c r="AK75" s="73" t="n"/>
      <c r="AL75" s="73" t="n"/>
      <c r="AM75" s="49" t="n"/>
      <c r="AN75" s="73" t="n"/>
      <c r="AO75" s="49" t="n"/>
      <c r="AP75" s="73" t="n"/>
      <c r="AQ75" s="73" t="n"/>
      <c r="AR75" s="73" t="n"/>
      <c r="AS75" s="49" t="n"/>
      <c r="AT75" s="73" t="n"/>
      <c r="AU75" s="49" t="n"/>
      <c r="AV75" s="73" t="n"/>
      <c r="AW75" s="73" t="n"/>
      <c r="AX75" s="73" t="n"/>
      <c r="AY75" s="50" t="n"/>
      <c r="AZ75" s="73" t="n"/>
      <c r="BA75" s="67" t="n"/>
      <c r="BB75" s="73" t="n"/>
      <c r="BC75" s="67" t="n"/>
      <c r="BD75" s="73" t="n"/>
      <c r="BE75" s="73" t="n"/>
      <c r="BF75" s="73" t="n"/>
      <c r="BG75" s="73" t="n"/>
      <c r="BH75" s="73" t="n"/>
      <c r="BI75" s="73" t="n"/>
      <c r="BJ75" s="73" t="n"/>
      <c r="BK75" s="73" t="n"/>
      <c r="BL75" s="73" t="n"/>
      <c r="BM75" s="73" t="n"/>
      <c r="BN75" s="73" t="n"/>
      <c r="BO75" s="73" t="n"/>
      <c r="BP75" s="73" t="n"/>
      <c r="BQ75" s="195">
        <f>COUNTIF($G75:$BP75,"a")+COUNTIF($G75:$BP75,"r0,a5")/2+COUNTIF($G75:$BP75,"p5,a5")/2</f>
        <v/>
      </c>
      <c r="BR75" s="195">
        <f>COUNTIF($G75:$BP75,"d")+COUNTIF($G75:$BP75,"r0,d5")/2+COUNTIF($G75:$BP75,"p5,d5")/2</f>
        <v/>
      </c>
      <c r="BS75" s="195">
        <f>COUNTIF($G75:$BP75,"b")+COUNTIF($G75:$BP75,"r0,b5")/2+COUNTIF($G75:$BP75,"p5,b5")/2</f>
        <v/>
      </c>
      <c r="BT75" s="195">
        <f>COUNTIF($G75:$BP75,"c")+COUNTIF($G75:$BP75,"r0,c5")/2+COUNTIF($G75:$BP75,"p5,c5")/2</f>
        <v/>
      </c>
      <c r="BU75" s="195">
        <f>COUNTIF($G75:$BP75,"KH")+COUNTIF($G75:$BP75,"TL")+COUNTIF($G75:$BP75,"L")</f>
        <v/>
      </c>
      <c r="BV75" s="202" t="n"/>
      <c r="BW75" s="195">
        <f>COUNTIF($G75:$BP75,"hh")</f>
        <v/>
      </c>
      <c r="BX75" s="195">
        <f>COUNTIF($G75:$BP75,"nt7")</f>
        <v/>
      </c>
      <c r="BY75" s="195">
        <f>COUNTIF($G75:$BP75,"P")+COUNTIF($G75:$BP75,"p5,a5")/2+COUNTIF($G75:$BP75,"p5,b5")/2+COUNTIF($G75:$BP75,"p5,c5")/2+COUNTIF($G75:$BP75,"p5,d5")/2</f>
        <v/>
      </c>
      <c r="BZ75" s="203">
        <f>SUBTOTAL(9,BQ75:BY75)</f>
        <v/>
      </c>
      <c r="CA75" s="54">
        <f>SUM(J75,L75,N75,P75,R75,T75,X75,Z75,AB75,AD75,AF75,AH75,AL75,AN75,AP75,AR75,AT75,AV75,AZ75,BB75,BD75,BF75,BH75,BP75)</f>
        <v/>
      </c>
      <c r="CB75" s="55">
        <f>SUM(H75,V75,AJ75,AX75,BL75)</f>
        <v/>
      </c>
      <c r="CC75" s="56">
        <f>SUM(BJ75,BN75)</f>
        <v/>
      </c>
      <c r="CD75" s="197">
        <f>IF(BZ75&gt;25,4,IF(BZ75&gt;18,3,IF(BZ75&gt;12,2,IF(BZ75&gt;4,1,0))))-BX75-2+1</f>
        <v/>
      </c>
      <c r="CE75" s="49" t="n">
        <v>2</v>
      </c>
      <c r="CF75" s="197">
        <f>CD75*CI75</f>
        <v/>
      </c>
      <c r="CG75" s="198">
        <f>F75-BY75+1</f>
        <v/>
      </c>
      <c r="CH75" s="197">
        <f>CE75*16</f>
        <v/>
      </c>
      <c r="CI75" s="199">
        <f>VLOOKUP(A75,[1]DATA!$A$6:$AI$331,34,0)</f>
        <v/>
      </c>
      <c r="CJ75" s="200">
        <f>VLOOKUP(A75,[2]CHAMCONG!A$7:CI$333,79,0)</f>
        <v/>
      </c>
      <c r="CK75" s="201">
        <f>CJ75-CA75</f>
        <v/>
      </c>
    </row>
    <row r="76" ht="15.75" customFormat="1" customHeight="1" s="68">
      <c r="A76" s="69" t="n"/>
      <c r="B76" s="64" t="n"/>
      <c r="C76" s="115" t="n"/>
      <c r="D76" s="46" t="n"/>
      <c r="E76" s="47" t="n"/>
      <c r="F76" s="48" t="n"/>
      <c r="G76" s="49" t="n"/>
      <c r="H76" s="73" t="n"/>
      <c r="I76" s="73" t="n"/>
      <c r="J76" s="73" t="n"/>
      <c r="K76" s="73" t="n"/>
      <c r="L76" s="73" t="n"/>
      <c r="M76" s="73" t="n"/>
      <c r="N76" s="73" t="n"/>
      <c r="O76" s="73" t="n"/>
      <c r="P76" s="73" t="n"/>
      <c r="Q76" s="50" t="n"/>
      <c r="R76" s="67" t="n"/>
      <c r="S76" s="49" t="n"/>
      <c r="T76" s="73" t="n"/>
      <c r="U76" s="49" t="n"/>
      <c r="V76" s="73" t="n"/>
      <c r="W76" s="50" t="n"/>
      <c r="X76" s="73" t="n"/>
      <c r="Y76" s="50" t="n"/>
      <c r="Z76" s="73" t="n"/>
      <c r="AA76" s="50" t="n"/>
      <c r="AB76" s="73" t="n"/>
      <c r="AC76" s="50" t="n"/>
      <c r="AD76" s="73" t="n"/>
      <c r="AE76" s="50" t="n"/>
      <c r="AF76" s="73" t="n"/>
      <c r="AG76" s="73" t="n"/>
      <c r="AH76" s="73" t="n"/>
      <c r="AI76" s="73" t="n"/>
      <c r="AJ76" s="73" t="n"/>
      <c r="AK76" s="73" t="n"/>
      <c r="AL76" s="73" t="n"/>
      <c r="AM76" s="73" t="n"/>
      <c r="AN76" s="73" t="n"/>
      <c r="AO76" s="73" t="n"/>
      <c r="AP76" s="73" t="n"/>
      <c r="AQ76" s="73" t="n"/>
      <c r="AR76" s="73" t="n"/>
      <c r="AS76" s="73" t="n"/>
      <c r="AT76" s="73" t="n"/>
      <c r="AU76" s="73" t="n"/>
      <c r="AV76" s="73" t="n"/>
      <c r="AW76" s="73" t="n"/>
      <c r="AX76" s="73" t="n"/>
      <c r="AY76" s="50" t="n"/>
      <c r="AZ76" s="73" t="n"/>
      <c r="BA76" s="67" t="n"/>
      <c r="BB76" s="73" t="n"/>
      <c r="BC76" s="67" t="n"/>
      <c r="BD76" s="73" t="n"/>
      <c r="BE76" s="73" t="n"/>
      <c r="BF76" s="73" t="n"/>
      <c r="BG76" s="73" t="n"/>
      <c r="BH76" s="73" t="n"/>
      <c r="BI76" s="73" t="n"/>
      <c r="BJ76" s="73" t="n"/>
      <c r="BK76" s="73" t="n"/>
      <c r="BL76" s="73" t="n"/>
      <c r="BM76" s="73" t="n"/>
      <c r="BN76" s="73" t="n"/>
      <c r="BO76" s="73" t="n"/>
      <c r="BP76" s="73" t="n"/>
      <c r="BQ76" s="195">
        <f>COUNTIF($G76:$BP76,"a")+COUNTIF($G76:$BP76,"r0,a5")/2+COUNTIF($G76:$BP76,"p5,a5")/2</f>
        <v/>
      </c>
      <c r="BR76" s="195">
        <f>COUNTIF($G76:$BP76,"d")+COUNTIF($G76:$BP76,"r0,d5")/2+COUNTIF($G76:$BP76,"p5,d5")/2</f>
        <v/>
      </c>
      <c r="BS76" s="195">
        <f>COUNTIF($G76:$BP76,"b")+COUNTIF($G76:$BP76,"r0,b5")/2+COUNTIF($G76:$BP76,"p5,b5")/2</f>
        <v/>
      </c>
      <c r="BT76" s="195">
        <f>COUNTIF($G76:$BP76,"c")+COUNTIF($G76:$BP76,"r0,c5")/2+COUNTIF($G76:$BP76,"p5,c5")/2</f>
        <v/>
      </c>
      <c r="BU76" s="195">
        <f>COUNTIF($G76:$BP76,"KH")+COUNTIF($G76:$BP76,"TL")+COUNTIF($G76:$BP76,"L")</f>
        <v/>
      </c>
      <c r="BV76" s="202" t="n"/>
      <c r="BW76" s="195">
        <f>COUNTIF($G76:$BP76,"hh")</f>
        <v/>
      </c>
      <c r="BX76" s="195">
        <f>COUNTIF($G76:$BP76,"nt7")</f>
        <v/>
      </c>
      <c r="BY76" s="195">
        <f>COUNTIF($G76:$BP76,"P")+COUNTIF($G76:$BP76,"p5,a5")/2+COUNTIF($G76:$BP76,"p5,b5")/2+COUNTIF($G76:$BP76,"p5,c5")/2+COUNTIF($G76:$BP76,"p5,d5")/2</f>
        <v/>
      </c>
      <c r="BZ76" s="203">
        <f>SUBTOTAL(9,BQ76:BY76)</f>
        <v/>
      </c>
      <c r="CA76" s="54">
        <f>SUM(J76,L76,N76,P76,R76,T76,X76,Z76,AB76,AD76,AF76,AH76,AL76,AN76,AP76,AR76,AT76,AV76,AZ76,BB76,BD76,BF76,BH76,BP76)</f>
        <v/>
      </c>
      <c r="CB76" s="55">
        <f>SUM(H76,V76,AJ76,AX76,BL76)</f>
        <v/>
      </c>
      <c r="CC76" s="56">
        <f>SUM(BJ76,BN76)</f>
        <v/>
      </c>
      <c r="CD76" s="197" t="n"/>
      <c r="CE76" s="49" t="n"/>
      <c r="CF76" s="197">
        <f>CD76*CI76</f>
        <v/>
      </c>
      <c r="CG76" s="198">
        <f>F76-BY76+1</f>
        <v/>
      </c>
      <c r="CH76" s="197">
        <f>CE76*16</f>
        <v/>
      </c>
      <c r="CI76" s="199">
        <f>VLOOKUP(A76,[1]DATA!$A$6:$AI$331,34,0)</f>
        <v/>
      </c>
      <c r="CJ76" s="200">
        <f>VLOOKUP(A76,[2]CHAMCONG!A$7:CI$333,79,0)</f>
        <v/>
      </c>
      <c r="CK76" s="201">
        <f>CJ76-CA76</f>
        <v/>
      </c>
    </row>
    <row r="77" ht="15.75" customFormat="1" customHeight="1" s="68">
      <c r="A77" s="139" t="n"/>
      <c r="B77" s="64" t="n"/>
      <c r="C77" s="115" t="n"/>
      <c r="D77" s="46" t="n"/>
      <c r="E77" s="47" t="n"/>
      <c r="F77" s="48" t="n"/>
      <c r="G77" s="49" t="n"/>
      <c r="H77" s="73" t="n"/>
      <c r="I77" s="50" t="n"/>
      <c r="J77" s="73" t="n"/>
      <c r="K77" s="50" t="n"/>
      <c r="L77" s="73" t="n"/>
      <c r="M77" s="50" t="n"/>
      <c r="N77" s="73" t="n"/>
      <c r="O77" s="50" t="n"/>
      <c r="P77" s="73" t="n"/>
      <c r="Q77" s="73" t="n"/>
      <c r="R77" s="73" t="n"/>
      <c r="S77" s="50" t="n"/>
      <c r="T77" s="73" t="n"/>
      <c r="U77" s="50" t="n"/>
      <c r="V77" s="73" t="n"/>
      <c r="W77" s="50" t="n"/>
      <c r="X77" s="73" t="n"/>
      <c r="Y77" s="50" t="n"/>
      <c r="Z77" s="73" t="n"/>
      <c r="AA77" s="50" t="n"/>
      <c r="AB77" s="73" t="n"/>
      <c r="AC77" s="50" t="n"/>
      <c r="AD77" s="73" t="n"/>
      <c r="AE77" s="73" t="n"/>
      <c r="AF77" s="73" t="n"/>
      <c r="AG77" s="50" t="n"/>
      <c r="AH77" s="73" t="n"/>
      <c r="AI77" s="50" t="n"/>
      <c r="AJ77" s="73" t="n"/>
      <c r="AK77" s="50" t="n"/>
      <c r="AL77" s="73" t="n"/>
      <c r="AM77" s="50" t="n"/>
      <c r="AN77" s="73" t="n"/>
      <c r="AO77" s="50" t="n"/>
      <c r="AP77" s="73" t="n"/>
      <c r="AQ77" s="73" t="n"/>
      <c r="AR77" s="73" t="n"/>
      <c r="AS77" s="73" t="n"/>
      <c r="AT77" s="73" t="n"/>
      <c r="AU77" s="73" t="n"/>
      <c r="AV77" s="73" t="n"/>
      <c r="AW77" s="73" t="n"/>
      <c r="AX77" s="73" t="n"/>
      <c r="AY77" s="73" t="n"/>
      <c r="AZ77" s="73" t="n"/>
      <c r="BA77" s="73" t="n"/>
      <c r="BB77" s="73" t="n"/>
      <c r="BC77" s="73" t="n"/>
      <c r="BD77" s="73" t="n"/>
      <c r="BE77" s="73" t="n"/>
      <c r="BF77" s="73" t="n"/>
      <c r="BG77" s="73" t="n"/>
      <c r="BH77" s="73" t="n"/>
      <c r="BI77" s="73" t="n"/>
      <c r="BJ77" s="73" t="n"/>
      <c r="BK77" s="73" t="n"/>
      <c r="BL77" s="73" t="n"/>
      <c r="BM77" s="73" t="n"/>
      <c r="BN77" s="73" t="n"/>
      <c r="BO77" s="73" t="n"/>
      <c r="BP77" s="73" t="n"/>
      <c r="BQ77" s="195">
        <f>COUNTIF($G77:$BP77,"a")+COUNTIF($G77:$BP77,"r0,a5")/2+COUNTIF($G77:$BP77,"p5,a5")/2</f>
        <v/>
      </c>
      <c r="BR77" s="195">
        <f>COUNTIF($G77:$BP77,"d")+COUNTIF($G77:$BP77,"r0,d5")/2+COUNTIF($G77:$BP77,"p5,d5")/2</f>
        <v/>
      </c>
      <c r="BS77" s="195">
        <f>COUNTIF($G77:$BP77,"b")+COUNTIF($G77:$BP77,"r0,b5")/2+COUNTIF($G77:$BP77,"p5,b5")/2</f>
        <v/>
      </c>
      <c r="BT77" s="195">
        <f>COUNTIF($G77:$BP77,"c")+COUNTIF($G77:$BP77,"r0,c5")/2+COUNTIF($G77:$BP77,"p5,c5")/2</f>
        <v/>
      </c>
      <c r="BU77" s="195">
        <f>COUNTIF($G77:$BP77,"KH")+COUNTIF($G77:$BP77,"TL")+COUNTIF($G77:$BP77,"L")</f>
        <v/>
      </c>
      <c r="BV77" s="202" t="n"/>
      <c r="BW77" s="195">
        <f>COUNTIF($G77:$BP77,"hh")</f>
        <v/>
      </c>
      <c r="BX77" s="195">
        <f>COUNTIF($G77:$BP77,"nt7")</f>
        <v/>
      </c>
      <c r="BY77" s="195">
        <f>COUNTIF($G77:$BP77,"P")+COUNTIF($G77:$BP77,"p5,a5")/2+COUNTIF($G77:$BP77,"p5,b5")/2+COUNTIF($G77:$BP77,"p5,c5")/2+COUNTIF($G77:$BP77,"p5,d5")/2</f>
        <v/>
      </c>
      <c r="BZ77" s="203">
        <f>SUBTOTAL(9,BQ77:BY77)</f>
        <v/>
      </c>
      <c r="CA77" s="54">
        <f>SUM(J77,L77,N77,P77,R77,T77,X77,Z77,AB77,AD77,AF77,AH77,AL77,AN77,AP77,AR77,AT77,AV77,AZ77,BB77,BD77,BF77,BH77,BP77)</f>
        <v/>
      </c>
      <c r="CB77" s="55">
        <f>SUM(H77,V77,AJ77,AX77,BL77)</f>
        <v/>
      </c>
      <c r="CC77" s="56">
        <f>SUM(BJ77,BN77)</f>
        <v/>
      </c>
      <c r="CD77" s="197">
        <f>IF(BZ77&gt;25,4,IF(BZ77&gt;18,3,IF(BZ77&gt;12,2,IF(BZ77&gt;4,1,0))))-BX77-2+1</f>
        <v/>
      </c>
      <c r="CE77" s="49" t="n"/>
      <c r="CF77" s="197">
        <f>CD77*CI77</f>
        <v/>
      </c>
      <c r="CG77" s="198">
        <f>F77-BY77+1</f>
        <v/>
      </c>
      <c r="CH77" s="197">
        <f>CE77*16</f>
        <v/>
      </c>
      <c r="CI77" s="199">
        <f>VLOOKUP(A77,[1]DATA!$A$6:$AI$331,34,0)</f>
        <v/>
      </c>
      <c r="CJ77" s="200">
        <f>VLOOKUP(A77,[2]CHAMCONG!A$7:CI$333,79,0)</f>
        <v/>
      </c>
      <c r="CK77" s="201">
        <f>CJ77-CA77</f>
        <v/>
      </c>
    </row>
    <row r="78" ht="15.75" customFormat="1" customHeight="1" s="68">
      <c r="A78" s="139" t="n"/>
      <c r="B78" s="64" t="n"/>
      <c r="C78" s="115" t="n"/>
      <c r="D78" s="46" t="n"/>
      <c r="E78" s="47" t="n"/>
      <c r="F78" s="48" t="n"/>
      <c r="G78" s="49" t="n"/>
      <c r="H78" s="73" t="n"/>
      <c r="I78" s="49" t="n"/>
      <c r="J78" s="73" t="n"/>
      <c r="K78" s="49" t="n"/>
      <c r="L78" s="73" t="n"/>
      <c r="M78" s="49" t="n"/>
      <c r="N78" s="73" t="n"/>
      <c r="O78" s="49" t="n"/>
      <c r="P78" s="73" t="n"/>
      <c r="Q78" s="50" t="n"/>
      <c r="R78" s="67" t="n"/>
      <c r="S78" s="73" t="n"/>
      <c r="T78" s="73" t="n"/>
      <c r="U78" s="49" t="n"/>
      <c r="V78" s="73" t="n"/>
      <c r="W78" s="49" t="n"/>
      <c r="X78" s="73" t="n"/>
      <c r="Y78" s="49" t="n"/>
      <c r="Z78" s="73" t="n"/>
      <c r="AA78" s="49" t="n"/>
      <c r="AB78" s="73" t="n"/>
      <c r="AC78" s="73" t="n"/>
      <c r="AD78" s="73" t="n"/>
      <c r="AE78" s="73" t="n"/>
      <c r="AF78" s="73" t="n"/>
      <c r="AG78" s="49" t="n"/>
      <c r="AH78" s="73" t="n"/>
      <c r="AI78" s="49" t="n"/>
      <c r="AJ78" s="73" t="n"/>
      <c r="AK78" s="49" t="n"/>
      <c r="AL78" s="73" t="n"/>
      <c r="AM78" s="49" t="n"/>
      <c r="AN78" s="73" t="n"/>
      <c r="AO78" s="49" t="n"/>
      <c r="AP78" s="73" t="n"/>
      <c r="AQ78" s="73" t="n"/>
      <c r="AR78" s="73" t="n"/>
      <c r="AS78" s="73" t="n"/>
      <c r="AT78" s="73" t="n"/>
      <c r="AU78" s="73" t="n"/>
      <c r="AV78" s="73" t="n"/>
      <c r="AW78" s="73" t="n"/>
      <c r="AX78" s="73" t="n"/>
      <c r="AY78" s="73" t="n"/>
      <c r="AZ78" s="73" t="n"/>
      <c r="BA78" s="73" t="n"/>
      <c r="BB78" s="73" t="n"/>
      <c r="BC78" s="73" t="n"/>
      <c r="BD78" s="73" t="n"/>
      <c r="BE78" s="73" t="n"/>
      <c r="BF78" s="73" t="n"/>
      <c r="BG78" s="73" t="n"/>
      <c r="BH78" s="73" t="n"/>
      <c r="BI78" s="73" t="n"/>
      <c r="BJ78" s="73" t="n"/>
      <c r="BK78" s="73" t="n"/>
      <c r="BL78" s="73" t="n"/>
      <c r="BM78" s="73" t="n"/>
      <c r="BN78" s="73" t="n"/>
      <c r="BO78" s="73" t="n"/>
      <c r="BP78" s="73" t="n"/>
      <c r="BQ78" s="195">
        <f>COUNTIF($G78:$BP78,"a")+COUNTIF($G78:$BP78,"r0,a5")/2+COUNTIF($G78:$BP78,"p5,a5")/2</f>
        <v/>
      </c>
      <c r="BR78" s="195">
        <f>COUNTIF($G78:$BP78,"d")+COUNTIF($G78:$BP78,"r0,d5")/2+COUNTIF($G78:$BP78,"p5,d5")/2</f>
        <v/>
      </c>
      <c r="BS78" s="195">
        <f>COUNTIF($G78:$BP78,"b")+COUNTIF($G78:$BP78,"r0,b5")/2+COUNTIF($G78:$BP78,"p5,b5")/2</f>
        <v/>
      </c>
      <c r="BT78" s="195">
        <f>COUNTIF($G78:$BP78,"c")+COUNTIF($G78:$BP78,"r0,c5")/2+COUNTIF($G78:$BP78,"p5,c5")/2</f>
        <v/>
      </c>
      <c r="BU78" s="195">
        <f>COUNTIF($G78:$BP78,"KH")+COUNTIF($G78:$BP78,"TL")+COUNTIF($G78:$BP78,"L")</f>
        <v/>
      </c>
      <c r="BV78" s="202" t="n"/>
      <c r="BW78" s="195">
        <f>COUNTIF($G78:$BP78,"hh")</f>
        <v/>
      </c>
      <c r="BX78" s="195">
        <f>COUNTIF($G78:$BP78,"nt7")</f>
        <v/>
      </c>
      <c r="BY78" s="195">
        <f>COUNTIF($G78:$BP78,"P")+COUNTIF($G78:$BP78,"p5,a5")/2+COUNTIF($G78:$BP78,"p5,b5")/2+COUNTIF($G78:$BP78,"p5,c5")/2+COUNTIF($G78:$BP78,"p5,d5")/2</f>
        <v/>
      </c>
      <c r="BZ78" s="203">
        <f>SUBTOTAL(9,BQ78:BY78)</f>
        <v/>
      </c>
      <c r="CA78" s="54">
        <f>SUM(J78,L78,N78,P78,R78,T78,X78,Z78,AB78,AD78,AF78,AH78,AL78,AN78,AP78,AR78,AT78,AV78,AZ78,BB78,BD78,BF78,BH78,BP78)</f>
        <v/>
      </c>
      <c r="CB78" s="55">
        <f>SUM(H78,V78,AJ78,AX78,BL78)</f>
        <v/>
      </c>
      <c r="CC78" s="56">
        <f>SUM(BJ78,BN78)</f>
        <v/>
      </c>
      <c r="CD78" s="197">
        <f>IF(BZ78&gt;25,4,IF(BZ78&gt;18,3,IF(BZ78&gt;12,2,IF(BZ78&gt;4,1,0))))-BX78-2+1</f>
        <v/>
      </c>
      <c r="CE78" s="49" t="n"/>
      <c r="CF78" s="197">
        <f>CD78*CI78</f>
        <v/>
      </c>
      <c r="CG78" s="198">
        <f>F78-BY78+1</f>
        <v/>
      </c>
      <c r="CH78" s="197">
        <f>CE78*16</f>
        <v/>
      </c>
      <c r="CI78" s="199">
        <f>VLOOKUP(A78,[1]DATA!$A$6:$AI$331,34,0)</f>
        <v/>
      </c>
      <c r="CJ78" s="200">
        <f>VLOOKUP(A78,[2]CHAMCONG!A$7:CI$333,79,0)</f>
        <v/>
      </c>
      <c r="CK78" s="201">
        <f>CJ78-CA78</f>
        <v/>
      </c>
    </row>
    <row r="79" ht="15.75" customFormat="1" customHeight="1" s="68">
      <c r="A79" s="69" t="n"/>
      <c r="B79" s="64" t="n"/>
      <c r="C79" s="115" t="n"/>
      <c r="D79" s="46" t="n"/>
      <c r="E79" s="47" t="n"/>
      <c r="F79" s="48" t="n"/>
      <c r="G79" s="49" t="n"/>
      <c r="H79" s="73" t="n"/>
      <c r="I79" s="49" t="n"/>
      <c r="J79" s="73" t="n"/>
      <c r="K79" s="49" t="n"/>
      <c r="L79" s="73" t="n"/>
      <c r="M79" s="49" t="n"/>
      <c r="N79" s="73" t="n"/>
      <c r="O79" s="49" t="n"/>
      <c r="P79" s="73" t="n"/>
      <c r="Q79" s="49" t="n"/>
      <c r="R79" s="73" t="n"/>
      <c r="S79" s="49" t="n"/>
      <c r="T79" s="73" t="n"/>
      <c r="U79" s="49" t="n"/>
      <c r="V79" s="73" t="n"/>
      <c r="W79" s="49" t="n"/>
      <c r="X79" s="73" t="n"/>
      <c r="Y79" s="49" t="n"/>
      <c r="Z79" s="73" t="n"/>
      <c r="AA79" s="49" t="n"/>
      <c r="AB79" s="73" t="n"/>
      <c r="AC79" s="49" t="n"/>
      <c r="AD79" s="73" t="n"/>
      <c r="AE79" s="50" t="n"/>
      <c r="AF79" s="67" t="n"/>
      <c r="AG79" s="50" t="n"/>
      <c r="AH79" s="73" t="n"/>
      <c r="AI79" s="73" t="n"/>
      <c r="AJ79" s="73" t="n"/>
      <c r="AK79" s="73" t="n"/>
      <c r="AL79" s="73" t="n"/>
      <c r="AM79" s="73" t="n"/>
      <c r="AN79" s="73" t="n"/>
      <c r="AO79" s="73" t="n"/>
      <c r="AP79" s="73" t="n"/>
      <c r="AQ79" s="73" t="n"/>
      <c r="AR79" s="73" t="n"/>
      <c r="AS79" s="73" t="n"/>
      <c r="AT79" s="73" t="n"/>
      <c r="AU79" s="73" t="n"/>
      <c r="AV79" s="73" t="n"/>
      <c r="AW79" s="50" t="n"/>
      <c r="AX79" s="73" t="n"/>
      <c r="AY79" s="49" t="n"/>
      <c r="AZ79" s="73" t="n"/>
      <c r="BA79" s="49" t="n"/>
      <c r="BB79" s="73" t="n"/>
      <c r="BC79" s="49" t="n"/>
      <c r="BD79" s="73" t="n"/>
      <c r="BE79" s="49" t="n"/>
      <c r="BF79" s="73" t="n"/>
      <c r="BG79" s="49" t="n"/>
      <c r="BH79" s="73" t="n"/>
      <c r="BI79" s="73" t="n"/>
      <c r="BJ79" s="73" t="n"/>
      <c r="BK79" s="73" t="n"/>
      <c r="BL79" s="73" t="n"/>
      <c r="BM79" s="73" t="n"/>
      <c r="BN79" s="73" t="n"/>
      <c r="BO79" s="49" t="n"/>
      <c r="BP79" s="73" t="n"/>
      <c r="BQ79" s="195">
        <f>COUNTIF($G79:$BP79,"a")+COUNTIF($G79:$BP79,"r0,a5")/2+COUNTIF($G79:$BP79,"p5,a5")/2</f>
        <v/>
      </c>
      <c r="BR79" s="195">
        <f>COUNTIF($G79:$BP79,"d")+COUNTIF($G79:$BP79,"r0,d5")/2+COUNTIF($G79:$BP79,"p5,d5")/2</f>
        <v/>
      </c>
      <c r="BS79" s="195">
        <f>COUNTIF($G79:$BP79,"b")+COUNTIF($G79:$BP79,"r0,b5")/2+COUNTIF($G79:$BP79,"p5,b5")/2</f>
        <v/>
      </c>
      <c r="BT79" s="195">
        <f>COUNTIF($G79:$BP79,"c")+COUNTIF($G79:$BP79,"r0,c5")/2+COUNTIF($G79:$BP79,"p5,c5")/2</f>
        <v/>
      </c>
      <c r="BU79" s="195">
        <f>COUNTIF($G79:$BP79,"KH")+COUNTIF($G79:$BP79,"TL")+COUNTIF($G79:$BP79,"L")</f>
        <v/>
      </c>
      <c r="BV79" s="202" t="n"/>
      <c r="BW79" s="195">
        <f>COUNTIF($G79:$BP79,"hh")</f>
        <v/>
      </c>
      <c r="BX79" s="195">
        <f>COUNTIF($G79:$BP79,"nt7")</f>
        <v/>
      </c>
      <c r="BY79" s="195">
        <f>COUNTIF($G79:$BP79,"P")+COUNTIF($G79:$BP79,"p5,a5")/2+COUNTIF($G79:$BP79,"p5,b5")/2+COUNTIF($G79:$BP79,"p5,c5")/2+COUNTIF($G79:$BP79,"p5,d5")/2</f>
        <v/>
      </c>
      <c r="BZ79" s="203">
        <f>SUBTOTAL(9,BQ79:BY79)</f>
        <v/>
      </c>
      <c r="CA79" s="54">
        <f>SUM(J79,L79,N79,P79,R79,T79,X79,Z79,AB79,AD79,AF79,AH79,AL79,AN79,AP79,AR79,AT79,AV79,AZ79,BB79,BD79,BF79,BH79,BP79)</f>
        <v/>
      </c>
      <c r="CB79" s="55">
        <f>SUM(H79,V79,AJ79,AX79,BL79)</f>
        <v/>
      </c>
      <c r="CC79" s="56">
        <f>SUM(BJ79,BN79)</f>
        <v/>
      </c>
      <c r="CD79" s="197">
        <f>IF(BZ79&gt;25,4,IF(BZ79&gt;18,3,IF(BZ79&gt;12,2,IF(BZ79&gt;4,1,0))))-BX79-2+1</f>
        <v/>
      </c>
      <c r="CE79" s="49" t="n"/>
      <c r="CF79" s="197">
        <f>CD79*CI79</f>
        <v/>
      </c>
      <c r="CG79" s="198">
        <f>F79-BY79+1</f>
        <v/>
      </c>
      <c r="CH79" s="197">
        <f>CE79*16</f>
        <v/>
      </c>
      <c r="CI79" s="199">
        <f>VLOOKUP(A79,[1]DATA!$A$6:$AI$331,34,0)</f>
        <v/>
      </c>
      <c r="CJ79" s="200">
        <f>VLOOKUP(A79,[2]CHAMCONG!A$7:CI$333,79,0)</f>
        <v/>
      </c>
      <c r="CK79" s="201">
        <f>CJ79-CA79</f>
        <v/>
      </c>
    </row>
    <row r="80" ht="15.75" customFormat="1" customHeight="1" s="68">
      <c r="A80" s="139" t="n"/>
      <c r="B80" s="64" t="n"/>
      <c r="C80" s="115" t="n"/>
      <c r="D80" s="46" t="n"/>
      <c r="E80" s="47" t="n"/>
      <c r="F80" s="48" t="n"/>
      <c r="G80" s="49" t="n"/>
      <c r="H80" s="73" t="n"/>
      <c r="I80" s="50" t="n"/>
      <c r="J80" s="73" t="n"/>
      <c r="K80" s="50" t="n"/>
      <c r="L80" s="73" t="n"/>
      <c r="M80" s="50" t="n"/>
      <c r="N80" s="73" t="n"/>
      <c r="O80" s="50" t="n"/>
      <c r="P80" s="73" t="n"/>
      <c r="Q80" s="50" t="n"/>
      <c r="R80" s="67" t="n"/>
      <c r="S80" s="50" t="n"/>
      <c r="T80" s="73" t="n"/>
      <c r="U80" s="49" t="n"/>
      <c r="V80" s="73" t="n"/>
      <c r="W80" s="49" t="n"/>
      <c r="X80" s="73" t="n"/>
      <c r="Y80" s="49" t="n"/>
      <c r="Z80" s="73" t="n"/>
      <c r="AA80" s="49" t="n"/>
      <c r="AB80" s="73" t="n"/>
      <c r="AC80" s="49" t="n"/>
      <c r="AD80" s="73" t="n"/>
      <c r="AE80" s="73" t="n"/>
      <c r="AF80" s="73" t="n"/>
      <c r="AG80" s="49" t="n"/>
      <c r="AH80" s="73" t="n"/>
      <c r="AI80" s="49" t="n"/>
      <c r="AJ80" s="73" t="n"/>
      <c r="AK80" s="49" t="n"/>
      <c r="AL80" s="73" t="n"/>
      <c r="AM80" s="49" t="n"/>
      <c r="AN80" s="73" t="n"/>
      <c r="AO80" s="49" t="n"/>
      <c r="AP80" s="73" t="n"/>
      <c r="AQ80" s="73" t="n"/>
      <c r="AR80" s="73" t="n"/>
      <c r="AS80" s="49" t="n"/>
      <c r="AT80" s="73" t="n"/>
      <c r="AU80" s="49" t="n"/>
      <c r="AV80" s="73" t="n"/>
      <c r="AW80" s="73" t="n"/>
      <c r="AX80" s="73" t="n"/>
      <c r="AY80" s="50" t="n"/>
      <c r="AZ80" s="73" t="n"/>
      <c r="BA80" s="50" t="n"/>
      <c r="BB80" s="73" t="n"/>
      <c r="BC80" s="50" t="n"/>
      <c r="BD80" s="73" t="n"/>
      <c r="BE80" s="50" t="n"/>
      <c r="BF80" s="73" t="n"/>
      <c r="BG80" s="50" t="n"/>
      <c r="BH80" s="67" t="n"/>
      <c r="BI80" s="49" t="n"/>
      <c r="BJ80" s="73" t="n"/>
      <c r="BK80" s="49" t="n"/>
      <c r="BL80" s="73" t="n"/>
      <c r="BM80" s="49" t="n"/>
      <c r="BN80" s="73" t="n"/>
      <c r="BO80" s="73" t="n"/>
      <c r="BP80" s="73" t="n"/>
      <c r="BQ80" s="195">
        <f>COUNTIF($G80:$BP80,"a")+COUNTIF($G80:$BP80,"r0,a5")/2+COUNTIF($G80:$BP80,"p5,a5")/2</f>
        <v/>
      </c>
      <c r="BR80" s="195">
        <f>COUNTIF($G80:$BP80,"d")+COUNTIF($G80:$BP80,"r0,d5")/2+COUNTIF($G80:$BP80,"p5,d5")/2</f>
        <v/>
      </c>
      <c r="BS80" s="195">
        <f>COUNTIF($G80:$BP80,"b")+COUNTIF($G80:$BP80,"r0,b5")/2+COUNTIF($G80:$BP80,"p5,b5")/2</f>
        <v/>
      </c>
      <c r="BT80" s="195">
        <f>COUNTIF($G80:$BP80,"c")+COUNTIF($G80:$BP80,"r0,c5")/2+COUNTIF($G80:$BP80,"p5,c5")/2</f>
        <v/>
      </c>
      <c r="BU80" s="195">
        <f>COUNTIF($G80:$BP80,"KH")+COUNTIF($G80:$BP80,"TL")+COUNTIF($G80:$BP80,"L")</f>
        <v/>
      </c>
      <c r="BV80" s="202" t="n"/>
      <c r="BW80" s="195">
        <f>COUNTIF($G80:$BP80,"hh")</f>
        <v/>
      </c>
      <c r="BX80" s="195">
        <f>COUNTIF($G80:$BP80,"nt7")</f>
        <v/>
      </c>
      <c r="BY80" s="195">
        <f>COUNTIF($G80:$BP80,"P")+COUNTIF($G80:$BP80,"p5,a5")/2+COUNTIF($G80:$BP80,"p5,b5")/2+COUNTIF($G80:$BP80,"p5,c5")/2+COUNTIF($G80:$BP80,"p5,d5")/2</f>
        <v/>
      </c>
      <c r="BZ80" s="203">
        <f>SUBTOTAL(9,BQ80:BY80)</f>
        <v/>
      </c>
      <c r="CA80" s="54">
        <f>SUM(J80,L80,N80,P80,R80,T80,X80,Z80,AB80,AD80,AF80,AH80,AL80,AN80,AP80,AR80,AT80,AV80,AZ80,BB80,BD80,BF80,BH80,BP80)</f>
        <v/>
      </c>
      <c r="CB80" s="55">
        <f>SUM(H80,V80,AJ80,AX80,BL80)</f>
        <v/>
      </c>
      <c r="CC80" s="56">
        <f>SUM(BJ80,BN80)</f>
        <v/>
      </c>
      <c r="CD80" s="197">
        <f>IF(BZ80&gt;25,4,IF(BZ80&gt;18,3,IF(BZ80&gt;12,2,IF(BZ80&gt;4,1,0))))-BX80-2+1</f>
        <v/>
      </c>
      <c r="CE80" s="49" t="n"/>
      <c r="CF80" s="197">
        <f>CD80*CI80</f>
        <v/>
      </c>
      <c r="CG80" s="198">
        <f>F80-BY80+1</f>
        <v/>
      </c>
      <c r="CH80" s="197">
        <f>CE80*16</f>
        <v/>
      </c>
      <c r="CI80" s="199">
        <f>VLOOKUP(A80,[1]DATA!$A$6:$AI$331,34,0)</f>
        <v/>
      </c>
      <c r="CJ80" s="200">
        <f>VLOOKUP(A80,[2]CHAMCONG!A$7:CI$333,79,0)</f>
        <v/>
      </c>
      <c r="CK80" s="201">
        <f>CJ80-CA80</f>
        <v/>
      </c>
    </row>
    <row r="81" ht="15.75" customFormat="1" customHeight="1" s="68">
      <c r="A81" s="139" t="n"/>
      <c r="B81" s="64" t="n"/>
      <c r="C81" s="115" t="n"/>
      <c r="D81" s="46" t="n"/>
      <c r="E81" s="47" t="n"/>
      <c r="F81" s="48" t="n"/>
      <c r="G81" s="49" t="n"/>
      <c r="H81" s="73" t="n"/>
      <c r="I81" s="50" t="n"/>
      <c r="J81" s="73" t="n"/>
      <c r="K81" s="73" t="n"/>
      <c r="L81" s="73" t="n"/>
      <c r="M81" s="73" t="n"/>
      <c r="N81" s="73" t="n"/>
      <c r="O81" s="50" t="n"/>
      <c r="P81" s="73" t="n"/>
      <c r="Q81" s="73" t="n"/>
      <c r="R81" s="67" t="n"/>
      <c r="S81" s="73" t="n"/>
      <c r="T81" s="73" t="n"/>
      <c r="U81" s="49" t="n"/>
      <c r="V81" s="73" t="n"/>
      <c r="W81" s="50" t="n"/>
      <c r="X81" s="73" t="n"/>
      <c r="Y81" s="73" t="n"/>
      <c r="Z81" s="73" t="n"/>
      <c r="AA81" s="73" t="n"/>
      <c r="AB81" s="73" t="n"/>
      <c r="AC81" s="50" t="n"/>
      <c r="AD81" s="73" t="n"/>
      <c r="AE81" s="73" t="n"/>
      <c r="AF81" s="73" t="n"/>
      <c r="AG81" s="73" t="n"/>
      <c r="AH81" s="73" t="n"/>
      <c r="AI81" s="73" t="n"/>
      <c r="AJ81" s="73" t="n"/>
      <c r="AK81" s="50" t="n"/>
      <c r="AL81" s="73" t="n"/>
      <c r="AM81" s="73" t="n"/>
      <c r="AN81" s="73" t="n"/>
      <c r="AO81" s="73" t="n"/>
      <c r="AP81" s="73" t="n"/>
      <c r="AQ81" s="50" t="n"/>
      <c r="AR81" s="73" t="n"/>
      <c r="AS81" s="73" t="n"/>
      <c r="AT81" s="73" t="n"/>
      <c r="AU81" s="73" t="n"/>
      <c r="AV81" s="73" t="n"/>
      <c r="AW81" s="73" t="n"/>
      <c r="AX81" s="73" t="n"/>
      <c r="AY81" s="50" t="n"/>
      <c r="AZ81" s="73" t="n"/>
      <c r="BA81" s="73" t="n"/>
      <c r="BB81" s="73" t="n"/>
      <c r="BC81" s="73" t="n"/>
      <c r="BD81" s="73" t="n"/>
      <c r="BE81" s="50" t="n"/>
      <c r="BF81" s="73" t="n"/>
      <c r="BG81" s="73" t="n"/>
      <c r="BH81" s="73" t="n"/>
      <c r="BI81" s="73" t="n"/>
      <c r="BJ81" s="73" t="n"/>
      <c r="BK81" s="73" t="n"/>
      <c r="BL81" s="73" t="n"/>
      <c r="BM81" s="73" t="n"/>
      <c r="BN81" s="73" t="n"/>
      <c r="BO81" s="73" t="n"/>
      <c r="BP81" s="73" t="n"/>
      <c r="BQ81" s="195">
        <f>COUNTIF($G81:$BP81,"a")+COUNTIF($G81:$BP81,"r0,a5")/2+COUNTIF($G81:$BP81,"p5,a5")/2</f>
        <v/>
      </c>
      <c r="BR81" s="195">
        <f>COUNTIF($G81:$BP81,"d")+COUNTIF($G81:$BP81,"r0,d5")/2+COUNTIF($G81:$BP81,"p5,d5")/2</f>
        <v/>
      </c>
      <c r="BS81" s="195">
        <f>COUNTIF($G81:$BP81,"b")+COUNTIF($G81:$BP81,"r0,b5")/2+COUNTIF($G81:$BP81,"p5,b5")/2</f>
        <v/>
      </c>
      <c r="BT81" s="195">
        <f>COUNTIF($G81:$BP81,"c")+COUNTIF($G81:$BP81,"r0,c5")/2+COUNTIF($G81:$BP81,"p5,c5")/2</f>
        <v/>
      </c>
      <c r="BU81" s="195">
        <f>COUNTIF($G81:$BP81,"KH")+COUNTIF($G81:$BP81,"TL")+COUNTIF($G81:$BP81,"L")</f>
        <v/>
      </c>
      <c r="BV81" s="202" t="n"/>
      <c r="BW81" s="195">
        <f>COUNTIF($G81:$BP81,"hh")</f>
        <v/>
      </c>
      <c r="BX81" s="195">
        <f>COUNTIF($G81:$BP81,"nt7")</f>
        <v/>
      </c>
      <c r="BY81" s="195">
        <f>COUNTIF($G81:$BP81,"P")+COUNTIF($G81:$BP81,"p5,a5")/2+COUNTIF($G81:$BP81,"p5,b5")/2+COUNTIF($G81:$BP81,"p5,c5")/2+COUNTIF($G81:$BP81,"p5,d5")/2</f>
        <v/>
      </c>
      <c r="BZ81" s="203">
        <f>SUBTOTAL(9,BQ81:BY81)</f>
        <v/>
      </c>
      <c r="CA81" s="54">
        <f>SUM(J81,L81,N81,P81,R81,T81,X81,Z81,AB81,AD81,AF81,AH81,AL81,AN81,AP81,AR81,AT81,AV81,AZ81,BB81,BD81,BF81,BH81,BP81)</f>
        <v/>
      </c>
      <c r="CB81" s="55">
        <f>SUM(H81,V81,AJ81,AX81,BL81)</f>
        <v/>
      </c>
      <c r="CC81" s="56">
        <f>SUM(BJ81,BN81)</f>
        <v/>
      </c>
      <c r="CD81" s="197">
        <f>IF(BZ81&gt;25,4,IF(BZ81&gt;18,3,IF(BZ81&gt;12,2,IF(BZ81&gt;4,1,0))))-BX81-2+1</f>
        <v/>
      </c>
      <c r="CE81" s="49" t="n"/>
      <c r="CF81" s="197">
        <f>CD81*CI81</f>
        <v/>
      </c>
      <c r="CG81" s="198">
        <f>F81-BY81+1</f>
        <v/>
      </c>
      <c r="CH81" s="197">
        <f>CE81*16</f>
        <v/>
      </c>
      <c r="CI81" s="199">
        <f>VLOOKUP(A81,[1]DATA!$A$6:$AI$331,34,0)</f>
        <v/>
      </c>
      <c r="CJ81" s="200">
        <f>VLOOKUP(A81,[2]CHAMCONG!A$7:CI$333,79,0)</f>
        <v/>
      </c>
      <c r="CK81" s="201">
        <f>CJ81-CA81</f>
        <v/>
      </c>
    </row>
    <row r="82" ht="15.75" customFormat="1" customHeight="1" s="68">
      <c r="A82" s="69" t="n"/>
      <c r="B82" s="64" t="n"/>
      <c r="C82" s="115" t="n"/>
      <c r="D82" s="46" t="n"/>
      <c r="E82" s="47" t="n"/>
      <c r="F82" s="48" t="n"/>
      <c r="G82" s="49" t="n"/>
      <c r="H82" s="73" t="n"/>
      <c r="I82" s="50" t="n"/>
      <c r="J82" s="73" t="n"/>
      <c r="K82" s="73" t="n"/>
      <c r="L82" s="73" t="n"/>
      <c r="M82" s="73" t="n"/>
      <c r="N82" s="73" t="n"/>
      <c r="O82" s="50" t="n"/>
      <c r="P82" s="73" t="n"/>
      <c r="Q82" s="73" t="n"/>
      <c r="R82" s="73" t="n"/>
      <c r="S82" s="73" t="n"/>
      <c r="T82" s="73" t="n"/>
      <c r="U82" s="49" t="n"/>
      <c r="V82" s="73" t="n"/>
      <c r="W82" s="73" t="n"/>
      <c r="X82" s="73" t="n"/>
      <c r="Y82" s="73" t="n"/>
      <c r="Z82" s="73" t="n"/>
      <c r="AA82" s="73" t="n"/>
      <c r="AB82" s="73" t="n"/>
      <c r="AC82" s="73" t="n"/>
      <c r="AD82" s="73" t="n"/>
      <c r="AE82" s="73" t="n"/>
      <c r="AF82" s="73" t="n"/>
      <c r="AG82" s="73" t="n"/>
      <c r="AH82" s="73" t="n"/>
      <c r="AI82" s="73" t="n"/>
      <c r="AJ82" s="73" t="n"/>
      <c r="AK82" s="73" t="n"/>
      <c r="AL82" s="73" t="n"/>
      <c r="AM82" s="73" t="n"/>
      <c r="AN82" s="73" t="n"/>
      <c r="AO82" s="73" t="n"/>
      <c r="AP82" s="73" t="n"/>
      <c r="AQ82" s="73" t="n"/>
      <c r="AR82" s="73" t="n"/>
      <c r="AS82" s="73" t="n"/>
      <c r="AT82" s="73" t="n"/>
      <c r="AU82" s="73" t="n"/>
      <c r="AV82" s="73" t="n"/>
      <c r="AW82" s="73" t="n"/>
      <c r="AX82" s="73" t="n"/>
      <c r="AY82" s="73" t="n"/>
      <c r="AZ82" s="73" t="n"/>
      <c r="BA82" s="73" t="n"/>
      <c r="BB82" s="73" t="n"/>
      <c r="BC82" s="73" t="n"/>
      <c r="BD82" s="73" t="n"/>
      <c r="BE82" s="73" t="n"/>
      <c r="BF82" s="73" t="n"/>
      <c r="BG82" s="73" t="n"/>
      <c r="BH82" s="73" t="n"/>
      <c r="BI82" s="73" t="n"/>
      <c r="BJ82" s="73" t="n"/>
      <c r="BK82" s="73" t="n"/>
      <c r="BL82" s="73" t="n"/>
      <c r="BM82" s="73" t="n"/>
      <c r="BN82" s="73" t="n"/>
      <c r="BO82" s="73" t="n"/>
      <c r="BP82" s="73" t="n"/>
      <c r="BQ82" s="195">
        <f>COUNTIF($G82:$BP82,"a")+COUNTIF($G82:$BP82,"r0,a5")/2+COUNTIF($G82:$BP82,"p5,a5")/2</f>
        <v/>
      </c>
      <c r="BR82" s="195">
        <f>COUNTIF($G82:$BP82,"d")+COUNTIF($G82:$BP82,"r0,d5")/2+COUNTIF($G82:$BP82,"p5,d5")/2</f>
        <v/>
      </c>
      <c r="BS82" s="195">
        <f>COUNTIF($G82:$BP82,"b")+COUNTIF($G82:$BP82,"r0,b5")/2+COUNTIF($G82:$BP82,"p5,b5")/2</f>
        <v/>
      </c>
      <c r="BT82" s="195">
        <f>COUNTIF($G82:$BP82,"c")+COUNTIF($G82:$BP82,"r0,c5")/2+COUNTIF($G82:$BP82,"p5,c5")/2</f>
        <v/>
      </c>
      <c r="BU82" s="195">
        <f>COUNTIF($G82:$BP82,"KH")+COUNTIF($G82:$BP82,"TL")+COUNTIF($G82:$BP82,"L")</f>
        <v/>
      </c>
      <c r="BV82" s="202" t="n"/>
      <c r="BW82" s="195">
        <f>COUNTIF($G82:$BP82,"hh")</f>
        <v/>
      </c>
      <c r="BX82" s="195">
        <f>COUNTIF($G82:$BP82,"nt7")</f>
        <v/>
      </c>
      <c r="BY82" s="195">
        <f>COUNTIF($G82:$BP82,"P")+COUNTIF($G82:$BP82,"p5,a5")/2+COUNTIF($G82:$BP82,"p5,b5")/2+COUNTIF($G82:$BP82,"p5,c5")/2+COUNTIF($G82:$BP82,"p5,d5")/2</f>
        <v/>
      </c>
      <c r="BZ82" s="203">
        <f>SUBTOTAL(9,BQ82:BY82)</f>
        <v/>
      </c>
      <c r="CA82" s="54">
        <f>SUM(J82,L82,N82,P82,R82,T82,X82,Z82,AB82,AD82,AF82,AH82,AL82,AN82,AP82,AR82,AT82,AV82,AZ82,BB82,BD82,BF82,BH82,BP82)</f>
        <v/>
      </c>
      <c r="CB82" s="55">
        <f>SUM(H82,V82,AJ82,AX82,BL82)</f>
        <v/>
      </c>
      <c r="CC82" s="56">
        <f>SUM(BJ82,BN82)</f>
        <v/>
      </c>
      <c r="CD82" s="197">
        <f>IF(BZ82&gt;25,4,IF(BZ82&gt;18,3,IF(BZ82&gt;12,2,IF(BZ82&gt;4,1,0))))-BX82-2+1</f>
        <v/>
      </c>
      <c r="CE82" s="49" t="n"/>
      <c r="CF82" s="197">
        <f>CD82*CI82</f>
        <v/>
      </c>
      <c r="CG82" s="198">
        <f>F82-BY82+1</f>
        <v/>
      </c>
      <c r="CH82" s="197">
        <f>CE82*16</f>
        <v/>
      </c>
      <c r="CI82" s="199">
        <f>VLOOKUP(A82,[1]DATA!$A$6:$AI$331,34,0)</f>
        <v/>
      </c>
      <c r="CJ82" s="200">
        <f>VLOOKUP(A82,[2]CHAMCONG!A$7:CI$333,79,0)</f>
        <v/>
      </c>
      <c r="CK82" s="201">
        <f>CJ82-CA82</f>
        <v/>
      </c>
    </row>
    <row r="83" ht="15.75" customFormat="1" customHeight="1" s="68">
      <c r="A83" s="69" t="n"/>
      <c r="B83" s="64" t="n"/>
      <c r="C83" s="115" t="n"/>
      <c r="D83" s="46" t="n"/>
      <c r="E83" s="47" t="n"/>
      <c r="F83" s="48" t="n"/>
      <c r="G83" s="49" t="n"/>
      <c r="H83" s="73" t="n"/>
      <c r="I83" s="50" t="n"/>
      <c r="J83" s="73" t="n"/>
      <c r="K83" s="50" t="n"/>
      <c r="L83" s="73" t="n"/>
      <c r="M83" s="50" t="n"/>
      <c r="N83" s="73" t="n"/>
      <c r="O83" s="50" t="n"/>
      <c r="P83" s="73" t="n"/>
      <c r="Q83" s="50" t="n"/>
      <c r="R83" s="67" t="n"/>
      <c r="S83" s="50" t="n"/>
      <c r="T83" s="73" t="n"/>
      <c r="U83" s="50" t="n"/>
      <c r="V83" s="73" t="n"/>
      <c r="W83" s="50" t="n"/>
      <c r="X83" s="73" t="n"/>
      <c r="Y83" s="50" t="n"/>
      <c r="Z83" s="73" t="n"/>
      <c r="AA83" s="50" t="n"/>
      <c r="AB83" s="73" t="n"/>
      <c r="AC83" s="50" t="n"/>
      <c r="AD83" s="73" t="n"/>
      <c r="AE83" s="50" t="n"/>
      <c r="AF83" s="67" t="n"/>
      <c r="AG83" s="50" t="n"/>
      <c r="AH83" s="73" t="n"/>
      <c r="AI83" s="50" t="n"/>
      <c r="AJ83" s="73" t="n"/>
      <c r="AK83" s="50" t="n"/>
      <c r="AL83" s="73" t="n"/>
      <c r="AM83" s="50" t="n"/>
      <c r="AN83" s="73" t="n"/>
      <c r="AO83" s="50" t="n"/>
      <c r="AP83" s="73" t="n"/>
      <c r="AQ83" s="50" t="n"/>
      <c r="AR83" s="73" t="n"/>
      <c r="AS83" s="50" t="n"/>
      <c r="AT83" s="67" t="n"/>
      <c r="AU83" s="50" t="n"/>
      <c r="AV83" s="73" t="n"/>
      <c r="AW83" s="73" t="n"/>
      <c r="AX83" s="73" t="n"/>
      <c r="AY83" s="50" t="n"/>
      <c r="AZ83" s="73" t="n"/>
      <c r="BA83" s="50" t="n"/>
      <c r="BB83" s="73" t="n"/>
      <c r="BC83" s="50" t="n"/>
      <c r="BD83" s="73" t="n"/>
      <c r="BE83" s="50" t="n"/>
      <c r="BF83" s="73" t="n"/>
      <c r="BG83" s="50" t="n"/>
      <c r="BH83" s="67" t="n"/>
      <c r="BI83" s="73" t="n"/>
      <c r="BJ83" s="73" t="n"/>
      <c r="BK83" s="73" t="n"/>
      <c r="BL83" s="73" t="n"/>
      <c r="BM83" s="73" t="n"/>
      <c r="BN83" s="73" t="n"/>
      <c r="BO83" s="73" t="n"/>
      <c r="BP83" s="73" t="n"/>
      <c r="BQ83" s="195">
        <f>COUNTIF($G83:$BP83,"a")+COUNTIF($G83:$BP83,"r0,a5")/2+COUNTIF($G83:$BP83,"p5,a5")/2</f>
        <v/>
      </c>
      <c r="BR83" s="195">
        <f>COUNTIF($G83:$BP83,"d")+COUNTIF($G83:$BP83,"r0,d5")/2+COUNTIF($G83:$BP83,"p5,d5")/2</f>
        <v/>
      </c>
      <c r="BS83" s="195">
        <f>COUNTIF($G83:$BP83,"b")+COUNTIF($G83:$BP83,"r0,b5")/2+COUNTIF($G83:$BP83,"p5,b5")/2</f>
        <v/>
      </c>
      <c r="BT83" s="195">
        <f>COUNTIF($G83:$BP83,"c")+COUNTIF($G83:$BP83,"r0,c5")/2+COUNTIF($G83:$BP83,"p5,c5")/2</f>
        <v/>
      </c>
      <c r="BU83" s="195">
        <f>COUNTIF($G83:$BP83,"KH")+COUNTIF($G83:$BP83,"TL")+COUNTIF($G83:$BP83,"L")</f>
        <v/>
      </c>
      <c r="BV83" s="202" t="n"/>
      <c r="BW83" s="195">
        <f>COUNTIF($G83:$BP83,"hh")</f>
        <v/>
      </c>
      <c r="BX83" s="195">
        <f>COUNTIF($G83:$BP83,"nt7")</f>
        <v/>
      </c>
      <c r="BY83" s="195">
        <f>COUNTIF($G83:$BP83,"P")+COUNTIF($G83:$BP83,"p5,a5")/2+COUNTIF($G83:$BP83,"p5,b5")/2+COUNTIF($G83:$BP83,"p5,c5")/2+COUNTIF($G83:$BP83,"p5,d5")/2</f>
        <v/>
      </c>
      <c r="BZ83" s="203">
        <f>SUBTOTAL(9,BQ83:BY83)</f>
        <v/>
      </c>
      <c r="CA83" s="54">
        <f>SUM(J83,L83,N83,P83,R83,T83,X83,Z83,AB83,AD83,AF83,AH83,AL83,AN83,AP83,AR83,AT83,AV83,AZ83,BB83,BD83,BF83,BH83,BP83)</f>
        <v/>
      </c>
      <c r="CB83" s="55">
        <f>SUM(H83,V83,AJ83,AX83,BL83)</f>
        <v/>
      </c>
      <c r="CC83" s="56">
        <f>SUM(BJ83,BN83)</f>
        <v/>
      </c>
      <c r="CD83" s="197">
        <f>IF(BZ83&gt;25,4,IF(BZ83&gt;18,3,IF(BZ83&gt;12,2,IF(BZ83&gt;4,1,0))))-BX83-2+1</f>
        <v/>
      </c>
      <c r="CE83" s="49" t="n">
        <v>3</v>
      </c>
      <c r="CF83" s="197">
        <f>CD83*CI83</f>
        <v/>
      </c>
      <c r="CG83" s="198">
        <f>F83-BY83+1</f>
        <v/>
      </c>
      <c r="CH83" s="197">
        <f>CE83*16</f>
        <v/>
      </c>
      <c r="CI83" s="199">
        <f>VLOOKUP(A83,[1]DATA!$A$6:$AI$331,34,0)</f>
        <v/>
      </c>
      <c r="CJ83" s="200">
        <f>VLOOKUP(A83,[2]CHAMCONG!A$7:CI$333,79,0)</f>
        <v/>
      </c>
      <c r="CK83" s="201">
        <f>CJ83-CA83</f>
        <v/>
      </c>
    </row>
    <row r="84" ht="15.75" customFormat="1" customHeight="1" s="68">
      <c r="A84" s="139" t="n"/>
      <c r="B84" s="64" t="n"/>
      <c r="C84" s="115" t="n"/>
      <c r="D84" s="46" t="n"/>
      <c r="E84" s="47" t="n"/>
      <c r="F84" s="48" t="n"/>
      <c r="G84" s="49" t="n"/>
      <c r="H84" s="73" t="n"/>
      <c r="I84" s="49" t="n"/>
      <c r="J84" s="73" t="n"/>
      <c r="K84" s="49" t="n"/>
      <c r="L84" s="73" t="n"/>
      <c r="M84" s="49" t="n"/>
      <c r="N84" s="73" t="n"/>
      <c r="O84" s="49" t="n"/>
      <c r="P84" s="73" t="n"/>
      <c r="Q84" s="49" t="n"/>
      <c r="R84" s="73" t="n"/>
      <c r="S84" s="49" t="n"/>
      <c r="T84" s="73" t="n"/>
      <c r="U84" s="49" t="n"/>
      <c r="V84" s="73" t="n"/>
      <c r="W84" s="49" t="n"/>
      <c r="X84" s="73" t="n"/>
      <c r="Y84" s="49" t="n"/>
      <c r="Z84" s="73" t="n"/>
      <c r="AA84" s="49" t="n"/>
      <c r="AB84" s="73" t="n"/>
      <c r="AC84" s="49" t="n"/>
      <c r="AD84" s="73" t="n"/>
      <c r="AE84" s="49" t="n"/>
      <c r="AF84" s="73" t="n"/>
      <c r="AG84" s="49" t="n"/>
      <c r="AH84" s="73" t="n"/>
      <c r="AI84" s="73" t="n"/>
      <c r="AJ84" s="73" t="n"/>
      <c r="AK84" s="49" t="n"/>
      <c r="AL84" s="73" t="n"/>
      <c r="AM84" s="49" t="n"/>
      <c r="AN84" s="73" t="n"/>
      <c r="AO84" s="49" t="n"/>
      <c r="AP84" s="73" t="n"/>
      <c r="AQ84" s="49" t="n"/>
      <c r="AR84" s="73" t="n"/>
      <c r="AS84" s="49" t="n"/>
      <c r="AT84" s="73" t="n"/>
      <c r="AU84" s="49" t="n"/>
      <c r="AV84" s="73" t="n"/>
      <c r="AW84" s="73" t="n"/>
      <c r="AX84" s="73" t="n"/>
      <c r="AY84" s="49" t="n"/>
      <c r="AZ84" s="73" t="n"/>
      <c r="BA84" s="49" t="n"/>
      <c r="BB84" s="73" t="n"/>
      <c r="BC84" s="49" t="n"/>
      <c r="BD84" s="73" t="n"/>
      <c r="BE84" s="49" t="n"/>
      <c r="BF84" s="73" t="n"/>
      <c r="BG84" s="49" t="n"/>
      <c r="BH84" s="73" t="n"/>
      <c r="BI84" s="73" t="n"/>
      <c r="BJ84" s="73" t="n"/>
      <c r="BK84" s="73" t="n"/>
      <c r="BL84" s="73" t="n"/>
      <c r="BM84" s="73" t="n"/>
      <c r="BN84" s="73" t="n"/>
      <c r="BO84" s="73" t="n"/>
      <c r="BP84" s="73" t="n"/>
      <c r="BQ84" s="195">
        <f>COUNTIF($G84:$BP84,"a")+COUNTIF($G84:$BP84,"r0,a5")/2+COUNTIF($G84:$BP84,"p5,a5")/2</f>
        <v/>
      </c>
      <c r="BR84" s="195">
        <f>COUNTIF($G84:$BP84,"d")+COUNTIF($G84:$BP84,"r0,d5")/2+COUNTIF($G84:$BP84,"p5,d5")/2</f>
        <v/>
      </c>
      <c r="BS84" s="195">
        <f>COUNTIF($G84:$BP84,"b")+COUNTIF($G84:$BP84,"r0,b5")/2+COUNTIF($G84:$BP84,"p5,b5")/2</f>
        <v/>
      </c>
      <c r="BT84" s="195">
        <f>COUNTIF($G84:$BP84,"c")+COUNTIF($G84:$BP84,"r0,c5")/2+COUNTIF($G84:$BP84,"p5,c5")/2</f>
        <v/>
      </c>
      <c r="BU84" s="195">
        <f>COUNTIF($G84:$BP84,"KH")+COUNTIF($G84:$BP84,"TL")+COUNTIF($G84:$BP84,"L")</f>
        <v/>
      </c>
      <c r="BV84" s="202" t="n"/>
      <c r="BW84" s="195">
        <f>COUNTIF($G84:$BP84,"hh")</f>
        <v/>
      </c>
      <c r="BX84" s="195">
        <f>COUNTIF($G84:$BP84,"nt7")</f>
        <v/>
      </c>
      <c r="BY84" s="195">
        <f>COUNTIF($G84:$BP84,"P")+COUNTIF($G84:$BP84,"p5,a5")/2+COUNTIF($G84:$BP84,"p5,b5")/2+COUNTIF($G84:$BP84,"p5,c5")/2+COUNTIF($G84:$BP84,"p5,d5")/2</f>
        <v/>
      </c>
      <c r="BZ84" s="203">
        <f>SUBTOTAL(9,BQ84:BY84)</f>
        <v/>
      </c>
      <c r="CA84" s="54">
        <f>SUM(J84,L84,N84,P84,R84,T84,X84,Z84,AB84,AD84,AF84,AH84,AL84,AN84,AP84,AR84,AT84,AV84,AZ84,BB84,BD84,BF84,BH84,BP84)</f>
        <v/>
      </c>
      <c r="CB84" s="55">
        <f>SUM(H84,V84,AJ84,AX84,BL84)</f>
        <v/>
      </c>
      <c r="CC84" s="56">
        <f>SUM(BJ84,BN84)</f>
        <v/>
      </c>
      <c r="CD84" s="197">
        <f>IF(BZ84&gt;25,4,IF(BZ84&gt;18,3,IF(BZ84&gt;12,2,IF(BZ84&gt;4,1,0))))-BX84-2+1</f>
        <v/>
      </c>
      <c r="CE84" s="49" t="n">
        <v>2</v>
      </c>
      <c r="CF84" s="197">
        <f>CD84*CI84</f>
        <v/>
      </c>
      <c r="CG84" s="198">
        <f>F84-BY84+1</f>
        <v/>
      </c>
      <c r="CH84" s="197">
        <f>CE84*16</f>
        <v/>
      </c>
      <c r="CI84" s="199">
        <f>VLOOKUP(A84,[1]DATA!$A$6:$AI$331,34,0)</f>
        <v/>
      </c>
      <c r="CJ84" s="200">
        <f>VLOOKUP(A84,[2]CHAMCONG!A$7:CI$333,79,0)</f>
        <v/>
      </c>
      <c r="CK84" s="201">
        <f>CJ84-CA84</f>
        <v/>
      </c>
    </row>
    <row r="85" ht="15.75" customFormat="1" customHeight="1" s="68">
      <c r="A85" s="139" t="n"/>
      <c r="B85" s="64" t="n"/>
      <c r="C85" s="115" t="n"/>
      <c r="D85" s="46" t="n"/>
      <c r="E85" s="47" t="n"/>
      <c r="F85" s="48" t="n"/>
      <c r="G85" s="49" t="n"/>
      <c r="H85" s="73" t="n"/>
      <c r="I85" s="50" t="n"/>
      <c r="J85" s="73" t="n"/>
      <c r="K85" s="50" t="n"/>
      <c r="L85" s="73" t="n"/>
      <c r="M85" s="50" t="n"/>
      <c r="N85" s="73" t="n"/>
      <c r="O85" s="50" t="n"/>
      <c r="P85" s="73" t="n"/>
      <c r="Q85" s="50" t="n"/>
      <c r="R85" s="67" t="n"/>
      <c r="S85" s="50" t="n"/>
      <c r="T85" s="73" t="n"/>
      <c r="U85" s="50" t="n"/>
      <c r="V85" s="73" t="n"/>
      <c r="W85" s="50" t="n"/>
      <c r="X85" s="73" t="n"/>
      <c r="Y85" s="50" t="n"/>
      <c r="Z85" s="73" t="n"/>
      <c r="AA85" s="50" t="n"/>
      <c r="AB85" s="73" t="n"/>
      <c r="AC85" s="50" t="n"/>
      <c r="AD85" s="73" t="n"/>
      <c r="AE85" s="50" t="n"/>
      <c r="AF85" s="67" t="n"/>
      <c r="AG85" s="50" t="n"/>
      <c r="AH85" s="73" t="n"/>
      <c r="AI85" s="50" t="n"/>
      <c r="AJ85" s="73" t="n"/>
      <c r="AK85" s="50" t="n"/>
      <c r="AL85" s="73" t="n"/>
      <c r="AM85" s="50" t="n"/>
      <c r="AN85" s="73" t="n"/>
      <c r="AO85" s="50" t="n"/>
      <c r="AP85" s="73" t="n"/>
      <c r="AQ85" s="50" t="n"/>
      <c r="AR85" s="73" t="n"/>
      <c r="AS85" s="50" t="n"/>
      <c r="AT85" s="67" t="n"/>
      <c r="AU85" s="50" t="n"/>
      <c r="AV85" s="73" t="n"/>
      <c r="AW85" s="73" t="n"/>
      <c r="AX85" s="73" t="n"/>
      <c r="AY85" s="50" t="n"/>
      <c r="AZ85" s="73" t="n"/>
      <c r="BA85" s="50" t="n"/>
      <c r="BB85" s="73" t="n"/>
      <c r="BC85" s="50" t="n"/>
      <c r="BD85" s="73" t="n"/>
      <c r="BE85" s="50" t="n"/>
      <c r="BF85" s="73" t="n"/>
      <c r="BG85" s="50" t="n"/>
      <c r="BH85" s="67" t="n"/>
      <c r="BI85" s="73" t="n"/>
      <c r="BJ85" s="73" t="n"/>
      <c r="BK85" s="73" t="n"/>
      <c r="BL85" s="73" t="n"/>
      <c r="BM85" s="73" t="n"/>
      <c r="BN85" s="73" t="n"/>
      <c r="BO85" s="73" t="n"/>
      <c r="BP85" s="73" t="n"/>
      <c r="BQ85" s="195">
        <f>COUNTIF($G85:$BP85,"a")+COUNTIF($G85:$BP85,"r0,a5")/2+COUNTIF($G85:$BP85,"p5,a5")/2</f>
        <v/>
      </c>
      <c r="BR85" s="195">
        <f>COUNTIF($G85:$BP85,"d")+COUNTIF($G85:$BP85,"r0,d5")/2+COUNTIF($G85:$BP85,"p5,d5")/2</f>
        <v/>
      </c>
      <c r="BS85" s="195">
        <f>COUNTIF($G85:$BP85,"b")+COUNTIF($G85:$BP85,"r0,b5")/2+COUNTIF($G85:$BP85,"p5,b5")/2</f>
        <v/>
      </c>
      <c r="BT85" s="195">
        <f>COUNTIF($G85:$BP85,"c")+COUNTIF($G85:$BP85,"r0,c5")/2+COUNTIF($G85:$BP85,"p5,c5")/2</f>
        <v/>
      </c>
      <c r="BU85" s="195">
        <f>COUNTIF($G85:$BP85,"KH")+COUNTIF($G85:$BP85,"TL")+COUNTIF($G85:$BP85,"L")</f>
        <v/>
      </c>
      <c r="BV85" s="202" t="n"/>
      <c r="BW85" s="195">
        <f>COUNTIF($G85:$BP85,"hh")</f>
        <v/>
      </c>
      <c r="BX85" s="195">
        <f>COUNTIF($G85:$BP85,"nt7")</f>
        <v/>
      </c>
      <c r="BY85" s="195">
        <f>COUNTIF($G85:$BP85,"P")+COUNTIF($G85:$BP85,"p5,a5")/2+COUNTIF($G85:$BP85,"p5,b5")/2+COUNTIF($G85:$BP85,"p5,c5")/2+COUNTIF($G85:$BP85,"p5,d5")/2</f>
        <v/>
      </c>
      <c r="BZ85" s="203">
        <f>SUBTOTAL(9,BQ85:BY85)</f>
        <v/>
      </c>
      <c r="CA85" s="54">
        <f>SUM(J85,L85,N85,P85,R85,T85,X85,Z85,AB85,AD85,AF85,AH85,AL85,AN85,AP85,AR85,AT85,AV85,AZ85,BB85,BD85,BF85,BH85,BP85)</f>
        <v/>
      </c>
      <c r="CB85" s="55">
        <f>SUM(H85,V85,AJ85,AX85,BL85)</f>
        <v/>
      </c>
      <c r="CC85" s="56">
        <f>SUM(BJ85,BN85)</f>
        <v/>
      </c>
      <c r="CD85" s="197">
        <f>IF(BZ85&gt;25,4,IF(BZ85&gt;18,3,IF(BZ85&gt;12,2,IF(BZ85&gt;4,1,0))))-BX85-2+1</f>
        <v/>
      </c>
      <c r="CE85" s="49" t="n">
        <v>4</v>
      </c>
      <c r="CF85" s="197">
        <f>CD85*CI85</f>
        <v/>
      </c>
      <c r="CG85" s="198">
        <f>F85-BY85+1</f>
        <v/>
      </c>
      <c r="CH85" s="197">
        <f>CE85*16</f>
        <v/>
      </c>
      <c r="CI85" s="199">
        <f>VLOOKUP(A85,[1]DATA!$A$6:$AI$331,34,0)</f>
        <v/>
      </c>
      <c r="CJ85" s="200">
        <f>VLOOKUP(A85,[2]CHAMCONG!A$7:CI$333,79,0)</f>
        <v/>
      </c>
      <c r="CK85" s="201">
        <f>CJ85-CA85</f>
        <v/>
      </c>
    </row>
    <row r="86" ht="15.75" customFormat="1" customHeight="1" s="68">
      <c r="A86" s="69" t="n"/>
      <c r="B86" s="64" t="n"/>
      <c r="C86" s="115" t="n"/>
      <c r="D86" s="46" t="n"/>
      <c r="E86" s="47" t="n"/>
      <c r="F86" s="48" t="n"/>
      <c r="G86" s="49" t="n"/>
      <c r="H86" s="73" t="n"/>
      <c r="I86" s="50" t="n"/>
      <c r="J86" s="73" t="n"/>
      <c r="K86" s="50" t="n"/>
      <c r="L86" s="73" t="n"/>
      <c r="M86" s="50" t="n"/>
      <c r="N86" s="73" t="n"/>
      <c r="O86" s="50" t="n"/>
      <c r="P86" s="73" t="n"/>
      <c r="Q86" s="50" t="n"/>
      <c r="R86" s="67" t="n"/>
      <c r="S86" s="50" t="n"/>
      <c r="T86" s="73" t="n"/>
      <c r="U86" s="50" t="n"/>
      <c r="V86" s="73" t="n"/>
      <c r="W86" s="50" t="n"/>
      <c r="X86" s="73" t="n"/>
      <c r="Y86" s="50" t="n"/>
      <c r="Z86" s="73" t="n"/>
      <c r="AA86" s="50" t="n"/>
      <c r="AB86" s="73" t="n"/>
      <c r="AC86" s="50" t="n"/>
      <c r="AD86" s="73" t="n"/>
      <c r="AE86" s="50" t="n"/>
      <c r="AF86" s="67" t="n"/>
      <c r="AG86" s="50" t="n"/>
      <c r="AH86" s="73" t="n"/>
      <c r="AI86" s="50" t="n"/>
      <c r="AJ86" s="73" t="n"/>
      <c r="AK86" s="50" t="n"/>
      <c r="AL86" s="73" t="n"/>
      <c r="AM86" s="50" t="n"/>
      <c r="AN86" s="73" t="n"/>
      <c r="AO86" s="50" t="n"/>
      <c r="AP86" s="73" t="n"/>
      <c r="AQ86" s="50" t="n"/>
      <c r="AR86" s="73" t="n"/>
      <c r="AS86" s="50" t="n"/>
      <c r="AT86" s="67" t="n"/>
      <c r="AU86" s="73" t="n"/>
      <c r="AV86" s="73" t="n"/>
      <c r="AW86" s="73" t="n"/>
      <c r="AX86" s="73" t="n"/>
      <c r="AY86" s="50" t="n"/>
      <c r="AZ86" s="73" t="n"/>
      <c r="BA86" s="50" t="n"/>
      <c r="BB86" s="73" t="n"/>
      <c r="BC86" s="50" t="n"/>
      <c r="BD86" s="73" t="n"/>
      <c r="BE86" s="50" t="n"/>
      <c r="BF86" s="73" t="n"/>
      <c r="BG86" s="50" t="n"/>
      <c r="BH86" s="67" t="n"/>
      <c r="BI86" s="73" t="n"/>
      <c r="BJ86" s="73" t="n"/>
      <c r="BK86" s="73" t="n"/>
      <c r="BL86" s="73" t="n"/>
      <c r="BM86" s="73" t="n"/>
      <c r="BN86" s="73" t="n"/>
      <c r="BO86" s="73" t="n"/>
      <c r="BP86" s="73" t="n"/>
      <c r="BQ86" s="195">
        <f>COUNTIF($G86:$BP86,"a")+COUNTIF($G86:$BP86,"r0,a5")/2+COUNTIF($G86:$BP86,"p5,a5")/2</f>
        <v/>
      </c>
      <c r="BR86" s="195">
        <f>COUNTIF($G86:$BP86,"d")+COUNTIF($G86:$BP86,"r0,d5")/2+COUNTIF($G86:$BP86,"p5,d5")/2</f>
        <v/>
      </c>
      <c r="BS86" s="195">
        <f>COUNTIF($G86:$BP86,"b")+COUNTIF($G86:$BP86,"r0,b5")/2+COUNTIF($G86:$BP86,"p5,b5")/2</f>
        <v/>
      </c>
      <c r="BT86" s="195">
        <f>COUNTIF($G86:$BP86,"c")+COUNTIF($G86:$BP86,"r0,c5")/2+COUNTIF($G86:$BP86,"p5,c5")/2</f>
        <v/>
      </c>
      <c r="BU86" s="195">
        <f>COUNTIF($G86:$BP86,"KH")+COUNTIF($G86:$BP86,"TL")+COUNTIF($G86:$BP86,"L")</f>
        <v/>
      </c>
      <c r="BV86" s="202" t="n"/>
      <c r="BW86" s="195">
        <f>COUNTIF($G86:$BP86,"hh")</f>
        <v/>
      </c>
      <c r="BX86" s="195">
        <f>COUNTIF($G86:$BP86,"nt7")</f>
        <v/>
      </c>
      <c r="BY86" s="195">
        <f>COUNTIF($G86:$BP86,"P")+COUNTIF($G86:$BP86,"p5,a5")/2+COUNTIF($G86:$BP86,"p5,b5")/2+COUNTIF($G86:$BP86,"p5,c5")/2+COUNTIF($G86:$BP86,"p5,d5")/2</f>
        <v/>
      </c>
      <c r="BZ86" s="203">
        <f>SUBTOTAL(9,BQ86:BY86)</f>
        <v/>
      </c>
      <c r="CA86" s="54">
        <f>SUM(J86,L86,N86,P86,R86,T86,X86,Z86,AB86,AD86,AF86,AH86,AL86,AN86,AP86,AR86,AT86,AV86,AZ86,BB86,BD86,BF86,BH86,BP86)</f>
        <v/>
      </c>
      <c r="CB86" s="55">
        <f>SUM(H86,V86,AJ86,AX86,BL86)</f>
        <v/>
      </c>
      <c r="CC86" s="56">
        <f>SUM(BJ86,BN86)</f>
        <v/>
      </c>
      <c r="CD86" s="197">
        <f>IF(BZ86&gt;25,4,IF(BZ86&gt;18,3,IF(BZ86&gt;12,2,IF(BZ86&gt;4,1,0))))-BX86-2+1</f>
        <v/>
      </c>
      <c r="CE86" s="49" t="n">
        <v>4</v>
      </c>
      <c r="CF86" s="197">
        <f>CD86*CI86</f>
        <v/>
      </c>
      <c r="CG86" s="198">
        <f>F86-BY86+1</f>
        <v/>
      </c>
      <c r="CH86" s="197">
        <f>CE86*16</f>
        <v/>
      </c>
      <c r="CI86" s="199">
        <f>VLOOKUP(A86,[1]DATA!$A$6:$AI$331,34,0)</f>
        <v/>
      </c>
      <c r="CJ86" s="200">
        <f>VLOOKUP(A86,[2]CHAMCONG!A$7:CI$333,79,0)</f>
        <v/>
      </c>
      <c r="CK86" s="201">
        <f>CJ86-CA86</f>
        <v/>
      </c>
    </row>
    <row r="87" ht="15.75" customFormat="1" customHeight="1" s="68">
      <c r="A87" s="69" t="n"/>
      <c r="B87" s="64" t="n"/>
      <c r="C87" s="115" t="n"/>
      <c r="D87" s="46" t="n"/>
      <c r="E87" s="47" t="n"/>
      <c r="F87" s="48" t="n"/>
      <c r="G87" s="49" t="n"/>
      <c r="H87" s="73" t="n"/>
      <c r="I87" s="50" t="n"/>
      <c r="J87" s="73" t="n"/>
      <c r="K87" s="73" t="n"/>
      <c r="L87" s="73" t="n"/>
      <c r="M87" s="73" t="n"/>
      <c r="N87" s="73" t="n"/>
      <c r="O87" s="50" t="n"/>
      <c r="P87" s="73" t="n"/>
      <c r="Q87" s="73" t="n"/>
      <c r="R87" s="73" t="n"/>
      <c r="S87" s="73" t="n"/>
      <c r="T87" s="73" t="n"/>
      <c r="U87" s="49" t="n"/>
      <c r="V87" s="73" t="n"/>
      <c r="W87" s="50" t="n"/>
      <c r="X87" s="73" t="n"/>
      <c r="Y87" s="73" t="n"/>
      <c r="Z87" s="73" t="n"/>
      <c r="AA87" s="73" t="n"/>
      <c r="AB87" s="73" t="n"/>
      <c r="AC87" s="50" t="n"/>
      <c r="AD87" s="73" t="n"/>
      <c r="AE87" s="73" t="n"/>
      <c r="AF87" s="73" t="n"/>
      <c r="AG87" s="73" t="n"/>
      <c r="AH87" s="73" t="n"/>
      <c r="AI87" s="73" t="n"/>
      <c r="AJ87" s="73" t="n"/>
      <c r="AK87" s="73" t="n"/>
      <c r="AL87" s="73" t="n"/>
      <c r="AM87" s="73" t="n"/>
      <c r="AN87" s="73" t="n"/>
      <c r="AO87" s="73" t="n"/>
      <c r="AP87" s="73" t="n"/>
      <c r="AQ87" s="73" t="n"/>
      <c r="AR87" s="73" t="n"/>
      <c r="AS87" s="73" t="n"/>
      <c r="AT87" s="73" t="n"/>
      <c r="AU87" s="73" t="n"/>
      <c r="AV87" s="73" t="n"/>
      <c r="AW87" s="73" t="n"/>
      <c r="AX87" s="73" t="n"/>
      <c r="AY87" s="73" t="n"/>
      <c r="AZ87" s="73" t="n"/>
      <c r="BA87" s="73" t="n"/>
      <c r="BB87" s="73" t="n"/>
      <c r="BC87" s="73" t="n"/>
      <c r="BD87" s="73" t="n"/>
      <c r="BE87" s="73" t="n"/>
      <c r="BF87" s="73" t="n"/>
      <c r="BG87" s="73" t="n"/>
      <c r="BH87" s="73" t="n"/>
      <c r="BI87" s="73" t="n"/>
      <c r="BJ87" s="73" t="n"/>
      <c r="BK87" s="73" t="n"/>
      <c r="BL87" s="73" t="n"/>
      <c r="BM87" s="73" t="n"/>
      <c r="BN87" s="73" t="n"/>
      <c r="BO87" s="73" t="n"/>
      <c r="BP87" s="73" t="n"/>
      <c r="BQ87" s="195">
        <f>COUNTIF($G87:$BP87,"a")+COUNTIF($G87:$BP87,"r0,a5")/2+COUNTIF($G87:$BP87,"p5,a5")/2</f>
        <v/>
      </c>
      <c r="BR87" s="195">
        <f>COUNTIF($G87:$BP87,"d")+COUNTIF($G87:$BP87,"r0,d5")/2+COUNTIF($G87:$BP87,"p5,d5")/2</f>
        <v/>
      </c>
      <c r="BS87" s="195">
        <f>COUNTIF($G87:$BP87,"b")+COUNTIF($G87:$BP87,"r0,b5")/2+COUNTIF($G87:$BP87,"p5,b5")/2</f>
        <v/>
      </c>
      <c r="BT87" s="195">
        <f>COUNTIF($G87:$BP87,"c")+COUNTIF($G87:$BP87,"r0,c5")/2+COUNTIF($G87:$BP87,"p5,c5")/2</f>
        <v/>
      </c>
      <c r="BU87" s="195">
        <f>COUNTIF($G87:$BP87,"KH")+COUNTIF($G87:$BP87,"TL")+COUNTIF($G87:$BP87,"L")</f>
        <v/>
      </c>
      <c r="BV87" s="202" t="n"/>
      <c r="BW87" s="195">
        <f>COUNTIF($G87:$BP87,"hh")</f>
        <v/>
      </c>
      <c r="BX87" s="195">
        <f>COUNTIF($G87:$BP87,"nt7")</f>
        <v/>
      </c>
      <c r="BY87" s="195">
        <f>COUNTIF($G87:$BP87,"P")+COUNTIF($G87:$BP87,"p5,a5")/2+COUNTIF($G87:$BP87,"p5,b5")/2+COUNTIF($G87:$BP87,"p5,c5")/2+COUNTIF($G87:$BP87,"p5,d5")/2</f>
        <v/>
      </c>
      <c r="BZ87" s="203">
        <f>SUBTOTAL(9,BQ87:BY87)</f>
        <v/>
      </c>
      <c r="CA87" s="54">
        <f>SUM(J87,L87,N87,P87,R87,T87,X87,Z87,AB87,AD87,AF87,AH87,AL87,AN87,AP87,AR87,AT87,AV87,AZ87,BB87,BD87,BF87,BH87,BP87)</f>
        <v/>
      </c>
      <c r="CB87" s="55">
        <f>SUM(H87,V87,AJ87,AX87,BL87)</f>
        <v/>
      </c>
      <c r="CC87" s="56">
        <f>SUM(BJ87,BN87)</f>
        <v/>
      </c>
      <c r="CD87" s="197">
        <f>IF(BZ87&gt;25,4,IF(BZ87&gt;18,3,IF(BZ87&gt;12,2,IF(BZ87&gt;4,1,0))))-BX87-2+1</f>
        <v/>
      </c>
      <c r="CE87" s="49" t="n"/>
      <c r="CF87" s="197">
        <f>CD87*CI87</f>
        <v/>
      </c>
      <c r="CG87" s="198">
        <f>F87-BY87+1</f>
        <v/>
      </c>
      <c r="CH87" s="197">
        <f>CE87*16</f>
        <v/>
      </c>
      <c r="CI87" s="199">
        <f>VLOOKUP(A87,[1]DATA!$A$6:$AI$331,34,0)</f>
        <v/>
      </c>
      <c r="CJ87" s="200">
        <f>VLOOKUP(A87,[2]CHAMCONG!A$7:CI$333,79,0)</f>
        <v/>
      </c>
      <c r="CK87" s="201">
        <f>CJ87-CA87</f>
        <v/>
      </c>
    </row>
    <row r="88" ht="15.75" customFormat="1" customHeight="1" s="68">
      <c r="A88" s="69" t="n"/>
      <c r="B88" s="64" t="n"/>
      <c r="C88" s="115" t="n"/>
      <c r="D88" s="46" t="n"/>
      <c r="E88" s="47" t="n"/>
      <c r="F88" s="48" t="n"/>
      <c r="G88" s="49" t="n"/>
      <c r="H88" s="73" t="n"/>
      <c r="I88" s="73" t="n"/>
      <c r="J88" s="73" t="n"/>
      <c r="K88" s="73" t="n"/>
      <c r="L88" s="73" t="n"/>
      <c r="M88" s="73" t="n"/>
      <c r="N88" s="73" t="n"/>
      <c r="O88" s="73" t="n"/>
      <c r="P88" s="73" t="n"/>
      <c r="Q88" s="73" t="n"/>
      <c r="R88" s="73" t="n"/>
      <c r="S88" s="49" t="n"/>
      <c r="T88" s="73" t="n"/>
      <c r="U88" s="49" t="n"/>
      <c r="V88" s="73" t="n"/>
      <c r="W88" s="73" t="n"/>
      <c r="X88" s="73" t="n"/>
      <c r="Y88" s="73" t="n"/>
      <c r="Z88" s="73" t="n"/>
      <c r="AA88" s="50" t="n"/>
      <c r="AB88" s="73" t="n"/>
      <c r="AC88" s="50" t="n"/>
      <c r="AD88" s="73" t="n"/>
      <c r="AE88" s="50" t="n"/>
      <c r="AF88" s="67" t="n"/>
      <c r="AG88" s="50" t="n"/>
      <c r="AH88" s="73" t="n"/>
      <c r="AI88" s="73" t="n"/>
      <c r="AJ88" s="73" t="n"/>
      <c r="AK88" s="73" t="n"/>
      <c r="AL88" s="73" t="n"/>
      <c r="AM88" s="73" t="n"/>
      <c r="AN88" s="73" t="n"/>
      <c r="AO88" s="73" t="n"/>
      <c r="AP88" s="73" t="n"/>
      <c r="AQ88" s="73" t="n"/>
      <c r="AR88" s="73" t="n"/>
      <c r="AS88" s="73" t="n"/>
      <c r="AT88" s="73" t="n"/>
      <c r="AU88" s="73" t="n"/>
      <c r="AV88" s="73" t="n"/>
      <c r="AW88" s="73" t="n"/>
      <c r="AX88" s="73" t="n"/>
      <c r="AY88" s="49" t="n"/>
      <c r="AZ88" s="73" t="n"/>
      <c r="BA88" s="73" t="n"/>
      <c r="BB88" s="73" t="n"/>
      <c r="BC88" s="73" t="n"/>
      <c r="BD88" s="73" t="n"/>
      <c r="BE88" s="73" t="n"/>
      <c r="BF88" s="73" t="n"/>
      <c r="BG88" s="73" t="n"/>
      <c r="BH88" s="73" t="n"/>
      <c r="BI88" s="73" t="n"/>
      <c r="BJ88" s="73" t="n"/>
      <c r="BK88" s="73" t="n"/>
      <c r="BL88" s="73" t="n"/>
      <c r="BM88" s="73" t="n"/>
      <c r="BN88" s="73" t="n"/>
      <c r="BO88" s="73" t="n"/>
      <c r="BP88" s="73" t="n"/>
      <c r="BQ88" s="195">
        <f>COUNTIF($G88:$BP88,"a")+COUNTIF($G88:$BP88,"r0,a5")/2+COUNTIF($G88:$BP88,"p5,a5")/2</f>
        <v/>
      </c>
      <c r="BR88" s="195">
        <f>COUNTIF($G88:$BP88,"d")+COUNTIF($G88:$BP88,"r0,d5")/2+COUNTIF($G88:$BP88,"p5,d5")/2</f>
        <v/>
      </c>
      <c r="BS88" s="195">
        <f>COUNTIF($G88:$BP88,"b")+COUNTIF($G88:$BP88,"r0,b5")/2+COUNTIF($G88:$BP88,"p5,b5")/2</f>
        <v/>
      </c>
      <c r="BT88" s="195">
        <f>COUNTIF($G88:$BP88,"c")+COUNTIF($G88:$BP88,"r0,c5")/2+COUNTIF($G88:$BP88,"p5,c5")/2</f>
        <v/>
      </c>
      <c r="BU88" s="195">
        <f>COUNTIF($G88:$BP88,"KH")+COUNTIF($G88:$BP88,"TL")+COUNTIF($G88:$BP88,"L")</f>
        <v/>
      </c>
      <c r="BV88" s="202" t="n"/>
      <c r="BW88" s="195">
        <f>COUNTIF($G88:$BP88,"hh")</f>
        <v/>
      </c>
      <c r="BX88" s="195">
        <f>COUNTIF($G88:$BP88,"nt7")</f>
        <v/>
      </c>
      <c r="BY88" s="195">
        <f>COUNTIF($G88:$BP88,"P")+COUNTIF($G88:$BP88,"p5,a5")/2+COUNTIF($G88:$BP88,"p5,b5")/2+COUNTIF($G88:$BP88,"p5,c5")/2+COUNTIF($G88:$BP88,"p5,d5")/2</f>
        <v/>
      </c>
      <c r="BZ88" s="203">
        <f>SUBTOTAL(9,BQ88:BY88)</f>
        <v/>
      </c>
      <c r="CA88" s="54">
        <f>SUM(J88,L88,N88,P88,R88,T88,X88,Z88,AB88,AD88,AF88,AH88,AL88,AN88,AP88,AR88,AT88,AV88,AZ88,BB88,BD88,BF88,BH88,BP88)</f>
        <v/>
      </c>
      <c r="CB88" s="55">
        <f>SUM(H88,V88,AJ88,AX88,BL88)</f>
        <v/>
      </c>
      <c r="CC88" s="56">
        <f>SUM(BJ88,BN88)</f>
        <v/>
      </c>
      <c r="CD88" s="197">
        <f>IF(BZ88&gt;25,4,IF(BZ88&gt;18,3,IF(BZ88&gt;12,2,IF(BZ88&gt;4,1,0))))-BX88-2+1</f>
        <v/>
      </c>
      <c r="CE88" s="49" t="n"/>
      <c r="CF88" s="197">
        <f>CD88*CI88</f>
        <v/>
      </c>
      <c r="CG88" s="198">
        <f>F88-BY88+1</f>
        <v/>
      </c>
      <c r="CH88" s="197">
        <f>CE88*16</f>
        <v/>
      </c>
      <c r="CI88" s="199">
        <f>VLOOKUP(A88,[1]DATA!$A$6:$AI$331,34,0)</f>
        <v/>
      </c>
      <c r="CJ88" s="200">
        <f>VLOOKUP(A88,[2]CHAMCONG!A$7:CI$333,79,0)</f>
        <v/>
      </c>
      <c r="CK88" s="201">
        <f>CJ88-CA88</f>
        <v/>
      </c>
    </row>
    <row r="89" ht="15.75" customFormat="1" customHeight="1" s="68">
      <c r="A89" s="69" t="n"/>
      <c r="B89" s="64" t="n"/>
      <c r="C89" s="115" t="n"/>
      <c r="D89" s="46" t="n"/>
      <c r="E89" s="47" t="n"/>
      <c r="F89" s="48" t="n"/>
      <c r="G89" s="49" t="n"/>
      <c r="H89" s="73" t="n"/>
      <c r="I89" s="50" t="n"/>
      <c r="J89" s="73" t="n"/>
      <c r="K89" s="50" t="n"/>
      <c r="L89" s="73" t="n"/>
      <c r="M89" s="50" t="n"/>
      <c r="N89" s="73" t="n"/>
      <c r="O89" s="50" t="n"/>
      <c r="P89" s="73" t="n"/>
      <c r="Q89" s="50" t="n"/>
      <c r="R89" s="67" t="n"/>
      <c r="S89" s="50" t="n"/>
      <c r="T89" s="73" t="n"/>
      <c r="U89" s="49" t="n"/>
      <c r="V89" s="73" t="n"/>
      <c r="W89" s="49" t="n"/>
      <c r="X89" s="73" t="n"/>
      <c r="Y89" s="49" t="n"/>
      <c r="Z89" s="73" t="n"/>
      <c r="AA89" s="49" t="n"/>
      <c r="AB89" s="73" t="n"/>
      <c r="AC89" s="49" t="n"/>
      <c r="AD89" s="73" t="n"/>
      <c r="AE89" s="49" t="n"/>
      <c r="AF89" s="49" t="n"/>
      <c r="AG89" s="49" t="n"/>
      <c r="AH89" s="73" t="n"/>
      <c r="AI89" s="73" t="n"/>
      <c r="AJ89" s="73" t="n"/>
      <c r="AK89" s="49" t="n"/>
      <c r="AL89" s="73" t="n"/>
      <c r="AM89" s="49" t="n"/>
      <c r="AN89" s="73" t="n"/>
      <c r="AO89" s="49" t="n"/>
      <c r="AP89" s="73" t="n"/>
      <c r="AQ89" s="49" t="n"/>
      <c r="AR89" s="73" t="n"/>
      <c r="AS89" s="49" t="n"/>
      <c r="AT89" s="49" t="n"/>
      <c r="AU89" s="49" t="n"/>
      <c r="AV89" s="73" t="n"/>
      <c r="AW89" s="73" t="n"/>
      <c r="AX89" s="73" t="n"/>
      <c r="AY89" s="49" t="n"/>
      <c r="AZ89" s="73" t="n"/>
      <c r="BA89" s="49" t="n"/>
      <c r="BB89" s="73" t="n"/>
      <c r="BC89" s="49" t="n"/>
      <c r="BD89" s="73" t="n"/>
      <c r="BE89" s="49" t="n"/>
      <c r="BF89" s="73" t="n"/>
      <c r="BG89" s="49" t="n"/>
      <c r="BH89" s="49" t="n"/>
      <c r="BI89" s="73" t="n"/>
      <c r="BJ89" s="73" t="n"/>
      <c r="BK89" s="73" t="n"/>
      <c r="BL89" s="73" t="n"/>
      <c r="BM89" s="73" t="n"/>
      <c r="BN89" s="73" t="n"/>
      <c r="BO89" s="73" t="n"/>
      <c r="BP89" s="73" t="n"/>
      <c r="BQ89" s="195">
        <f>COUNTIF($G89:$BP89,"a")+COUNTIF($G89:$BP89,"r0,a5")/2+COUNTIF($G89:$BP89,"p5,a5")/2</f>
        <v/>
      </c>
      <c r="BR89" s="195">
        <f>COUNTIF($G89:$BP89,"d")+COUNTIF($G89:$BP89,"r0,d5")/2+COUNTIF($G89:$BP89,"p5,d5")/2</f>
        <v/>
      </c>
      <c r="BS89" s="195">
        <f>COUNTIF($G89:$BP89,"b")+COUNTIF($G89:$BP89,"r0,b5")/2+COUNTIF($G89:$BP89,"p5,b5")/2</f>
        <v/>
      </c>
      <c r="BT89" s="195">
        <f>COUNTIF($G89:$BP89,"c")+COUNTIF($G89:$BP89,"r0,c5")/2+COUNTIF($G89:$BP89,"p5,c5")/2</f>
        <v/>
      </c>
      <c r="BU89" s="195">
        <f>COUNTIF($G89:$BP89,"KH")+COUNTIF($G89:$BP89,"TL")+COUNTIF($G89:$BP89,"L")</f>
        <v/>
      </c>
      <c r="BV89" s="202" t="n"/>
      <c r="BW89" s="195">
        <f>COUNTIF($G89:$BP89,"hh")</f>
        <v/>
      </c>
      <c r="BX89" s="195">
        <f>COUNTIF($G89:$BP89,"nt7")</f>
        <v/>
      </c>
      <c r="BY89" s="195">
        <f>COUNTIF($G89:$BP89,"P")+COUNTIF($G89:$BP89,"p5,a5")/2+COUNTIF($G89:$BP89,"p5,b5")/2+COUNTIF($G89:$BP89,"p5,c5")/2+COUNTIF($G89:$BP89,"p5,d5")/2</f>
        <v/>
      </c>
      <c r="BZ89" s="203">
        <f>SUBTOTAL(9,BQ89:BY89)</f>
        <v/>
      </c>
      <c r="CA89" s="54">
        <f>SUM(J89,L89,N89,P89,R89,T89,X89,Z89,AB89,AD89,AF89,AH89,AL89,AN89,AP89,AR89,AT89,AV89,AZ89,BB89,BD89,BF89,BH89,BP89)</f>
        <v/>
      </c>
      <c r="CB89" s="55">
        <f>SUM(H89,V89,AJ89,AX89,BL89)</f>
        <v/>
      </c>
      <c r="CC89" s="56">
        <f>SUM(BJ89,BN89)</f>
        <v/>
      </c>
      <c r="CD89" s="197">
        <f>IF(BZ89&gt;25,4,IF(BZ89&gt;18,3,IF(BZ89&gt;12,2,IF(BZ89&gt;4,1,0))))-BX89-2+1</f>
        <v/>
      </c>
      <c r="CE89" s="49" t="n">
        <v>2</v>
      </c>
      <c r="CF89" s="197">
        <f>CD89*CI89</f>
        <v/>
      </c>
      <c r="CG89" s="198">
        <f>F89-BY89+1</f>
        <v/>
      </c>
      <c r="CH89" s="197">
        <f>CE89*16</f>
        <v/>
      </c>
      <c r="CI89" s="199">
        <f>VLOOKUP(A89,[1]DATA!$A$6:$AI$331,34,0)</f>
        <v/>
      </c>
      <c r="CJ89" s="200">
        <f>VLOOKUP(A89,[2]CHAMCONG!A$7:CI$333,79,0)</f>
        <v/>
      </c>
      <c r="CK89" s="201">
        <f>CJ89-CA89</f>
        <v/>
      </c>
    </row>
    <row r="90" ht="15.75" customFormat="1" customHeight="1" s="68">
      <c r="A90" s="69" t="n"/>
      <c r="B90" s="64" t="n"/>
      <c r="C90" s="115" t="n"/>
      <c r="D90" s="46" t="n"/>
      <c r="E90" s="47" t="n"/>
      <c r="F90" s="48" t="n"/>
      <c r="G90" s="49" t="n"/>
      <c r="H90" s="73" t="n"/>
      <c r="I90" s="50" t="n"/>
      <c r="J90" s="73" t="n"/>
      <c r="K90" s="50" t="n"/>
      <c r="L90" s="73" t="n"/>
      <c r="M90" s="50" t="n"/>
      <c r="N90" s="73" t="n"/>
      <c r="O90" s="50" t="n"/>
      <c r="P90" s="73" t="n"/>
      <c r="Q90" s="49" t="n"/>
      <c r="R90" s="73" t="n"/>
      <c r="S90" s="49" t="n"/>
      <c r="T90" s="73" t="n"/>
      <c r="U90" s="49" t="n"/>
      <c r="V90" s="73" t="n"/>
      <c r="W90" s="49" t="n"/>
      <c r="X90" s="73" t="n"/>
      <c r="Y90" s="49" t="n"/>
      <c r="Z90" s="73" t="n"/>
      <c r="AA90" s="49" t="n"/>
      <c r="AB90" s="73" t="n"/>
      <c r="AC90" s="49" t="n"/>
      <c r="AD90" s="73" t="n"/>
      <c r="AE90" s="50" t="n"/>
      <c r="AF90" s="67" t="n"/>
      <c r="AG90" s="50" t="n"/>
      <c r="AH90" s="73" t="n"/>
      <c r="AI90" s="50" t="n"/>
      <c r="AJ90" s="73" t="n"/>
      <c r="AK90" s="50" t="n"/>
      <c r="AL90" s="73" t="n"/>
      <c r="AM90" s="50" t="n"/>
      <c r="AN90" s="73" t="n"/>
      <c r="AO90" s="50" t="n"/>
      <c r="AP90" s="73" t="n"/>
      <c r="AQ90" s="49" t="n"/>
      <c r="AR90" s="73" t="n"/>
      <c r="AS90" s="49" t="n"/>
      <c r="AT90" s="73" t="n"/>
      <c r="AU90" s="49" t="n"/>
      <c r="AV90" s="73" t="n"/>
      <c r="AW90" s="73" t="n"/>
      <c r="AX90" s="73" t="n"/>
      <c r="AY90" s="73" t="n"/>
      <c r="AZ90" s="73" t="n"/>
      <c r="BA90" s="73" t="n"/>
      <c r="BB90" s="73" t="n"/>
      <c r="BC90" s="73" t="n"/>
      <c r="BD90" s="73" t="n"/>
      <c r="BE90" s="73" t="n"/>
      <c r="BF90" s="73" t="n"/>
      <c r="BG90" s="73" t="n"/>
      <c r="BH90" s="73" t="n"/>
      <c r="BI90" s="49" t="n"/>
      <c r="BJ90" s="73" t="n"/>
      <c r="BK90" s="49" t="n"/>
      <c r="BL90" s="73" t="n"/>
      <c r="BM90" s="49" t="n"/>
      <c r="BN90" s="73" t="n"/>
      <c r="BO90" s="49" t="n"/>
      <c r="BP90" s="73" t="n"/>
      <c r="BQ90" s="195">
        <f>COUNTIF($G90:$BP90,"a")+COUNTIF($G90:$BP90,"r0,a5")/2+COUNTIF($G90:$BP90,"p5,a5")/2</f>
        <v/>
      </c>
      <c r="BR90" s="195">
        <f>COUNTIF($G90:$BP90,"d")+COUNTIF($G90:$BP90,"r0,d5")/2+COUNTIF($G90:$BP90,"p5,d5")/2</f>
        <v/>
      </c>
      <c r="BS90" s="195">
        <f>COUNTIF($G90:$BP90,"b")+COUNTIF($G90:$BP90,"r0,b5")/2+COUNTIF($G90:$BP90,"p5,b5")/2</f>
        <v/>
      </c>
      <c r="BT90" s="195">
        <f>COUNTIF($G90:$BP90,"c")+COUNTIF($G90:$BP90,"r0,c5")/2+COUNTIF($G90:$BP90,"p5,c5")/2</f>
        <v/>
      </c>
      <c r="BU90" s="195">
        <f>COUNTIF($G90:$BP90,"KH")+COUNTIF($G90:$BP90,"TL")+COUNTIF($G90:$BP90,"L")</f>
        <v/>
      </c>
      <c r="BV90" s="202" t="n"/>
      <c r="BW90" s="195">
        <f>COUNTIF($G90:$BP90,"hh")</f>
        <v/>
      </c>
      <c r="BX90" s="195">
        <f>COUNTIF($G90:$BP90,"nt7")</f>
        <v/>
      </c>
      <c r="BY90" s="195">
        <f>COUNTIF($G90:$BP90,"P")+COUNTIF($G90:$BP90,"p5,a5")/2+COUNTIF($G90:$BP90,"p5,b5")/2+COUNTIF($G90:$BP90,"p5,c5")/2+COUNTIF($G90:$BP90,"p5,d5")/2</f>
        <v/>
      </c>
      <c r="BZ90" s="203">
        <f>SUBTOTAL(9,BQ90:BY90)</f>
        <v/>
      </c>
      <c r="CA90" s="54">
        <f>SUM(J90,L90,N90,P90,R90,T90,X90,Z90,AB90,AD90,AF90,AH90,AL90,AN90,AP90,AR90,AT90,AV90,AZ90,BB90,BD90,BF90,BH90,BP90)</f>
        <v/>
      </c>
      <c r="CB90" s="55">
        <f>SUM(H90,V90,AJ90,AX90,BL90)</f>
        <v/>
      </c>
      <c r="CC90" s="56">
        <f>SUM(BJ90,BN90)</f>
        <v/>
      </c>
      <c r="CD90" s="197">
        <f>IF(BZ90&gt;25,4,IF(BZ90&gt;18,3,IF(BZ90&gt;12,2,IF(BZ90&gt;4,1,0))))-BX90-2+1</f>
        <v/>
      </c>
      <c r="CE90" s="49" t="n">
        <v>5</v>
      </c>
      <c r="CF90" s="197">
        <f>CD90*CI90</f>
        <v/>
      </c>
      <c r="CG90" s="198">
        <f>F90-BY90+1</f>
        <v/>
      </c>
      <c r="CH90" s="197">
        <f>CE90*16</f>
        <v/>
      </c>
      <c r="CI90" s="199">
        <f>VLOOKUP(A90,[1]DATA!$A$6:$AI$331,34,0)</f>
        <v/>
      </c>
      <c r="CJ90" s="200">
        <f>VLOOKUP(A90,[2]CHAMCONG!A$7:CI$333,79,0)</f>
        <v/>
      </c>
      <c r="CK90" s="201">
        <f>CJ90-CA90</f>
        <v/>
      </c>
    </row>
    <row r="91" ht="15.75" customFormat="1" customHeight="1" s="68">
      <c r="A91" s="69" t="n"/>
      <c r="B91" s="64" t="n"/>
      <c r="C91" s="115" t="n"/>
      <c r="D91" s="46" t="n"/>
      <c r="E91" s="47" t="n"/>
      <c r="F91" s="48" t="n"/>
      <c r="G91" s="49" t="n"/>
      <c r="H91" s="73" t="n"/>
      <c r="I91" s="49" t="n"/>
      <c r="J91" s="73" t="n"/>
      <c r="K91" s="49" t="n"/>
      <c r="L91" s="73" t="n"/>
      <c r="M91" s="49" t="n"/>
      <c r="N91" s="73" t="n"/>
      <c r="O91" s="49" t="n"/>
      <c r="P91" s="73" t="n"/>
      <c r="Q91" s="49" t="n"/>
      <c r="R91" s="67" t="n"/>
      <c r="S91" s="50" t="n"/>
      <c r="T91" s="73" t="n"/>
      <c r="U91" s="49" t="n"/>
      <c r="V91" s="73" t="n"/>
      <c r="W91" s="50" t="n"/>
      <c r="X91" s="73" t="n"/>
      <c r="Y91" s="50" t="n"/>
      <c r="Z91" s="73" t="n"/>
      <c r="AA91" s="73" t="n"/>
      <c r="AB91" s="73" t="n"/>
      <c r="AC91" s="73" t="n"/>
      <c r="AD91" s="73" t="n"/>
      <c r="AE91" s="73" t="n"/>
      <c r="AF91" s="73" t="n"/>
      <c r="AG91" s="73" t="n"/>
      <c r="AH91" s="73" t="n"/>
      <c r="AI91" s="73" t="n"/>
      <c r="AJ91" s="73" t="n"/>
      <c r="AK91" s="73" t="n"/>
      <c r="AL91" s="73" t="n"/>
      <c r="AM91" s="73" t="n"/>
      <c r="AN91" s="73" t="n"/>
      <c r="AO91" s="73" t="n"/>
      <c r="AP91" s="73" t="n"/>
      <c r="AQ91" s="73" t="n"/>
      <c r="AR91" s="73" t="n"/>
      <c r="AS91" s="73" t="n"/>
      <c r="AT91" s="73" t="n"/>
      <c r="AU91" s="73" t="n"/>
      <c r="AV91" s="73" t="n"/>
      <c r="AW91" s="73" t="n"/>
      <c r="AX91" s="73" t="n"/>
      <c r="AY91" s="73" t="n"/>
      <c r="AZ91" s="73" t="n"/>
      <c r="BA91" s="73" t="n"/>
      <c r="BB91" s="73" t="n"/>
      <c r="BC91" s="73" t="n"/>
      <c r="BD91" s="73" t="n"/>
      <c r="BE91" s="73" t="n"/>
      <c r="BF91" s="73" t="n"/>
      <c r="BG91" s="73" t="n"/>
      <c r="BH91" s="73" t="n"/>
      <c r="BI91" s="73" t="n"/>
      <c r="BJ91" s="73" t="n"/>
      <c r="BK91" s="73" t="n"/>
      <c r="BL91" s="73" t="n"/>
      <c r="BM91" s="73" t="n"/>
      <c r="BN91" s="73" t="n"/>
      <c r="BO91" s="73" t="n"/>
      <c r="BP91" s="73" t="n"/>
      <c r="BQ91" s="195">
        <f>COUNTIF($G91:$BP91,"a")+COUNTIF($G91:$BP91,"r0,a5")/2+COUNTIF($G91:$BP91,"p5,a5")/2</f>
        <v/>
      </c>
      <c r="BR91" s="195">
        <f>COUNTIF($G91:$BP91,"d")+COUNTIF($G91:$BP91,"r0,d5")/2+COUNTIF($G91:$BP91,"p5,d5")/2</f>
        <v/>
      </c>
      <c r="BS91" s="195">
        <f>COUNTIF($G91:$BP91,"b")+COUNTIF($G91:$BP91,"r0,b5")/2+COUNTIF($G91:$BP91,"p5,b5")/2</f>
        <v/>
      </c>
      <c r="BT91" s="195">
        <f>COUNTIF($G91:$BP91,"c")+COUNTIF($G91:$BP91,"r0,c5")/2+COUNTIF($G91:$BP91,"p5,c5")/2</f>
        <v/>
      </c>
      <c r="BU91" s="195">
        <f>COUNTIF($G91:$BP91,"KH")+COUNTIF($G91:$BP91,"TL")+COUNTIF($G91:$BP91,"L")</f>
        <v/>
      </c>
      <c r="BV91" s="202" t="n"/>
      <c r="BW91" s="195">
        <f>COUNTIF($G91:$BP91,"hh")</f>
        <v/>
      </c>
      <c r="BX91" s="195">
        <f>COUNTIF($G91:$BP91,"nt7")</f>
        <v/>
      </c>
      <c r="BY91" s="195">
        <f>COUNTIF($G91:$BP91,"P")+COUNTIF($G91:$BP91,"p5,a5")/2+COUNTIF($G91:$BP91,"p5,b5")/2+COUNTIF($G91:$BP91,"p5,c5")/2+COUNTIF($G91:$BP91,"p5,d5")/2</f>
        <v/>
      </c>
      <c r="BZ91" s="203">
        <f>SUBTOTAL(9,BQ91:BY91)</f>
        <v/>
      </c>
      <c r="CA91" s="54">
        <f>SUM(J91,L91,N91,P91,R91,T91,X91,Z91,AB91,AD91,AF91,AH91,AL91,AN91,AP91,AR91,AT91,AV91,AZ91,BB91,BD91,BF91,BH91,BP91)</f>
        <v/>
      </c>
      <c r="CB91" s="55">
        <f>SUM(H91,V91,AJ91,AX91,BL91)</f>
        <v/>
      </c>
      <c r="CC91" s="56">
        <f>SUM(BJ91,BN91)</f>
        <v/>
      </c>
      <c r="CD91" s="197">
        <f>IF(BZ91&gt;25,4,IF(BZ91&gt;18,3,IF(BZ91&gt;12,2,IF(BZ91&gt;4,1,0))))-BX91-2+1</f>
        <v/>
      </c>
      <c r="CE91" s="49" t="n"/>
      <c r="CF91" s="197">
        <f>CD91*CI91</f>
        <v/>
      </c>
      <c r="CG91" s="198">
        <f>F91-BY91+1</f>
        <v/>
      </c>
      <c r="CH91" s="197">
        <f>CE91*16</f>
        <v/>
      </c>
      <c r="CI91" s="199">
        <f>VLOOKUP(A91,[1]DATA!$A$6:$AI$331,34,0)</f>
        <v/>
      </c>
      <c r="CJ91" s="200">
        <f>VLOOKUP(A91,[2]CHAMCONG!A$7:CI$333,79,0)</f>
        <v/>
      </c>
      <c r="CK91" s="201">
        <f>CJ91-CA91</f>
        <v/>
      </c>
    </row>
    <row r="92" ht="15.75" customFormat="1" customHeight="1" s="68">
      <c r="A92" s="69" t="n"/>
      <c r="B92" s="64" t="n"/>
      <c r="C92" s="115" t="n"/>
      <c r="D92" s="46" t="n"/>
      <c r="E92" s="47" t="n"/>
      <c r="F92" s="48" t="n"/>
      <c r="G92" s="49" t="n"/>
      <c r="H92" s="73" t="n"/>
      <c r="I92" s="50" t="n"/>
      <c r="J92" s="73" t="n"/>
      <c r="K92" s="73" t="n"/>
      <c r="L92" s="73" t="n"/>
      <c r="M92" s="73" t="n"/>
      <c r="N92" s="73" t="n"/>
      <c r="O92" s="50" t="n"/>
      <c r="P92" s="73" t="n"/>
      <c r="Q92" s="50" t="n"/>
      <c r="R92" s="67" t="n"/>
      <c r="S92" s="50" t="n"/>
      <c r="T92" s="73" t="n"/>
      <c r="U92" s="49" t="n"/>
      <c r="V92" s="73" t="n"/>
      <c r="W92" s="73" t="n"/>
      <c r="X92" s="73" t="n"/>
      <c r="Y92" s="73" t="n"/>
      <c r="Z92" s="73" t="n"/>
      <c r="AA92" s="73" t="n"/>
      <c r="AB92" s="73" t="n"/>
      <c r="AC92" s="73" t="n"/>
      <c r="AD92" s="73" t="n"/>
      <c r="AE92" s="73" t="n"/>
      <c r="AF92" s="73" t="n"/>
      <c r="AG92" s="73" t="n"/>
      <c r="AH92" s="73" t="n"/>
      <c r="AI92" s="73" t="n"/>
      <c r="AJ92" s="73" t="n"/>
      <c r="AK92" s="73" t="n"/>
      <c r="AL92" s="73" t="n"/>
      <c r="AM92" s="73" t="n"/>
      <c r="AN92" s="73" t="n"/>
      <c r="AO92" s="73" t="n"/>
      <c r="AP92" s="73" t="n"/>
      <c r="AQ92" s="73" t="n"/>
      <c r="AR92" s="73" t="n"/>
      <c r="AS92" s="73" t="n"/>
      <c r="AT92" s="73" t="n"/>
      <c r="AU92" s="73" t="n"/>
      <c r="AV92" s="73" t="n"/>
      <c r="AW92" s="73" t="n"/>
      <c r="AX92" s="73" t="n"/>
      <c r="AY92" s="73" t="n"/>
      <c r="AZ92" s="73" t="n"/>
      <c r="BA92" s="73" t="n"/>
      <c r="BB92" s="73" t="n"/>
      <c r="BC92" s="73" t="n"/>
      <c r="BD92" s="73" t="n"/>
      <c r="BE92" s="73" t="n"/>
      <c r="BF92" s="73" t="n"/>
      <c r="BG92" s="73" t="n"/>
      <c r="BH92" s="73" t="n"/>
      <c r="BI92" s="73" t="n"/>
      <c r="BJ92" s="73" t="n"/>
      <c r="BK92" s="73" t="n"/>
      <c r="BL92" s="73" t="n"/>
      <c r="BM92" s="73" t="n"/>
      <c r="BN92" s="73" t="n"/>
      <c r="BO92" s="73" t="n"/>
      <c r="BP92" s="73" t="n"/>
      <c r="BQ92" s="195">
        <f>COUNTIF($G92:$BP92,"a")+COUNTIF($G92:$BP92,"r0,a5")/2+COUNTIF($G92:$BP92,"p5,a5")/2</f>
        <v/>
      </c>
      <c r="BR92" s="195">
        <f>COUNTIF($G92:$BP92,"d")+COUNTIF($G92:$BP92,"r0,d5")/2+COUNTIF($G92:$BP92,"p5,d5")/2</f>
        <v/>
      </c>
      <c r="BS92" s="195">
        <f>COUNTIF($G92:$BP92,"b")+COUNTIF($G92:$BP92,"r0,b5")/2+COUNTIF($G92:$BP92,"p5,b5")/2</f>
        <v/>
      </c>
      <c r="BT92" s="195">
        <f>COUNTIF($G92:$BP92,"c")+COUNTIF($G92:$BP92,"r0,c5")/2+COUNTIF($G92:$BP92,"p5,c5")/2</f>
        <v/>
      </c>
      <c r="BU92" s="195">
        <f>COUNTIF($G92:$BP92,"KH")+COUNTIF($G92:$BP92,"TL")+COUNTIF($G92:$BP92,"L")</f>
        <v/>
      </c>
      <c r="BV92" s="202" t="n"/>
      <c r="BW92" s="195">
        <f>COUNTIF($G92:$BP92,"hh")</f>
        <v/>
      </c>
      <c r="BX92" s="195">
        <f>COUNTIF($G92:$BP92,"nt7")</f>
        <v/>
      </c>
      <c r="BY92" s="195">
        <f>COUNTIF($G92:$BP92,"P")+COUNTIF($G92:$BP92,"p5,a5")/2+COUNTIF($G92:$BP92,"p5,b5")/2+COUNTIF($G92:$BP92,"p5,c5")/2+COUNTIF($G92:$BP92,"p5,d5")/2</f>
        <v/>
      </c>
      <c r="BZ92" s="203">
        <f>SUBTOTAL(9,BQ92:BY92)</f>
        <v/>
      </c>
      <c r="CA92" s="54">
        <f>SUM(J92,L92,N92,P92,R92,T92,X92,Z92,AB92,AD92,AF92,AH92,AL92,AN92,AP92,AR92,AT92,AV92,AZ92,BB92,BD92,BF92,BH92,BP92)</f>
        <v/>
      </c>
      <c r="CB92" s="55">
        <f>SUM(H92,V92,AJ92,AX92,BL92)</f>
        <v/>
      </c>
      <c r="CC92" s="56">
        <f>SUM(BJ92,BN92)</f>
        <v/>
      </c>
      <c r="CD92" s="197" t="n"/>
      <c r="CE92" s="49" t="n"/>
      <c r="CF92" s="197">
        <f>CD92*CI92</f>
        <v/>
      </c>
      <c r="CG92" s="198">
        <f>F92-BY92+1</f>
        <v/>
      </c>
      <c r="CH92" s="197">
        <f>CE92*16</f>
        <v/>
      </c>
      <c r="CI92" s="199">
        <f>VLOOKUP(A92,[1]DATA!$A$6:$AI$331,34,0)</f>
        <v/>
      </c>
      <c r="CJ92" s="200">
        <f>VLOOKUP(A92,[2]CHAMCONG!A$7:CI$333,79,0)</f>
        <v/>
      </c>
      <c r="CK92" s="201">
        <f>CJ92-CA92</f>
        <v/>
      </c>
    </row>
    <row r="93" ht="15.75" customFormat="1" customHeight="1" s="68">
      <c r="A93" s="69" t="n"/>
      <c r="B93" s="64" t="n"/>
      <c r="C93" s="115" t="n"/>
      <c r="D93" s="46" t="n"/>
      <c r="E93" s="47" t="n"/>
      <c r="F93" s="48" t="n"/>
      <c r="G93" s="49" t="n"/>
      <c r="H93" s="73" t="n"/>
      <c r="I93" s="49" t="n"/>
      <c r="J93" s="73" t="n"/>
      <c r="K93" s="49" t="n"/>
      <c r="L93" s="73" t="n"/>
      <c r="M93" s="49" t="n"/>
      <c r="N93" s="73" t="n"/>
      <c r="O93" s="49" t="n"/>
      <c r="P93" s="73" t="n"/>
      <c r="Q93" s="49" t="n"/>
      <c r="R93" s="73" t="n"/>
      <c r="S93" s="50" t="n"/>
      <c r="T93" s="73" t="n"/>
      <c r="U93" s="50" t="n"/>
      <c r="V93" s="73" t="n"/>
      <c r="W93" s="50" t="n"/>
      <c r="X93" s="73" t="n"/>
      <c r="Y93" s="50" t="n"/>
      <c r="Z93" s="73" t="n"/>
      <c r="AA93" s="49" t="n"/>
      <c r="AB93" s="73" t="n"/>
      <c r="AC93" s="50" t="n"/>
      <c r="AD93" s="73" t="n"/>
      <c r="AE93" s="49" t="n"/>
      <c r="AF93" s="73" t="n"/>
      <c r="AG93" s="49" t="n"/>
      <c r="AH93" s="73" t="n"/>
      <c r="AI93" s="49" t="n"/>
      <c r="AJ93" s="73" t="n"/>
      <c r="AK93" s="49" t="n"/>
      <c r="AL93" s="73" t="n"/>
      <c r="AM93" s="49" t="n"/>
      <c r="AN93" s="73" t="n"/>
      <c r="AO93" s="49" t="n"/>
      <c r="AP93" s="73" t="n"/>
      <c r="AQ93" s="49" t="n"/>
      <c r="AR93" s="73" t="n"/>
      <c r="AS93" s="49" t="n"/>
      <c r="AT93" s="73" t="n"/>
      <c r="AU93" s="49" t="n"/>
      <c r="AV93" s="73" t="n"/>
      <c r="AW93" s="49" t="n"/>
      <c r="AX93" s="73" t="n"/>
      <c r="AY93" s="73" t="n"/>
      <c r="AZ93" s="73" t="n"/>
      <c r="BA93" s="73" t="n"/>
      <c r="BB93" s="73" t="n"/>
      <c r="BC93" s="73" t="n"/>
      <c r="BD93" s="73" t="n"/>
      <c r="BE93" s="73" t="n"/>
      <c r="BF93" s="73" t="n"/>
      <c r="BG93" s="73" t="n"/>
      <c r="BH93" s="73" t="n"/>
      <c r="BI93" s="49" t="n"/>
      <c r="BJ93" s="73" t="n"/>
      <c r="BK93" s="49" t="n"/>
      <c r="BL93" s="73" t="n"/>
      <c r="BM93" s="49" t="n"/>
      <c r="BN93" s="73" t="n"/>
      <c r="BO93" s="73" t="n"/>
      <c r="BP93" s="73" t="n"/>
      <c r="BQ93" s="195">
        <f>COUNTIF($G93:$BP93,"a")+COUNTIF($G93:$BP93,"r0,a5")/2+COUNTIF($G93:$BP93,"p5,a5")/2</f>
        <v/>
      </c>
      <c r="BR93" s="195">
        <f>COUNTIF($G93:$BP93,"d")+COUNTIF($G93:$BP93,"r0,d5")/2+COUNTIF($G93:$BP93,"p5,d5")/2</f>
        <v/>
      </c>
      <c r="BS93" s="195">
        <f>COUNTIF($G93:$BP93,"b")+COUNTIF($G93:$BP93,"r0,b5")/2+COUNTIF($G93:$BP93,"p5,b5")/2</f>
        <v/>
      </c>
      <c r="BT93" s="195">
        <f>COUNTIF($G93:$BP93,"c")+COUNTIF($G93:$BP93,"r0,c5")/2+COUNTIF($G93:$BP93,"p5,c5")/2</f>
        <v/>
      </c>
      <c r="BU93" s="195">
        <f>COUNTIF($G93:$BP93,"KH")+COUNTIF($G93:$BP93,"TL")+COUNTIF($G93:$BP93,"L")</f>
        <v/>
      </c>
      <c r="BV93" s="202" t="n"/>
      <c r="BW93" s="195">
        <f>COUNTIF($G93:$BP93,"hh")</f>
        <v/>
      </c>
      <c r="BX93" s="195">
        <f>COUNTIF($G93:$BP93,"nt7")</f>
        <v/>
      </c>
      <c r="BY93" s="195">
        <f>COUNTIF($G93:$BP93,"P")+COUNTIF($G93:$BP93,"p5,a5")/2+COUNTIF($G93:$BP93,"p5,b5")/2+COUNTIF($G93:$BP93,"p5,c5")/2+COUNTIF($G93:$BP93,"p5,d5")/2</f>
        <v/>
      </c>
      <c r="BZ93" s="203">
        <f>SUBTOTAL(9,BQ93:BY93)</f>
        <v/>
      </c>
      <c r="CA93" s="54">
        <f>SUM(J93,L93,N93,P93,R93,T93,X93,Z93,AB93,AD93,AF93,AH93,AL93,AN93,AP93,AR93,AT93,AV93,AZ93,BB93,BD93,BF93,BH93,BP93)</f>
        <v/>
      </c>
      <c r="CB93" s="55">
        <f>SUM(H93,V93,AJ93,AX93,BL93)</f>
        <v/>
      </c>
      <c r="CC93" s="56">
        <f>SUM(BJ93,BN93)</f>
        <v/>
      </c>
      <c r="CD93" s="197">
        <f>IF(BZ93&gt;25,4,IF(BZ93&gt;18,3,IF(BZ93&gt;12,2,IF(BZ93&gt;4,1,0))))-BX93-2+1</f>
        <v/>
      </c>
      <c r="CE93" s="49" t="n"/>
      <c r="CF93" s="197">
        <f>CD93*CI93</f>
        <v/>
      </c>
      <c r="CG93" s="198">
        <f>F93-BY93+1</f>
        <v/>
      </c>
      <c r="CH93" s="197">
        <f>CE93*16</f>
        <v/>
      </c>
      <c r="CI93" s="199">
        <f>VLOOKUP(A93,[1]DATA!$A$6:$AI$331,34,0)</f>
        <v/>
      </c>
      <c r="CJ93" s="200">
        <f>VLOOKUP(A93,[2]CHAMCONG!A$7:CI$333,79,0)</f>
        <v/>
      </c>
      <c r="CK93" s="201">
        <f>CJ93-CA93</f>
        <v/>
      </c>
    </row>
    <row r="94" ht="15.75" customFormat="1" customHeight="1" s="68">
      <c r="A94" s="69" t="n"/>
      <c r="B94" s="64" t="n"/>
      <c r="C94" s="115" t="n"/>
      <c r="D94" s="46" t="n"/>
      <c r="E94" s="47" t="n"/>
      <c r="F94" s="48" t="n"/>
      <c r="G94" s="49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73" t="n"/>
      <c r="Q94" s="49" t="n"/>
      <c r="R94" s="73" t="n"/>
      <c r="S94" s="73" t="n"/>
      <c r="T94" s="73" t="n"/>
      <c r="U94" s="73" t="n"/>
      <c r="V94" s="73" t="n"/>
      <c r="W94" s="73" t="n"/>
      <c r="X94" s="73" t="n"/>
      <c r="Y94" s="73" t="n"/>
      <c r="Z94" s="73" t="n"/>
      <c r="AA94" s="73" t="n"/>
      <c r="AB94" s="73" t="n"/>
      <c r="AC94" s="73" t="n"/>
      <c r="AD94" s="73" t="n"/>
      <c r="AE94" s="73" t="n"/>
      <c r="AF94" s="73" t="n"/>
      <c r="AG94" s="73" t="n"/>
      <c r="AH94" s="73" t="n"/>
      <c r="AI94" s="73" t="n"/>
      <c r="AJ94" s="73" t="n"/>
      <c r="AK94" s="73" t="n"/>
      <c r="AL94" s="73" t="n"/>
      <c r="AM94" s="73" t="n"/>
      <c r="AN94" s="73" t="n"/>
      <c r="AO94" s="73" t="n"/>
      <c r="AP94" s="73" t="n"/>
      <c r="AQ94" s="49" t="n"/>
      <c r="AR94" s="73" t="n"/>
      <c r="AS94" s="49" t="n"/>
      <c r="AT94" s="49" t="n"/>
      <c r="AU94" s="49" t="n"/>
      <c r="AV94" s="73" t="n"/>
      <c r="AW94" s="50" t="n"/>
      <c r="AX94" s="73" t="n"/>
      <c r="AY94" s="49" t="n"/>
      <c r="AZ94" s="73" t="n"/>
      <c r="BA94" s="49" t="n"/>
      <c r="BB94" s="73" t="n"/>
      <c r="BC94" s="49" t="n"/>
      <c r="BD94" s="73" t="n"/>
      <c r="BE94" s="73" t="n"/>
      <c r="BF94" s="73" t="n"/>
      <c r="BG94" s="73" t="n"/>
      <c r="BH94" s="73" t="n"/>
      <c r="BI94" s="73" t="n"/>
      <c r="BJ94" s="73" t="n"/>
      <c r="BK94" s="73" t="n"/>
      <c r="BL94" s="73" t="n"/>
      <c r="BM94" s="73" t="n"/>
      <c r="BN94" s="73" t="n"/>
      <c r="BO94" s="73" t="n"/>
      <c r="BP94" s="73" t="n"/>
      <c r="BQ94" s="195">
        <f>COUNTIF($G94:$BP94,"a")+COUNTIF($G94:$BP94,"r0,a5")/2+COUNTIF($G94:$BP94,"p5,a5")/2</f>
        <v/>
      </c>
      <c r="BR94" s="195">
        <f>COUNTIF($G94:$BP94,"d")+COUNTIF($G94:$BP94,"r0,d5")/2+COUNTIF($G94:$BP94,"p5,d5")/2</f>
        <v/>
      </c>
      <c r="BS94" s="195">
        <f>COUNTIF($G94:$BP94,"b")+COUNTIF($G94:$BP94,"r0,b5")/2+COUNTIF($G94:$BP94,"p5,b5")/2</f>
        <v/>
      </c>
      <c r="BT94" s="195">
        <f>COUNTIF($G94:$BP94,"c")+COUNTIF($G94:$BP94,"r0,c5")/2+COUNTIF($G94:$BP94,"p5,c5")/2</f>
        <v/>
      </c>
      <c r="BU94" s="195">
        <f>COUNTIF($G94:$BP94,"KH")+COUNTIF($G94:$BP94,"TL")+COUNTIF($G94:$BP94,"L")</f>
        <v/>
      </c>
      <c r="BV94" s="202" t="n"/>
      <c r="BW94" s="195">
        <f>COUNTIF($G94:$BP94,"hh")</f>
        <v/>
      </c>
      <c r="BX94" s="195">
        <f>COUNTIF($G94:$BP94,"nt7")</f>
        <v/>
      </c>
      <c r="BY94" s="195">
        <f>COUNTIF($G94:$BP94,"P")+COUNTIF($G94:$BP94,"p5,a5")/2+COUNTIF($G94:$BP94,"p5,b5")/2+COUNTIF($G94:$BP94,"p5,c5")/2+COUNTIF($G94:$BP94,"p5,d5")/2</f>
        <v/>
      </c>
      <c r="BZ94" s="203">
        <f>SUBTOTAL(9,BQ94:BY94)</f>
        <v/>
      </c>
      <c r="CA94" s="54">
        <f>SUM(J94,L94,N94,P94,R94,T94,X94,Z94,AB94,AD94,AF94,AH94,AL94,AN94,AP94,AR94,AT94,AV94,AZ94,BB94,BD94,BF94,BH94,BP94)</f>
        <v/>
      </c>
      <c r="CB94" s="55">
        <f>SUM(H94,V94,AJ94,AX94,BL94)</f>
        <v/>
      </c>
      <c r="CC94" s="56">
        <f>SUM(BJ94,BN94)</f>
        <v/>
      </c>
      <c r="CD94" s="197">
        <f>IF(BZ94&gt;25,4,IF(BZ94&gt;18,3,IF(BZ94&gt;12,2,IF(BZ94&gt;4,1,0))))-BX94-2+1</f>
        <v/>
      </c>
      <c r="CE94" s="49" t="n">
        <v>1</v>
      </c>
      <c r="CF94" s="197">
        <f>CD94*CI94</f>
        <v/>
      </c>
      <c r="CG94" s="198">
        <f>F94-BY94+1</f>
        <v/>
      </c>
      <c r="CH94" s="197">
        <f>CE94*16</f>
        <v/>
      </c>
      <c r="CI94" s="199">
        <f>VLOOKUP(A94,[1]DATA!$A$6:$AI$331,34,0)</f>
        <v/>
      </c>
      <c r="CJ94" s="200">
        <f>VLOOKUP(A94,[2]CHAMCONG!A$7:CI$333,79,0)</f>
        <v/>
      </c>
      <c r="CK94" s="201">
        <f>CJ94-CA94</f>
        <v/>
      </c>
    </row>
    <row r="95" ht="15.75" customFormat="1" customHeight="1" s="68">
      <c r="A95" s="69" t="n"/>
      <c r="B95" s="64" t="n"/>
      <c r="C95" s="115" t="n"/>
      <c r="D95" s="46" t="n"/>
      <c r="E95" s="47" t="n"/>
      <c r="F95" s="48" t="n"/>
      <c r="G95" s="49" t="n"/>
      <c r="H95" s="73" t="n"/>
      <c r="I95" s="50" t="n"/>
      <c r="J95" s="73" t="n"/>
      <c r="K95" s="73" t="n"/>
      <c r="L95" s="73" t="n"/>
      <c r="M95" s="73" t="n"/>
      <c r="N95" s="73" t="n"/>
      <c r="O95" s="50" t="n"/>
      <c r="P95" s="73" t="n"/>
      <c r="Q95" s="73" t="n"/>
      <c r="R95" s="73" t="n"/>
      <c r="S95" s="73" t="n"/>
      <c r="T95" s="73" t="n"/>
      <c r="U95" s="49" t="n"/>
      <c r="V95" s="73" t="n"/>
      <c r="W95" s="73" t="n"/>
      <c r="X95" s="73" t="n"/>
      <c r="Y95" s="73" t="n"/>
      <c r="Z95" s="73" t="n"/>
      <c r="AA95" s="73" t="n"/>
      <c r="AB95" s="73" t="n"/>
      <c r="AC95" s="73" t="n"/>
      <c r="AD95" s="73" t="n"/>
      <c r="AE95" s="73" t="n"/>
      <c r="AF95" s="73" t="n"/>
      <c r="AG95" s="73" t="n"/>
      <c r="AH95" s="73" t="n"/>
      <c r="AI95" s="73" t="n"/>
      <c r="AJ95" s="73" t="n"/>
      <c r="AK95" s="73" t="n"/>
      <c r="AL95" s="73" t="n"/>
      <c r="AM95" s="73" t="n"/>
      <c r="AN95" s="73" t="n"/>
      <c r="AO95" s="73" t="n"/>
      <c r="AP95" s="73" t="n"/>
      <c r="AQ95" s="73" t="n"/>
      <c r="AR95" s="73" t="n"/>
      <c r="AS95" s="49" t="n"/>
      <c r="AT95" s="73" t="n"/>
      <c r="AU95" s="73" t="n"/>
      <c r="AV95" s="73" t="n"/>
      <c r="AW95" s="73" t="n"/>
      <c r="AX95" s="73" t="n"/>
      <c r="AY95" s="73" t="n"/>
      <c r="AZ95" s="73" t="n"/>
      <c r="BA95" s="73" t="n"/>
      <c r="BB95" s="73" t="n"/>
      <c r="BC95" s="73" t="n"/>
      <c r="BD95" s="73" t="n"/>
      <c r="BE95" s="73" t="n"/>
      <c r="BF95" s="73" t="n"/>
      <c r="BG95" s="73" t="n"/>
      <c r="BH95" s="73" t="n"/>
      <c r="BI95" s="73" t="n"/>
      <c r="BJ95" s="73" t="n"/>
      <c r="BK95" s="73" t="n"/>
      <c r="BL95" s="73" t="n"/>
      <c r="BM95" s="73" t="n"/>
      <c r="BN95" s="73" t="n"/>
      <c r="BO95" s="73" t="n"/>
      <c r="BP95" s="73" t="n"/>
      <c r="BQ95" s="195">
        <f>COUNTIF($G95:$BP95,"a")+COUNTIF($G95:$BP95,"r0,a5")/2+COUNTIF($G95:$BP95,"p5,a5")/2</f>
        <v/>
      </c>
      <c r="BR95" s="195">
        <f>COUNTIF($G95:$BP95,"d")+COUNTIF($G95:$BP95,"r0,d5")/2+COUNTIF($G95:$BP95,"p5,d5")/2</f>
        <v/>
      </c>
      <c r="BS95" s="195">
        <f>COUNTIF($G95:$BP95,"b")+COUNTIF($G95:$BP95,"r0,b5")/2+COUNTIF($G95:$BP95,"p5,b5")/2</f>
        <v/>
      </c>
      <c r="BT95" s="195">
        <f>COUNTIF($G95:$BP95,"c")+COUNTIF($G95:$BP95,"r0,c5")/2+COUNTIF($G95:$BP95,"p5,c5")/2</f>
        <v/>
      </c>
      <c r="BU95" s="195">
        <f>COUNTIF($G95:$BP95,"KH")+COUNTIF($G95:$BP95,"TL")+COUNTIF($G95:$BP95,"L")</f>
        <v/>
      </c>
      <c r="BV95" s="202" t="n"/>
      <c r="BW95" s="195">
        <f>COUNTIF($G95:$BP95,"hh")</f>
        <v/>
      </c>
      <c r="BX95" s="195">
        <f>COUNTIF($G95:$BP95,"nt7")</f>
        <v/>
      </c>
      <c r="BY95" s="195">
        <f>COUNTIF($G95:$BP95,"P")+COUNTIF($G95:$BP95,"p5,a5")/2+COUNTIF($G95:$BP95,"p5,b5")/2+COUNTIF($G95:$BP95,"p5,c5")/2+COUNTIF($G95:$BP95,"p5,d5")/2</f>
        <v/>
      </c>
      <c r="BZ95" s="203">
        <f>SUBTOTAL(9,BQ95:BY95)</f>
        <v/>
      </c>
      <c r="CA95" s="54">
        <f>SUM(J95,L95,N95,P95,R95,T95,X95,Z95,AB95,AD95,AF95,AH95,AL95,AN95,AP95,AR95,AT95,AV95,AZ95,BB95,BD95,BF95,BH95,BP95)</f>
        <v/>
      </c>
      <c r="CB95" s="55">
        <f>SUM(H95,V95,AJ95,AX95,BL95)</f>
        <v/>
      </c>
      <c r="CC95" s="56">
        <f>SUM(BJ95,BN95)</f>
        <v/>
      </c>
      <c r="CD95" s="197">
        <f>IF(BZ95&gt;25,4,IF(BZ95&gt;18,3,IF(BZ95&gt;12,2,IF(BZ95&gt;4,1,0))))-BX95-2+1</f>
        <v/>
      </c>
      <c r="CE95" s="49" t="n"/>
      <c r="CF95" s="197">
        <f>CD95*CI95</f>
        <v/>
      </c>
      <c r="CG95" s="198">
        <f>F95-BY95+1</f>
        <v/>
      </c>
      <c r="CH95" s="197">
        <f>CE95*16</f>
        <v/>
      </c>
      <c r="CI95" s="199">
        <f>VLOOKUP(A95,[1]DATA!$A$6:$AI$331,34,0)</f>
        <v/>
      </c>
      <c r="CJ95" s="200">
        <f>VLOOKUP(A95,[2]CHAMCONG!A$7:CI$333,79,0)</f>
        <v/>
      </c>
      <c r="CK95" s="201">
        <f>CJ95-CA95</f>
        <v/>
      </c>
    </row>
    <row r="96" ht="15.75" customFormat="1" customHeight="1" s="68">
      <c r="A96" s="69" t="n"/>
      <c r="B96" s="64" t="n"/>
      <c r="C96" s="115" t="n"/>
      <c r="D96" s="46" t="n"/>
      <c r="E96" s="47" t="n"/>
      <c r="F96" s="48" t="n"/>
      <c r="G96" s="49" t="n"/>
      <c r="H96" s="73" t="n"/>
      <c r="I96" s="49" t="n"/>
      <c r="J96" s="73" t="n"/>
      <c r="K96" s="49" t="n"/>
      <c r="L96" s="73" t="n"/>
      <c r="M96" s="73" t="n"/>
      <c r="N96" s="73" t="n"/>
      <c r="O96" s="50" t="n"/>
      <c r="P96" s="73" t="n"/>
      <c r="Q96" s="73" t="n"/>
      <c r="R96" s="73" t="n"/>
      <c r="S96" s="73" t="n"/>
      <c r="T96" s="73" t="n"/>
      <c r="U96" s="49" t="n"/>
      <c r="V96" s="73" t="n"/>
      <c r="W96" s="50" t="n"/>
      <c r="X96" s="73" t="n"/>
      <c r="Y96" s="49" t="n"/>
      <c r="Z96" s="73" t="n"/>
      <c r="AA96" s="49" t="n"/>
      <c r="AB96" s="73" t="n"/>
      <c r="AC96" s="49" t="n"/>
      <c r="AD96" s="73" t="n"/>
      <c r="AE96" s="49" t="n"/>
      <c r="AF96" s="49" t="n"/>
      <c r="AG96" s="49" t="n"/>
      <c r="AH96" s="73" t="n"/>
      <c r="AI96" s="73" t="n"/>
      <c r="AJ96" s="73" t="n"/>
      <c r="AK96" s="49" t="n"/>
      <c r="AL96" s="73" t="n"/>
      <c r="AM96" s="49" t="n"/>
      <c r="AN96" s="73" t="n"/>
      <c r="AO96" s="49" t="n"/>
      <c r="AP96" s="73" t="n"/>
      <c r="AQ96" s="49" t="n"/>
      <c r="AR96" s="73" t="n"/>
      <c r="AS96" s="49" t="n"/>
      <c r="AT96" s="49" t="n"/>
      <c r="AU96" s="49" t="n"/>
      <c r="AV96" s="73" t="n"/>
      <c r="AW96" s="49" t="n"/>
      <c r="AX96" s="73" t="n"/>
      <c r="AY96" s="49" t="n"/>
      <c r="AZ96" s="73" t="n"/>
      <c r="BA96" s="49" t="n"/>
      <c r="BB96" s="73" t="n"/>
      <c r="BC96" s="49" t="n"/>
      <c r="BD96" s="73" t="n"/>
      <c r="BE96" s="49" t="n"/>
      <c r="BF96" s="73" t="n"/>
      <c r="BG96" s="49" t="n"/>
      <c r="BH96" s="49" t="n"/>
      <c r="BI96" s="73" t="n"/>
      <c r="BJ96" s="73" t="n"/>
      <c r="BK96" s="73" t="n"/>
      <c r="BL96" s="73" t="n"/>
      <c r="BM96" s="73" t="n"/>
      <c r="BN96" s="73" t="n"/>
      <c r="BO96" s="73" t="n"/>
      <c r="BP96" s="73" t="n"/>
      <c r="BQ96" s="195">
        <f>COUNTIF($G96:$BP96,"a")+COUNTIF($G96:$BP96,"r0,a5")/2+COUNTIF($G96:$BP96,"p5,a5")/2</f>
        <v/>
      </c>
      <c r="BR96" s="195">
        <f>COUNTIF($G96:$BP96,"d")+COUNTIF($G96:$BP96,"r0,d5")/2+COUNTIF($G96:$BP96,"p5,d5")/2</f>
        <v/>
      </c>
      <c r="BS96" s="195">
        <f>COUNTIF($G96:$BP96,"b")+COUNTIF($G96:$BP96,"r0,b5")/2+COUNTIF($G96:$BP96,"p5,b5")/2</f>
        <v/>
      </c>
      <c r="BT96" s="195">
        <f>COUNTIF($G96:$BP96,"c")+COUNTIF($G96:$BP96,"r0,c5")/2+COUNTIF($G96:$BP96,"p5,c5")/2</f>
        <v/>
      </c>
      <c r="BU96" s="195">
        <f>COUNTIF($G96:$BP96,"KH")+COUNTIF($G96:$BP96,"TL")+COUNTIF($G96:$BP96,"L")</f>
        <v/>
      </c>
      <c r="BV96" s="202" t="n"/>
      <c r="BW96" s="195">
        <f>COUNTIF($G96:$BP96,"hh")</f>
        <v/>
      </c>
      <c r="BX96" s="195">
        <f>COUNTIF($G96:$BP96,"nt7")</f>
        <v/>
      </c>
      <c r="BY96" s="195">
        <f>COUNTIF($G96:$BP96,"P")+COUNTIF($G96:$BP96,"p5,a5")/2+COUNTIF($G96:$BP96,"p5,b5")/2+COUNTIF($G96:$BP96,"p5,c5")/2+COUNTIF($G96:$BP96,"p5,d5")/2</f>
        <v/>
      </c>
      <c r="BZ96" s="203">
        <f>SUBTOTAL(9,BQ96:BY96)</f>
        <v/>
      </c>
      <c r="CA96" s="54">
        <f>SUM(J96,L96,N96,P96,R96,T96,X96,Z96,AB96,AD96,AF96,AH96,AL96,AN96,AP96,AR96,AT96,AV96,AZ96,BB96,BD96,BF96,BH96,BP96)</f>
        <v/>
      </c>
      <c r="CB96" s="55">
        <f>SUM(H96,V96,AJ96,AX96,BL96)</f>
        <v/>
      </c>
      <c r="CC96" s="56">
        <f>SUM(BJ96,BN96)</f>
        <v/>
      </c>
      <c r="CD96" s="197">
        <f>IF(BZ96&gt;25,4,IF(BZ96&gt;18,3,IF(BZ96&gt;12,2,IF(BZ96&gt;4,1,0))))-BX96-2+1</f>
        <v/>
      </c>
      <c r="CE96" s="49" t="n">
        <v>1</v>
      </c>
      <c r="CF96" s="197" t="n">
        <v>0</v>
      </c>
      <c r="CG96" s="198">
        <f>F96-BY96+1</f>
        <v/>
      </c>
      <c r="CH96" s="197">
        <f>CE96*16</f>
        <v/>
      </c>
      <c r="CI96" s="199">
        <f>VLOOKUP(A96,[1]DATA!$A$6:$AI$331,34,0)</f>
        <v/>
      </c>
      <c r="CJ96" s="200">
        <f>VLOOKUP(A96,[2]CHAMCONG!A$7:CI$333,79,0)</f>
        <v/>
      </c>
      <c r="CK96" s="201">
        <f>CJ96-CA96</f>
        <v/>
      </c>
    </row>
    <row r="97" ht="15.75" customFormat="1" customHeight="1" s="68">
      <c r="A97" s="69" t="n"/>
      <c r="B97" s="64" t="n"/>
      <c r="C97" s="115" t="n"/>
      <c r="D97" s="46" t="n"/>
      <c r="E97" s="47" t="n"/>
      <c r="F97" s="48" t="n"/>
      <c r="G97" s="49" t="n"/>
      <c r="H97" s="73" t="n"/>
      <c r="I97" s="50" t="n"/>
      <c r="J97" s="73" t="n"/>
      <c r="K97" s="50" t="n"/>
      <c r="L97" s="73" t="n"/>
      <c r="M97" s="50" t="n"/>
      <c r="N97" s="73" t="n"/>
      <c r="O97" s="50" t="n"/>
      <c r="P97" s="73" t="n"/>
      <c r="Q97" s="49" t="n"/>
      <c r="R97" s="73" t="n"/>
      <c r="S97" s="50" t="n"/>
      <c r="T97" s="73" t="n"/>
      <c r="U97" s="50" t="n"/>
      <c r="V97" s="73" t="n"/>
      <c r="W97" s="50" t="n"/>
      <c r="X97" s="73" t="n"/>
      <c r="Y97" s="50" t="n"/>
      <c r="Z97" s="73" t="n"/>
      <c r="AA97" s="50" t="n"/>
      <c r="AB97" s="73" t="n"/>
      <c r="AC97" s="50" t="n"/>
      <c r="AD97" s="73" t="n"/>
      <c r="AE97" s="49" t="n"/>
      <c r="AF97" s="73" t="n"/>
      <c r="AG97" s="50" t="n"/>
      <c r="AH97" s="73" t="n"/>
      <c r="AI97" s="50" t="n"/>
      <c r="AJ97" s="73" t="n"/>
      <c r="AK97" s="50" t="n"/>
      <c r="AL97" s="73" t="n"/>
      <c r="AM97" s="50" t="n"/>
      <c r="AN97" s="73" t="n"/>
      <c r="AO97" s="50" t="n"/>
      <c r="AP97" s="73" t="n"/>
      <c r="AQ97" s="49" t="n"/>
      <c r="AR97" s="73" t="n"/>
      <c r="AS97" s="49" t="n"/>
      <c r="AT97" s="73" t="n"/>
      <c r="AU97" s="49" t="n"/>
      <c r="AV97" s="73" t="n"/>
      <c r="AW97" s="73" t="n"/>
      <c r="AX97" s="73" t="n"/>
      <c r="AY97" s="49" t="n"/>
      <c r="AZ97" s="73" t="n"/>
      <c r="BA97" s="49" t="n"/>
      <c r="BB97" s="73" t="n"/>
      <c r="BC97" s="73" t="n"/>
      <c r="BD97" s="73" t="n"/>
      <c r="BE97" s="49" t="n"/>
      <c r="BF97" s="73" t="n"/>
      <c r="BG97" s="49" t="n"/>
      <c r="BH97" s="73" t="n"/>
      <c r="BI97" s="73" t="n"/>
      <c r="BJ97" s="73" t="n"/>
      <c r="BK97" s="73" t="n"/>
      <c r="BL97" s="73" t="n"/>
      <c r="BM97" s="73" t="n"/>
      <c r="BN97" s="73" t="n"/>
      <c r="BO97" s="73" t="n"/>
      <c r="BP97" s="73" t="n"/>
      <c r="BQ97" s="195">
        <f>COUNTIF($G97:$BP97,"a")+COUNTIF($G97:$BP97,"r0,a5")/2+COUNTIF($G97:$BP97,"p5,a5")/2</f>
        <v/>
      </c>
      <c r="BR97" s="195">
        <f>COUNTIF($G97:$BP97,"d")+COUNTIF($G97:$BP97,"r0,d5")/2+COUNTIF($G97:$BP97,"p5,d5")/2</f>
        <v/>
      </c>
      <c r="BS97" s="195">
        <f>COUNTIF($G97:$BP97,"b")+COUNTIF($G97:$BP97,"r0,b5")/2+COUNTIF($G97:$BP97,"p5,b5")/2</f>
        <v/>
      </c>
      <c r="BT97" s="195">
        <f>COUNTIF($G97:$BP97,"c")+COUNTIF($G97:$BP97,"r0,c5")/2+COUNTIF($G97:$BP97,"p5,c5")/2</f>
        <v/>
      </c>
      <c r="BU97" s="195">
        <f>COUNTIF($G97:$BP97,"KH")+COUNTIF($G97:$BP97,"TL")+COUNTIF($G97:$BP97,"L")</f>
        <v/>
      </c>
      <c r="BV97" s="202" t="n"/>
      <c r="BW97" s="195">
        <f>COUNTIF($G97:$BP97,"hh")</f>
        <v/>
      </c>
      <c r="BX97" s="195">
        <f>COUNTIF($G97:$BP97,"nt7")</f>
        <v/>
      </c>
      <c r="BY97" s="195">
        <f>COUNTIF($G97:$BP97,"P")+COUNTIF($G97:$BP97,"p5,a5")/2+COUNTIF($G97:$BP97,"p5,b5")/2+COUNTIF($G97:$BP97,"p5,c5")/2+COUNTIF($G97:$BP97,"p5,d5")/2</f>
        <v/>
      </c>
      <c r="BZ97" s="203">
        <f>SUBTOTAL(9,BQ97:BY97)</f>
        <v/>
      </c>
      <c r="CA97" s="54">
        <f>SUM(J97,L97,N97,P97,R97,T97,X97,Z97,AB97,AD97,AF97,AH97,AL97,AN97,AP97,AR97,AT97,AV97,AZ97,BB97,BD97,BF97,BH97,BP97)</f>
        <v/>
      </c>
      <c r="CB97" s="55">
        <f>SUM(H97,V97,AJ97,AX97,BL97)</f>
        <v/>
      </c>
      <c r="CC97" s="56">
        <f>SUM(BJ97,BN97)</f>
        <v/>
      </c>
      <c r="CD97" s="197">
        <f>IF(BZ97&gt;25,4,IF(BZ97&gt;18,3,IF(BZ97&gt;12,2,IF(BZ97&gt;4,1,0))))-BX97-2+1</f>
        <v/>
      </c>
      <c r="CE97" s="49" t="n">
        <v>1</v>
      </c>
      <c r="CF97" s="197">
        <f>CD97*CI97</f>
        <v/>
      </c>
      <c r="CG97" s="198">
        <f>F97-BY97+1</f>
        <v/>
      </c>
      <c r="CH97" s="197">
        <f>CE97*16</f>
        <v/>
      </c>
      <c r="CI97" s="199">
        <f>VLOOKUP(A97,[1]DATA!$A$6:$AI$331,34,0)</f>
        <v/>
      </c>
      <c r="CJ97" s="200">
        <f>VLOOKUP(A97,[2]CHAMCONG!A$7:CI$333,79,0)</f>
        <v/>
      </c>
      <c r="CK97" s="201">
        <f>CJ97-CA97</f>
        <v/>
      </c>
    </row>
    <row r="98" ht="15.75" customFormat="1" customHeight="1" s="68">
      <c r="A98" s="69" t="n"/>
      <c r="B98" s="64" t="n"/>
      <c r="C98" s="115" t="n"/>
      <c r="D98" s="46" t="n"/>
      <c r="E98" s="47" t="n"/>
      <c r="F98" s="48" t="n"/>
      <c r="G98" s="49" t="n"/>
      <c r="H98" s="73" t="n"/>
      <c r="I98" s="50" t="n"/>
      <c r="J98" s="73" t="n"/>
      <c r="K98" s="50" t="n"/>
      <c r="L98" s="73" t="n"/>
      <c r="M98" s="50" t="n"/>
      <c r="N98" s="73" t="n"/>
      <c r="O98" s="50" t="n"/>
      <c r="P98" s="73" t="n"/>
      <c r="Q98" s="49" t="n"/>
      <c r="R98" s="73" t="n"/>
      <c r="S98" s="73" t="n"/>
      <c r="T98" s="73" t="n"/>
      <c r="U98" s="73" t="n"/>
      <c r="V98" s="73" t="n"/>
      <c r="W98" s="73" t="n"/>
      <c r="X98" s="73" t="n"/>
      <c r="Y98" s="73" t="n"/>
      <c r="Z98" s="73" t="n"/>
      <c r="AA98" s="73" t="n"/>
      <c r="AB98" s="73" t="n"/>
      <c r="AC98" s="73" t="n"/>
      <c r="AD98" s="73" t="n"/>
      <c r="AE98" s="49" t="n"/>
      <c r="AF98" s="73" t="n"/>
      <c r="AG98" s="73" t="n"/>
      <c r="AH98" s="73" t="n"/>
      <c r="AI98" s="73" t="n"/>
      <c r="AJ98" s="73" t="n"/>
      <c r="AK98" s="73" t="n"/>
      <c r="AL98" s="73" t="n"/>
      <c r="AM98" s="73" t="n"/>
      <c r="AN98" s="73" t="n"/>
      <c r="AO98" s="73" t="n"/>
      <c r="AP98" s="73" t="n"/>
      <c r="AQ98" s="49" t="n"/>
      <c r="AR98" s="73" t="n"/>
      <c r="AS98" s="49" t="n"/>
      <c r="AT98" s="73" t="n"/>
      <c r="AU98" s="49" t="n"/>
      <c r="AV98" s="73" t="n"/>
      <c r="AW98" s="73" t="n"/>
      <c r="AX98" s="73" t="n"/>
      <c r="AY98" s="49" t="n"/>
      <c r="AZ98" s="73" t="n"/>
      <c r="BA98" s="49" t="n"/>
      <c r="BB98" s="73" t="n"/>
      <c r="BC98" s="49" t="n"/>
      <c r="BD98" s="73" t="n"/>
      <c r="BE98" s="49" t="n"/>
      <c r="BF98" s="73" t="n"/>
      <c r="BG98" s="49" t="n"/>
      <c r="BH98" s="73" t="n"/>
      <c r="BI98" s="49" t="n"/>
      <c r="BJ98" s="73" t="n"/>
      <c r="BK98" s="49" t="n"/>
      <c r="BL98" s="73" t="n"/>
      <c r="BM98" s="49" t="n"/>
      <c r="BN98" s="73" t="n"/>
      <c r="BO98" s="49" t="n"/>
      <c r="BP98" s="73" t="n"/>
      <c r="BQ98" s="195">
        <f>COUNTIF($G98:$BP98,"a")+COUNTIF($G98:$BP98,"r0,a5")/2+COUNTIF($G98:$BP98,"p5,a5")/2</f>
        <v/>
      </c>
      <c r="BR98" s="195">
        <f>COUNTIF($G98:$BP98,"d")+COUNTIF($G98:$BP98,"r0,d5")/2+COUNTIF($G98:$BP98,"p5,d5")/2</f>
        <v/>
      </c>
      <c r="BS98" s="195">
        <f>COUNTIF($G98:$BP98,"b")+COUNTIF($G98:$BP98,"r0,b5")/2+COUNTIF($G98:$BP98,"p5,b5")/2</f>
        <v/>
      </c>
      <c r="BT98" s="195">
        <f>COUNTIF($G98:$BP98,"c")+COUNTIF($G98:$BP98,"r0,c5")/2+COUNTIF($G98:$BP98,"p5,c5")/2</f>
        <v/>
      </c>
      <c r="BU98" s="195">
        <f>COUNTIF($G98:$BP98,"KH")+COUNTIF($G98:$BP98,"TL")+COUNTIF($G98:$BP98,"L")</f>
        <v/>
      </c>
      <c r="BV98" s="202" t="n"/>
      <c r="BW98" s="195">
        <f>COUNTIF($G98:$BP98,"hh")</f>
        <v/>
      </c>
      <c r="BX98" s="195">
        <f>COUNTIF($G98:$BP98,"nt7")</f>
        <v/>
      </c>
      <c r="BY98" s="195">
        <f>COUNTIF($G98:$BP98,"P")+COUNTIF($G98:$BP98,"p5,a5")/2+COUNTIF($G98:$BP98,"p5,b5")/2+COUNTIF($G98:$BP98,"p5,c5")/2+COUNTIF($G98:$BP98,"p5,d5")/2</f>
        <v/>
      </c>
      <c r="BZ98" s="203">
        <f>SUBTOTAL(9,BQ98:BY98)</f>
        <v/>
      </c>
      <c r="CA98" s="54">
        <f>SUM(J98,L98,N98,P98,R98,T98,X98,Z98,AB98,AD98,AF98,AH98,AL98,AN98,AP98,AR98,AT98,AV98,AZ98,BB98,BD98,BF98,BH98,BP98)</f>
        <v/>
      </c>
      <c r="CB98" s="55">
        <f>SUM(H98,V98,AJ98,AX98,BL98)</f>
        <v/>
      </c>
      <c r="CC98" s="56">
        <f>SUM(BJ98,BN98)</f>
        <v/>
      </c>
      <c r="CD98" s="197">
        <f>IF(BZ98&gt;25,4,IF(BZ98&gt;18,3,IF(BZ98&gt;12,2,IF(BZ98&gt;4,1,0))))-BX98-2+1</f>
        <v/>
      </c>
      <c r="CE98" s="49" t="n">
        <v>4</v>
      </c>
      <c r="CF98" s="197">
        <f>CD98*CI98</f>
        <v/>
      </c>
      <c r="CG98" s="198">
        <f>F98-BY98+1</f>
        <v/>
      </c>
      <c r="CH98" s="197">
        <f>CE98*16</f>
        <v/>
      </c>
      <c r="CI98" s="199">
        <f>VLOOKUP(A98,[1]DATA!$A$6:$AI$331,34,0)</f>
        <v/>
      </c>
      <c r="CJ98" s="200">
        <f>VLOOKUP(A98,[2]CHAMCONG!A$7:CI$333,79,0)</f>
        <v/>
      </c>
      <c r="CK98" s="201">
        <f>CJ98-CA98</f>
        <v/>
      </c>
    </row>
    <row r="99" ht="15.75" customFormat="1" customHeight="1" s="68">
      <c r="A99" s="69" t="n"/>
      <c r="B99" s="64" t="n"/>
      <c r="C99" s="115" t="n"/>
      <c r="D99" s="46" t="n"/>
      <c r="E99" s="47" t="n"/>
      <c r="F99" s="48" t="n"/>
      <c r="G99" s="49" t="n"/>
      <c r="H99" s="73" t="n"/>
      <c r="I99" s="50" t="n"/>
      <c r="J99" s="73" t="n"/>
      <c r="K99" s="50" t="n"/>
      <c r="L99" s="73" t="n"/>
      <c r="M99" s="50" t="n"/>
      <c r="N99" s="73" t="n"/>
      <c r="O99" s="50" t="n"/>
      <c r="P99" s="73" t="n"/>
      <c r="Q99" s="50" t="n"/>
      <c r="R99" s="67" t="n"/>
      <c r="S99" s="50" t="n"/>
      <c r="T99" s="73" t="n"/>
      <c r="U99" s="50" t="n"/>
      <c r="V99" s="73" t="n"/>
      <c r="W99" s="50" t="n"/>
      <c r="X99" s="73" t="n"/>
      <c r="Y99" s="50" t="n"/>
      <c r="Z99" s="73" t="n"/>
      <c r="AA99" s="50" t="n"/>
      <c r="AB99" s="73" t="n"/>
      <c r="AC99" s="50" t="n"/>
      <c r="AD99" s="73" t="n"/>
      <c r="AE99" s="50" t="n"/>
      <c r="AF99" s="67" t="n"/>
      <c r="AG99" s="50" t="n"/>
      <c r="AH99" s="73" t="n"/>
      <c r="AI99" s="50" t="n"/>
      <c r="AJ99" s="73" t="n"/>
      <c r="AK99" s="50" t="n"/>
      <c r="AL99" s="73" t="n"/>
      <c r="AM99" s="50" t="n"/>
      <c r="AN99" s="73" t="n"/>
      <c r="AO99" s="50" t="n"/>
      <c r="AP99" s="73" t="n"/>
      <c r="AQ99" s="50" t="n"/>
      <c r="AR99" s="73" t="n"/>
      <c r="AS99" s="50" t="n"/>
      <c r="AT99" s="67" t="n"/>
      <c r="AU99" s="50" t="n"/>
      <c r="AV99" s="73" t="n"/>
      <c r="AW99" s="73" t="n"/>
      <c r="AX99" s="73" t="n"/>
      <c r="AY99" s="50" t="n"/>
      <c r="AZ99" s="73" t="n"/>
      <c r="BA99" s="50" t="n"/>
      <c r="BB99" s="73" t="n"/>
      <c r="BC99" s="50" t="n"/>
      <c r="BD99" s="73" t="n"/>
      <c r="BE99" s="50" t="n"/>
      <c r="BF99" s="73" t="n"/>
      <c r="BG99" s="50" t="n"/>
      <c r="BH99" s="67" t="n"/>
      <c r="BI99" s="73" t="n"/>
      <c r="BJ99" s="73" t="n"/>
      <c r="BK99" s="49" t="n"/>
      <c r="BL99" s="73" t="n"/>
      <c r="BM99" s="73" t="n"/>
      <c r="BN99" s="73" t="n"/>
      <c r="BO99" s="73" t="n"/>
      <c r="BP99" s="73" t="n"/>
      <c r="BQ99" s="195">
        <f>COUNTIF($G99:$BP99,"a")+COUNTIF($G99:$BP99,"r0,a5")/2+COUNTIF($G99:$BP99,"p5,a5")/2</f>
        <v/>
      </c>
      <c r="BR99" s="195">
        <f>COUNTIF($G99:$BP99,"d")+COUNTIF($G99:$BP99,"r0,d5")/2+COUNTIF($G99:$BP99,"p5,d5")/2</f>
        <v/>
      </c>
      <c r="BS99" s="195">
        <f>COUNTIF($G99:$BP99,"b")+COUNTIF($G99:$BP99,"r0,b5")/2+COUNTIF($G99:$BP99,"p5,b5")/2</f>
        <v/>
      </c>
      <c r="BT99" s="195">
        <f>COUNTIF($G99:$BP99,"c")+COUNTIF($G99:$BP99,"r0,c5")/2+COUNTIF($G99:$BP99,"p5,c5")/2</f>
        <v/>
      </c>
      <c r="BU99" s="195">
        <f>COUNTIF($G99:$BP99,"KH")+COUNTIF($G99:$BP99,"TL")+COUNTIF($G99:$BP99,"L")</f>
        <v/>
      </c>
      <c r="BV99" s="202" t="n"/>
      <c r="BW99" s="195">
        <f>COUNTIF($G99:$BP99,"hh")</f>
        <v/>
      </c>
      <c r="BX99" s="195">
        <f>COUNTIF($G99:$BP99,"nt7")</f>
        <v/>
      </c>
      <c r="BY99" s="195">
        <f>COUNTIF($G99:$BP99,"P")+COUNTIF($G99:$BP99,"p5,a5")/2+COUNTIF($G99:$BP99,"p5,b5")/2+COUNTIF($G99:$BP99,"p5,c5")/2+COUNTIF($G99:$BP99,"p5,d5")/2</f>
        <v/>
      </c>
      <c r="BZ99" s="203">
        <f>SUBTOTAL(9,BQ99:BY99)</f>
        <v/>
      </c>
      <c r="CA99" s="54">
        <f>SUM(J99,L99,N99,P99,R99,T99,X99,Z99,AB99,AD99,AF99,AH99,AL99,AN99,AP99,AR99,AT99,AV99,AZ99,BB99,BD99,BF99,BH99,BP99)</f>
        <v/>
      </c>
      <c r="CB99" s="55">
        <f>SUM(H99,V99,AJ99,AX99,BL99)</f>
        <v/>
      </c>
      <c r="CC99" s="56">
        <f>SUM(BJ99,BN99)</f>
        <v/>
      </c>
      <c r="CD99" s="197">
        <f>IF(BZ99&gt;25,4,IF(BZ99&gt;18,3,IF(BZ99&gt;12,2,IF(BZ99&gt;4,1,0))))-BX99-2+1</f>
        <v/>
      </c>
      <c r="CE99" s="49" t="n">
        <v>3</v>
      </c>
      <c r="CF99" s="197">
        <f>CD99*CI99</f>
        <v/>
      </c>
      <c r="CG99" s="198">
        <f>F99-BY99+1</f>
        <v/>
      </c>
      <c r="CH99" s="197">
        <f>CE99*16</f>
        <v/>
      </c>
      <c r="CI99" s="199">
        <f>VLOOKUP(A99,[1]DATA!$A$6:$AI$331,34,0)</f>
        <v/>
      </c>
      <c r="CJ99" s="200">
        <f>VLOOKUP(A99,[2]CHAMCONG!A$7:CI$333,79,0)</f>
        <v/>
      </c>
      <c r="CK99" s="201">
        <f>CJ99-CA99</f>
        <v/>
      </c>
    </row>
    <row r="100" ht="15.75" customFormat="1" customHeight="1" s="68">
      <c r="A100" s="139" t="n"/>
      <c r="B100" s="64" t="n"/>
      <c r="C100" s="115" t="n"/>
      <c r="D100" s="46" t="n"/>
      <c r="E100" s="47" t="n"/>
      <c r="F100" s="48" t="n"/>
      <c r="G100" s="49" t="n"/>
      <c r="H100" s="73" t="n"/>
      <c r="I100" s="49" t="n"/>
      <c r="J100" s="73" t="n"/>
      <c r="K100" s="49" t="n"/>
      <c r="L100" s="73" t="n"/>
      <c r="M100" s="49" t="n"/>
      <c r="N100" s="73" t="n"/>
      <c r="O100" s="49" t="n"/>
      <c r="P100" s="73" t="n"/>
      <c r="Q100" s="49" t="n"/>
      <c r="R100" s="73" t="n"/>
      <c r="S100" s="49" t="n"/>
      <c r="T100" s="73" t="n"/>
      <c r="U100" s="73" t="n"/>
      <c r="V100" s="73" t="n"/>
      <c r="W100" s="49" t="n"/>
      <c r="X100" s="73" t="n"/>
      <c r="Y100" s="49" t="n"/>
      <c r="Z100" s="73" t="n"/>
      <c r="AA100" s="49" t="n"/>
      <c r="AB100" s="73" t="n"/>
      <c r="AC100" s="49" t="n"/>
      <c r="AD100" s="73" t="n"/>
      <c r="AE100" s="49" t="n"/>
      <c r="AF100" s="73" t="n"/>
      <c r="AG100" s="49" t="n"/>
      <c r="AH100" s="73" t="n"/>
      <c r="AI100" s="73" t="n"/>
      <c r="AJ100" s="73" t="n"/>
      <c r="AK100" s="50" t="n"/>
      <c r="AL100" s="73" t="n"/>
      <c r="AM100" s="50" t="n"/>
      <c r="AN100" s="73" t="n"/>
      <c r="AO100" s="73" t="n"/>
      <c r="AP100" s="73" t="n"/>
      <c r="AQ100" s="73" t="n"/>
      <c r="AR100" s="73" t="n"/>
      <c r="AS100" s="73" t="n"/>
      <c r="AT100" s="73" t="n"/>
      <c r="AU100" s="73" t="n"/>
      <c r="AV100" s="73" t="n"/>
      <c r="AW100" s="73" t="n"/>
      <c r="AX100" s="73" t="n"/>
      <c r="AY100" s="73" t="n"/>
      <c r="AZ100" s="73" t="n"/>
      <c r="BA100" s="49" t="n"/>
      <c r="BB100" s="73" t="n"/>
      <c r="BC100" s="49" t="n"/>
      <c r="BD100" s="73" t="n"/>
      <c r="BE100" s="49" t="n"/>
      <c r="BF100" s="73" t="n"/>
      <c r="BG100" s="49" t="n"/>
      <c r="BH100" s="73" t="n"/>
      <c r="BI100" s="73" t="n"/>
      <c r="BJ100" s="73" t="n"/>
      <c r="BK100" s="73" t="n"/>
      <c r="BL100" s="73" t="n"/>
      <c r="BM100" s="73" t="n"/>
      <c r="BN100" s="73" t="n"/>
      <c r="BO100" s="49" t="n"/>
      <c r="BP100" s="73" t="n"/>
      <c r="BQ100" s="195">
        <f>COUNTIF($G100:$BP100,"a")+COUNTIF($G100:$BP100,"r0,a5")/2+COUNTIF($G100:$BP100,"p5,a5")/2</f>
        <v/>
      </c>
      <c r="BR100" s="195">
        <f>COUNTIF($G100:$BP100,"d")+COUNTIF($G100:$BP100,"r0,d5")/2+COUNTIF($G100:$BP100,"p5,d5")/2</f>
        <v/>
      </c>
      <c r="BS100" s="195">
        <f>COUNTIF($G100:$BP100,"b")+COUNTIF($G100:$BP100,"r0,b5")/2+COUNTIF($G100:$BP100,"p5,b5")/2</f>
        <v/>
      </c>
      <c r="BT100" s="195">
        <f>COUNTIF($G100:$BP100,"c")+COUNTIF($G100:$BP100,"r0,c5")/2+COUNTIF($G100:$BP100,"p5,c5")/2</f>
        <v/>
      </c>
      <c r="BU100" s="195">
        <f>COUNTIF($G100:$BP100,"KH")+COUNTIF($G100:$BP100,"TL")+COUNTIF($G100:$BP100,"L")</f>
        <v/>
      </c>
      <c r="BV100" s="202" t="n"/>
      <c r="BW100" s="195">
        <f>COUNTIF($G100:$BP100,"hh")</f>
        <v/>
      </c>
      <c r="BX100" s="195">
        <f>COUNTIF($G100:$BP100,"nt7")</f>
        <v/>
      </c>
      <c r="BY100" s="195">
        <f>COUNTIF($G100:$BP100,"P")+COUNTIF($G100:$BP100,"p5,a5")/2+COUNTIF($G100:$BP100,"p5,b5")/2+COUNTIF($G100:$BP100,"p5,c5")/2+COUNTIF($G100:$BP100,"p5,d5")/2</f>
        <v/>
      </c>
      <c r="BZ100" s="203">
        <f>SUBTOTAL(9,BQ100:BY100)</f>
        <v/>
      </c>
      <c r="CA100" s="54">
        <f>SUM(J100,L100,N100,P100,R100,T100,X100,Z100,AB100,AD100,AF100,AH100,AL100,AN100,AP100,AR100,AT100,AV100,AZ100,BB100,BD100,BF100,BH100,BP100)</f>
        <v/>
      </c>
      <c r="CB100" s="55">
        <f>SUM(H100,V100,AJ100,AX100,BL100)</f>
        <v/>
      </c>
      <c r="CC100" s="56">
        <f>SUM(BJ100,BN100)</f>
        <v/>
      </c>
      <c r="CD100" s="197">
        <f>IF(BZ100&gt;25,4,IF(BZ100&gt;18,3,IF(BZ100&gt;12,2,IF(BZ100&gt;4,1,0))))-BX100-2+1</f>
        <v/>
      </c>
      <c r="CE100" s="49" t="n">
        <v>1</v>
      </c>
      <c r="CF100" s="197">
        <f>CD100*CI100</f>
        <v/>
      </c>
      <c r="CG100" s="198">
        <f>F100-BY100+1</f>
        <v/>
      </c>
      <c r="CH100" s="197">
        <f>CE100*16</f>
        <v/>
      </c>
      <c r="CI100" s="199">
        <f>VLOOKUP(A100,[1]DATA!$A$6:$AI$331,34,0)</f>
        <v/>
      </c>
      <c r="CJ100" s="200">
        <f>VLOOKUP(A100,[2]CHAMCONG!A$7:CI$333,79,0)</f>
        <v/>
      </c>
      <c r="CK100" s="201">
        <f>CJ100-CA100</f>
        <v/>
      </c>
    </row>
    <row r="101" ht="15.75" customFormat="1" customHeight="1" s="68">
      <c r="A101" s="139" t="n"/>
      <c r="B101" s="64" t="n"/>
      <c r="C101" s="115" t="n"/>
      <c r="D101" s="46" t="n"/>
      <c r="E101" s="47" t="n"/>
      <c r="F101" s="48" t="n"/>
      <c r="G101" s="49" t="n"/>
      <c r="H101" s="73" t="n"/>
      <c r="I101" s="49" t="n"/>
      <c r="J101" s="73" t="n"/>
      <c r="K101" s="49" t="n"/>
      <c r="L101" s="73" t="n"/>
      <c r="M101" s="49" t="n"/>
      <c r="N101" s="73" t="n"/>
      <c r="O101" s="49" t="n"/>
      <c r="P101" s="73" t="n"/>
      <c r="Q101" s="49" t="n"/>
      <c r="R101" s="73" t="n"/>
      <c r="S101" s="50" t="n"/>
      <c r="T101" s="73" t="n"/>
      <c r="U101" s="50" t="n"/>
      <c r="V101" s="73" t="n"/>
      <c r="W101" s="50" t="n"/>
      <c r="X101" s="73" t="n"/>
      <c r="Y101" s="50" t="n"/>
      <c r="Z101" s="73" t="n"/>
      <c r="AA101" s="50" t="n"/>
      <c r="AB101" s="73" t="n"/>
      <c r="AC101" s="50" t="n"/>
      <c r="AD101" s="73" t="n"/>
      <c r="AE101" s="49" t="n"/>
      <c r="AF101" s="73" t="n"/>
      <c r="AG101" s="73" t="n"/>
      <c r="AH101" s="73" t="n"/>
      <c r="AI101" s="73" t="n"/>
      <c r="AJ101" s="73" t="n"/>
      <c r="AK101" s="73" t="n"/>
      <c r="AL101" s="73" t="n"/>
      <c r="AM101" s="73" t="n"/>
      <c r="AN101" s="73" t="n"/>
      <c r="AO101" s="73" t="n"/>
      <c r="AP101" s="73" t="n"/>
      <c r="AQ101" s="73" t="n"/>
      <c r="AR101" s="73" t="n"/>
      <c r="AS101" s="73" t="n"/>
      <c r="AT101" s="73" t="n"/>
      <c r="AU101" s="73" t="n"/>
      <c r="AV101" s="73" t="n"/>
      <c r="AW101" s="49" t="n"/>
      <c r="AX101" s="73" t="n"/>
      <c r="AY101" s="73" t="n"/>
      <c r="AZ101" s="73" t="n"/>
      <c r="BA101" s="73" t="n"/>
      <c r="BB101" s="73" t="n"/>
      <c r="BC101" s="73" t="n"/>
      <c r="BD101" s="73" t="n"/>
      <c r="BE101" s="73" t="n"/>
      <c r="BF101" s="73" t="n"/>
      <c r="BG101" s="73" t="n"/>
      <c r="BH101" s="73" t="n"/>
      <c r="BI101" s="49" t="n"/>
      <c r="BJ101" s="73" t="n"/>
      <c r="BK101" s="49" t="n"/>
      <c r="BL101" s="73" t="n"/>
      <c r="BM101" s="49" t="n"/>
      <c r="BN101" s="73" t="n"/>
      <c r="BO101" s="49" t="n"/>
      <c r="BP101" s="73" t="n"/>
      <c r="BQ101" s="195">
        <f>COUNTIF($G101:$BP101,"a")+COUNTIF($G101:$BP101,"r0,a5")/2+COUNTIF($G101:$BP101,"p5,a5")/2</f>
        <v/>
      </c>
      <c r="BR101" s="195">
        <f>COUNTIF($G101:$BP101,"d")+COUNTIF($G101:$BP101,"r0,d5")/2+COUNTIF($G101:$BP101,"p5,d5")/2</f>
        <v/>
      </c>
      <c r="BS101" s="195">
        <f>COUNTIF($G101:$BP101,"b")+COUNTIF($G101:$BP101,"r0,b5")/2+COUNTIF($G101:$BP101,"p5,b5")/2</f>
        <v/>
      </c>
      <c r="BT101" s="195">
        <f>COUNTIF($G101:$BP101,"c")+COUNTIF($G101:$BP101,"r0,c5")/2+COUNTIF($G101:$BP101,"p5,c5")/2</f>
        <v/>
      </c>
      <c r="BU101" s="195">
        <f>COUNTIF($G101:$BP101,"KH")+COUNTIF($G101:$BP101,"TL")+COUNTIF($G101:$BP101,"L")</f>
        <v/>
      </c>
      <c r="BV101" s="202" t="n"/>
      <c r="BW101" s="195">
        <f>COUNTIF($G101:$BP101,"hh")</f>
        <v/>
      </c>
      <c r="BX101" s="195">
        <f>COUNTIF($G101:$BP101,"nt7")</f>
        <v/>
      </c>
      <c r="BY101" s="195">
        <f>COUNTIF($G101:$BP101,"P")+COUNTIF($G101:$BP101,"p5,a5")/2+COUNTIF($G101:$BP101,"p5,b5")/2+COUNTIF($G101:$BP101,"p5,c5")/2+COUNTIF($G101:$BP101,"p5,d5")/2</f>
        <v/>
      </c>
      <c r="BZ101" s="203">
        <f>SUBTOTAL(9,BQ101:BY101)</f>
        <v/>
      </c>
      <c r="CA101" s="54">
        <f>SUM(J101,L101,N101,P101,R101,T101,X101,Z101,AB101,AD101,AF101,AH101,AL101,AN101,AP101,AR101,AT101,AV101,AZ101,BB101,BD101,BF101,BH101,BP101)</f>
        <v/>
      </c>
      <c r="CB101" s="55">
        <f>SUM(H101,V101,AJ101,AX101,BL101)</f>
        <v/>
      </c>
      <c r="CC101" s="56">
        <f>SUM(BJ101,BN101)</f>
        <v/>
      </c>
      <c r="CD101" s="197">
        <f>IF(BZ101&gt;25,4,IF(BZ101&gt;18,3,IF(BZ101&gt;12,2,IF(BZ101&gt;4,1,0))))-BX101-2+1</f>
        <v/>
      </c>
      <c r="CE101" s="49" t="n"/>
      <c r="CF101" s="197">
        <f>CD101*CI101</f>
        <v/>
      </c>
      <c r="CG101" s="198">
        <f>F101-BY101+1</f>
        <v/>
      </c>
      <c r="CH101" s="197">
        <f>CE101*16</f>
        <v/>
      </c>
      <c r="CI101" s="199">
        <f>VLOOKUP(A101,[1]DATA!$A$6:$AI$331,34,0)</f>
        <v/>
      </c>
      <c r="CJ101" s="200">
        <f>VLOOKUP(A101,[2]CHAMCONG!A$7:CI$333,79,0)</f>
        <v/>
      </c>
      <c r="CK101" s="201">
        <f>CJ101-CA101</f>
        <v/>
      </c>
    </row>
    <row r="102" ht="15.75" customFormat="1" customHeight="1" s="68">
      <c r="A102" s="139" t="n"/>
      <c r="B102" s="64" t="n"/>
      <c r="C102" s="115" t="n"/>
      <c r="D102" s="46" t="n"/>
      <c r="E102" s="47" t="n"/>
      <c r="F102" s="48" t="n"/>
      <c r="G102" s="49" t="n"/>
      <c r="H102" s="73" t="n"/>
      <c r="I102" s="50" t="n"/>
      <c r="J102" s="73" t="n"/>
      <c r="K102" s="73" t="n"/>
      <c r="L102" s="73" t="n"/>
      <c r="M102" s="73" t="n"/>
      <c r="N102" s="73" t="n"/>
      <c r="O102" s="50" t="n"/>
      <c r="P102" s="73" t="n"/>
      <c r="Q102" s="73" t="n"/>
      <c r="R102" s="73" t="n"/>
      <c r="S102" s="73" t="n"/>
      <c r="T102" s="73" t="n"/>
      <c r="U102" s="49" t="n"/>
      <c r="V102" s="73" t="n"/>
      <c r="W102" s="73" t="n"/>
      <c r="X102" s="73" t="n"/>
      <c r="Y102" s="73" t="n"/>
      <c r="Z102" s="73" t="n"/>
      <c r="AA102" s="73" t="n"/>
      <c r="AB102" s="73" t="n"/>
      <c r="AC102" s="73" t="n"/>
      <c r="AD102" s="73" t="n"/>
      <c r="AE102" s="73" t="n"/>
      <c r="AF102" s="73" t="n"/>
      <c r="AG102" s="73" t="n"/>
      <c r="AH102" s="73" t="n"/>
      <c r="AI102" s="73" t="n"/>
      <c r="AJ102" s="73" t="n"/>
      <c r="AK102" s="50" t="n"/>
      <c r="AL102" s="73" t="n"/>
      <c r="AM102" s="73" t="n"/>
      <c r="AN102" s="73" t="n"/>
      <c r="AO102" s="73" t="n"/>
      <c r="AP102" s="73" t="n"/>
      <c r="AQ102" s="50" t="n"/>
      <c r="AR102" s="73" t="n"/>
      <c r="AS102" s="73" t="n"/>
      <c r="AT102" s="73" t="n"/>
      <c r="AU102" s="50" t="n"/>
      <c r="AV102" s="73" t="n"/>
      <c r="AW102" s="73" t="n"/>
      <c r="AX102" s="73" t="n"/>
      <c r="AY102" s="50" t="n"/>
      <c r="AZ102" s="73" t="n"/>
      <c r="BA102" s="50" t="n"/>
      <c r="BB102" s="73" t="n"/>
      <c r="BC102" s="50" t="n"/>
      <c r="BD102" s="73" t="n"/>
      <c r="BE102" s="50" t="n"/>
      <c r="BF102" s="73" t="n"/>
      <c r="BG102" s="50" t="n"/>
      <c r="BH102" s="50" t="n"/>
      <c r="BI102" s="73" t="n"/>
      <c r="BJ102" s="73" t="n"/>
      <c r="BK102" s="73" t="n"/>
      <c r="BL102" s="73" t="n"/>
      <c r="BM102" s="73" t="n"/>
      <c r="BN102" s="73" t="n"/>
      <c r="BO102" s="73" t="n"/>
      <c r="BP102" s="73" t="n"/>
      <c r="BQ102" s="195">
        <f>COUNTIF($G102:$BP102,"a")+COUNTIF($G102:$BP102,"r0,a5")/2+COUNTIF($G102:$BP102,"p5,a5")/2</f>
        <v/>
      </c>
      <c r="BR102" s="195">
        <f>COUNTIF($G102:$BP102,"d")+COUNTIF($G102:$BP102,"r0,d5")/2+COUNTIF($G102:$BP102,"p5,d5")/2</f>
        <v/>
      </c>
      <c r="BS102" s="195">
        <f>COUNTIF($G102:$BP102,"b")+COUNTIF($G102:$BP102,"r0,b5")/2+COUNTIF($G102:$BP102,"p5,b5")/2</f>
        <v/>
      </c>
      <c r="BT102" s="195">
        <f>COUNTIF($G102:$BP102,"c")+COUNTIF($G102:$BP102,"r0,c5")/2+COUNTIF($G102:$BP102,"p5,c5")/2</f>
        <v/>
      </c>
      <c r="BU102" s="195">
        <f>COUNTIF($G102:$BP102,"KH")+COUNTIF($G102:$BP102,"TL")+COUNTIF($G102:$BP102,"L")</f>
        <v/>
      </c>
      <c r="BV102" s="202" t="n"/>
      <c r="BW102" s="195">
        <f>COUNTIF($G102:$BP102,"hh")</f>
        <v/>
      </c>
      <c r="BX102" s="195">
        <f>COUNTIF($G102:$BP102,"nt7")</f>
        <v/>
      </c>
      <c r="BY102" s="195">
        <f>COUNTIF($G102:$BP102,"P")+COUNTIF($G102:$BP102,"p5,a5")/2+COUNTIF($G102:$BP102,"p5,b5")/2+COUNTIF($G102:$BP102,"p5,c5")/2+COUNTIF($G102:$BP102,"p5,d5")/2</f>
        <v/>
      </c>
      <c r="BZ102" s="203">
        <f>SUBTOTAL(9,BQ102:BY102)</f>
        <v/>
      </c>
      <c r="CA102" s="54">
        <f>SUM(J102,L102,N102,P102,R102,T102,X102,Z102,AB102,AD102,AF102,AH102,AL102,AN102,AP102,AR102,AT102,AV102,AZ102,BB102,BD102,BF102,BH102,BP102)</f>
        <v/>
      </c>
      <c r="CB102" s="55">
        <f>SUM(H102,V102,AJ102,AX102,BL102)</f>
        <v/>
      </c>
      <c r="CC102" s="56">
        <f>SUM(BJ102,BN102)</f>
        <v/>
      </c>
      <c r="CD102" s="197">
        <f>IF(BZ102&gt;25,4,IF(BZ102&gt;18,3,IF(BZ102&gt;12,2,IF(BZ102&gt;4,1,0))))-BX102-2+1</f>
        <v/>
      </c>
      <c r="CE102" s="49" t="n"/>
      <c r="CF102" s="197">
        <f>CD102*CI102</f>
        <v/>
      </c>
      <c r="CG102" s="198">
        <f>F102-BY102+1</f>
        <v/>
      </c>
      <c r="CH102" s="197">
        <f>CE102*16</f>
        <v/>
      </c>
      <c r="CI102" s="199">
        <f>VLOOKUP(A102,[1]DATA!$A$6:$AI$331,34,0)</f>
        <v/>
      </c>
      <c r="CJ102" s="200">
        <f>VLOOKUP(A102,[2]CHAMCONG!A$7:CI$333,79,0)</f>
        <v/>
      </c>
      <c r="CK102" s="201">
        <f>CJ102-CA102</f>
        <v/>
      </c>
    </row>
    <row r="103" ht="14.1" customFormat="1" customHeight="1" s="68">
      <c r="A103" s="139" t="n"/>
      <c r="B103" s="64" t="n"/>
      <c r="C103" s="115" t="n"/>
      <c r="D103" s="46" t="n"/>
      <c r="E103" s="47" t="n"/>
      <c r="F103" s="48" t="n"/>
      <c r="G103" s="49" t="n"/>
      <c r="H103" s="73" t="n"/>
      <c r="I103" s="49" t="n"/>
      <c r="J103" s="73" t="n"/>
      <c r="K103" s="49" t="n"/>
      <c r="L103" s="73" t="n"/>
      <c r="M103" s="49" t="n"/>
      <c r="N103" s="73" t="n"/>
      <c r="O103" s="49" t="n"/>
      <c r="P103" s="73" t="n"/>
      <c r="Q103" s="49" t="n"/>
      <c r="R103" s="73" t="n"/>
      <c r="S103" s="49" t="n"/>
      <c r="T103" s="73" t="n"/>
      <c r="U103" s="49" t="n"/>
      <c r="V103" s="73" t="n"/>
      <c r="W103" s="49" t="n"/>
      <c r="X103" s="73" t="n"/>
      <c r="Y103" s="49" t="n"/>
      <c r="Z103" s="73" t="n"/>
      <c r="AA103" s="49" t="n"/>
      <c r="AB103" s="73" t="n"/>
      <c r="AC103" s="49" t="n"/>
      <c r="AD103" s="73" t="n"/>
      <c r="AE103" s="49" t="n"/>
      <c r="AF103" s="73" t="n"/>
      <c r="AG103" s="73" t="n"/>
      <c r="AH103" s="73" t="n"/>
      <c r="AI103" s="73" t="n"/>
      <c r="AJ103" s="73" t="n"/>
      <c r="AK103" s="73" t="n"/>
      <c r="AL103" s="73" t="n"/>
      <c r="AM103" s="73" t="n"/>
      <c r="AN103" s="73" t="n"/>
      <c r="AO103" s="50" t="n"/>
      <c r="AP103" s="73" t="n"/>
      <c r="AQ103" s="50" t="n"/>
      <c r="AR103" s="73" t="n"/>
      <c r="AS103" s="50" t="n"/>
      <c r="AT103" s="67" t="n"/>
      <c r="AU103" s="50" t="n"/>
      <c r="AV103" s="73" t="n"/>
      <c r="AW103" s="49" t="n"/>
      <c r="AX103" s="73" t="n"/>
      <c r="AY103" s="73" t="n"/>
      <c r="AZ103" s="73" t="n"/>
      <c r="BA103" s="73" t="n"/>
      <c r="BB103" s="73" t="n"/>
      <c r="BC103" s="73" t="n"/>
      <c r="BD103" s="73" t="n"/>
      <c r="BE103" s="73" t="n"/>
      <c r="BF103" s="73" t="n"/>
      <c r="BG103" s="73" t="n"/>
      <c r="BH103" s="73" t="n"/>
      <c r="BI103" s="73" t="n"/>
      <c r="BJ103" s="73" t="n"/>
      <c r="BK103" s="73" t="n"/>
      <c r="BL103" s="73" t="n"/>
      <c r="BM103" s="73" t="n"/>
      <c r="BN103" s="73" t="n"/>
      <c r="BO103" s="73" t="n"/>
      <c r="BP103" s="73" t="n"/>
      <c r="BQ103" s="195">
        <f>COUNTIF($G103:$BP103,"a")+COUNTIF($G103:$BP103,"r0,a5")/2+COUNTIF($G103:$BP103,"p5,a5")/2</f>
        <v/>
      </c>
      <c r="BR103" s="195">
        <f>COUNTIF($G103:$BP103,"d")+COUNTIF($G103:$BP103,"r0,d5")/2+COUNTIF($G103:$BP103,"p5,d5")/2</f>
        <v/>
      </c>
      <c r="BS103" s="195">
        <f>COUNTIF($G103:$BP103,"b")+COUNTIF($G103:$BP103,"r0,b5")/2+COUNTIF($G103:$BP103,"p5,b5")/2</f>
        <v/>
      </c>
      <c r="BT103" s="195">
        <f>COUNTIF($G103:$BP103,"c")+COUNTIF($G103:$BP103,"r0,c5")/2+COUNTIF($G103:$BP103,"p5,c5")/2</f>
        <v/>
      </c>
      <c r="BU103" s="195">
        <f>COUNTIF($G103:$BP103,"KH")+COUNTIF($G103:$BP103,"TL")+COUNTIF($G103:$BP103,"L")</f>
        <v/>
      </c>
      <c r="BV103" s="202" t="n"/>
      <c r="BW103" s="195">
        <f>COUNTIF($G103:$BP103,"hh")</f>
        <v/>
      </c>
      <c r="BX103" s="195">
        <f>COUNTIF($G103:$BP103,"nt7")</f>
        <v/>
      </c>
      <c r="BY103" s="195">
        <f>COUNTIF($G103:$BP103,"P")+COUNTIF($G103:$BP103,"p5,a5")/2+COUNTIF($G103:$BP103,"p5,b5")/2+COUNTIF($G103:$BP103,"p5,c5")/2+COUNTIF($G103:$BP103,"p5,d5")/2</f>
        <v/>
      </c>
      <c r="BZ103" s="203">
        <f>SUBTOTAL(9,BQ103:BY103)</f>
        <v/>
      </c>
      <c r="CA103" s="54">
        <f>SUM(J103,L103,N103,P103,R103,T103,X103,Z103,AB103,AD103,AF103,AH103,AL103,AN103,AP103,AR103,AT103,AV103,AZ103,BB103,BD103,BF103,BH103,BP103)</f>
        <v/>
      </c>
      <c r="CB103" s="55">
        <f>SUM(H103,V103,AJ103,AX103,BL103)</f>
        <v/>
      </c>
      <c r="CC103" s="56">
        <f>SUM(BJ103,BN103)</f>
        <v/>
      </c>
      <c r="CD103" s="197">
        <f>IF(BZ103&gt;25,4,IF(BZ103&gt;18,3,IF(BZ103&gt;12,2,IF(BZ103&gt;4,1,0))))-BX103-2+1</f>
        <v/>
      </c>
      <c r="CE103" s="49" t="n"/>
      <c r="CF103" s="197">
        <f>CD103*CI103</f>
        <v/>
      </c>
      <c r="CG103" s="198">
        <f>F103-BY103+1</f>
        <v/>
      </c>
      <c r="CH103" s="197">
        <f>CE103*16</f>
        <v/>
      </c>
      <c r="CI103" s="199">
        <f>VLOOKUP(A103,[1]DATA!$A$6:$AI$331,34,0)</f>
        <v/>
      </c>
      <c r="CJ103" s="200">
        <f>VLOOKUP(A103,[2]CHAMCONG!A$7:CI$333,79,0)</f>
        <v/>
      </c>
      <c r="CK103" s="201">
        <f>CJ103-CA103</f>
        <v/>
      </c>
    </row>
    <row r="104" ht="15.75" customFormat="1" customHeight="1" s="68">
      <c r="A104" s="139" t="n"/>
      <c r="B104" s="64" t="n"/>
      <c r="C104" s="115" t="n"/>
      <c r="D104" s="46" t="n"/>
      <c r="E104" s="47" t="n"/>
      <c r="F104" s="48" t="n"/>
      <c r="G104" s="49" t="n"/>
      <c r="H104" s="73" t="n"/>
      <c r="I104" s="50" t="n"/>
      <c r="J104" s="73" t="n"/>
      <c r="K104" s="50" t="n"/>
      <c r="L104" s="73" t="n"/>
      <c r="M104" s="50" t="n"/>
      <c r="N104" s="73" t="n"/>
      <c r="O104" s="50" t="n"/>
      <c r="P104" s="73" t="n"/>
      <c r="Q104" s="73" t="n"/>
      <c r="R104" s="73" t="n"/>
      <c r="S104" s="50" t="n"/>
      <c r="T104" s="73" t="n"/>
      <c r="U104" s="49" t="n"/>
      <c r="V104" s="73" t="n"/>
      <c r="W104" s="73" t="n"/>
      <c r="X104" s="73" t="n"/>
      <c r="Y104" s="73" t="n"/>
      <c r="Z104" s="73" t="n"/>
      <c r="AA104" s="73" t="n"/>
      <c r="AB104" s="73" t="n"/>
      <c r="AC104" s="73" t="n"/>
      <c r="AD104" s="73" t="n"/>
      <c r="AE104" s="73" t="n"/>
      <c r="AF104" s="73" t="n"/>
      <c r="AG104" s="73" t="n"/>
      <c r="AH104" s="73" t="n"/>
      <c r="AI104" s="73" t="n"/>
      <c r="AJ104" s="73" t="n"/>
      <c r="AK104" s="73" t="n"/>
      <c r="AL104" s="73" t="n"/>
      <c r="AM104" s="73" t="n"/>
      <c r="AN104" s="73" t="n"/>
      <c r="AO104" s="73" t="n"/>
      <c r="AP104" s="73" t="n"/>
      <c r="AQ104" s="73" t="n"/>
      <c r="AR104" s="73" t="n"/>
      <c r="AS104" s="73" t="n"/>
      <c r="AT104" s="73" t="n"/>
      <c r="AU104" s="73" t="n"/>
      <c r="AV104" s="73" t="n"/>
      <c r="AW104" s="73" t="n"/>
      <c r="AX104" s="73" t="n"/>
      <c r="AY104" s="73" t="n"/>
      <c r="AZ104" s="73" t="n"/>
      <c r="BA104" s="73" t="n"/>
      <c r="BB104" s="73" t="n"/>
      <c r="BC104" s="73" t="n"/>
      <c r="BD104" s="73" t="n"/>
      <c r="BE104" s="73" t="n"/>
      <c r="BF104" s="73" t="n"/>
      <c r="BG104" s="73" t="n"/>
      <c r="BH104" s="73" t="n"/>
      <c r="BI104" s="73" t="n"/>
      <c r="BJ104" s="73" t="n"/>
      <c r="BK104" s="73" t="n"/>
      <c r="BL104" s="73" t="n"/>
      <c r="BM104" s="73" t="n"/>
      <c r="BN104" s="73" t="n"/>
      <c r="BO104" s="73" t="n"/>
      <c r="BP104" s="73" t="n"/>
      <c r="BQ104" s="195">
        <f>COUNTIF($G104:$BP104,"a")+COUNTIF($G104:$BP104,"r0,a5")/2+COUNTIF($G104:$BP104,"p5,a5")/2</f>
        <v/>
      </c>
      <c r="BR104" s="195">
        <f>COUNTIF($G104:$BP104,"d")+COUNTIF($G104:$BP104,"r0,d5")/2+COUNTIF($G104:$BP104,"p5,d5")/2</f>
        <v/>
      </c>
      <c r="BS104" s="195">
        <f>COUNTIF($G104:$BP104,"b")+COUNTIF($G104:$BP104,"r0,b5")/2+COUNTIF($G104:$BP104,"p5,b5")/2</f>
        <v/>
      </c>
      <c r="BT104" s="195">
        <f>COUNTIF($G104:$BP104,"c")+COUNTIF($G104:$BP104,"r0,c5")/2+COUNTIF($G104:$BP104,"p5,c5")/2</f>
        <v/>
      </c>
      <c r="BU104" s="195">
        <f>COUNTIF($G104:$BP104,"KH")+COUNTIF($G104:$BP104,"TL")+COUNTIF($G104:$BP104,"L")</f>
        <v/>
      </c>
      <c r="BV104" s="202" t="n"/>
      <c r="BW104" s="195">
        <f>COUNTIF($G104:$BP104,"hh")</f>
        <v/>
      </c>
      <c r="BX104" s="195">
        <f>COUNTIF($G104:$BP104,"nt7")</f>
        <v/>
      </c>
      <c r="BY104" s="195">
        <f>COUNTIF($G104:$BP104,"P")+COUNTIF($G104:$BP104,"p5,a5")/2+COUNTIF($G104:$BP104,"p5,b5")/2+COUNTIF($G104:$BP104,"p5,c5")/2+COUNTIF($G104:$BP104,"p5,d5")/2</f>
        <v/>
      </c>
      <c r="BZ104" s="203">
        <f>SUBTOTAL(9,BQ104:BY104)</f>
        <v/>
      </c>
      <c r="CA104" s="54">
        <f>SUM(J104,L104,N104,P104,R104,T104,X104,Z104,AB104,AD104,AF104,AH104,AL104,AN104,AP104,AR104,AT104,AV104,AZ104,BB104,BD104,BF104,BH104,BP104)</f>
        <v/>
      </c>
      <c r="CB104" s="55">
        <f>SUM(H104,V104,AJ104,AX104,BL104)</f>
        <v/>
      </c>
      <c r="CC104" s="56">
        <f>SUM(BJ104,BN104)</f>
        <v/>
      </c>
      <c r="CD104" s="197">
        <f>IF(BZ104&gt;25,4,IF(BZ104&gt;18,3,IF(BZ104&gt;12,2,IF(BZ104&gt;4,1,0))))-BX104-2+1</f>
        <v/>
      </c>
      <c r="CE104" s="49" t="n"/>
      <c r="CF104" s="197">
        <f>CD104*CI104</f>
        <v/>
      </c>
      <c r="CG104" s="198">
        <f>F104-BY104+1</f>
        <v/>
      </c>
      <c r="CH104" s="197">
        <f>CE104*16</f>
        <v/>
      </c>
      <c r="CI104" s="199">
        <f>VLOOKUP(A104,[1]DATA!$A$6:$AI$331,34,0)</f>
        <v/>
      </c>
      <c r="CJ104" s="200">
        <f>VLOOKUP(A104,[2]CHAMCONG!A$7:CI$333,79,0)</f>
        <v/>
      </c>
      <c r="CK104" s="201">
        <f>CJ104-CA104</f>
        <v/>
      </c>
    </row>
    <row r="105" ht="15.75" customFormat="1" customHeight="1" s="68">
      <c r="A105" s="139" t="n"/>
      <c r="B105" s="64" t="n"/>
      <c r="C105" s="115" t="n"/>
      <c r="D105" s="46" t="n"/>
      <c r="E105" s="47" t="n"/>
      <c r="F105" s="48" t="n"/>
      <c r="G105" s="49" t="n"/>
      <c r="H105" s="73" t="n"/>
      <c r="I105" s="49" t="n"/>
      <c r="J105" s="73" t="n"/>
      <c r="K105" s="49" t="n"/>
      <c r="L105" s="73" t="n"/>
      <c r="M105" s="49" t="n"/>
      <c r="N105" s="73" t="n"/>
      <c r="O105" s="49" t="n"/>
      <c r="P105" s="73" t="n"/>
      <c r="Q105" s="49" t="n"/>
      <c r="R105" s="73" t="n"/>
      <c r="S105" s="49" t="n"/>
      <c r="T105" s="73" t="n"/>
      <c r="U105" s="49" t="n"/>
      <c r="V105" s="73" t="n"/>
      <c r="W105" s="49" t="n"/>
      <c r="X105" s="73" t="n"/>
      <c r="Y105" s="49" t="n"/>
      <c r="Z105" s="73" t="n"/>
      <c r="AA105" s="49" t="n"/>
      <c r="AB105" s="73" t="n"/>
      <c r="AC105" s="49" t="n"/>
      <c r="AD105" s="73" t="n"/>
      <c r="AE105" s="49" t="n"/>
      <c r="AF105" s="73" t="n"/>
      <c r="AG105" s="73" t="n"/>
      <c r="AH105" s="73" t="n"/>
      <c r="AI105" s="73" t="n"/>
      <c r="AJ105" s="73" t="n"/>
      <c r="AK105" s="73" t="n"/>
      <c r="AL105" s="73" t="n"/>
      <c r="AM105" s="73" t="n"/>
      <c r="AN105" s="73" t="n"/>
      <c r="AO105" s="73" t="n"/>
      <c r="AP105" s="73" t="n"/>
      <c r="AQ105" s="49" t="n"/>
      <c r="AR105" s="73" t="n"/>
      <c r="AS105" s="49" t="n"/>
      <c r="AT105" s="73" t="n"/>
      <c r="AU105" s="49" t="n"/>
      <c r="AV105" s="73" t="n"/>
      <c r="AW105" s="49" t="n"/>
      <c r="AX105" s="73" t="n"/>
      <c r="AY105" s="49" t="n"/>
      <c r="AZ105" s="73" t="n"/>
      <c r="BA105" s="49" t="n"/>
      <c r="BB105" s="73" t="n"/>
      <c r="BC105" s="49" t="n"/>
      <c r="BD105" s="73" t="n"/>
      <c r="BE105" s="49" t="n"/>
      <c r="BF105" s="73" t="n"/>
      <c r="BG105" s="49" t="n"/>
      <c r="BH105" s="73" t="n"/>
      <c r="BI105" s="73" t="n"/>
      <c r="BJ105" s="73" t="n"/>
      <c r="BK105" s="73" t="n"/>
      <c r="BL105" s="73" t="n"/>
      <c r="BM105" s="73" t="n"/>
      <c r="BN105" s="73" t="n"/>
      <c r="BO105" s="73" t="n"/>
      <c r="BP105" s="73" t="n"/>
      <c r="BQ105" s="195">
        <f>COUNTIF($G105:$BP105,"a")+COUNTIF($G105:$BP105,"r0,a5")/2+COUNTIF($G105:$BP105,"p5,a5")/2</f>
        <v/>
      </c>
      <c r="BR105" s="195">
        <f>COUNTIF($G105:$BP105,"d")+COUNTIF($G105:$BP105,"r0,d5")/2+COUNTIF($G105:$BP105,"p5,d5")/2</f>
        <v/>
      </c>
      <c r="BS105" s="195">
        <f>COUNTIF($G105:$BP105,"b")+COUNTIF($G105:$BP105,"r0,b5")/2+COUNTIF($G105:$BP105,"p5,b5")/2</f>
        <v/>
      </c>
      <c r="BT105" s="195">
        <f>COUNTIF($G105:$BP105,"c")+COUNTIF($G105:$BP105,"r0,c5")/2+COUNTIF($G105:$BP105,"p5,c5")/2</f>
        <v/>
      </c>
      <c r="BU105" s="195">
        <f>COUNTIF($G105:$BP105,"KH")+COUNTIF($G105:$BP105,"TL")+COUNTIF($G105:$BP105,"L")</f>
        <v/>
      </c>
      <c r="BV105" s="202" t="n"/>
      <c r="BW105" s="195">
        <f>COUNTIF($G105:$BP105,"hh")</f>
        <v/>
      </c>
      <c r="BX105" s="195">
        <f>COUNTIF($G105:$BP105,"nt7")</f>
        <v/>
      </c>
      <c r="BY105" s="195">
        <f>COUNTIF($G105:$BP105,"P")+COUNTIF($G105:$BP105,"p5,a5")/2+COUNTIF($G105:$BP105,"p5,b5")/2+COUNTIF($G105:$BP105,"p5,c5")/2+COUNTIF($G105:$BP105,"p5,d5")/2</f>
        <v/>
      </c>
      <c r="BZ105" s="203">
        <f>SUBTOTAL(9,BQ105:BY105)</f>
        <v/>
      </c>
      <c r="CA105" s="54">
        <f>SUM(J105,L105,N105,P105,R105,T105,X105,Z105,AB105,AD105,AF105,AH105,AL105,AN105,AP105,AR105,AT105,AV105,AZ105,BB105,BD105,BF105,BH105,BP105)</f>
        <v/>
      </c>
      <c r="CB105" s="55">
        <f>SUM(H105,V105,AJ105,AX105,BL105)</f>
        <v/>
      </c>
      <c r="CC105" s="56">
        <f>SUM(BJ105,BN105)</f>
        <v/>
      </c>
      <c r="CD105" s="197">
        <f>IF(BZ105&gt;25,4,IF(BZ105&gt;18,3,IF(BZ105&gt;12,2,IF(BZ105&gt;4,1,0))))-BX105-2+1</f>
        <v/>
      </c>
      <c r="CE105" s="49" t="n"/>
      <c r="CF105" s="197">
        <f>CD105*CI105</f>
        <v/>
      </c>
      <c r="CG105" s="198">
        <f>F105-BY105+1</f>
        <v/>
      </c>
      <c r="CH105" s="197">
        <f>CE105*16</f>
        <v/>
      </c>
      <c r="CI105" s="199">
        <f>VLOOKUP(A105,[1]DATA!$A$6:$AI$331,34,0)</f>
        <v/>
      </c>
      <c r="CJ105" s="200">
        <f>VLOOKUP(A105,[2]CHAMCONG!A$7:CI$333,79,0)</f>
        <v/>
      </c>
      <c r="CK105" s="201">
        <f>CJ105-CA105</f>
        <v/>
      </c>
    </row>
    <row r="106" ht="15.75" customFormat="1" customHeight="1" s="68">
      <c r="A106" s="139" t="n"/>
      <c r="B106" s="64" t="n"/>
      <c r="C106" s="115" t="n"/>
      <c r="D106" s="46" t="n"/>
      <c r="E106" s="47" t="n"/>
      <c r="F106" s="48" t="n"/>
      <c r="G106" s="49" t="n"/>
      <c r="H106" s="73" t="n"/>
      <c r="I106" s="50" t="n"/>
      <c r="J106" s="73" t="n"/>
      <c r="K106" s="73" t="n"/>
      <c r="L106" s="73" t="n"/>
      <c r="M106" s="73" t="n"/>
      <c r="N106" s="73" t="n"/>
      <c r="O106" s="50" t="n"/>
      <c r="P106" s="73" t="n"/>
      <c r="Q106" s="73" t="n"/>
      <c r="R106" s="73" t="n"/>
      <c r="S106" s="73" t="n"/>
      <c r="T106" s="73" t="n"/>
      <c r="U106" s="49" t="n"/>
      <c r="V106" s="73" t="n"/>
      <c r="W106" s="73" t="n"/>
      <c r="X106" s="73" t="n"/>
      <c r="Y106" s="73" t="n"/>
      <c r="Z106" s="73" t="n"/>
      <c r="AA106" s="73" t="n"/>
      <c r="AB106" s="73" t="n"/>
      <c r="AC106" s="73" t="n"/>
      <c r="AD106" s="73" t="n"/>
      <c r="AE106" s="73" t="n"/>
      <c r="AF106" s="73" t="n"/>
      <c r="AG106" s="73" t="n"/>
      <c r="AH106" s="73" t="n"/>
      <c r="AI106" s="73" t="n"/>
      <c r="AJ106" s="73" t="n"/>
      <c r="AK106" s="73" t="n"/>
      <c r="AL106" s="73" t="n"/>
      <c r="AM106" s="73" t="n"/>
      <c r="AN106" s="73" t="n"/>
      <c r="AO106" s="73" t="n"/>
      <c r="AP106" s="73" t="n"/>
      <c r="AQ106" s="73" t="n"/>
      <c r="AR106" s="73" t="n"/>
      <c r="AS106" s="49" t="n"/>
      <c r="AT106" s="73" t="n"/>
      <c r="AU106" s="73" t="n"/>
      <c r="AV106" s="73" t="n"/>
      <c r="AW106" s="73" t="n"/>
      <c r="AX106" s="73" t="n"/>
      <c r="AY106" s="73" t="n"/>
      <c r="AZ106" s="73" t="n"/>
      <c r="BA106" s="73" t="n"/>
      <c r="BB106" s="73" t="n"/>
      <c r="BC106" s="73" t="n"/>
      <c r="BD106" s="73" t="n"/>
      <c r="BE106" s="73" t="n"/>
      <c r="BF106" s="73" t="n"/>
      <c r="BG106" s="73" t="n"/>
      <c r="BH106" s="73" t="n"/>
      <c r="BI106" s="73" t="n"/>
      <c r="BJ106" s="73" t="n"/>
      <c r="BK106" s="73" t="n"/>
      <c r="BL106" s="73" t="n"/>
      <c r="BM106" s="73" t="n"/>
      <c r="BN106" s="73" t="n"/>
      <c r="BO106" s="73" t="n"/>
      <c r="BP106" s="73" t="n"/>
      <c r="BQ106" s="195">
        <f>COUNTIF($G106:$BP106,"a")+COUNTIF($G106:$BP106,"r0,a5")/2+COUNTIF($G106:$BP106,"p5,a5")/2</f>
        <v/>
      </c>
      <c r="BR106" s="195">
        <f>COUNTIF($G106:$BP106,"d")+COUNTIF($G106:$BP106,"r0,d5")/2+COUNTIF($G106:$BP106,"p5,d5")/2</f>
        <v/>
      </c>
      <c r="BS106" s="195">
        <f>COUNTIF($G106:$BP106,"b")+COUNTIF($G106:$BP106,"r0,b5")/2+COUNTIF($G106:$BP106,"p5,b5")/2</f>
        <v/>
      </c>
      <c r="BT106" s="195">
        <f>COUNTIF($G106:$BP106,"c")+COUNTIF($G106:$BP106,"r0,c5")/2+COUNTIF($G106:$BP106,"p5,c5")/2</f>
        <v/>
      </c>
      <c r="BU106" s="195">
        <f>COUNTIF($G106:$BP106,"KH")+COUNTIF($G106:$BP106,"TL")+COUNTIF($G106:$BP106,"L")</f>
        <v/>
      </c>
      <c r="BV106" s="202" t="n"/>
      <c r="BW106" s="195">
        <f>COUNTIF($G106:$BP106,"hh")</f>
        <v/>
      </c>
      <c r="BX106" s="195">
        <f>COUNTIF($G106:$BP106,"nt7")</f>
        <v/>
      </c>
      <c r="BY106" s="195">
        <f>COUNTIF($G106:$BP106,"P")+COUNTIF($G106:$BP106,"p5,a5")/2+COUNTIF($G106:$BP106,"p5,b5")/2+COUNTIF($G106:$BP106,"p5,c5")/2+COUNTIF($G106:$BP106,"p5,d5")/2</f>
        <v/>
      </c>
      <c r="BZ106" s="203">
        <f>SUBTOTAL(9,BQ106:BY106)</f>
        <v/>
      </c>
      <c r="CA106" s="54">
        <f>SUM(J106,L106,N106,P106,R106,T106,X106,Z106,AB106,AD106,AF106,AH106,AL106,AN106,AP106,AR106,AT106,AV106,AZ106,BB106,BD106,BF106,BH106,BP106)</f>
        <v/>
      </c>
      <c r="CB106" s="55">
        <f>SUM(H106,V106,AJ106,AX106,BL106)</f>
        <v/>
      </c>
      <c r="CC106" s="56">
        <f>SUM(BJ106,BN106)</f>
        <v/>
      </c>
      <c r="CD106" s="197" t="n"/>
      <c r="CE106" s="49" t="n"/>
      <c r="CF106" s="197">
        <f>CD106*CI106</f>
        <v/>
      </c>
      <c r="CG106" s="198">
        <f>F106-BY106+1</f>
        <v/>
      </c>
      <c r="CH106" s="197">
        <f>CE106*16</f>
        <v/>
      </c>
      <c r="CI106" s="199">
        <f>VLOOKUP(A106,[1]DATA!$A$6:$AI$331,34,0)</f>
        <v/>
      </c>
      <c r="CJ106" s="200">
        <f>VLOOKUP(A106,[2]CHAMCONG!A$7:CI$333,79,0)</f>
        <v/>
      </c>
      <c r="CK106" s="201">
        <f>CJ106-CA106</f>
        <v/>
      </c>
    </row>
    <row r="107" ht="15.75" customFormat="1" customHeight="1" s="68">
      <c r="A107" s="69" t="n"/>
      <c r="B107" s="64" t="n"/>
      <c r="C107" s="115" t="n"/>
      <c r="D107" s="46" t="n"/>
      <c r="E107" s="47" t="n"/>
      <c r="F107" s="48" t="n"/>
      <c r="G107" s="49" t="n"/>
      <c r="H107" s="73" t="n"/>
      <c r="I107" s="50" t="n"/>
      <c r="J107" s="73" t="n"/>
      <c r="K107" s="50" t="n"/>
      <c r="L107" s="73" t="n"/>
      <c r="M107" s="50" t="n"/>
      <c r="N107" s="73" t="n"/>
      <c r="O107" s="50" t="n"/>
      <c r="P107" s="73" t="n"/>
      <c r="Q107" s="73" t="n"/>
      <c r="R107" s="73" t="n"/>
      <c r="S107" s="50" t="n"/>
      <c r="T107" s="73" t="n"/>
      <c r="U107" s="50" t="n"/>
      <c r="V107" s="73" t="n"/>
      <c r="W107" s="50" t="n"/>
      <c r="X107" s="73" t="n"/>
      <c r="Y107" s="50" t="n"/>
      <c r="Z107" s="73" t="n"/>
      <c r="AA107" s="50" t="n"/>
      <c r="AB107" s="73" t="n"/>
      <c r="AC107" s="50" t="n"/>
      <c r="AD107" s="73" t="n"/>
      <c r="AE107" s="73" t="n"/>
      <c r="AF107" s="73" t="n"/>
      <c r="AG107" s="50" t="n"/>
      <c r="AH107" s="73" t="n"/>
      <c r="AI107" s="50" t="n"/>
      <c r="AJ107" s="73" t="n"/>
      <c r="AK107" s="50" t="n"/>
      <c r="AL107" s="73" t="n"/>
      <c r="AM107" s="50" t="n"/>
      <c r="AN107" s="73" t="n"/>
      <c r="AO107" s="73" t="n"/>
      <c r="AP107" s="73" t="n"/>
      <c r="AQ107" s="50" t="n"/>
      <c r="AR107" s="73" t="n"/>
      <c r="AS107" s="73" t="n"/>
      <c r="AT107" s="73" t="n"/>
      <c r="AU107" s="73" t="n"/>
      <c r="AV107" s="73" t="n"/>
      <c r="AW107" s="73" t="n"/>
      <c r="AX107" s="73" t="n"/>
      <c r="AY107" s="50" t="n"/>
      <c r="AZ107" s="73" t="n"/>
      <c r="BA107" s="73" t="n"/>
      <c r="BB107" s="73" t="n"/>
      <c r="BC107" s="73" t="n"/>
      <c r="BD107" s="73" t="n"/>
      <c r="BE107" s="50" t="n"/>
      <c r="BF107" s="73" t="n"/>
      <c r="BG107" s="73" t="n"/>
      <c r="BH107" s="73" t="n"/>
      <c r="BI107" s="73" t="n"/>
      <c r="BJ107" s="73" t="n"/>
      <c r="BK107" s="73" t="n"/>
      <c r="BL107" s="73" t="n"/>
      <c r="BM107" s="73" t="n"/>
      <c r="BN107" s="73" t="n"/>
      <c r="BO107" s="73" t="n"/>
      <c r="BP107" s="73" t="n"/>
      <c r="BQ107" s="195">
        <f>COUNTIF($G107:$BP107,"a")+COUNTIF($G107:$BP107,"r0,a5")/2+COUNTIF($G107:$BP107,"p5,a5")/2</f>
        <v/>
      </c>
      <c r="BR107" s="195">
        <f>COUNTIF($G107:$BP107,"d")+COUNTIF($G107:$BP107,"r0,d5")/2+COUNTIF($G107:$BP107,"p5,d5")/2</f>
        <v/>
      </c>
      <c r="BS107" s="195">
        <f>COUNTIF($G107:$BP107,"b")+COUNTIF($G107:$BP107,"r0,b5")/2+COUNTIF($G107:$BP107,"p5,b5")/2</f>
        <v/>
      </c>
      <c r="BT107" s="195">
        <f>COUNTIF($G107:$BP107,"c")+COUNTIF($G107:$BP107,"r0,c5")/2+COUNTIF($G107:$BP107,"p5,c5")/2</f>
        <v/>
      </c>
      <c r="BU107" s="195">
        <f>COUNTIF($G107:$BP107,"KH")+COUNTIF($G107:$BP107,"TL")+COUNTIF($G107:$BP107,"L")</f>
        <v/>
      </c>
      <c r="BV107" s="202" t="n"/>
      <c r="BW107" s="195">
        <f>COUNTIF($G107:$BP107,"hh")</f>
        <v/>
      </c>
      <c r="BX107" s="195">
        <f>COUNTIF($G107:$BP107,"nt7")</f>
        <v/>
      </c>
      <c r="BY107" s="195">
        <f>COUNTIF($G107:$BP107,"P")+COUNTIF($G107:$BP107,"p5,a5")/2+COUNTIF($G107:$BP107,"p5,b5")/2+COUNTIF($G107:$BP107,"p5,c5")/2+COUNTIF($G107:$BP107,"p5,d5")/2</f>
        <v/>
      </c>
      <c r="BZ107" s="203">
        <f>SUBTOTAL(9,BQ107:BY107)</f>
        <v/>
      </c>
      <c r="CA107" s="54">
        <f>SUM(J107,L107,N107,P107,R107,T107,X107,Z107,AB107,AD107,AF107,AH107,AL107,AN107,AP107,AR107,AT107,AV107,AZ107,BB107,BD107,BF107,BH107,BP107)</f>
        <v/>
      </c>
      <c r="CB107" s="55">
        <f>SUM(H107,V107,AJ107,AX107,BL107)</f>
        <v/>
      </c>
      <c r="CC107" s="56">
        <f>SUM(BJ107,BN107)</f>
        <v/>
      </c>
      <c r="CD107" s="197">
        <f>IF(BZ107&gt;25,4,IF(BZ107&gt;18,3,IF(BZ107&gt;12,2,IF(BZ107&gt;4,1,0))))-BX107-2+1</f>
        <v/>
      </c>
      <c r="CE107" s="49" t="n"/>
      <c r="CF107" s="197">
        <f>CD107*CI107</f>
        <v/>
      </c>
      <c r="CG107" s="198">
        <f>F107-BY107+1</f>
        <v/>
      </c>
      <c r="CH107" s="197">
        <f>CE107*16</f>
        <v/>
      </c>
      <c r="CI107" s="199">
        <f>VLOOKUP(A107,[1]DATA!$A$6:$AI$331,34,0)</f>
        <v/>
      </c>
      <c r="CJ107" s="200">
        <f>VLOOKUP(A107,[2]CHAMCONG!A$7:CI$333,79,0)</f>
        <v/>
      </c>
      <c r="CK107" s="201">
        <f>CJ107-CA107</f>
        <v/>
      </c>
    </row>
    <row r="108" ht="15.75" customFormat="1" customHeight="1" s="68">
      <c r="A108" s="139" t="n"/>
      <c r="B108" s="64" t="n"/>
      <c r="C108" s="115" t="n"/>
      <c r="D108" s="46" t="n"/>
      <c r="E108" s="47" t="n"/>
      <c r="F108" s="48" t="n"/>
      <c r="G108" s="49" t="n"/>
      <c r="H108" s="73" t="n"/>
      <c r="I108" s="50" t="n"/>
      <c r="J108" s="73" t="n"/>
      <c r="K108" s="50" t="n"/>
      <c r="L108" s="73" t="n"/>
      <c r="M108" s="50" t="n"/>
      <c r="N108" s="73" t="n"/>
      <c r="O108" s="50" t="n"/>
      <c r="P108" s="73" t="n"/>
      <c r="Q108" s="73" t="n"/>
      <c r="R108" s="73" t="n"/>
      <c r="S108" s="50" t="n"/>
      <c r="T108" s="73" t="n"/>
      <c r="U108" s="50" t="n"/>
      <c r="V108" s="73" t="n"/>
      <c r="W108" s="50" t="n"/>
      <c r="X108" s="73" t="n"/>
      <c r="Y108" s="50" t="n"/>
      <c r="Z108" s="73" t="n"/>
      <c r="AA108" s="50" t="n"/>
      <c r="AB108" s="73" t="n"/>
      <c r="AC108" s="50" t="n"/>
      <c r="AD108" s="73" t="n"/>
      <c r="AE108" s="73" t="n"/>
      <c r="AF108" s="73" t="n"/>
      <c r="AG108" s="50" t="n"/>
      <c r="AH108" s="73" t="n"/>
      <c r="AI108" s="50" t="n"/>
      <c r="AJ108" s="73" t="n"/>
      <c r="AK108" s="50" t="n"/>
      <c r="AL108" s="73" t="n"/>
      <c r="AM108" s="73" t="n"/>
      <c r="AN108" s="73" t="n"/>
      <c r="AO108" s="73" t="n"/>
      <c r="AP108" s="73" t="n"/>
      <c r="AQ108" s="50" t="n"/>
      <c r="AR108" s="73" t="n"/>
      <c r="AS108" s="73" t="n"/>
      <c r="AT108" s="73" t="n"/>
      <c r="AU108" s="73" t="n"/>
      <c r="AV108" s="73" t="n"/>
      <c r="AW108" s="73" t="n"/>
      <c r="AX108" s="73" t="n"/>
      <c r="AY108" s="50" t="n"/>
      <c r="AZ108" s="73" t="n"/>
      <c r="BA108" s="73" t="n"/>
      <c r="BB108" s="73" t="n"/>
      <c r="BC108" s="73" t="n"/>
      <c r="BD108" s="73" t="n"/>
      <c r="BE108" s="50" t="n"/>
      <c r="BF108" s="73" t="n"/>
      <c r="BG108" s="73" t="n"/>
      <c r="BH108" s="73" t="n"/>
      <c r="BI108" s="73" t="n"/>
      <c r="BJ108" s="73" t="n"/>
      <c r="BK108" s="73" t="n"/>
      <c r="BL108" s="73" t="n"/>
      <c r="BM108" s="73" t="n"/>
      <c r="BN108" s="73" t="n"/>
      <c r="BO108" s="73" t="n"/>
      <c r="BP108" s="73" t="n"/>
      <c r="BQ108" s="195">
        <f>COUNTIF($G108:$BP108,"a")+COUNTIF($G108:$BP108,"r0,a5")/2+COUNTIF($G108:$BP108,"p5,a5")/2</f>
        <v/>
      </c>
      <c r="BR108" s="195">
        <f>COUNTIF($G108:$BP108,"d")+COUNTIF($G108:$BP108,"r0,d5")/2+COUNTIF($G108:$BP108,"p5,d5")/2</f>
        <v/>
      </c>
      <c r="BS108" s="195">
        <f>COUNTIF($G108:$BP108,"b")+COUNTIF($G108:$BP108,"r0,b5")/2+COUNTIF($G108:$BP108,"p5,b5")/2</f>
        <v/>
      </c>
      <c r="BT108" s="195">
        <f>COUNTIF($G108:$BP108,"c")+COUNTIF($G108:$BP108,"r0,c5")/2+COUNTIF($G108:$BP108,"p5,c5")/2</f>
        <v/>
      </c>
      <c r="BU108" s="195">
        <f>COUNTIF($G108:$BP108,"KH")+COUNTIF($G108:$BP108,"TL")+COUNTIF($G108:$BP108,"L")</f>
        <v/>
      </c>
      <c r="BV108" s="202" t="n"/>
      <c r="BW108" s="195">
        <f>COUNTIF($G108:$BP108,"hh")</f>
        <v/>
      </c>
      <c r="BX108" s="195">
        <f>COUNTIF($G108:$BP108,"nt7")</f>
        <v/>
      </c>
      <c r="BY108" s="195">
        <f>COUNTIF($G108:$BP108,"P")+COUNTIF($G108:$BP108,"p5,a5")/2+COUNTIF($G108:$BP108,"p5,b5")/2+COUNTIF($G108:$BP108,"p5,c5")/2+COUNTIF($G108:$BP108,"p5,d5")/2</f>
        <v/>
      </c>
      <c r="BZ108" s="203">
        <f>SUBTOTAL(9,BQ108:BY108)</f>
        <v/>
      </c>
      <c r="CA108" s="54">
        <f>SUM(J108,L108,N108,P108,R108,T108,X108,Z108,AB108,AD108,AF108,AH108,AL108,AN108,AP108,AR108,AT108,AV108,AZ108,BB108,BD108,BF108,BH108,BP108)</f>
        <v/>
      </c>
      <c r="CB108" s="55">
        <f>SUM(H108,V108,AJ108,AX108,BL108)</f>
        <v/>
      </c>
      <c r="CC108" s="56">
        <f>SUM(BJ108,BN108)</f>
        <v/>
      </c>
      <c r="CD108" s="197">
        <f>IF(BZ108&gt;25,4,IF(BZ108&gt;18,3,IF(BZ108&gt;12,2,IF(BZ108&gt;4,1,0))))-BX108-2+1</f>
        <v/>
      </c>
      <c r="CE108" s="49" t="n"/>
      <c r="CF108" s="197">
        <f>CD108*CI108</f>
        <v/>
      </c>
      <c r="CG108" s="198">
        <f>F108-BY108+1</f>
        <v/>
      </c>
      <c r="CH108" s="197">
        <f>CE108*16</f>
        <v/>
      </c>
      <c r="CI108" s="199">
        <f>VLOOKUP(A108,[1]DATA!$A$6:$AI$331,34,0)</f>
        <v/>
      </c>
      <c r="CJ108" s="200">
        <f>VLOOKUP(A108,[2]CHAMCONG!A$7:CI$333,79,0)</f>
        <v/>
      </c>
      <c r="CK108" s="201">
        <f>CJ108-CA108</f>
        <v/>
      </c>
    </row>
    <row r="109" ht="15.75" customFormat="1" customHeight="1" s="68">
      <c r="A109" s="139" t="n"/>
      <c r="B109" s="64" t="n"/>
      <c r="C109" s="115" t="n"/>
      <c r="D109" s="46" t="n"/>
      <c r="E109" s="47" t="n"/>
      <c r="F109" s="48" t="n"/>
      <c r="G109" s="49" t="n"/>
      <c r="H109" s="73" t="n"/>
      <c r="I109" s="50" t="n"/>
      <c r="J109" s="73" t="n"/>
      <c r="K109" s="73" t="n"/>
      <c r="L109" s="73" t="n"/>
      <c r="M109" s="73" t="n"/>
      <c r="N109" s="73" t="n"/>
      <c r="O109" s="73" t="n"/>
      <c r="P109" s="73" t="n"/>
      <c r="Q109" s="73" t="n"/>
      <c r="R109" s="49" t="n"/>
      <c r="S109" s="73" t="n"/>
      <c r="T109" s="73" t="n"/>
      <c r="U109" s="49" t="n"/>
      <c r="V109" s="73" t="n"/>
      <c r="W109" s="73" t="n"/>
      <c r="X109" s="73" t="n"/>
      <c r="Y109" s="73" t="n"/>
      <c r="Z109" s="73" t="n"/>
      <c r="AA109" s="73" t="n"/>
      <c r="AB109" s="73" t="n"/>
      <c r="AC109" s="73" t="n"/>
      <c r="AD109" s="73" t="n"/>
      <c r="AE109" s="73" t="n"/>
      <c r="AF109" s="49" t="n"/>
      <c r="AG109" s="73" t="n"/>
      <c r="AH109" s="73" t="n"/>
      <c r="AI109" s="73" t="n"/>
      <c r="AJ109" s="73" t="n"/>
      <c r="AK109" s="73" t="n"/>
      <c r="AL109" s="73" t="n"/>
      <c r="AM109" s="73" t="n"/>
      <c r="AN109" s="73" t="n"/>
      <c r="AO109" s="73" t="n"/>
      <c r="AP109" s="73" t="n"/>
      <c r="AQ109" s="73" t="n"/>
      <c r="AR109" s="73" t="n"/>
      <c r="AS109" s="73" t="n"/>
      <c r="AT109" s="49" t="n"/>
      <c r="AU109" s="73" t="n"/>
      <c r="AV109" s="73" t="n"/>
      <c r="AW109" s="73" t="n"/>
      <c r="AX109" s="73" t="n"/>
      <c r="AY109" s="73" t="n"/>
      <c r="AZ109" s="73" t="n"/>
      <c r="BA109" s="73" t="n"/>
      <c r="BB109" s="73" t="n"/>
      <c r="BC109" s="73" t="n"/>
      <c r="BD109" s="73" t="n"/>
      <c r="BE109" s="73" t="n"/>
      <c r="BF109" s="73" t="n"/>
      <c r="BG109" s="73" t="n"/>
      <c r="BH109" s="73" t="n"/>
      <c r="BI109" s="73" t="n"/>
      <c r="BJ109" s="73" t="n"/>
      <c r="BK109" s="73" t="n"/>
      <c r="BL109" s="73" t="n"/>
      <c r="BM109" s="73" t="n"/>
      <c r="BN109" s="73" t="n"/>
      <c r="BO109" s="73" t="n"/>
      <c r="BP109" s="73" t="n"/>
      <c r="BQ109" s="195">
        <f>COUNTIF($G109:$BP109,"a")+COUNTIF($G109:$BP109,"r0,a5")/2+COUNTIF($G109:$BP109,"p5,a5")/2</f>
        <v/>
      </c>
      <c r="BR109" s="195">
        <f>COUNTIF($G109:$BP109,"d")+COUNTIF($G109:$BP109,"r0,d5")/2+COUNTIF($G109:$BP109,"p5,d5")/2</f>
        <v/>
      </c>
      <c r="BS109" s="195">
        <f>COUNTIF($G109:$BP109,"b")+COUNTIF($G109:$BP109,"r0,b5")/2+COUNTIF($G109:$BP109,"p5,b5")/2</f>
        <v/>
      </c>
      <c r="BT109" s="195">
        <f>COUNTIF($G109:$BP109,"c")+COUNTIF($G109:$BP109,"r0,c5")/2+COUNTIF($G109:$BP109,"p5,c5")/2</f>
        <v/>
      </c>
      <c r="BU109" s="195">
        <f>COUNTIF($G109:$BP109,"KH")+COUNTIF($G109:$BP109,"TL")+COUNTIF($G109:$BP109,"L")</f>
        <v/>
      </c>
      <c r="BV109" s="202" t="n"/>
      <c r="BW109" s="195">
        <f>COUNTIF($G109:$BP109,"hh")</f>
        <v/>
      </c>
      <c r="BX109" s="195">
        <f>COUNTIF($G109:$BP109,"nt7")</f>
        <v/>
      </c>
      <c r="BY109" s="195">
        <f>COUNTIF($G109:$BP109,"P")+COUNTIF($G109:$BP109,"p5,a5")/2+COUNTIF($G109:$BP109,"p5,b5")/2+COUNTIF($G109:$BP109,"p5,c5")/2+COUNTIF($G109:$BP109,"p5,d5")/2</f>
        <v/>
      </c>
      <c r="BZ109" s="203">
        <f>SUBTOTAL(9,BQ109:BY109)</f>
        <v/>
      </c>
      <c r="CA109" s="54">
        <f>SUM(J109,L109,N109,P109,R109,T109,X109,Z109,AB109,AD109,AF109,AH109,AL109,AN109,AP109,AR109,AT109,AV109,AZ109,BB109,BD109,BF109,BH109,BP109)</f>
        <v/>
      </c>
      <c r="CB109" s="55">
        <f>SUM(H109,V109,AJ109,AX109,BL109)</f>
        <v/>
      </c>
      <c r="CC109" s="56">
        <f>SUM(BJ109,BN109)</f>
        <v/>
      </c>
      <c r="CD109" s="197">
        <f>IF(BZ109&gt;25,4,IF(BZ109&gt;18,3,IF(BZ109&gt;12,2,IF(BZ109&gt;4,1,0))))-BX109-2+1</f>
        <v/>
      </c>
      <c r="CE109" s="49" t="n"/>
      <c r="CF109" s="197">
        <f>CD109*CI109</f>
        <v/>
      </c>
      <c r="CG109" s="198">
        <f>F109-BY109+1</f>
        <v/>
      </c>
      <c r="CH109" s="197">
        <f>CE109*16</f>
        <v/>
      </c>
      <c r="CI109" s="199">
        <f>VLOOKUP(A109,[1]DATA!$A$6:$AI$331,34,0)</f>
        <v/>
      </c>
      <c r="CJ109" s="200">
        <f>VLOOKUP(A109,[2]CHAMCONG!A$7:CI$333,79,0)</f>
        <v/>
      </c>
      <c r="CK109" s="201">
        <f>CJ109-CA109</f>
        <v/>
      </c>
    </row>
    <row r="110" ht="15.75" customFormat="1" customHeight="1" s="68">
      <c r="A110" s="139" t="n"/>
      <c r="B110" s="64" t="n"/>
      <c r="C110" s="115" t="n"/>
      <c r="D110" s="46" t="n"/>
      <c r="E110" s="47" t="n"/>
      <c r="F110" s="48" t="n"/>
      <c r="G110" s="49" t="n"/>
      <c r="H110" s="73" t="n"/>
      <c r="I110" s="50" t="n"/>
      <c r="J110" s="73" t="n"/>
      <c r="K110" s="50" t="n"/>
      <c r="L110" s="73" t="n"/>
      <c r="M110" s="50" t="n"/>
      <c r="N110" s="73" t="n"/>
      <c r="O110" s="50" t="n"/>
      <c r="P110" s="73" t="n"/>
      <c r="Q110" s="73" t="n"/>
      <c r="R110" s="73" t="n"/>
      <c r="S110" s="50" t="n"/>
      <c r="T110" s="73" t="n"/>
      <c r="U110" s="50" t="n"/>
      <c r="V110" s="73" t="n"/>
      <c r="W110" s="50" t="n"/>
      <c r="X110" s="73" t="n"/>
      <c r="Y110" s="50" t="n"/>
      <c r="Z110" s="73" t="n"/>
      <c r="AA110" s="50" t="n"/>
      <c r="AB110" s="73" t="n"/>
      <c r="AC110" s="50" t="n"/>
      <c r="AD110" s="73" t="n"/>
      <c r="AE110" s="73" t="n"/>
      <c r="AF110" s="73" t="n"/>
      <c r="AG110" s="50" t="n"/>
      <c r="AH110" s="73" t="n"/>
      <c r="AI110" s="50" t="n"/>
      <c r="AJ110" s="73" t="n"/>
      <c r="AK110" s="73" t="n"/>
      <c r="AL110" s="73" t="n"/>
      <c r="AM110" s="50" t="n"/>
      <c r="AN110" s="73" t="n"/>
      <c r="AO110" s="50" t="n"/>
      <c r="AP110" s="73" t="n"/>
      <c r="AQ110" s="73" t="n"/>
      <c r="AR110" s="73" t="n"/>
      <c r="AS110" s="73" t="n"/>
      <c r="AT110" s="73" t="n"/>
      <c r="AU110" s="73" t="n"/>
      <c r="AV110" s="73" t="n"/>
      <c r="AW110" s="73" t="n"/>
      <c r="AX110" s="73" t="n"/>
      <c r="AY110" s="73" t="n"/>
      <c r="AZ110" s="73" t="n"/>
      <c r="BA110" s="73" t="n"/>
      <c r="BB110" s="73" t="n"/>
      <c r="BC110" s="73" t="n"/>
      <c r="BD110" s="73" t="n"/>
      <c r="BE110" s="73" t="n"/>
      <c r="BF110" s="73" t="n"/>
      <c r="BG110" s="73" t="n"/>
      <c r="BH110" s="73" t="n"/>
      <c r="BI110" s="73" t="n"/>
      <c r="BJ110" s="73" t="n"/>
      <c r="BK110" s="73" t="n"/>
      <c r="BL110" s="73" t="n"/>
      <c r="BM110" s="73" t="n"/>
      <c r="BN110" s="73" t="n"/>
      <c r="BO110" s="73" t="n"/>
      <c r="BP110" s="73" t="n"/>
      <c r="BQ110" s="195">
        <f>COUNTIF($G110:$BP110,"a")+COUNTIF($G110:$BP110,"r0,a5")/2+COUNTIF($G110:$BP110,"p5,a5")/2</f>
        <v/>
      </c>
      <c r="BR110" s="195">
        <f>COUNTIF($G110:$BP110,"d")+COUNTIF($G110:$BP110,"r0,d5")/2+COUNTIF($G110:$BP110,"p5,d5")/2</f>
        <v/>
      </c>
      <c r="BS110" s="195">
        <f>COUNTIF($G110:$BP110,"b")+COUNTIF($G110:$BP110,"r0,b5")/2+COUNTIF($G110:$BP110,"p5,b5")/2</f>
        <v/>
      </c>
      <c r="BT110" s="195">
        <f>COUNTIF($G110:$BP110,"c")+COUNTIF($G110:$BP110,"r0,c5")/2+COUNTIF($G110:$BP110,"p5,c5")/2</f>
        <v/>
      </c>
      <c r="BU110" s="195">
        <f>COUNTIF($G110:$BP110,"KH")+COUNTIF($G110:$BP110,"TL")+COUNTIF($G110:$BP110,"L")</f>
        <v/>
      </c>
      <c r="BV110" s="202" t="n"/>
      <c r="BW110" s="195">
        <f>COUNTIF($G110:$BP110,"hh")</f>
        <v/>
      </c>
      <c r="BX110" s="195">
        <f>COUNTIF($G110:$BP110,"nt7")</f>
        <v/>
      </c>
      <c r="BY110" s="195">
        <f>COUNTIF($G110:$BP110,"P")+COUNTIF($G110:$BP110,"p5,a5")/2+COUNTIF($G110:$BP110,"p5,b5")/2+COUNTIF($G110:$BP110,"p5,c5")/2+COUNTIF($G110:$BP110,"p5,d5")/2</f>
        <v/>
      </c>
      <c r="BZ110" s="203">
        <f>SUBTOTAL(9,BQ110:BY110)</f>
        <v/>
      </c>
      <c r="CA110" s="54">
        <f>SUM(J110,L110,N110,P110,R110,T110,X110,Z110,AB110,AD110,AF110,AH110,AL110,AN110,AP110,AR110,AT110,AV110,AZ110,BB110,BD110,BF110,BH110,BP110)</f>
        <v/>
      </c>
      <c r="CB110" s="55">
        <f>SUM(H110,V110,AJ110,AX110,BL110)</f>
        <v/>
      </c>
      <c r="CC110" s="56">
        <f>SUM(BJ110,BN110)</f>
        <v/>
      </c>
      <c r="CD110" s="197">
        <f>IF(BZ110&gt;25,4,IF(BZ110&gt;18,3,IF(BZ110&gt;12,2,IF(BZ110&gt;4,1,0))))-BX110-2+1</f>
        <v/>
      </c>
      <c r="CE110" s="49" t="n"/>
      <c r="CF110" s="197">
        <f>CD110*CI110</f>
        <v/>
      </c>
      <c r="CG110" s="198">
        <f>F110-BY110+1</f>
        <v/>
      </c>
      <c r="CH110" s="197">
        <f>CE110*16</f>
        <v/>
      </c>
      <c r="CI110" s="199">
        <f>VLOOKUP(A110,[1]DATA!$A$6:$AI$331,34,0)</f>
        <v/>
      </c>
      <c r="CJ110" s="200">
        <f>VLOOKUP(A110,[2]CHAMCONG!A$7:CI$333,79,0)</f>
        <v/>
      </c>
      <c r="CK110" s="201">
        <f>CJ110-CA110</f>
        <v/>
      </c>
    </row>
    <row r="111" ht="15.75" customFormat="1" customHeight="1" s="68">
      <c r="A111" s="69" t="n"/>
      <c r="B111" s="64" t="n"/>
      <c r="C111" s="115" t="n"/>
      <c r="D111" s="46" t="n"/>
      <c r="E111" s="47" t="n"/>
      <c r="F111" s="48" t="n"/>
      <c r="G111" s="49" t="n"/>
      <c r="H111" s="74" t="n"/>
      <c r="I111" s="50" t="n"/>
      <c r="J111" s="74" t="n"/>
      <c r="K111" s="73" t="n"/>
      <c r="L111" s="74" t="n"/>
      <c r="M111" s="73" t="n"/>
      <c r="N111" s="74" t="n"/>
      <c r="O111" s="50" t="n"/>
      <c r="P111" s="74" t="n"/>
      <c r="Q111" s="73" t="n"/>
      <c r="R111" s="73" t="n"/>
      <c r="S111" s="73" t="n"/>
      <c r="T111" s="74" t="n"/>
      <c r="U111" s="49" t="n"/>
      <c r="V111" s="74" t="n"/>
      <c r="W111" s="50" t="n"/>
      <c r="X111" s="74" t="n"/>
      <c r="Y111" s="73" t="n"/>
      <c r="Z111" s="74" t="n"/>
      <c r="AA111" s="73" t="n"/>
      <c r="AB111" s="74" t="n"/>
      <c r="AC111" s="50" t="n"/>
      <c r="AD111" s="74" t="n"/>
      <c r="AE111" s="73" t="n"/>
      <c r="AF111" s="73" t="n"/>
      <c r="AG111" s="73" t="n"/>
      <c r="AH111" s="74" t="n"/>
      <c r="AI111" s="73" t="n"/>
      <c r="AJ111" s="74" t="n"/>
      <c r="AK111" s="50" t="n"/>
      <c r="AL111" s="74" t="n"/>
      <c r="AM111" s="73" t="n"/>
      <c r="AN111" s="74" t="n"/>
      <c r="AO111" s="73" t="n"/>
      <c r="AP111" s="74" t="n"/>
      <c r="AQ111" s="50" t="n"/>
      <c r="AR111" s="74" t="n"/>
      <c r="AS111" s="73" t="n"/>
      <c r="AT111" s="73" t="n"/>
      <c r="AU111" s="73" t="n"/>
      <c r="AV111" s="74" t="n"/>
      <c r="AW111" s="73" t="n"/>
      <c r="AX111" s="74" t="n"/>
      <c r="AY111" s="73" t="n"/>
      <c r="AZ111" s="74" t="n"/>
      <c r="BA111" s="73" t="n"/>
      <c r="BB111" s="74" t="n"/>
      <c r="BC111" s="73" t="n"/>
      <c r="BD111" s="74" t="n"/>
      <c r="BE111" s="50" t="n"/>
      <c r="BF111" s="74" t="n"/>
      <c r="BG111" s="73" t="n"/>
      <c r="BH111" s="73" t="n"/>
      <c r="BI111" s="73" t="n"/>
      <c r="BJ111" s="74" t="n"/>
      <c r="BK111" s="73" t="n"/>
      <c r="BL111" s="74" t="n"/>
      <c r="BM111" s="73" t="n"/>
      <c r="BN111" s="74" t="n"/>
      <c r="BO111" s="73" t="n"/>
      <c r="BP111" s="74" t="n"/>
      <c r="BQ111" s="195">
        <f>COUNTIF($G111:$BP111,"a")+COUNTIF($G111:$BP111,"r0,a5")/2+COUNTIF($G111:$BP111,"p5,a5")/2</f>
        <v/>
      </c>
      <c r="BR111" s="195">
        <f>COUNTIF($G111:$BP111,"d")+COUNTIF($G111:$BP111,"r0,d5")/2+COUNTIF($G111:$BP111,"p5,d5")/2</f>
        <v/>
      </c>
      <c r="BS111" s="195">
        <f>COUNTIF($G111:$BP111,"b")+COUNTIF($G111:$BP111,"r0,b5")/2+COUNTIF($G111:$BP111,"p5,b5")/2</f>
        <v/>
      </c>
      <c r="BT111" s="195">
        <f>COUNTIF($G111:$BP111,"c")+COUNTIF($G111:$BP111,"r0,c5")/2+COUNTIF($G111:$BP111,"p5,c5")/2</f>
        <v/>
      </c>
      <c r="BU111" s="195">
        <f>COUNTIF($G111:$BP111,"KH")+COUNTIF($G111:$BP111,"TL")+COUNTIF($G111:$BP111,"L")</f>
        <v/>
      </c>
      <c r="BV111" s="202" t="n"/>
      <c r="BW111" s="195">
        <f>COUNTIF($G111:$BP111,"hh")</f>
        <v/>
      </c>
      <c r="BX111" s="195">
        <f>COUNTIF($G111:$BP111,"nt7")</f>
        <v/>
      </c>
      <c r="BY111" s="195">
        <f>COUNTIF($G111:$BP111,"P")+COUNTIF($G111:$BP111,"p5,a5")/2+COUNTIF($G111:$BP111,"p5,b5")/2+COUNTIF($G111:$BP111,"p5,c5")/2+COUNTIF($G111:$BP111,"p5,d5")/2</f>
        <v/>
      </c>
      <c r="BZ111" s="203">
        <f>SUBTOTAL(9,BQ111:BY111)</f>
        <v/>
      </c>
      <c r="CA111" s="54">
        <f>SUM(J111,L111,N111,P111,R111,T111,X111,Z111,AB111,AD111,AF111,AH111,AL111,AN111,AP111,AR111,AT111,AV111,AZ111,BB111,BD111,BF111,BH111,BP111)</f>
        <v/>
      </c>
      <c r="CB111" s="55">
        <f>SUM(H111,V111,AJ111,AX111,BL111)</f>
        <v/>
      </c>
      <c r="CC111" s="56">
        <f>SUM(BJ111,BN111)</f>
        <v/>
      </c>
      <c r="CD111" s="197">
        <f>IF(BZ111&gt;25,4,IF(BZ111&gt;18,3,IF(BZ111&gt;12,2,IF(BZ111&gt;4,1,0))))-BX111-2+1</f>
        <v/>
      </c>
      <c r="CE111" s="49" t="n"/>
      <c r="CF111" s="197">
        <f>CD111*CI111</f>
        <v/>
      </c>
      <c r="CG111" s="198">
        <f>F111-BY111+1</f>
        <v/>
      </c>
      <c r="CH111" s="197">
        <f>CE111*16</f>
        <v/>
      </c>
      <c r="CI111" s="199">
        <f>VLOOKUP(A111,[1]DATA!$A$6:$AI$331,34,0)</f>
        <v/>
      </c>
      <c r="CJ111" s="200">
        <f>VLOOKUP(A111,[2]CHAMCONG!A$7:CI$333,79,0)</f>
        <v/>
      </c>
      <c r="CK111" s="201">
        <f>CJ111-CA111</f>
        <v/>
      </c>
    </row>
    <row r="112" ht="15.75" customFormat="1" customHeight="1" s="68">
      <c r="A112" s="139" t="n"/>
      <c r="B112" s="64" t="n"/>
      <c r="C112" s="115" t="n"/>
      <c r="D112" s="46" t="n"/>
      <c r="E112" s="47" t="n"/>
      <c r="F112" s="48" t="n"/>
      <c r="G112" s="49" t="n"/>
      <c r="H112" s="73" t="n"/>
      <c r="I112" s="73" t="n"/>
      <c r="J112" s="73" t="n"/>
      <c r="K112" s="73" t="n"/>
      <c r="L112" s="73" t="n"/>
      <c r="M112" s="73" t="n"/>
      <c r="N112" s="73" t="n"/>
      <c r="O112" s="73" t="n"/>
      <c r="P112" s="73" t="n"/>
      <c r="Q112" s="73" t="n"/>
      <c r="R112" s="73" t="n"/>
      <c r="S112" s="73" t="n"/>
      <c r="T112" s="73" t="n"/>
      <c r="U112" s="49" t="n"/>
      <c r="V112" s="73" t="n"/>
      <c r="W112" s="49" t="n"/>
      <c r="X112" s="73" t="n"/>
      <c r="Y112" s="73" t="n"/>
      <c r="Z112" s="73" t="n"/>
      <c r="AA112" s="73" t="n"/>
      <c r="AB112" s="73" t="n"/>
      <c r="AC112" s="73" t="n"/>
      <c r="AD112" s="73" t="n"/>
      <c r="AE112" s="73" t="n"/>
      <c r="AF112" s="73" t="n"/>
      <c r="AG112" s="73" t="n"/>
      <c r="AH112" s="73" t="n"/>
      <c r="AI112" s="73" t="n"/>
      <c r="AJ112" s="73" t="n"/>
      <c r="AK112" s="73" t="n"/>
      <c r="AL112" s="73" t="n"/>
      <c r="AM112" s="73" t="n"/>
      <c r="AN112" s="73" t="n"/>
      <c r="AO112" s="73" t="n"/>
      <c r="AP112" s="73" t="n"/>
      <c r="AQ112" s="73" t="n"/>
      <c r="AR112" s="73" t="n"/>
      <c r="AS112" s="73" t="n"/>
      <c r="AT112" s="73" t="n"/>
      <c r="AU112" s="73" t="n"/>
      <c r="AV112" s="73" t="n"/>
      <c r="AW112" s="73" t="n"/>
      <c r="AX112" s="73" t="n"/>
      <c r="AY112" s="73" t="n"/>
      <c r="AZ112" s="73" t="n"/>
      <c r="BA112" s="73" t="n"/>
      <c r="BB112" s="73" t="n"/>
      <c r="BC112" s="73" t="n"/>
      <c r="BD112" s="73" t="n"/>
      <c r="BE112" s="72" t="n"/>
      <c r="BF112" s="73" t="n"/>
      <c r="BG112" s="72" t="n"/>
      <c r="BH112" s="72" t="n"/>
      <c r="BI112" s="73" t="n"/>
      <c r="BJ112" s="73" t="n"/>
      <c r="BK112" s="72" t="n"/>
      <c r="BL112" s="73" t="n"/>
      <c r="BM112" s="72" t="n"/>
      <c r="BN112" s="73" t="n"/>
      <c r="BO112" s="72" t="n"/>
      <c r="BP112" s="73" t="n"/>
      <c r="BQ112" s="195">
        <f>COUNTIF($G112:$BP112,"a")+COUNTIF($G112:$BP112,"r0,a5")/2+COUNTIF($G112:$BP112,"p5,a5")/2</f>
        <v/>
      </c>
      <c r="BR112" s="195">
        <f>COUNTIF($G112:$BP112,"d")+COUNTIF($G112:$BP112,"r0,d5")/2+COUNTIF($G112:$BP112,"p5,d5")/2</f>
        <v/>
      </c>
      <c r="BS112" s="195">
        <f>COUNTIF($G112:$BP112,"b")+COUNTIF($G112:$BP112,"r0,b5")/2+COUNTIF($G112:$BP112,"p5,b5")/2</f>
        <v/>
      </c>
      <c r="BT112" s="195">
        <f>COUNTIF($G112:$BP112,"c")+COUNTIF($G112:$BP112,"r0,c5")/2+COUNTIF($G112:$BP112,"p5,c5")/2</f>
        <v/>
      </c>
      <c r="BU112" s="195">
        <f>COUNTIF($G112:$BP112,"KH")+COUNTIF($G112:$BP112,"TL")+COUNTIF($G112:$BP112,"L")</f>
        <v/>
      </c>
      <c r="BV112" s="202" t="n"/>
      <c r="BW112" s="195">
        <f>COUNTIF($G112:$BP112,"hh")</f>
        <v/>
      </c>
      <c r="BX112" s="195">
        <f>COUNTIF($G112:$BP112,"nt7")</f>
        <v/>
      </c>
      <c r="BY112" s="195">
        <f>COUNTIF($G112:$BP112,"P")+COUNTIF($G112:$BP112,"p5,a5")/2+COUNTIF($G112:$BP112,"p5,b5")/2+COUNTIF($G112:$BP112,"p5,c5")/2+COUNTIF($G112:$BP112,"p5,d5")/2</f>
        <v/>
      </c>
      <c r="BZ112" s="203">
        <f>SUBTOTAL(9,BQ112:BY112)</f>
        <v/>
      </c>
      <c r="CA112" s="54">
        <f>SUM(J112,L112,N112,P112,R112,T112,X112,Z112,AB112,AD112,AF112,AH112,AL112,AN112,AP112,AR112,AT112,AV112,AZ112,BB112,BD112,BF112,BH112,BP112)</f>
        <v/>
      </c>
      <c r="CB112" s="55">
        <f>SUM(H112,V112,AJ112,AX112,BL112)</f>
        <v/>
      </c>
      <c r="CC112" s="56">
        <f>SUM(BJ112,BN112)</f>
        <v/>
      </c>
      <c r="CD112" s="197">
        <f>IF(BZ112&gt;25,4,IF(BZ112&gt;18,3,IF(BZ112&gt;12,2,IF(BZ112&gt;4,1,0))))-BX112-2+1</f>
        <v/>
      </c>
      <c r="CE112" s="49" t="n">
        <v>1</v>
      </c>
      <c r="CF112" s="197">
        <f>CD112*CI112</f>
        <v/>
      </c>
      <c r="CG112" s="198">
        <f>F112-BY112+1</f>
        <v/>
      </c>
      <c r="CH112" s="197">
        <f>CE112*16</f>
        <v/>
      </c>
      <c r="CI112" s="199">
        <f>VLOOKUP(A112,[1]DATA!$A$6:$AI$331,34,0)</f>
        <v/>
      </c>
      <c r="CJ112" s="200">
        <f>VLOOKUP(A112,[2]CHAMCONG!A$7:CI$333,79,0)</f>
        <v/>
      </c>
      <c r="CK112" s="201">
        <f>CJ112-CA112</f>
        <v/>
      </c>
    </row>
    <row r="113" ht="15.75" customFormat="1" customHeight="1" s="68">
      <c r="A113" s="69" t="n"/>
      <c r="B113" s="64" t="n"/>
      <c r="C113" s="115" t="n"/>
      <c r="D113" s="46" t="n"/>
      <c r="E113" s="47" t="n"/>
      <c r="F113" s="48" t="n"/>
      <c r="G113" s="49" t="n"/>
      <c r="H113" s="73" t="n"/>
      <c r="I113" s="50" t="n"/>
      <c r="J113" s="73" t="n"/>
      <c r="K113" s="50" t="n"/>
      <c r="L113" s="73" t="n"/>
      <c r="M113" s="50" t="n"/>
      <c r="N113" s="73" t="n"/>
      <c r="O113" s="50" t="n"/>
      <c r="P113" s="73" t="n"/>
      <c r="Q113" s="73" t="n"/>
      <c r="R113" s="73" t="n"/>
      <c r="S113" s="50" t="n"/>
      <c r="T113" s="73" t="n"/>
      <c r="U113" s="50" t="n"/>
      <c r="V113" s="73" t="n"/>
      <c r="W113" s="50" t="n"/>
      <c r="X113" s="73" t="n"/>
      <c r="Y113" s="50" t="n"/>
      <c r="Z113" s="73" t="n"/>
      <c r="AA113" s="50" t="n"/>
      <c r="AB113" s="73" t="n"/>
      <c r="AC113" s="73" t="n"/>
      <c r="AD113" s="73" t="n"/>
      <c r="AE113" s="73" t="n"/>
      <c r="AF113" s="73" t="n"/>
      <c r="AG113" s="73" t="n"/>
      <c r="AH113" s="73" t="n"/>
      <c r="AI113" s="50" t="n"/>
      <c r="AJ113" s="73" t="n"/>
      <c r="AK113" s="50" t="n"/>
      <c r="AL113" s="73" t="n"/>
      <c r="AM113" s="73" t="n"/>
      <c r="AN113" s="73" t="n"/>
      <c r="AO113" s="73" t="n"/>
      <c r="AP113" s="73" t="n"/>
      <c r="AQ113" s="73" t="n"/>
      <c r="AR113" s="73" t="n"/>
      <c r="AS113" s="73" t="n"/>
      <c r="AT113" s="73" t="n"/>
      <c r="AU113" s="73" t="n"/>
      <c r="AV113" s="73" t="n"/>
      <c r="AW113" s="73" t="n"/>
      <c r="AX113" s="73" t="n"/>
      <c r="AY113" s="73" t="n"/>
      <c r="AZ113" s="73" t="n"/>
      <c r="BA113" s="73" t="n"/>
      <c r="BB113" s="73" t="n"/>
      <c r="BC113" s="73" t="n"/>
      <c r="BD113" s="73" t="n"/>
      <c r="BE113" s="73" t="n"/>
      <c r="BF113" s="73" t="n"/>
      <c r="BG113" s="73" t="n"/>
      <c r="BH113" s="73" t="n"/>
      <c r="BI113" s="73" t="n"/>
      <c r="BJ113" s="73" t="n"/>
      <c r="BK113" s="73" t="n"/>
      <c r="BL113" s="73" t="n"/>
      <c r="BM113" s="73" t="n"/>
      <c r="BN113" s="73" t="n"/>
      <c r="BO113" s="73" t="n"/>
      <c r="BP113" s="73" t="n"/>
      <c r="BQ113" s="195">
        <f>COUNTIF($G113:$BP113,"a")+COUNTIF($G113:$BP113,"r0,a5")/2+COUNTIF($G113:$BP113,"p5,a5")/2</f>
        <v/>
      </c>
      <c r="BR113" s="195">
        <f>COUNTIF($G113:$BP113,"d")+COUNTIF($G113:$BP113,"r0,d5")/2+COUNTIF($G113:$BP113,"p5,d5")/2</f>
        <v/>
      </c>
      <c r="BS113" s="195">
        <f>COUNTIF($G113:$BP113,"b")+COUNTIF($G113:$BP113,"r0,b5")/2+COUNTIF($G113:$BP113,"p5,b5")/2</f>
        <v/>
      </c>
      <c r="BT113" s="195">
        <f>COUNTIF($G113:$BP113,"c")+COUNTIF($G113:$BP113,"r0,c5")/2+COUNTIF($G113:$BP113,"p5,c5")/2</f>
        <v/>
      </c>
      <c r="BU113" s="195">
        <f>COUNTIF($G113:$BP113,"KH")+COUNTIF($G113:$BP113,"TL")+COUNTIF($G113:$BP113,"L")</f>
        <v/>
      </c>
      <c r="BV113" s="202" t="n"/>
      <c r="BW113" s="195">
        <f>COUNTIF($G113:$BP113,"hh")</f>
        <v/>
      </c>
      <c r="BX113" s="195">
        <f>COUNTIF($G113:$BP113,"nt7")</f>
        <v/>
      </c>
      <c r="BY113" s="195">
        <f>COUNTIF($G113:$BP113,"P")+COUNTIF($G113:$BP113,"p5,a5")/2+COUNTIF($G113:$BP113,"p5,b5")/2+COUNTIF($G113:$BP113,"p5,c5")/2+COUNTIF($G113:$BP113,"p5,d5")/2</f>
        <v/>
      </c>
      <c r="BZ113" s="203">
        <f>SUBTOTAL(9,BQ113:BY113)</f>
        <v/>
      </c>
      <c r="CA113" s="54">
        <f>SUM(J113,L113,N113,P113,R113,T113,X113,Z113,AB113,AD113,AF113,AH113,AL113,AN113,AP113,AR113,AT113,AV113,AZ113,BB113,BD113,BF113,BH113,BP113)</f>
        <v/>
      </c>
      <c r="CB113" s="55">
        <f>SUM(H113,V113,AJ113,AX113,BL113)</f>
        <v/>
      </c>
      <c r="CC113" s="56">
        <f>SUM(BJ113,BN113)</f>
        <v/>
      </c>
      <c r="CD113" s="197">
        <f>IF(BZ113&gt;25,4,IF(BZ113&gt;18,3,IF(BZ113&gt;12,2,IF(BZ113&gt;4,1,0))))-BX113-2+1</f>
        <v/>
      </c>
      <c r="CE113" s="49" t="n"/>
      <c r="CF113" s="197">
        <f>CD113*CI113</f>
        <v/>
      </c>
      <c r="CG113" s="198">
        <f>F113-BY113+1</f>
        <v/>
      </c>
      <c r="CH113" s="197">
        <f>CE113*16</f>
        <v/>
      </c>
      <c r="CI113" s="199">
        <f>VLOOKUP(A113,[1]DATA!$A$6:$AI$331,34,0)</f>
        <v/>
      </c>
      <c r="CJ113" s="200">
        <f>VLOOKUP(A113,[2]CHAMCONG!A$7:CI$333,79,0)</f>
        <v/>
      </c>
      <c r="CK113" s="201">
        <f>CJ113-CA113</f>
        <v/>
      </c>
    </row>
    <row r="114" ht="15" customFormat="1" customHeight="1" s="68">
      <c r="A114" s="139" t="n"/>
      <c r="B114" s="64" t="n"/>
      <c r="C114" s="115" t="n"/>
      <c r="D114" s="46" t="n"/>
      <c r="E114" s="47" t="n"/>
      <c r="F114" s="48" t="n"/>
      <c r="G114" s="49" t="n"/>
      <c r="H114" s="73" t="n"/>
      <c r="I114" s="50" t="n"/>
      <c r="J114" s="73" t="n"/>
      <c r="K114" s="50" t="n"/>
      <c r="L114" s="73" t="n"/>
      <c r="M114" s="50" t="n"/>
      <c r="N114" s="73" t="n"/>
      <c r="O114" s="50" t="n"/>
      <c r="P114" s="73" t="n"/>
      <c r="Q114" s="50" t="n"/>
      <c r="R114" s="73" t="n"/>
      <c r="S114" s="50" t="n"/>
      <c r="T114" s="73" t="n"/>
      <c r="U114" s="49" t="n"/>
      <c r="V114" s="73" t="n"/>
      <c r="W114" s="50" t="n"/>
      <c r="X114" s="73" t="n"/>
      <c r="Y114" s="50" t="n"/>
      <c r="Z114" s="73" t="n"/>
      <c r="AA114" s="50" t="n"/>
      <c r="AB114" s="73" t="n"/>
      <c r="AC114" s="50" t="n"/>
      <c r="AD114" s="73" t="n"/>
      <c r="AE114" s="73" t="n"/>
      <c r="AF114" s="73" t="n"/>
      <c r="AG114" s="73" t="n"/>
      <c r="AH114" s="73" t="n"/>
      <c r="AI114" s="73" t="n"/>
      <c r="AJ114" s="73" t="n"/>
      <c r="AK114" s="73" t="n"/>
      <c r="AL114" s="73" t="n"/>
      <c r="AM114" s="73" t="n"/>
      <c r="AN114" s="73" t="n"/>
      <c r="AO114" s="73" t="n"/>
      <c r="AP114" s="73" t="n"/>
      <c r="AQ114" s="73" t="n"/>
      <c r="AR114" s="73" t="n"/>
      <c r="AS114" s="73" t="n"/>
      <c r="AT114" s="73" t="n"/>
      <c r="AU114" s="73" t="n"/>
      <c r="AV114" s="73" t="n"/>
      <c r="AW114" s="73" t="n"/>
      <c r="AX114" s="73" t="n"/>
      <c r="AY114" s="73" t="n"/>
      <c r="AZ114" s="73" t="n"/>
      <c r="BA114" s="73" t="n"/>
      <c r="BB114" s="73" t="n"/>
      <c r="BC114" s="73" t="n"/>
      <c r="BD114" s="73" t="n"/>
      <c r="BE114" s="73" t="n"/>
      <c r="BF114" s="73" t="n"/>
      <c r="BG114" s="73" t="n"/>
      <c r="BH114" s="73" t="n"/>
      <c r="BI114" s="73" t="n"/>
      <c r="BJ114" s="73" t="n"/>
      <c r="BK114" s="73" t="n"/>
      <c r="BL114" s="73" t="n"/>
      <c r="BM114" s="73" t="n"/>
      <c r="BN114" s="73" t="n"/>
      <c r="BO114" s="73" t="n"/>
      <c r="BP114" s="73" t="n"/>
      <c r="BQ114" s="195">
        <f>COUNTIF($G114:$BP114,"a")+COUNTIF($G114:$BP114,"r0,a5")/2+COUNTIF($G114:$BP114,"p5,a5")/2</f>
        <v/>
      </c>
      <c r="BR114" s="195">
        <f>COUNTIF($G114:$BP114,"d")+COUNTIF($G114:$BP114,"r0,d5")/2+COUNTIF($G114:$BP114,"p5,d5")/2</f>
        <v/>
      </c>
      <c r="BS114" s="195">
        <f>COUNTIF($G114:$BP114,"b")+COUNTIF($G114:$BP114,"r0,b5")/2+COUNTIF($G114:$BP114,"p5,b5")/2</f>
        <v/>
      </c>
      <c r="BT114" s="195">
        <f>COUNTIF($G114:$BP114,"c")+COUNTIF($G114:$BP114,"r0,c5")/2+COUNTIF($G114:$BP114,"p5,c5")/2</f>
        <v/>
      </c>
      <c r="BU114" s="195">
        <f>COUNTIF($G114:$BP114,"KH")+COUNTIF($G114:$BP114,"TL")+COUNTIF($G114:$BP114,"L")</f>
        <v/>
      </c>
      <c r="BV114" s="202" t="n"/>
      <c r="BW114" s="195">
        <f>COUNTIF($G114:$BP114,"hh")</f>
        <v/>
      </c>
      <c r="BX114" s="195">
        <f>COUNTIF($G114:$BP114,"nt7")</f>
        <v/>
      </c>
      <c r="BY114" s="195">
        <f>COUNTIF($G114:$BP114,"P")+COUNTIF($G114:$BP114,"p5,a5")/2+COUNTIF($G114:$BP114,"p5,b5")/2+COUNTIF($G114:$BP114,"p5,c5")/2+COUNTIF($G114:$BP114,"p5,d5")/2</f>
        <v/>
      </c>
      <c r="BZ114" s="203">
        <f>SUBTOTAL(9,BQ114:BY114)</f>
        <v/>
      </c>
      <c r="CA114" s="54">
        <f>SUM(J114,L114,N114,P114,R114,T114,X114,Z114,AB114,AD114,AF114,AH114,AL114,AN114,AP114,AR114,AT114,AV114,AZ114,BB114,BD114,BF114,BH114,BP114)</f>
        <v/>
      </c>
      <c r="CB114" s="55">
        <f>SUM(H114,V114,AJ114,AX114,BL114)</f>
        <v/>
      </c>
      <c r="CC114" s="56">
        <f>SUM(BJ114,BN114)</f>
        <v/>
      </c>
      <c r="CD114" s="197">
        <f>IF(BZ114&gt;25,4,IF(BZ114&gt;18,3,IF(BZ114&gt;12,2,IF(BZ114&gt;4,1,0))))-BX114-2+1</f>
        <v/>
      </c>
      <c r="CE114" s="49" t="n"/>
      <c r="CF114" s="197">
        <f>CD114*CI114</f>
        <v/>
      </c>
      <c r="CG114" s="198">
        <f>F114-BY114+1</f>
        <v/>
      </c>
      <c r="CH114" s="197">
        <f>CE114*16</f>
        <v/>
      </c>
      <c r="CI114" s="199">
        <f>VLOOKUP(A114,[1]DATA!$A$6:$AI$331,34,0)</f>
        <v/>
      </c>
      <c r="CJ114" s="200">
        <f>VLOOKUP(A114,[2]CHAMCONG!A$7:CI$333,79,0)</f>
        <v/>
      </c>
      <c r="CK114" s="201">
        <f>CJ114-CA114</f>
        <v/>
      </c>
    </row>
    <row r="115" ht="15.75" customFormat="1" customHeight="1" s="68">
      <c r="A115" s="139" t="n"/>
      <c r="B115" s="64" t="n"/>
      <c r="C115" s="115" t="n"/>
      <c r="D115" s="46" t="n"/>
      <c r="E115" s="47" t="n"/>
      <c r="F115" s="48" t="n"/>
      <c r="G115" s="49" t="n"/>
      <c r="H115" s="73" t="n"/>
      <c r="I115" s="50" t="n"/>
      <c r="J115" s="73" t="n"/>
      <c r="K115" s="73" t="n"/>
      <c r="L115" s="73" t="n"/>
      <c r="M115" s="73" t="n"/>
      <c r="N115" s="73" t="n"/>
      <c r="O115" s="50" t="n"/>
      <c r="P115" s="73" t="n"/>
      <c r="Q115" s="73" t="n"/>
      <c r="R115" s="73" t="n"/>
      <c r="S115" s="73" t="n"/>
      <c r="T115" s="73" t="n"/>
      <c r="U115" s="49" t="n"/>
      <c r="V115" s="73" t="n"/>
      <c r="W115" s="73" t="n"/>
      <c r="X115" s="73" t="n"/>
      <c r="Y115" s="73" t="n"/>
      <c r="Z115" s="73" t="n"/>
      <c r="AA115" s="73" t="n"/>
      <c r="AB115" s="73" t="n"/>
      <c r="AC115" s="73" t="n"/>
      <c r="AD115" s="73" t="n"/>
      <c r="AE115" s="73" t="n"/>
      <c r="AF115" s="73" t="n"/>
      <c r="AG115" s="73" t="n"/>
      <c r="AH115" s="73" t="n"/>
      <c r="AI115" s="73" t="n"/>
      <c r="AJ115" s="73" t="n"/>
      <c r="AK115" s="73" t="n"/>
      <c r="AL115" s="73" t="n"/>
      <c r="AM115" s="73" t="n"/>
      <c r="AN115" s="73" t="n"/>
      <c r="AO115" s="73" t="n"/>
      <c r="AP115" s="73" t="n"/>
      <c r="AQ115" s="73" t="n"/>
      <c r="AR115" s="73" t="n"/>
      <c r="AS115" s="73" t="n"/>
      <c r="AT115" s="73" t="n"/>
      <c r="AU115" s="73" t="n"/>
      <c r="AV115" s="73" t="n"/>
      <c r="AW115" s="73" t="n"/>
      <c r="AX115" s="73" t="n"/>
      <c r="AY115" s="49" t="n"/>
      <c r="AZ115" s="73" t="n"/>
      <c r="BA115" s="73" t="n"/>
      <c r="BB115" s="73" t="n"/>
      <c r="BC115" s="73" t="n"/>
      <c r="BD115" s="73" t="n"/>
      <c r="BE115" s="73" t="n"/>
      <c r="BF115" s="73" t="n"/>
      <c r="BG115" s="73" t="n"/>
      <c r="BH115" s="73" t="n"/>
      <c r="BI115" s="73" t="n"/>
      <c r="BJ115" s="73" t="n"/>
      <c r="BK115" s="73" t="n"/>
      <c r="BL115" s="73" t="n"/>
      <c r="BM115" s="73" t="n"/>
      <c r="BN115" s="73" t="n"/>
      <c r="BO115" s="73" t="n"/>
      <c r="BP115" s="73" t="n"/>
      <c r="BQ115" s="195">
        <f>COUNTIF($G115:$BP115,"a")+COUNTIF($G115:$BP115,"r0,a5")/2+COUNTIF($G115:$BP115,"p5,a5")/2</f>
        <v/>
      </c>
      <c r="BR115" s="195">
        <f>COUNTIF($G115:$BP115,"d")+COUNTIF($G115:$BP115,"r0,d5")/2+COUNTIF($G115:$BP115,"p5,d5")/2</f>
        <v/>
      </c>
      <c r="BS115" s="195">
        <f>COUNTIF($G115:$BP115,"b")+COUNTIF($G115:$BP115,"r0,b5")/2+COUNTIF($G115:$BP115,"p5,b5")/2</f>
        <v/>
      </c>
      <c r="BT115" s="195">
        <f>COUNTIF($G115:$BP115,"c")+COUNTIF($G115:$BP115,"r0,c5")/2+COUNTIF($G115:$BP115,"p5,c5")/2</f>
        <v/>
      </c>
      <c r="BU115" s="195">
        <f>COUNTIF($G115:$BP115,"KH")+COUNTIF($G115:$BP115,"TL")+COUNTIF($G115:$BP115,"L")</f>
        <v/>
      </c>
      <c r="BV115" s="202" t="n"/>
      <c r="BW115" s="195">
        <f>COUNTIF($G115:$BP115,"hh")</f>
        <v/>
      </c>
      <c r="BX115" s="195">
        <f>COUNTIF($G115:$BP115,"nt7")</f>
        <v/>
      </c>
      <c r="BY115" s="195">
        <f>COUNTIF($G115:$BP115,"P")+COUNTIF($G115:$BP115,"p5,a5")/2+COUNTIF($G115:$BP115,"p5,b5")/2+COUNTIF($G115:$BP115,"p5,c5")/2+COUNTIF($G115:$BP115,"p5,d5")/2</f>
        <v/>
      </c>
      <c r="BZ115" s="203">
        <f>SUBTOTAL(9,BQ115:BY115)</f>
        <v/>
      </c>
      <c r="CA115" s="54">
        <f>SUM(J115,L115,N115,P115,R115,T115,X115,Z115,AB115,AD115,AF115,AH115,AL115,AN115,AP115,AR115,AT115,AV115,AZ115,BB115,BD115,BF115,BH115,BP115)</f>
        <v/>
      </c>
      <c r="CB115" s="55">
        <f>SUM(H115,V115,AJ115,AX115,BL115)</f>
        <v/>
      </c>
      <c r="CC115" s="56">
        <f>SUM(BJ115,BN115)</f>
        <v/>
      </c>
      <c r="CD115" s="197">
        <f>IF(BZ115&gt;25,4,IF(BZ115&gt;18,3,IF(BZ115&gt;12,2,IF(BZ115&gt;4,1,0))))-BX115-2+1</f>
        <v/>
      </c>
      <c r="CE115" s="49" t="n">
        <v>3</v>
      </c>
      <c r="CF115" s="197">
        <f>CD115*CI115</f>
        <v/>
      </c>
      <c r="CG115" s="198">
        <f>F115-BY115+1</f>
        <v/>
      </c>
      <c r="CH115" s="197">
        <f>CE115*16</f>
        <v/>
      </c>
      <c r="CI115" s="199">
        <f>VLOOKUP(A115,[1]DATA!$A$6:$AI$331,34,0)</f>
        <v/>
      </c>
      <c r="CJ115" s="200">
        <f>VLOOKUP(A115,[2]CHAMCONG!A$7:CI$333,79,0)</f>
        <v/>
      </c>
      <c r="CK115" s="201">
        <f>CJ115-CA115</f>
        <v/>
      </c>
    </row>
    <row r="116" ht="15.75" customFormat="1" customHeight="1" s="68">
      <c r="A116" s="139" t="n"/>
      <c r="B116" s="64" t="n"/>
      <c r="C116" s="115" t="n"/>
      <c r="D116" s="46" t="n"/>
      <c r="E116" s="47" t="n"/>
      <c r="F116" s="48" t="n"/>
      <c r="G116" s="49" t="n"/>
      <c r="H116" s="73" t="n"/>
      <c r="I116" s="50" t="n"/>
      <c r="J116" s="73" t="n"/>
      <c r="K116" s="73" t="n"/>
      <c r="L116" s="73" t="n"/>
      <c r="M116" s="73" t="n"/>
      <c r="N116" s="73" t="n"/>
      <c r="O116" s="50" t="n"/>
      <c r="P116" s="73" t="n"/>
      <c r="Q116" s="73" t="n"/>
      <c r="R116" s="73" t="n"/>
      <c r="S116" s="73" t="n"/>
      <c r="T116" s="73" t="n"/>
      <c r="U116" s="49" t="n"/>
      <c r="V116" s="73" t="n"/>
      <c r="W116" s="50" t="n"/>
      <c r="X116" s="73" t="n"/>
      <c r="Y116" s="73" t="n"/>
      <c r="Z116" s="73" t="n"/>
      <c r="AA116" s="73" t="n"/>
      <c r="AB116" s="73" t="n"/>
      <c r="AC116" s="50" t="n"/>
      <c r="AD116" s="73" t="n"/>
      <c r="AE116" s="73" t="n"/>
      <c r="AF116" s="73" t="n"/>
      <c r="AG116" s="73" t="n"/>
      <c r="AH116" s="73" t="n"/>
      <c r="AI116" s="73" t="n"/>
      <c r="AJ116" s="73" t="n"/>
      <c r="AK116" s="50" t="n"/>
      <c r="AL116" s="73" t="n"/>
      <c r="AM116" s="73" t="n"/>
      <c r="AN116" s="73" t="n"/>
      <c r="AO116" s="73" t="n"/>
      <c r="AP116" s="73" t="n"/>
      <c r="AQ116" s="50" t="n"/>
      <c r="AR116" s="73" t="n"/>
      <c r="AS116" s="73" t="n"/>
      <c r="AT116" s="73" t="n"/>
      <c r="AU116" s="73" t="n"/>
      <c r="AV116" s="73" t="n"/>
      <c r="AW116" s="73" t="n"/>
      <c r="AX116" s="73" t="n"/>
      <c r="AY116" s="50" t="n"/>
      <c r="AZ116" s="73" t="n"/>
      <c r="BA116" s="73" t="n"/>
      <c r="BB116" s="73" t="n"/>
      <c r="BC116" s="73" t="n"/>
      <c r="BD116" s="73" t="n"/>
      <c r="BE116" s="50" t="n"/>
      <c r="BF116" s="73" t="n"/>
      <c r="BG116" s="73" t="n"/>
      <c r="BH116" s="73" t="n"/>
      <c r="BI116" s="73" t="n"/>
      <c r="BJ116" s="73" t="n"/>
      <c r="BK116" s="73" t="n"/>
      <c r="BL116" s="73" t="n"/>
      <c r="BM116" s="73" t="n"/>
      <c r="BN116" s="73" t="n"/>
      <c r="BO116" s="73" t="n"/>
      <c r="BP116" s="73" t="n"/>
      <c r="BQ116" s="195">
        <f>COUNTIF($G116:$BP116,"a")+COUNTIF($G116:$BP116,"r0,a5")/2+COUNTIF($G116:$BP116,"p5,a5")/2</f>
        <v/>
      </c>
      <c r="BR116" s="195">
        <f>COUNTIF($G116:$BP116,"d")+COUNTIF($G116:$BP116,"r0,d5")/2+COUNTIF($G116:$BP116,"p5,d5")/2</f>
        <v/>
      </c>
      <c r="BS116" s="195">
        <f>COUNTIF($G116:$BP116,"b")+COUNTIF($G116:$BP116,"r0,b5")/2+COUNTIF($G116:$BP116,"p5,b5")/2</f>
        <v/>
      </c>
      <c r="BT116" s="195">
        <f>COUNTIF($G116:$BP116,"c")+COUNTIF($G116:$BP116,"r0,c5")/2+COUNTIF($G116:$BP116,"p5,c5")/2</f>
        <v/>
      </c>
      <c r="BU116" s="195">
        <f>COUNTIF($G116:$BP116,"KH")+COUNTIF($G116:$BP116,"TL")+COUNTIF($G116:$BP116,"L")</f>
        <v/>
      </c>
      <c r="BV116" s="202" t="n"/>
      <c r="BW116" s="195">
        <f>COUNTIF($G116:$BP116,"hh")</f>
        <v/>
      </c>
      <c r="BX116" s="195">
        <f>COUNTIF($G116:$BP116,"nt7")</f>
        <v/>
      </c>
      <c r="BY116" s="195">
        <f>COUNTIF($G116:$BP116,"P")+COUNTIF($G116:$BP116,"p5,a5")/2+COUNTIF($G116:$BP116,"p5,b5")/2+COUNTIF($G116:$BP116,"p5,c5")/2+COUNTIF($G116:$BP116,"p5,d5")/2</f>
        <v/>
      </c>
      <c r="BZ116" s="203">
        <f>SUBTOTAL(9,BQ116:BY116)</f>
        <v/>
      </c>
      <c r="CA116" s="54">
        <f>SUM(J116,L116,N116,P116,R116,T116,X116,Z116,AB116,AD116,AF116,AH116,AL116,AN116,AP116,AR116,AT116,AV116,AZ116,BB116,BD116,BF116,BH116,BP116)</f>
        <v/>
      </c>
      <c r="CB116" s="55">
        <f>SUM(H116,V116,AJ116,AX116,BL116)</f>
        <v/>
      </c>
      <c r="CC116" s="56">
        <f>SUM(BJ116,BN116)</f>
        <v/>
      </c>
      <c r="CD116" s="197">
        <f>IF(BZ116&gt;25,4,IF(BZ116&gt;18,3,IF(BZ116&gt;12,2,IF(BZ116&gt;4,1,0))))-BX116-2+1</f>
        <v/>
      </c>
      <c r="CE116" s="49" t="n"/>
      <c r="CF116" s="197">
        <f>CD116*CI116</f>
        <v/>
      </c>
      <c r="CG116" s="198">
        <f>F116-BY116+1</f>
        <v/>
      </c>
      <c r="CH116" s="197">
        <f>CE116*16</f>
        <v/>
      </c>
      <c r="CI116" s="199">
        <f>VLOOKUP(A116,[1]DATA!$A$6:$AI$331,34,0)</f>
        <v/>
      </c>
      <c r="CJ116" s="200">
        <f>VLOOKUP(A116,[2]CHAMCONG!A$7:CI$333,79,0)</f>
        <v/>
      </c>
      <c r="CK116" s="201">
        <f>CJ116-CA116</f>
        <v/>
      </c>
    </row>
    <row r="117" ht="15.75" customFormat="1" customHeight="1" s="68">
      <c r="A117" s="139" t="n"/>
      <c r="B117" s="64" t="n"/>
      <c r="C117" s="115" t="n"/>
      <c r="D117" s="46" t="n"/>
      <c r="E117" s="47" t="n"/>
      <c r="F117" s="48" t="n"/>
      <c r="G117" s="49" t="n"/>
      <c r="H117" s="73" t="n"/>
      <c r="I117" s="50" t="n"/>
      <c r="J117" s="73" t="n"/>
      <c r="K117" s="50" t="n"/>
      <c r="L117" s="73" t="n"/>
      <c r="M117" s="50" t="n"/>
      <c r="N117" s="73" t="n"/>
      <c r="O117" s="50" t="n"/>
      <c r="P117" s="73" t="n"/>
      <c r="Q117" s="67" t="n"/>
      <c r="R117" s="67" t="n"/>
      <c r="S117" s="50" t="n"/>
      <c r="T117" s="73" t="n"/>
      <c r="U117" s="50" t="n"/>
      <c r="V117" s="73" t="n"/>
      <c r="W117" s="50" t="n"/>
      <c r="X117" s="73" t="n"/>
      <c r="Y117" s="50" t="n"/>
      <c r="Z117" s="73" t="n"/>
      <c r="AA117" s="50" t="n"/>
      <c r="AB117" s="73" t="n"/>
      <c r="AC117" s="50" t="n"/>
      <c r="AD117" s="73" t="n"/>
      <c r="AE117" s="50" t="n"/>
      <c r="AF117" s="67" t="n"/>
      <c r="AG117" s="50" t="n"/>
      <c r="AH117" s="73" t="n"/>
      <c r="AI117" s="50" t="n"/>
      <c r="AJ117" s="73" t="n"/>
      <c r="AK117" s="50" t="n"/>
      <c r="AL117" s="73" t="n"/>
      <c r="AM117" s="50" t="n"/>
      <c r="AN117" s="73" t="n"/>
      <c r="AO117" s="50" t="n"/>
      <c r="AP117" s="73" t="n"/>
      <c r="AQ117" s="50" t="n"/>
      <c r="AR117" s="73" t="n"/>
      <c r="AS117" s="73" t="n"/>
      <c r="AT117" s="73" t="n"/>
      <c r="AU117" s="50" t="n"/>
      <c r="AV117" s="73" t="n"/>
      <c r="AW117" s="50" t="n"/>
      <c r="AX117" s="73" t="n"/>
      <c r="AY117" s="50" t="n"/>
      <c r="AZ117" s="73" t="n"/>
      <c r="BA117" s="50" t="n"/>
      <c r="BB117" s="73" t="n"/>
      <c r="BC117" s="50" t="n"/>
      <c r="BD117" s="73" t="n"/>
      <c r="BE117" s="50" t="n"/>
      <c r="BF117" s="73" t="n"/>
      <c r="BG117" s="73" t="n"/>
      <c r="BH117" s="73" t="n"/>
      <c r="BI117" s="50" t="n"/>
      <c r="BJ117" s="73" t="n"/>
      <c r="BK117" s="73" t="n"/>
      <c r="BL117" s="73" t="n"/>
      <c r="BM117" s="73" t="n"/>
      <c r="BN117" s="73" t="n"/>
      <c r="BO117" s="73" t="n"/>
      <c r="BP117" s="73" t="n"/>
      <c r="BQ117" s="195">
        <f>COUNTIF($G117:$BP117,"a")+COUNTIF($G117:$BP117,"r0,a5")/2+COUNTIF($G117:$BP117,"p5,a5")/2</f>
        <v/>
      </c>
      <c r="BR117" s="195">
        <f>COUNTIF($G117:$BP117,"d")+COUNTIF($G117:$BP117,"r0,d5")/2+COUNTIF($G117:$BP117,"p5,d5")/2</f>
        <v/>
      </c>
      <c r="BS117" s="195">
        <f>COUNTIF($G117:$BP117,"b")+COUNTIF($G117:$BP117,"r0,b5")/2+COUNTIF($G117:$BP117,"p5,b5")/2</f>
        <v/>
      </c>
      <c r="BT117" s="195">
        <f>COUNTIF($G117:$BP117,"c")+COUNTIF($G117:$BP117,"r0,c5")/2+COUNTIF($G117:$BP117,"p5,c5")/2</f>
        <v/>
      </c>
      <c r="BU117" s="195">
        <f>COUNTIF($G117:$BP117,"KH")+COUNTIF($G117:$BP117,"TL")+COUNTIF($G117:$BP117,"L")</f>
        <v/>
      </c>
      <c r="BV117" s="202" t="n"/>
      <c r="BW117" s="195">
        <f>COUNTIF($G117:$BP117,"hh")</f>
        <v/>
      </c>
      <c r="BX117" s="195">
        <f>COUNTIF($G117:$BP117,"nt7")</f>
        <v/>
      </c>
      <c r="BY117" s="195">
        <f>COUNTIF($G117:$BP117,"P")+COUNTIF($G117:$BP117,"p5,a5")/2+COUNTIF($G117:$BP117,"p5,b5")/2+COUNTIF($G117:$BP117,"p5,c5")/2+COUNTIF($G117:$BP117,"p5,d5")/2</f>
        <v/>
      </c>
      <c r="BZ117" s="203">
        <f>SUBTOTAL(9,BQ117:BY117)</f>
        <v/>
      </c>
      <c r="CA117" s="54">
        <f>SUM(J117,L117,N117,P117,R117,T117,X117,Z117,AB117,AD117,AF117,AH117,AL117,AN117,AP117,AR117,AT117,AV117,AZ117,BB117,BD117,BF117,BH117,BP117)</f>
        <v/>
      </c>
      <c r="CB117" s="55">
        <f>SUM(H117,V117,AJ117,AX117,BL117)</f>
        <v/>
      </c>
      <c r="CC117" s="56">
        <f>SUM(BJ117,BN117)</f>
        <v/>
      </c>
      <c r="CD117" s="197" t="n"/>
      <c r="CE117" s="49" t="n">
        <v>15</v>
      </c>
      <c r="CF117" s="197">
        <f>CD117*CI117</f>
        <v/>
      </c>
      <c r="CG117" s="198">
        <f>F117-BY117+1</f>
        <v/>
      </c>
      <c r="CH117" s="197">
        <f>CE117*16</f>
        <v/>
      </c>
      <c r="CI117" s="199">
        <f>VLOOKUP(A117,[1]DATA!$A$6:$AI$331,34,0)</f>
        <v/>
      </c>
      <c r="CJ117" s="200">
        <f>VLOOKUP(A117,[2]CHAMCONG!A$7:CI$333,79,0)</f>
        <v/>
      </c>
      <c r="CK117" s="201">
        <f>CJ117-CA117</f>
        <v/>
      </c>
    </row>
    <row r="118" ht="15.75" customFormat="1" customHeight="1" s="68">
      <c r="A118" s="139" t="n"/>
      <c r="B118" s="64" t="n"/>
      <c r="C118" s="115" t="n"/>
      <c r="D118" s="46" t="n"/>
      <c r="E118" s="47" t="n"/>
      <c r="F118" s="48" t="n"/>
      <c r="G118" s="49" t="n"/>
      <c r="H118" s="73" t="n"/>
      <c r="I118" s="50" t="n"/>
      <c r="J118" s="73" t="n"/>
      <c r="K118" s="73" t="n"/>
      <c r="L118" s="73" t="n"/>
      <c r="M118" s="73" t="n"/>
      <c r="N118" s="73" t="n"/>
      <c r="O118" s="50" t="n"/>
      <c r="P118" s="73" t="n"/>
      <c r="Q118" s="73" t="n"/>
      <c r="R118" s="73" t="n"/>
      <c r="S118" s="73" t="n"/>
      <c r="T118" s="73" t="n"/>
      <c r="U118" s="49" t="n"/>
      <c r="V118" s="73" t="n"/>
      <c r="W118" s="50" t="n"/>
      <c r="X118" s="73" t="n"/>
      <c r="Y118" s="73" t="n"/>
      <c r="Z118" s="73" t="n"/>
      <c r="AA118" s="73" t="n"/>
      <c r="AB118" s="73" t="n"/>
      <c r="AC118" s="50" t="n"/>
      <c r="AD118" s="73" t="n"/>
      <c r="AE118" s="73" t="n"/>
      <c r="AF118" s="73" t="n"/>
      <c r="AG118" s="73" t="n"/>
      <c r="AH118" s="73" t="n"/>
      <c r="AI118" s="73" t="n"/>
      <c r="AJ118" s="73" t="n"/>
      <c r="AK118" s="50" t="n"/>
      <c r="AL118" s="73" t="n"/>
      <c r="AM118" s="73" t="n"/>
      <c r="AN118" s="73" t="n"/>
      <c r="AO118" s="73" t="n"/>
      <c r="AP118" s="73" t="n"/>
      <c r="AQ118" s="50" t="n"/>
      <c r="AR118" s="73" t="n"/>
      <c r="AS118" s="73" t="n"/>
      <c r="AT118" s="73" t="n"/>
      <c r="AU118" s="73" t="n"/>
      <c r="AV118" s="73" t="n"/>
      <c r="AW118" s="73" t="n"/>
      <c r="AX118" s="73" t="n"/>
      <c r="AY118" s="50" t="n"/>
      <c r="AZ118" s="73" t="n"/>
      <c r="BA118" s="73" t="n"/>
      <c r="BB118" s="73" t="n"/>
      <c r="BC118" s="73" t="n"/>
      <c r="BD118" s="73" t="n"/>
      <c r="BE118" s="50" t="n"/>
      <c r="BF118" s="73" t="n"/>
      <c r="BG118" s="73" t="n"/>
      <c r="BH118" s="73" t="n"/>
      <c r="BI118" s="73" t="n"/>
      <c r="BJ118" s="73" t="n"/>
      <c r="BK118" s="73" t="n"/>
      <c r="BL118" s="73" t="n"/>
      <c r="BM118" s="73" t="n"/>
      <c r="BN118" s="73" t="n"/>
      <c r="BO118" s="73" t="n"/>
      <c r="BP118" s="73" t="n"/>
      <c r="BQ118" s="195">
        <f>COUNTIF($G118:$BP118,"a")+COUNTIF($G118:$BP118,"r0,a5")/2+COUNTIF($G118:$BP118,"p5,a5")/2</f>
        <v/>
      </c>
      <c r="BR118" s="195">
        <f>COUNTIF($G118:$BP118,"d")+COUNTIF($G118:$BP118,"r0,d5")/2+COUNTIF($G118:$BP118,"p5,d5")/2</f>
        <v/>
      </c>
      <c r="BS118" s="195">
        <f>COUNTIF($G118:$BP118,"b")+COUNTIF($G118:$BP118,"r0,b5")/2+COUNTIF($G118:$BP118,"p5,b5")/2</f>
        <v/>
      </c>
      <c r="BT118" s="195">
        <f>COUNTIF($G118:$BP118,"c")+COUNTIF($G118:$BP118,"r0,c5")/2+COUNTIF($G118:$BP118,"p5,c5")/2</f>
        <v/>
      </c>
      <c r="BU118" s="195">
        <f>COUNTIF($G118:$BP118,"KH")+COUNTIF($G118:$BP118,"TL")+COUNTIF($G118:$BP118,"L")</f>
        <v/>
      </c>
      <c r="BV118" s="202" t="n"/>
      <c r="BW118" s="195">
        <f>COUNTIF($G118:$BP118,"hh")</f>
        <v/>
      </c>
      <c r="BX118" s="195">
        <f>COUNTIF($G118:$BP118,"nt7")</f>
        <v/>
      </c>
      <c r="BY118" s="195">
        <f>COUNTIF($G118:$BP118,"P")+COUNTIF($G118:$BP118,"p5,a5")/2+COUNTIF($G118:$BP118,"p5,b5")/2+COUNTIF($G118:$BP118,"p5,c5")/2+COUNTIF($G118:$BP118,"p5,d5")/2</f>
        <v/>
      </c>
      <c r="BZ118" s="203">
        <f>SUBTOTAL(9,BQ118:BY118)</f>
        <v/>
      </c>
      <c r="CA118" s="54">
        <f>SUM(J118,L118,N118,P118,R118,T118,X118,Z118,AB118,AD118,AF118,AH118,AL118,AN118,AP118,AR118,AT118,AV118,AZ118,BB118,BD118,BF118,BH118,BP118)</f>
        <v/>
      </c>
      <c r="CB118" s="55">
        <f>SUM(H118,V118,AJ118,AX118,BL118)</f>
        <v/>
      </c>
      <c r="CC118" s="56">
        <f>SUM(BJ118,BN118)</f>
        <v/>
      </c>
      <c r="CD118" s="197">
        <f>IF(BZ118&gt;25,4,IF(BZ118&gt;18,3,IF(BZ118&gt;12,2,IF(BZ118&gt;4,1,0))))-BX118-2+1</f>
        <v/>
      </c>
      <c r="CE118" s="49" t="n"/>
      <c r="CF118" s="197">
        <f>CD118*CI118</f>
        <v/>
      </c>
      <c r="CG118" s="198">
        <f>F118-BY118+1</f>
        <v/>
      </c>
      <c r="CH118" s="197">
        <f>CE118*16</f>
        <v/>
      </c>
      <c r="CI118" s="199">
        <f>VLOOKUP(A118,[1]DATA!$A$6:$AI$331,34,0)</f>
        <v/>
      </c>
      <c r="CJ118" s="200">
        <f>VLOOKUP(A118,[2]CHAMCONG!A$7:CI$333,79,0)</f>
        <v/>
      </c>
      <c r="CK118" s="201">
        <f>CJ118-CA118</f>
        <v/>
      </c>
    </row>
    <row r="119" ht="15.75" customFormat="1" customHeight="1" s="68">
      <c r="A119" s="139" t="n"/>
      <c r="B119" s="64" t="n"/>
      <c r="C119" s="115" t="n"/>
      <c r="D119" s="46" t="n"/>
      <c r="E119" s="47" t="n"/>
      <c r="F119" s="48" t="n"/>
      <c r="G119" s="49" t="n"/>
      <c r="H119" s="73" t="n"/>
      <c r="I119" s="49" t="n"/>
      <c r="J119" s="73" t="n"/>
      <c r="K119" s="49" t="n"/>
      <c r="L119" s="73" t="n"/>
      <c r="M119" s="49" t="n"/>
      <c r="N119" s="73" t="n"/>
      <c r="O119" s="49" t="n"/>
      <c r="P119" s="73" t="n"/>
      <c r="Q119" s="67" t="n"/>
      <c r="R119" s="67" t="n"/>
      <c r="S119" s="50" t="n"/>
      <c r="T119" s="73" t="n"/>
      <c r="U119" s="49" t="n"/>
      <c r="V119" s="73" t="n"/>
      <c r="W119" s="50" t="n"/>
      <c r="X119" s="73" t="n"/>
      <c r="Y119" s="50" t="n"/>
      <c r="Z119" s="73" t="n"/>
      <c r="AA119" s="73" t="n"/>
      <c r="AB119" s="73" t="n"/>
      <c r="AC119" s="73" t="n"/>
      <c r="AD119" s="73" t="n"/>
      <c r="AE119" s="73" t="n"/>
      <c r="AF119" s="73" t="n"/>
      <c r="AG119" s="73" t="n"/>
      <c r="AH119" s="73" t="n"/>
      <c r="AI119" s="73" t="n"/>
      <c r="AJ119" s="73" t="n"/>
      <c r="AK119" s="73" t="n"/>
      <c r="AL119" s="73" t="n"/>
      <c r="AM119" s="73" t="n"/>
      <c r="AN119" s="73" t="n"/>
      <c r="AO119" s="73" t="n"/>
      <c r="AP119" s="73" t="n"/>
      <c r="AQ119" s="73" t="n"/>
      <c r="AR119" s="73" t="n"/>
      <c r="AS119" s="73" t="n"/>
      <c r="AT119" s="73" t="n"/>
      <c r="AU119" s="73" t="n"/>
      <c r="AV119" s="73" t="n"/>
      <c r="AW119" s="73" t="n"/>
      <c r="AX119" s="73" t="n"/>
      <c r="AY119" s="73" t="n"/>
      <c r="AZ119" s="73" t="n"/>
      <c r="BA119" s="73" t="n"/>
      <c r="BB119" s="73" t="n"/>
      <c r="BC119" s="73" t="n"/>
      <c r="BD119" s="73" t="n"/>
      <c r="BE119" s="73" t="n"/>
      <c r="BF119" s="73" t="n"/>
      <c r="BG119" s="73" t="n"/>
      <c r="BH119" s="73" t="n"/>
      <c r="BI119" s="73" t="n"/>
      <c r="BJ119" s="73" t="n"/>
      <c r="BK119" s="73" t="n"/>
      <c r="BL119" s="73" t="n"/>
      <c r="BM119" s="73" t="n"/>
      <c r="BN119" s="73" t="n"/>
      <c r="BO119" s="73" t="n"/>
      <c r="BP119" s="73" t="n"/>
      <c r="BQ119" s="195">
        <f>COUNTIF($G119:$BP119,"a")+COUNTIF($G119:$BP119,"r0,a5")/2+COUNTIF($G119:$BP119,"p5,a5")/2</f>
        <v/>
      </c>
      <c r="BR119" s="195">
        <f>COUNTIF($G119:$BP119,"d")+COUNTIF($G119:$BP119,"r0,d5")/2+COUNTIF($G119:$BP119,"p5,d5")/2</f>
        <v/>
      </c>
      <c r="BS119" s="195">
        <f>COUNTIF($G119:$BP119,"b")+COUNTIF($G119:$BP119,"r0,b5")/2+COUNTIF($G119:$BP119,"p5,b5")/2</f>
        <v/>
      </c>
      <c r="BT119" s="195">
        <f>COUNTIF($G119:$BP119,"c")+COUNTIF($G119:$BP119,"r0,c5")/2+COUNTIF($G119:$BP119,"p5,c5")/2</f>
        <v/>
      </c>
      <c r="BU119" s="195">
        <f>COUNTIF($G119:$BP119,"KH")+COUNTIF($G119:$BP119,"TL")+COUNTIF($G119:$BP119,"L")</f>
        <v/>
      </c>
      <c r="BV119" s="202" t="n"/>
      <c r="BW119" s="195">
        <f>COUNTIF($G119:$BP119,"hh")</f>
        <v/>
      </c>
      <c r="BX119" s="195">
        <f>COUNTIF($G119:$BP119,"nt7")</f>
        <v/>
      </c>
      <c r="BY119" s="195">
        <f>COUNTIF($G119:$BP119,"P")+COUNTIF($G119:$BP119,"p5,a5")/2+COUNTIF($G119:$BP119,"p5,b5")/2+COUNTIF($G119:$BP119,"p5,c5")/2+COUNTIF($G119:$BP119,"p5,d5")/2</f>
        <v/>
      </c>
      <c r="BZ119" s="203">
        <f>SUBTOTAL(9,BQ119:BY119)</f>
        <v/>
      </c>
      <c r="CA119" s="54">
        <f>SUM(J119,L119,N119,P119,R119,T119,X119,Z119,AB119,AD119,AF119,AH119,AL119,AN119,AP119,AR119,AT119,AV119,AZ119,BB119,BD119,BF119,BH119,BP119)</f>
        <v/>
      </c>
      <c r="CB119" s="55">
        <f>SUM(H119,V119,AJ119,AX119,BL119)</f>
        <v/>
      </c>
      <c r="CC119" s="56">
        <f>SUM(BJ119,BN119)</f>
        <v/>
      </c>
      <c r="CD119" s="197">
        <f>IF(BZ119&gt;25,4,IF(BZ119&gt;18,3,IF(BZ119&gt;12,2,IF(BZ119&gt;4,1,0))))-BX119-2+1</f>
        <v/>
      </c>
      <c r="CE119" s="49" t="n">
        <v>1</v>
      </c>
      <c r="CF119" s="197">
        <f>CD119*CI119</f>
        <v/>
      </c>
      <c r="CG119" s="198">
        <f>F119-BY119+1</f>
        <v/>
      </c>
      <c r="CH119" s="197">
        <f>CE119*16</f>
        <v/>
      </c>
      <c r="CI119" s="199">
        <f>VLOOKUP(A119,[1]DATA!$A$6:$AI$331,34,0)</f>
        <v/>
      </c>
      <c r="CJ119" s="200">
        <f>VLOOKUP(A119,[2]CHAMCONG!A$7:CI$333,79,0)</f>
        <v/>
      </c>
      <c r="CK119" s="201">
        <f>CJ119-CA119</f>
        <v/>
      </c>
    </row>
    <row r="120" ht="15.75" customFormat="1" customHeight="1" s="68">
      <c r="A120" s="139" t="n"/>
      <c r="B120" s="64" t="n"/>
      <c r="C120" s="115" t="n"/>
      <c r="D120" s="46" t="n"/>
      <c r="E120" s="47" t="n"/>
      <c r="F120" s="48" t="n"/>
      <c r="G120" s="49" t="n"/>
      <c r="H120" s="73" t="n"/>
      <c r="I120" s="50" t="n"/>
      <c r="J120" s="73" t="n"/>
      <c r="K120" s="50" t="n"/>
      <c r="L120" s="73" t="n"/>
      <c r="M120" s="50" t="n"/>
      <c r="N120" s="73" t="n"/>
      <c r="O120" s="50" t="n"/>
      <c r="P120" s="73" t="n"/>
      <c r="Q120" s="67" t="n"/>
      <c r="R120" s="67" t="n"/>
      <c r="S120" s="50" t="n"/>
      <c r="T120" s="73" t="n"/>
      <c r="U120" s="50" t="n"/>
      <c r="V120" s="73" t="n"/>
      <c r="W120" s="50" t="n"/>
      <c r="X120" s="73" t="n"/>
      <c r="Y120" s="50" t="n"/>
      <c r="Z120" s="73" t="n"/>
      <c r="AA120" s="50" t="n"/>
      <c r="AB120" s="73" t="n"/>
      <c r="AC120" s="50" t="n"/>
      <c r="AD120" s="73" t="n"/>
      <c r="AE120" s="50" t="n"/>
      <c r="AF120" s="67" t="n"/>
      <c r="AG120" s="50" t="n"/>
      <c r="AH120" s="73" t="n"/>
      <c r="AI120" s="50" t="n"/>
      <c r="AJ120" s="73" t="n"/>
      <c r="AK120" s="50" t="n"/>
      <c r="AL120" s="73" t="n"/>
      <c r="AM120" s="50" t="n"/>
      <c r="AN120" s="73" t="n"/>
      <c r="AO120" s="50" t="n"/>
      <c r="AP120" s="73" t="n"/>
      <c r="AQ120" s="50" t="n"/>
      <c r="AR120" s="73" t="n"/>
      <c r="AS120" s="73" t="n"/>
      <c r="AT120" s="73" t="n"/>
      <c r="AU120" s="50" t="n"/>
      <c r="AV120" s="73" t="n"/>
      <c r="AW120" s="73" t="n"/>
      <c r="AX120" s="73" t="n"/>
      <c r="AY120" s="73" t="n"/>
      <c r="AZ120" s="73" t="n"/>
      <c r="BA120" s="73" t="n"/>
      <c r="BB120" s="73" t="n"/>
      <c r="BC120" s="73" t="n"/>
      <c r="BD120" s="73" t="n"/>
      <c r="BE120" s="73" t="n"/>
      <c r="BF120" s="73" t="n"/>
      <c r="BG120" s="73" t="n"/>
      <c r="BH120" s="73" t="n"/>
      <c r="BI120" s="73" t="n"/>
      <c r="BJ120" s="73" t="n"/>
      <c r="BK120" s="73" t="n"/>
      <c r="BL120" s="73" t="n"/>
      <c r="BM120" s="73" t="n"/>
      <c r="BN120" s="73" t="n"/>
      <c r="BO120" s="73" t="n"/>
      <c r="BP120" s="73" t="n"/>
      <c r="BQ120" s="195">
        <f>COUNTIF($G120:$BP120,"a")+COUNTIF($G120:$BP120,"r0,a5")/2+COUNTIF($G120:$BP120,"p5,a5")/2</f>
        <v/>
      </c>
      <c r="BR120" s="195">
        <f>COUNTIF($G120:$BP120,"d")+COUNTIF($G120:$BP120,"r0,d5")/2+COUNTIF($G120:$BP120,"p5,d5")/2</f>
        <v/>
      </c>
      <c r="BS120" s="195">
        <f>COUNTIF($G120:$BP120,"b")+COUNTIF($G120:$BP120,"r0,b5")/2+COUNTIF($G120:$BP120,"p5,b5")/2</f>
        <v/>
      </c>
      <c r="BT120" s="195">
        <f>COUNTIF($G120:$BP120,"c")+COUNTIF($G120:$BP120,"r0,c5")/2+COUNTIF($G120:$BP120,"p5,c5")/2</f>
        <v/>
      </c>
      <c r="BU120" s="195">
        <f>COUNTIF($G120:$BP120,"KH")+COUNTIF($G120:$BP120,"TL")+COUNTIF($G120:$BP120,"L")</f>
        <v/>
      </c>
      <c r="BV120" s="202" t="n"/>
      <c r="BW120" s="195">
        <f>COUNTIF($G120:$BP120,"hh")</f>
        <v/>
      </c>
      <c r="BX120" s="195">
        <f>COUNTIF($G120:$BP120,"nt7")</f>
        <v/>
      </c>
      <c r="BY120" s="195">
        <f>COUNTIF($G120:$BP120,"P")+COUNTIF($G120:$BP120,"p5,a5")/2+COUNTIF($G120:$BP120,"p5,b5")/2+COUNTIF($G120:$BP120,"p5,c5")/2+COUNTIF($G120:$BP120,"p5,d5")/2</f>
        <v/>
      </c>
      <c r="BZ120" s="203">
        <f>SUBTOTAL(9,BQ120:BY120)</f>
        <v/>
      </c>
      <c r="CA120" s="54">
        <f>SUM(J120,L120,N120,P120,R120,T120,X120,Z120,AB120,AD120,AF120,AH120,AL120,AN120,AP120,AR120,AT120,AV120,AZ120,BB120,BD120,BF120,BH120,BP120)</f>
        <v/>
      </c>
      <c r="CB120" s="55">
        <f>SUM(H120,V120,AJ120,AX120,BL120)</f>
        <v/>
      </c>
      <c r="CC120" s="56">
        <f>SUM(BJ120,BN120)</f>
        <v/>
      </c>
      <c r="CD120" s="197" t="n"/>
      <c r="CE120" s="49" t="n">
        <v>17</v>
      </c>
      <c r="CF120" s="197">
        <f>CD120*CI120</f>
        <v/>
      </c>
      <c r="CG120" s="198">
        <f>F120-BY120+1</f>
        <v/>
      </c>
      <c r="CH120" s="197">
        <f>CE120*16</f>
        <v/>
      </c>
      <c r="CI120" s="199">
        <f>VLOOKUP(A120,[1]DATA!$A$6:$AI$331,34,0)</f>
        <v/>
      </c>
      <c r="CJ120" s="200">
        <f>VLOOKUP(A120,[2]CHAMCONG!A$7:CI$333,79,0)</f>
        <v/>
      </c>
      <c r="CK120" s="201">
        <f>CJ120-CA120</f>
        <v/>
      </c>
    </row>
    <row r="121" ht="15.75" customFormat="1" customHeight="1" s="68">
      <c r="A121" s="139" t="n"/>
      <c r="B121" s="64" t="n"/>
      <c r="C121" s="115" t="n"/>
      <c r="D121" s="46" t="n"/>
      <c r="E121" s="47" t="n"/>
      <c r="F121" s="48" t="n"/>
      <c r="G121" s="49" t="n"/>
      <c r="H121" s="73" t="n"/>
      <c r="I121" s="50" t="n"/>
      <c r="J121" s="73" t="n"/>
      <c r="K121" s="73" t="n"/>
      <c r="L121" s="73" t="n"/>
      <c r="M121" s="73" t="n"/>
      <c r="N121" s="73" t="n"/>
      <c r="O121" s="50" t="n"/>
      <c r="P121" s="73" t="n"/>
      <c r="Q121" s="73" t="n"/>
      <c r="R121" s="73" t="n"/>
      <c r="S121" s="73" t="n"/>
      <c r="T121" s="73" t="n"/>
      <c r="U121" s="49" t="n"/>
      <c r="V121" s="73" t="n"/>
      <c r="W121" s="50" t="n"/>
      <c r="X121" s="73" t="n"/>
      <c r="Y121" s="73" t="n"/>
      <c r="Z121" s="73" t="n"/>
      <c r="AA121" s="73" t="n"/>
      <c r="AB121" s="73" t="n"/>
      <c r="AC121" s="50" t="n"/>
      <c r="AD121" s="73" t="n"/>
      <c r="AE121" s="73" t="n"/>
      <c r="AF121" s="73" t="n"/>
      <c r="AG121" s="73" t="n"/>
      <c r="AH121" s="73" t="n"/>
      <c r="AI121" s="73" t="n"/>
      <c r="AJ121" s="73" t="n"/>
      <c r="AK121" s="50" t="n"/>
      <c r="AL121" s="73" t="n"/>
      <c r="AM121" s="73" t="n"/>
      <c r="AN121" s="73" t="n"/>
      <c r="AO121" s="73" t="n"/>
      <c r="AP121" s="73" t="n"/>
      <c r="AQ121" s="50" t="n"/>
      <c r="AR121" s="73" t="n"/>
      <c r="AS121" s="73" t="n"/>
      <c r="AT121" s="73" t="n"/>
      <c r="AU121" s="73" t="n"/>
      <c r="AV121" s="73" t="n"/>
      <c r="AW121" s="73" t="n"/>
      <c r="AX121" s="73" t="n"/>
      <c r="AY121" s="50" t="n"/>
      <c r="AZ121" s="73" t="n"/>
      <c r="BA121" s="73" t="n"/>
      <c r="BB121" s="73" t="n"/>
      <c r="BC121" s="73" t="n"/>
      <c r="BD121" s="73" t="n"/>
      <c r="BE121" s="50" t="n"/>
      <c r="BF121" s="73" t="n"/>
      <c r="BG121" s="73" t="n"/>
      <c r="BH121" s="73" t="n"/>
      <c r="BI121" s="73" t="n"/>
      <c r="BJ121" s="73" t="n"/>
      <c r="BK121" s="73" t="n"/>
      <c r="BL121" s="73" t="n"/>
      <c r="BM121" s="73" t="n"/>
      <c r="BN121" s="73" t="n"/>
      <c r="BO121" s="73" t="n"/>
      <c r="BP121" s="73" t="n"/>
      <c r="BQ121" s="195">
        <f>COUNTIF($G121:$BP121,"a")+COUNTIF($G121:$BP121,"r0,a5")/2+COUNTIF($G121:$BP121,"p5,a5")/2</f>
        <v/>
      </c>
      <c r="BR121" s="195">
        <f>COUNTIF($G121:$BP121,"d")+COUNTIF($G121:$BP121,"r0,d5")/2+COUNTIF($G121:$BP121,"p5,d5")/2</f>
        <v/>
      </c>
      <c r="BS121" s="195">
        <f>COUNTIF($G121:$BP121,"b")+COUNTIF($G121:$BP121,"r0,b5")/2+COUNTIF($G121:$BP121,"p5,b5")/2</f>
        <v/>
      </c>
      <c r="BT121" s="195">
        <f>COUNTIF($G121:$BP121,"c")+COUNTIF($G121:$BP121,"r0,c5")/2+COUNTIF($G121:$BP121,"p5,c5")/2</f>
        <v/>
      </c>
      <c r="BU121" s="195">
        <f>COUNTIF($G121:$BP121,"KH")+COUNTIF($G121:$BP121,"TL")+COUNTIF($G121:$BP121,"L")</f>
        <v/>
      </c>
      <c r="BV121" s="202" t="n"/>
      <c r="BW121" s="195">
        <f>COUNTIF($G121:$BP121,"hh")</f>
        <v/>
      </c>
      <c r="BX121" s="195">
        <f>COUNTIF($G121:$BP121,"nt7")</f>
        <v/>
      </c>
      <c r="BY121" s="195">
        <f>COUNTIF($G121:$BP121,"P")+COUNTIF($G121:$BP121,"p5,a5")/2+COUNTIF($G121:$BP121,"p5,b5")/2+COUNTIF($G121:$BP121,"p5,c5")/2+COUNTIF($G121:$BP121,"p5,d5")/2</f>
        <v/>
      </c>
      <c r="BZ121" s="203">
        <f>SUBTOTAL(9,BQ121:BY121)</f>
        <v/>
      </c>
      <c r="CA121" s="54">
        <f>SUM(J121,L121,N121,P121,R121,T121,X121,Z121,AB121,AD121,AF121,AH121,AL121,AN121,AP121,AR121,AT121,AV121,AZ121,BB121,BD121,BF121,BH121,BP121)</f>
        <v/>
      </c>
      <c r="CB121" s="55">
        <f>SUM(H121,V121,AJ121,AX121,BL121)</f>
        <v/>
      </c>
      <c r="CC121" s="56">
        <f>SUM(BJ121,BN121)</f>
        <v/>
      </c>
      <c r="CD121" s="197">
        <f>IF(BZ121&gt;25,4,IF(BZ121&gt;18,3,IF(BZ121&gt;12,2,IF(BZ121&gt;4,1,0))))-BX121-2+1</f>
        <v/>
      </c>
      <c r="CE121" s="49" t="n"/>
      <c r="CF121" s="197">
        <f>CD121*CI121</f>
        <v/>
      </c>
      <c r="CG121" s="198">
        <f>F121-BY121+1</f>
        <v/>
      </c>
      <c r="CH121" s="197">
        <f>CE121*16</f>
        <v/>
      </c>
      <c r="CI121" s="199">
        <f>VLOOKUP(A121,[1]DATA!$A$6:$AI$331,34,0)</f>
        <v/>
      </c>
      <c r="CJ121" s="200">
        <f>VLOOKUP(A121,[2]CHAMCONG!A$7:CI$333,79,0)</f>
        <v/>
      </c>
      <c r="CK121" s="201">
        <f>CJ121-CA121</f>
        <v/>
      </c>
    </row>
    <row r="122" ht="15.75" customFormat="1" customHeight="1" s="68">
      <c r="A122" s="139" t="n"/>
      <c r="B122" s="64" t="n"/>
      <c r="C122" s="115" t="n"/>
      <c r="D122" s="46" t="n"/>
      <c r="E122" s="47" t="n"/>
      <c r="F122" s="48" t="n"/>
      <c r="G122" s="49" t="n"/>
      <c r="H122" s="73" t="n"/>
      <c r="I122" s="50" t="n"/>
      <c r="J122" s="73" t="n"/>
      <c r="K122" s="50" t="n"/>
      <c r="L122" s="73" t="n"/>
      <c r="M122" s="50" t="n"/>
      <c r="N122" s="73" t="n"/>
      <c r="O122" s="50" t="n"/>
      <c r="P122" s="73" t="n"/>
      <c r="Q122" s="50" t="n"/>
      <c r="R122" s="73" t="n"/>
      <c r="S122" s="50" t="n"/>
      <c r="T122" s="73" t="n"/>
      <c r="U122" s="49" t="n"/>
      <c r="V122" s="73" t="n"/>
      <c r="W122" s="50" t="n"/>
      <c r="X122" s="73" t="n"/>
      <c r="Y122" s="50" t="n"/>
      <c r="Z122" s="73" t="n"/>
      <c r="AA122" s="50" t="n"/>
      <c r="AB122" s="73" t="n"/>
      <c r="AC122" s="50" t="n"/>
      <c r="AD122" s="73" t="n"/>
      <c r="AE122" s="50" t="n"/>
      <c r="AF122" s="73" t="n"/>
      <c r="AG122" s="50" t="n"/>
      <c r="AH122" s="73" t="n"/>
      <c r="AI122" s="49" t="n"/>
      <c r="AJ122" s="73" t="n"/>
      <c r="AK122" s="67" t="n"/>
      <c r="AL122" s="73" t="n"/>
      <c r="AM122" s="67" t="n"/>
      <c r="AN122" s="73" t="n"/>
      <c r="AO122" s="67" t="n"/>
      <c r="AP122" s="73" t="n"/>
      <c r="AQ122" s="67" t="n"/>
      <c r="AR122" s="73" t="n"/>
      <c r="AS122" s="67" t="n"/>
      <c r="AT122" s="67" t="n"/>
      <c r="AU122" s="67" t="n"/>
      <c r="AV122" s="73" t="n"/>
      <c r="AW122" s="73" t="n"/>
      <c r="AX122" s="73" t="n"/>
      <c r="AY122" s="67" t="n"/>
      <c r="AZ122" s="73" t="n"/>
      <c r="BA122" s="67" t="n"/>
      <c r="BB122" s="73" t="n"/>
      <c r="BC122" s="67" t="n"/>
      <c r="BD122" s="73" t="n"/>
      <c r="BE122" s="67" t="n"/>
      <c r="BF122" s="73" t="n"/>
      <c r="BG122" s="67" t="n"/>
      <c r="BH122" s="67" t="n"/>
      <c r="BI122" s="73" t="n"/>
      <c r="BJ122" s="73" t="n"/>
      <c r="BK122" s="73" t="n"/>
      <c r="BL122" s="73" t="n"/>
      <c r="BM122" s="73" t="n"/>
      <c r="BN122" s="73" t="n"/>
      <c r="BO122" s="49" t="n"/>
      <c r="BP122" s="73" t="n"/>
      <c r="BQ122" s="195">
        <f>COUNTIF($G122:$BP122,"a")+COUNTIF($G122:$BP122,"r0,a5")/2+COUNTIF($G122:$BP122,"p5,a5")/2</f>
        <v/>
      </c>
      <c r="BR122" s="195">
        <f>COUNTIF($G122:$BP122,"d")+COUNTIF($G122:$BP122,"r0,d5")/2+COUNTIF($G122:$BP122,"p5,d5")/2</f>
        <v/>
      </c>
      <c r="BS122" s="195">
        <f>COUNTIF($G122:$BP122,"b")+COUNTIF($G122:$BP122,"r0,b5")/2+COUNTIF($G122:$BP122,"p5,b5")/2</f>
        <v/>
      </c>
      <c r="BT122" s="195">
        <f>COUNTIF($G122:$BP122,"c")+COUNTIF($G122:$BP122,"r0,c5")/2+COUNTIF($G122:$BP122,"p5,c5")/2</f>
        <v/>
      </c>
      <c r="BU122" s="195">
        <f>COUNTIF($G122:$BP122,"KH")+COUNTIF($G122:$BP122,"TL")+COUNTIF($G122:$BP122,"L")</f>
        <v/>
      </c>
      <c r="BV122" s="202" t="n"/>
      <c r="BW122" s="195">
        <f>COUNTIF($G122:$BP122,"hh")</f>
        <v/>
      </c>
      <c r="BX122" s="195">
        <f>COUNTIF($G122:$BP122,"nt7")</f>
        <v/>
      </c>
      <c r="BY122" s="195">
        <f>COUNTIF($G122:$BP122,"P")+COUNTIF($G122:$BP122,"p5,a5")/2+COUNTIF($G122:$BP122,"p5,b5")/2+COUNTIF($G122:$BP122,"p5,c5")/2+COUNTIF($G122:$BP122,"p5,d5")/2</f>
        <v/>
      </c>
      <c r="BZ122" s="203">
        <f>SUBTOTAL(9,BQ122:BY122)</f>
        <v/>
      </c>
      <c r="CA122" s="54">
        <f>SUM(J122,L122,N122,P122,R122,T122,X122,Z122,AB122,AD122,AF122,AH122,AL122,AN122,AP122,AR122,AT122,AV122,AZ122,BB122,BD122,BF122,BH122,BP122)</f>
        <v/>
      </c>
      <c r="CB122" s="55">
        <f>SUM(H122,V122,AJ122,AX122,BL122)</f>
        <v/>
      </c>
      <c r="CC122" s="56">
        <f>SUM(BJ122,BN122)</f>
        <v/>
      </c>
      <c r="CD122" s="197">
        <f>IF(BZ122&gt;25,4,IF(BZ122&gt;18,3,IF(BZ122&gt;12,2,IF(BZ122&gt;4,1,0))))-BX122-2+1</f>
        <v/>
      </c>
      <c r="CE122" s="49" t="n">
        <v>4</v>
      </c>
      <c r="CF122" s="197">
        <f>CD122*CI122</f>
        <v/>
      </c>
      <c r="CG122" s="198">
        <f>F122-BY122+1</f>
        <v/>
      </c>
      <c r="CH122" s="197">
        <f>CE122*16</f>
        <v/>
      </c>
      <c r="CI122" s="199">
        <f>VLOOKUP(A122,[1]DATA!$A$6:$AI$331,34,0)</f>
        <v/>
      </c>
      <c r="CJ122" s="200">
        <f>VLOOKUP(A122,[2]CHAMCONG!A$7:CI$333,79,0)</f>
        <v/>
      </c>
      <c r="CK122" s="201">
        <f>CJ122-CA122</f>
        <v/>
      </c>
    </row>
    <row r="123" ht="15.75" customFormat="1" customHeight="1" s="68">
      <c r="A123" s="139" t="n"/>
      <c r="B123" s="64" t="n"/>
      <c r="C123" s="115" t="n"/>
      <c r="D123" s="46" t="n"/>
      <c r="E123" s="47" t="n"/>
      <c r="F123" s="48" t="n"/>
      <c r="G123" s="49" t="n"/>
      <c r="H123" s="73" t="n"/>
      <c r="I123" s="50" t="n"/>
      <c r="J123" s="73" t="n"/>
      <c r="K123" s="50" t="n"/>
      <c r="L123" s="73" t="n"/>
      <c r="M123" s="50" t="n"/>
      <c r="N123" s="73" t="n"/>
      <c r="O123" s="50" t="n"/>
      <c r="P123" s="73" t="n"/>
      <c r="Q123" s="49" t="n"/>
      <c r="R123" s="73" t="n"/>
      <c r="S123" s="50" t="n"/>
      <c r="T123" s="73" t="n"/>
      <c r="U123" s="50" t="n"/>
      <c r="V123" s="73" t="n"/>
      <c r="W123" s="50" t="n"/>
      <c r="X123" s="73" t="n"/>
      <c r="Y123" s="50" t="n"/>
      <c r="Z123" s="73" t="n"/>
      <c r="AA123" s="50" t="n"/>
      <c r="AB123" s="73" t="n"/>
      <c r="AC123" s="50" t="n"/>
      <c r="AD123" s="73" t="n"/>
      <c r="AE123" s="50" t="n"/>
      <c r="AF123" s="67" t="n"/>
      <c r="AG123" s="50" t="n"/>
      <c r="AH123" s="73" t="n"/>
      <c r="AI123" s="50" t="n"/>
      <c r="AJ123" s="73" t="n"/>
      <c r="AK123" s="50" t="n"/>
      <c r="AL123" s="73" t="n"/>
      <c r="AM123" s="50" t="n"/>
      <c r="AN123" s="73" t="n"/>
      <c r="AO123" s="50" t="n"/>
      <c r="AP123" s="73" t="n"/>
      <c r="AQ123" s="49" t="n"/>
      <c r="AR123" s="73" t="n"/>
      <c r="AS123" s="49" t="n"/>
      <c r="AT123" s="73" t="n"/>
      <c r="AU123" s="49" t="n"/>
      <c r="AV123" s="73" t="n"/>
      <c r="AW123" s="49" t="n"/>
      <c r="AX123" s="73" t="n"/>
      <c r="AY123" s="49" t="n"/>
      <c r="AZ123" s="73" t="n"/>
      <c r="BA123" s="49" t="n"/>
      <c r="BB123" s="73" t="n"/>
      <c r="BC123" s="73" t="n"/>
      <c r="BD123" s="73" t="n"/>
      <c r="BE123" s="49" t="n"/>
      <c r="BF123" s="73" t="n"/>
      <c r="BG123" s="49" t="n"/>
      <c r="BH123" s="73" t="n"/>
      <c r="BI123" s="73" t="n"/>
      <c r="BJ123" s="73" t="n"/>
      <c r="BK123" s="73" t="n"/>
      <c r="BL123" s="73" t="n"/>
      <c r="BM123" s="73" t="n"/>
      <c r="BN123" s="73" t="n"/>
      <c r="BO123" s="73" t="n"/>
      <c r="BP123" s="73" t="n"/>
      <c r="BQ123" s="195">
        <f>COUNTIF($G123:$BP123,"a")+COUNTIF($G123:$BP123,"r0,a5")/2+COUNTIF($G123:$BP123,"p5,a5")/2</f>
        <v/>
      </c>
      <c r="BR123" s="195">
        <f>COUNTIF($G123:$BP123,"d")+COUNTIF($G123:$BP123,"r0,d5")/2+COUNTIF($G123:$BP123,"p5,d5")/2</f>
        <v/>
      </c>
      <c r="BS123" s="195">
        <f>COUNTIF($G123:$BP123,"b")+COUNTIF($G123:$BP123,"r0,b5")/2+COUNTIF($G123:$BP123,"p5,b5")/2</f>
        <v/>
      </c>
      <c r="BT123" s="195">
        <f>COUNTIF($G123:$BP123,"c")+COUNTIF($G123:$BP123,"r0,c5")/2+COUNTIF($G123:$BP123,"p5,c5")/2</f>
        <v/>
      </c>
      <c r="BU123" s="195">
        <f>COUNTIF($G123:$BP123,"KH")+COUNTIF($G123:$BP123,"TL")+COUNTIF($G123:$BP123,"L")</f>
        <v/>
      </c>
      <c r="BV123" s="202" t="n"/>
      <c r="BW123" s="195">
        <f>COUNTIF($G123:$BP123,"hh")</f>
        <v/>
      </c>
      <c r="BX123" s="195">
        <f>COUNTIF($G123:$BP123,"nt7")</f>
        <v/>
      </c>
      <c r="BY123" s="195">
        <f>COUNTIF($G123:$BP123,"P")+COUNTIF($G123:$BP123,"p5,a5")/2+COUNTIF($G123:$BP123,"p5,b5")/2+COUNTIF($G123:$BP123,"p5,c5")/2+COUNTIF($G123:$BP123,"p5,d5")/2</f>
        <v/>
      </c>
      <c r="BZ123" s="203">
        <f>SUBTOTAL(9,BQ123:BY123)</f>
        <v/>
      </c>
      <c r="CA123" s="54">
        <f>SUM(J123,L123,N123,P123,R123,T123,X123,Z123,AB123,AD123,AF123,AH123,AL123,AN123,AP123,AR123,AT123,AV123,AZ123,BB123,BD123,BF123,BH123,BP123)</f>
        <v/>
      </c>
      <c r="CB123" s="55">
        <f>SUM(H123,V123,AJ123,AX123,BL123)</f>
        <v/>
      </c>
      <c r="CC123" s="56">
        <f>SUM(BJ123,BN123)</f>
        <v/>
      </c>
      <c r="CD123" s="197">
        <f>IF(BZ123&gt;25,4,IF(BZ123&gt;18,3,IF(BZ123&gt;12,2,IF(BZ123&gt;4,1,0))))-BX123-2+1</f>
        <v/>
      </c>
      <c r="CE123" s="49" t="n">
        <v>1</v>
      </c>
      <c r="CF123" s="197">
        <f>CD123*CI123</f>
        <v/>
      </c>
      <c r="CG123" s="198">
        <f>F123-BY123+1</f>
        <v/>
      </c>
      <c r="CH123" s="197">
        <f>CE123*16</f>
        <v/>
      </c>
      <c r="CI123" s="199">
        <f>VLOOKUP(A123,[1]DATA!$A$6:$AI$331,34,0)</f>
        <v/>
      </c>
      <c r="CJ123" s="200">
        <f>VLOOKUP(A123,[2]CHAMCONG!A$7:CI$333,79,0)</f>
        <v/>
      </c>
      <c r="CK123" s="201">
        <f>CJ123-CA123</f>
        <v/>
      </c>
    </row>
    <row r="124" ht="15.75" customFormat="1" customHeight="1" s="68">
      <c r="A124" s="139" t="n"/>
      <c r="B124" s="64" t="n"/>
      <c r="C124" s="115" t="n"/>
      <c r="D124" s="46" t="n"/>
      <c r="E124" s="47" t="n"/>
      <c r="F124" s="48" t="n"/>
      <c r="G124" s="49" t="n"/>
      <c r="H124" s="73" t="n"/>
      <c r="I124" s="50" t="n"/>
      <c r="J124" s="73" t="n"/>
      <c r="K124" s="50" t="n"/>
      <c r="L124" s="73" t="n"/>
      <c r="M124" s="50" t="n"/>
      <c r="N124" s="73" t="n"/>
      <c r="O124" s="50" t="n"/>
      <c r="P124" s="73" t="n"/>
      <c r="Q124" s="50" t="n"/>
      <c r="R124" s="67" t="n"/>
      <c r="S124" s="50" t="n"/>
      <c r="T124" s="73" t="n"/>
      <c r="U124" s="49" t="n"/>
      <c r="V124" s="73" t="n"/>
      <c r="W124" s="50" t="n"/>
      <c r="X124" s="73" t="n"/>
      <c r="Y124" s="50" t="n"/>
      <c r="Z124" s="73" t="n"/>
      <c r="AA124" s="50" t="n"/>
      <c r="AB124" s="73" t="n"/>
      <c r="AC124" s="50" t="n"/>
      <c r="AD124" s="73" t="n"/>
      <c r="AE124" s="50" t="n"/>
      <c r="AF124" s="67" t="n"/>
      <c r="AG124" s="50" t="n"/>
      <c r="AH124" s="73" t="n"/>
      <c r="AI124" s="73" t="n"/>
      <c r="AJ124" s="73" t="n"/>
      <c r="AK124" s="50" t="n"/>
      <c r="AL124" s="73" t="n"/>
      <c r="AM124" s="50" t="n"/>
      <c r="AN124" s="73" t="n"/>
      <c r="AO124" s="50" t="n"/>
      <c r="AP124" s="73" t="n"/>
      <c r="AQ124" s="73" t="n"/>
      <c r="AR124" s="73" t="n"/>
      <c r="AS124" s="73" t="n"/>
      <c r="AT124" s="73" t="n"/>
      <c r="AU124" s="73" t="n"/>
      <c r="AV124" s="73" t="n"/>
      <c r="AW124" s="73" t="n"/>
      <c r="AX124" s="73" t="n"/>
      <c r="AY124" s="73" t="n"/>
      <c r="AZ124" s="73" t="n"/>
      <c r="BA124" s="73" t="n"/>
      <c r="BB124" s="73" t="n"/>
      <c r="BC124" s="73" t="n"/>
      <c r="BD124" s="73" t="n"/>
      <c r="BE124" s="73" t="n"/>
      <c r="BF124" s="73" t="n"/>
      <c r="BG124" s="73" t="n"/>
      <c r="BH124" s="73" t="n"/>
      <c r="BI124" s="73" t="n"/>
      <c r="BJ124" s="73" t="n"/>
      <c r="BK124" s="73" t="n"/>
      <c r="BL124" s="73" t="n"/>
      <c r="BM124" s="73" t="n"/>
      <c r="BN124" s="73" t="n"/>
      <c r="BO124" s="73" t="n"/>
      <c r="BP124" s="73" t="n"/>
      <c r="BQ124" s="195">
        <f>COUNTIF($G124:$BP124,"a")+COUNTIF($G124:$BP124,"r0,a5")/2+COUNTIF($G124:$BP124,"p5,a5")/2</f>
        <v/>
      </c>
      <c r="BR124" s="195">
        <f>COUNTIF($G124:$BP124,"d")+COUNTIF($G124:$BP124,"r0,d5")/2+COUNTIF($G124:$BP124,"p5,d5")/2</f>
        <v/>
      </c>
      <c r="BS124" s="195">
        <f>COUNTIF($G124:$BP124,"b")+COUNTIF($G124:$BP124,"r0,b5")/2+COUNTIF($G124:$BP124,"p5,b5")/2</f>
        <v/>
      </c>
      <c r="BT124" s="195">
        <f>COUNTIF($G124:$BP124,"c")+COUNTIF($G124:$BP124,"r0,c5")/2+COUNTIF($G124:$BP124,"p5,c5")/2</f>
        <v/>
      </c>
      <c r="BU124" s="195">
        <f>COUNTIF($G124:$BP124,"KH")+COUNTIF($G124:$BP124,"TL")+COUNTIF($G124:$BP124,"L")</f>
        <v/>
      </c>
      <c r="BV124" s="202" t="n"/>
      <c r="BW124" s="195">
        <f>COUNTIF($G124:$BP124,"hh")</f>
        <v/>
      </c>
      <c r="BX124" s="195">
        <f>COUNTIF($G124:$BP124,"nt7")</f>
        <v/>
      </c>
      <c r="BY124" s="195">
        <f>COUNTIF($G124:$BP124,"P")+COUNTIF($G124:$BP124,"p5,a5")/2+COUNTIF($G124:$BP124,"p5,b5")/2+COUNTIF($G124:$BP124,"p5,c5")/2+COUNTIF($G124:$BP124,"p5,d5")/2</f>
        <v/>
      </c>
      <c r="BZ124" s="203">
        <f>SUBTOTAL(9,BQ124:BY124)</f>
        <v/>
      </c>
      <c r="CA124" s="54">
        <f>SUM(J124,L124,N124,P124,R124,T124,X124,Z124,AB124,AD124,AF124,AH124,AL124,AN124,AP124,AR124,AT124,AV124,AZ124,BB124,BD124,BF124,BH124,BP124)</f>
        <v/>
      </c>
      <c r="CB124" s="55">
        <f>SUM(H124,V124,AJ124,AX124,BL124)</f>
        <v/>
      </c>
      <c r="CC124" s="56">
        <f>SUM(BJ124,BN124)</f>
        <v/>
      </c>
      <c r="CD124" s="197" t="n"/>
      <c r="CE124" s="49" t="n">
        <v>16</v>
      </c>
      <c r="CF124" s="197">
        <f>CD124*CI124</f>
        <v/>
      </c>
      <c r="CG124" s="198">
        <f>F124-BY124+1</f>
        <v/>
      </c>
      <c r="CH124" s="197">
        <f>CE124*16</f>
        <v/>
      </c>
      <c r="CI124" s="199">
        <f>VLOOKUP(A124,[1]DATA!$A$6:$AI$331,34,0)</f>
        <v/>
      </c>
      <c r="CJ124" s="200">
        <f>VLOOKUP(A124,[2]CHAMCONG!A$7:CI$333,79,0)</f>
        <v/>
      </c>
      <c r="CK124" s="201">
        <f>CJ124-CA124</f>
        <v/>
      </c>
    </row>
    <row r="125" ht="15.75" customFormat="1" customHeight="1" s="68">
      <c r="A125" s="139" t="n"/>
      <c r="B125" s="64" t="n"/>
      <c r="C125" s="115" t="n"/>
      <c r="D125" s="46" t="n"/>
      <c r="E125" s="47" t="n"/>
      <c r="F125" s="48" t="n"/>
      <c r="G125" s="49" t="n"/>
      <c r="H125" s="73" t="n"/>
      <c r="I125" s="49" t="n"/>
      <c r="J125" s="73" t="n"/>
      <c r="K125" s="49" t="n"/>
      <c r="L125" s="73" t="n"/>
      <c r="M125" s="73" t="n"/>
      <c r="N125" s="73" t="n"/>
      <c r="O125" s="50" t="n"/>
      <c r="P125" s="73" t="n"/>
      <c r="Q125" s="50" t="n"/>
      <c r="R125" s="67" t="n"/>
      <c r="S125" s="49" t="n"/>
      <c r="T125" s="73" t="n"/>
      <c r="U125" s="49" t="n"/>
      <c r="V125" s="73" t="n"/>
      <c r="W125" s="49" t="n"/>
      <c r="X125" s="73" t="n"/>
      <c r="Y125" s="49" t="n"/>
      <c r="Z125" s="73" t="n"/>
      <c r="AA125" s="49" t="n"/>
      <c r="AB125" s="73" t="n"/>
      <c r="AC125" s="49" t="n"/>
      <c r="AD125" s="73" t="n"/>
      <c r="AE125" s="49" t="n"/>
      <c r="AF125" s="73" t="n"/>
      <c r="AG125" s="49" t="n"/>
      <c r="AH125" s="73" t="n"/>
      <c r="AI125" s="49" t="n"/>
      <c r="AJ125" s="73" t="n"/>
      <c r="AK125" s="49" t="n"/>
      <c r="AL125" s="73" t="n"/>
      <c r="AM125" s="49" t="n"/>
      <c r="AN125" s="73" t="n"/>
      <c r="AO125" s="73" t="n"/>
      <c r="AP125" s="73" t="n"/>
      <c r="AQ125" s="73" t="n"/>
      <c r="AR125" s="73" t="n"/>
      <c r="AS125" s="73" t="n"/>
      <c r="AT125" s="73" t="n"/>
      <c r="AU125" s="73" t="n"/>
      <c r="AV125" s="73" t="n"/>
      <c r="AW125" s="73" t="n"/>
      <c r="AX125" s="73" t="n"/>
      <c r="AY125" s="73" t="n"/>
      <c r="AZ125" s="73" t="n"/>
      <c r="BA125" s="73" t="n"/>
      <c r="BB125" s="73" t="n"/>
      <c r="BC125" s="73" t="n"/>
      <c r="BD125" s="73" t="n"/>
      <c r="BE125" s="73" t="n"/>
      <c r="BF125" s="73" t="n"/>
      <c r="BG125" s="73" t="n"/>
      <c r="BH125" s="73" t="n"/>
      <c r="BI125" s="73" t="n"/>
      <c r="BJ125" s="73" t="n"/>
      <c r="BK125" s="73" t="n"/>
      <c r="BL125" s="73" t="n"/>
      <c r="BM125" s="73" t="n"/>
      <c r="BN125" s="73" t="n"/>
      <c r="BO125" s="73" t="n"/>
      <c r="BP125" s="73" t="n"/>
      <c r="BQ125" s="195">
        <f>COUNTIF($G125:$BP125,"a")+COUNTIF($G125:$BP125,"r0,a5")/2+COUNTIF($G125:$BP125,"p5,a5")/2</f>
        <v/>
      </c>
      <c r="BR125" s="195">
        <f>COUNTIF($G125:$BP125,"d")+COUNTIF($G125:$BP125,"r0,d5")/2+COUNTIF($G125:$BP125,"p5,d5")/2</f>
        <v/>
      </c>
      <c r="BS125" s="195">
        <f>COUNTIF($G125:$BP125,"b")+COUNTIF($G125:$BP125,"r0,b5")/2+COUNTIF($G125:$BP125,"p5,b5")/2</f>
        <v/>
      </c>
      <c r="BT125" s="195">
        <f>COUNTIF($G125:$BP125,"c")+COUNTIF($G125:$BP125,"r0,c5")/2+COUNTIF($G125:$BP125,"p5,c5")/2</f>
        <v/>
      </c>
      <c r="BU125" s="195">
        <f>COUNTIF($G125:$BP125,"KH")+COUNTIF($G125:$BP125,"TL")+COUNTIF($G125:$BP125,"L")</f>
        <v/>
      </c>
      <c r="BV125" s="202" t="n"/>
      <c r="BW125" s="195">
        <f>COUNTIF($G125:$BP125,"hh")</f>
        <v/>
      </c>
      <c r="BX125" s="195">
        <f>COUNTIF($G125:$BP125,"nt7")</f>
        <v/>
      </c>
      <c r="BY125" s="195">
        <f>COUNTIF($G125:$BP125,"P")+COUNTIF($G125:$BP125,"p5,a5")/2+COUNTIF($G125:$BP125,"p5,b5")/2+COUNTIF($G125:$BP125,"p5,c5")/2+COUNTIF($G125:$BP125,"p5,d5")/2</f>
        <v/>
      </c>
      <c r="BZ125" s="203">
        <f>SUBTOTAL(9,BQ125:BY125)</f>
        <v/>
      </c>
      <c r="CA125" s="54">
        <f>SUM(J125,L125,N125,P125,R125,T125,X125,Z125,AB125,AD125,AF125,AH125,AL125,AN125,AP125,AR125,AT125,AV125,AZ125,BB125,BD125,BF125,BH125,BP125)</f>
        <v/>
      </c>
      <c r="CB125" s="55">
        <f>SUM(H125,V125,AJ125,AX125,BL125)</f>
        <v/>
      </c>
      <c r="CC125" s="56">
        <f>SUM(BJ125,BN125)</f>
        <v/>
      </c>
      <c r="CD125" s="197">
        <f>IF(BZ125&gt;25,4,IF(BZ125&gt;18,3,IF(BZ125&gt;12,2,IF(BZ125&gt;4,1,0))))-BX125-2+1</f>
        <v/>
      </c>
      <c r="CE125" s="49" t="n"/>
      <c r="CF125" s="197">
        <f>CD125*CI125</f>
        <v/>
      </c>
      <c r="CG125" s="198">
        <f>F125-BY125+1</f>
        <v/>
      </c>
      <c r="CH125" s="197">
        <f>CE125*16</f>
        <v/>
      </c>
      <c r="CI125" s="199">
        <f>VLOOKUP(A125,[1]DATA!$A$6:$AI$331,34,0)</f>
        <v/>
      </c>
      <c r="CJ125" s="200">
        <f>VLOOKUP(A125,[2]CHAMCONG!A$7:CI$333,79,0)</f>
        <v/>
      </c>
      <c r="CK125" s="201">
        <f>CJ125-CA125</f>
        <v/>
      </c>
    </row>
    <row r="126" ht="15.75" customFormat="1" customHeight="1" s="68">
      <c r="A126" s="139" t="n"/>
      <c r="B126" s="64" t="n"/>
      <c r="C126" s="115" t="n"/>
      <c r="D126" s="46" t="n"/>
      <c r="E126" s="47" t="n"/>
      <c r="F126" s="48" t="n"/>
      <c r="G126" s="49" t="n"/>
      <c r="H126" s="73" t="n"/>
      <c r="I126" s="49" t="n"/>
      <c r="J126" s="73" t="n"/>
      <c r="K126" s="49" t="n"/>
      <c r="L126" s="73" t="n"/>
      <c r="M126" s="49" t="n"/>
      <c r="N126" s="73" t="n"/>
      <c r="O126" s="49" t="n"/>
      <c r="P126" s="73" t="n"/>
      <c r="Q126" s="49" t="n"/>
      <c r="R126" s="73" t="n"/>
      <c r="S126" s="49" t="n"/>
      <c r="T126" s="73" t="n"/>
      <c r="U126" s="49" t="n"/>
      <c r="V126" s="73" t="n"/>
      <c r="W126" s="49" t="n"/>
      <c r="X126" s="73" t="n"/>
      <c r="Y126" s="49" t="n"/>
      <c r="Z126" s="73" t="n"/>
      <c r="AA126" s="49" t="n"/>
      <c r="AB126" s="73" t="n"/>
      <c r="AC126" s="49" t="n"/>
      <c r="AD126" s="73" t="n"/>
      <c r="AE126" s="49" t="n"/>
      <c r="AF126" s="73" t="n"/>
      <c r="AG126" s="49" t="n"/>
      <c r="AH126" s="73" t="n"/>
      <c r="AI126" s="49" t="n"/>
      <c r="AJ126" s="73" t="n"/>
      <c r="AK126" s="49" t="n"/>
      <c r="AL126" s="73" t="n"/>
      <c r="AM126" s="49" t="n"/>
      <c r="AN126" s="73" t="n"/>
      <c r="AO126" s="49" t="n"/>
      <c r="AP126" s="73" t="n"/>
      <c r="AQ126" s="49" t="n"/>
      <c r="AR126" s="73" t="n"/>
      <c r="AS126" s="73" t="n"/>
      <c r="AT126" s="73" t="n"/>
      <c r="AU126" s="73" t="n"/>
      <c r="AV126" s="73" t="n"/>
      <c r="AW126" s="73" t="n"/>
      <c r="AX126" s="73" t="n"/>
      <c r="AY126" s="73" t="n"/>
      <c r="AZ126" s="73" t="n"/>
      <c r="BA126" s="73" t="n"/>
      <c r="BB126" s="73" t="n"/>
      <c r="BC126" s="73" t="n"/>
      <c r="BD126" s="73" t="n"/>
      <c r="BE126" s="73" t="n"/>
      <c r="BF126" s="73" t="n"/>
      <c r="BG126" s="73" t="n"/>
      <c r="BH126" s="73" t="n"/>
      <c r="BI126" s="49" t="n"/>
      <c r="BJ126" s="73" t="n"/>
      <c r="BK126" s="49" t="n"/>
      <c r="BL126" s="73" t="n"/>
      <c r="BM126" s="49" t="n"/>
      <c r="BN126" s="73" t="n"/>
      <c r="BO126" s="49" t="n"/>
      <c r="BP126" s="73" t="n"/>
      <c r="BQ126" s="195">
        <f>COUNTIF($G126:$BP126,"a")+COUNTIF($G126:$BP126,"r0,a5")/2+COUNTIF($G126:$BP126,"p5,a5")/2</f>
        <v/>
      </c>
      <c r="BR126" s="195">
        <f>COUNTIF($G126:$BP126,"d")+COUNTIF($G126:$BP126,"r0,d5")/2+COUNTIF($G126:$BP126,"p5,d5")/2</f>
        <v/>
      </c>
      <c r="BS126" s="195">
        <f>COUNTIF($G126:$BP126,"b")+COUNTIF($G126:$BP126,"r0,b5")/2+COUNTIF($G126:$BP126,"p5,b5")/2</f>
        <v/>
      </c>
      <c r="BT126" s="195">
        <f>COUNTIF($G126:$BP126,"c")+COUNTIF($G126:$BP126,"r0,c5")/2+COUNTIF($G126:$BP126,"p5,c5")/2</f>
        <v/>
      </c>
      <c r="BU126" s="195">
        <f>COUNTIF($G126:$BP126,"KH")+COUNTIF($G126:$BP126,"TL")+COUNTIF($G126:$BP126,"L")</f>
        <v/>
      </c>
      <c r="BV126" s="202" t="n"/>
      <c r="BW126" s="195">
        <f>COUNTIF($G126:$BP126,"hh")</f>
        <v/>
      </c>
      <c r="BX126" s="195">
        <f>COUNTIF($G126:$BP126,"nt7")</f>
        <v/>
      </c>
      <c r="BY126" s="195">
        <f>COUNTIF($G126:$BP126,"P")+COUNTIF($G126:$BP126,"p5,a5")/2+COUNTIF($G126:$BP126,"p5,b5")/2+COUNTIF($G126:$BP126,"p5,c5")/2+COUNTIF($G126:$BP126,"p5,d5")/2</f>
        <v/>
      </c>
      <c r="BZ126" s="203">
        <f>SUBTOTAL(9,BQ126:BY126)</f>
        <v/>
      </c>
      <c r="CA126" s="54">
        <f>SUM(J126,L126,N126,P126,R126,T126,X126,Z126,AB126,AD126,AF126,AH126,AL126,AN126,AP126,AR126,AT126,AV126,AZ126,BB126,BD126,BF126,BH126,BP126)</f>
        <v/>
      </c>
      <c r="CB126" s="55">
        <f>SUM(H126,V126,AJ126,AX126,BL126)</f>
        <v/>
      </c>
      <c r="CC126" s="56">
        <f>SUM(BJ126,BN126)</f>
        <v/>
      </c>
      <c r="CD126" s="197">
        <f>IF(BZ126&gt;25,4,IF(BZ126&gt;18,3,IF(BZ126&gt;12,2,IF(BZ126&gt;4,1,0))))-BX126-2+1</f>
        <v/>
      </c>
      <c r="CE126" s="49" t="n"/>
      <c r="CF126" s="197">
        <f>CD126*CI126</f>
        <v/>
      </c>
      <c r="CG126" s="198">
        <f>F126-BY126+1</f>
        <v/>
      </c>
      <c r="CH126" s="197">
        <f>CE126*16</f>
        <v/>
      </c>
      <c r="CI126" s="199">
        <f>VLOOKUP(A126,[1]DATA!$A$6:$AI$331,34,0)</f>
        <v/>
      </c>
      <c r="CJ126" s="200">
        <f>VLOOKUP(A126,[2]CHAMCONG!A$7:CI$333,79,0)</f>
        <v/>
      </c>
      <c r="CK126" s="201">
        <f>CJ126-CA126</f>
        <v/>
      </c>
    </row>
    <row r="127" ht="15.75" customFormat="1" customHeight="1" s="68">
      <c r="A127" s="69" t="n"/>
      <c r="B127" s="64" t="n"/>
      <c r="C127" s="115" t="n"/>
      <c r="D127" s="46" t="n"/>
      <c r="E127" s="47" t="n"/>
      <c r="F127" s="48" t="n"/>
      <c r="G127" s="49" t="n"/>
      <c r="H127" s="73" t="n"/>
      <c r="I127" s="49" t="n"/>
      <c r="J127" s="73" t="n"/>
      <c r="K127" s="49" t="n"/>
      <c r="L127" s="73" t="n"/>
      <c r="M127" s="73" t="n"/>
      <c r="N127" s="73" t="n"/>
      <c r="O127" s="73" t="n"/>
      <c r="P127" s="73" t="n"/>
      <c r="Q127" s="73" t="n"/>
      <c r="R127" s="73" t="n"/>
      <c r="S127" s="73" t="n"/>
      <c r="T127" s="73" t="n"/>
      <c r="U127" s="49" t="n"/>
      <c r="V127" s="73" t="n"/>
      <c r="W127" s="73" t="n"/>
      <c r="X127" s="73" t="n"/>
      <c r="Y127" s="73" t="n"/>
      <c r="Z127" s="73" t="n"/>
      <c r="AA127" s="73" t="n"/>
      <c r="AB127" s="73" t="n"/>
      <c r="AC127" s="73" t="n"/>
      <c r="AD127" s="73" t="n"/>
      <c r="AE127" s="73" t="n"/>
      <c r="AF127" s="73" t="n"/>
      <c r="AG127" s="73" t="n"/>
      <c r="AH127" s="73" t="n"/>
      <c r="AI127" s="49" t="n"/>
      <c r="AJ127" s="73" t="n"/>
      <c r="AK127" s="49" t="n"/>
      <c r="AL127" s="73" t="n"/>
      <c r="AM127" s="49" t="n"/>
      <c r="AN127" s="73" t="n"/>
      <c r="AO127" s="73" t="n"/>
      <c r="AP127" s="73" t="n"/>
      <c r="AQ127" s="73" t="n"/>
      <c r="AR127" s="73" t="n"/>
      <c r="AS127" s="49" t="n"/>
      <c r="AT127" s="73" t="n"/>
      <c r="AU127" s="49" t="n"/>
      <c r="AV127" s="73" t="n"/>
      <c r="AW127" s="49" t="n"/>
      <c r="AX127" s="73" t="n"/>
      <c r="AY127" s="49" t="n"/>
      <c r="AZ127" s="73" t="n"/>
      <c r="BA127" s="49" t="n"/>
      <c r="BB127" s="73" t="n"/>
      <c r="BC127" s="73" t="n"/>
      <c r="BD127" s="73" t="n"/>
      <c r="BE127" s="49" t="n"/>
      <c r="BF127" s="73" t="n"/>
      <c r="BG127" s="73" t="n"/>
      <c r="BH127" s="73" t="n"/>
      <c r="BI127" s="73" t="n"/>
      <c r="BJ127" s="73" t="n"/>
      <c r="BK127" s="73" t="n"/>
      <c r="BL127" s="73" t="n"/>
      <c r="BM127" s="73" t="n"/>
      <c r="BN127" s="73" t="n"/>
      <c r="BO127" s="73" t="n"/>
      <c r="BP127" s="73" t="n"/>
      <c r="BQ127" s="195">
        <f>COUNTIF($G127:$BP127,"a")+COUNTIF($G127:$BP127,"r0,a5")/2+COUNTIF($G127:$BP127,"p5,a5")/2</f>
        <v/>
      </c>
      <c r="BR127" s="195">
        <f>COUNTIF($G127:$BP127,"d")+COUNTIF($G127:$BP127,"r0,d5")/2+COUNTIF($G127:$BP127,"p5,d5")/2</f>
        <v/>
      </c>
      <c r="BS127" s="195">
        <f>COUNTIF($G127:$BP127,"b")+COUNTIF($G127:$BP127,"r0,b5")/2+COUNTIF($G127:$BP127,"p5,b5")/2</f>
        <v/>
      </c>
      <c r="BT127" s="195">
        <f>COUNTIF($G127:$BP127,"c")+COUNTIF($G127:$BP127,"r0,c5")/2+COUNTIF($G127:$BP127,"p5,c5")/2</f>
        <v/>
      </c>
      <c r="BU127" s="195">
        <f>COUNTIF($G127:$BP127,"KH")+COUNTIF($G127:$BP127,"TL")+COUNTIF($G127:$BP127,"L")</f>
        <v/>
      </c>
      <c r="BV127" s="202" t="n"/>
      <c r="BW127" s="195">
        <f>COUNTIF($G127:$BP127,"hh")</f>
        <v/>
      </c>
      <c r="BX127" s="195">
        <f>COUNTIF($G127:$BP127,"nt7")</f>
        <v/>
      </c>
      <c r="BY127" s="195">
        <f>COUNTIF($G127:$BP127,"P")+COUNTIF($G127:$BP127,"p5,a5")/2+COUNTIF($G127:$BP127,"p5,b5")/2+COUNTIF($G127:$BP127,"p5,c5")/2+COUNTIF($G127:$BP127,"p5,d5")/2</f>
        <v/>
      </c>
      <c r="BZ127" s="203">
        <f>SUBTOTAL(9,BQ127:BY127)</f>
        <v/>
      </c>
      <c r="CA127" s="54">
        <f>SUM(J127,L127,N127,P127,R127,T127,X127,Z127,AB127,AD127,AF127,AH127,AL127,AN127,AP127,AR127,AT127,AV127,AZ127,BB127,BD127,BF127,BH127,BP127)</f>
        <v/>
      </c>
      <c r="CB127" s="55">
        <f>SUM(H127,V127,AJ127,AX127,BL127)</f>
        <v/>
      </c>
      <c r="CC127" s="56">
        <f>SUM(BJ127,BN127)</f>
        <v/>
      </c>
      <c r="CD127" s="197" t="n"/>
      <c r="CE127" s="49" t="n"/>
      <c r="CF127" s="197">
        <f>CD127*CI127</f>
        <v/>
      </c>
      <c r="CG127" s="198">
        <f>F127-BY127+1</f>
        <v/>
      </c>
      <c r="CH127" s="197">
        <f>CE127*16</f>
        <v/>
      </c>
      <c r="CI127" s="199">
        <f>VLOOKUP(A127,[1]DATA!$A$6:$AI$331,34,0)</f>
        <v/>
      </c>
      <c r="CJ127" s="200">
        <f>VLOOKUP(A127,[2]CHAMCONG!A$7:CI$333,79,0)</f>
        <v/>
      </c>
      <c r="CK127" s="201">
        <f>CJ127-CA127</f>
        <v/>
      </c>
    </row>
    <row r="128" ht="15.75" customFormat="1" customHeight="1" s="68">
      <c r="A128" s="69" t="n"/>
      <c r="B128" s="64" t="n"/>
      <c r="C128" s="115" t="n"/>
      <c r="D128" s="46" t="n"/>
      <c r="E128" s="47" t="n"/>
      <c r="F128" s="48" t="n"/>
      <c r="G128" s="49" t="n"/>
      <c r="H128" s="73" t="n"/>
      <c r="I128" s="49" t="n"/>
      <c r="J128" s="73" t="n"/>
      <c r="K128" s="49" t="n"/>
      <c r="L128" s="73" t="n"/>
      <c r="M128" s="49" t="n"/>
      <c r="N128" s="73" t="n"/>
      <c r="O128" s="49" t="n"/>
      <c r="P128" s="73" t="n"/>
      <c r="Q128" s="49" t="n"/>
      <c r="R128" s="73" t="n"/>
      <c r="S128" s="49" t="n"/>
      <c r="T128" s="73" t="n"/>
      <c r="U128" s="49" t="n"/>
      <c r="V128" s="73" t="n"/>
      <c r="W128" s="49" t="n"/>
      <c r="X128" s="73" t="n"/>
      <c r="Y128" s="49" t="n"/>
      <c r="Z128" s="73" t="n"/>
      <c r="AA128" s="49" t="n"/>
      <c r="AB128" s="73" t="n"/>
      <c r="AC128" s="49" t="n"/>
      <c r="AD128" s="73" t="n"/>
      <c r="AE128" s="49" t="n"/>
      <c r="AF128" s="73" t="n"/>
      <c r="AG128" s="49" t="n"/>
      <c r="AH128" s="73" t="n"/>
      <c r="AI128" s="49" t="n"/>
      <c r="AJ128" s="73" t="n"/>
      <c r="AK128" s="49" t="n"/>
      <c r="AL128" s="73" t="n"/>
      <c r="AM128" s="49" t="n"/>
      <c r="AN128" s="73" t="n"/>
      <c r="AO128" s="49" t="n"/>
      <c r="AP128" s="73" t="n"/>
      <c r="AQ128" s="49" t="n"/>
      <c r="AR128" s="73" t="n"/>
      <c r="AS128" s="73" t="n"/>
      <c r="AT128" s="73" t="n"/>
      <c r="AU128" s="73" t="n"/>
      <c r="AV128" s="73" t="n"/>
      <c r="AW128" s="73" t="n"/>
      <c r="AX128" s="73" t="n"/>
      <c r="AY128" s="49" t="n"/>
      <c r="AZ128" s="73" t="n"/>
      <c r="BA128" s="49" t="n"/>
      <c r="BB128" s="73" t="n"/>
      <c r="BC128" s="49" t="n"/>
      <c r="BD128" s="73" t="n"/>
      <c r="BE128" s="49" t="n"/>
      <c r="BF128" s="73" t="n"/>
      <c r="BG128" s="49" t="n"/>
      <c r="BH128" s="73" t="n"/>
      <c r="BI128" s="49" t="n"/>
      <c r="BJ128" s="73" t="n"/>
      <c r="BK128" s="49" t="n"/>
      <c r="BL128" s="73" t="n"/>
      <c r="BM128" s="49" t="n"/>
      <c r="BN128" s="73" t="n"/>
      <c r="BO128" s="49" t="n"/>
      <c r="BP128" s="73" t="n"/>
      <c r="BQ128" s="195">
        <f>COUNTIF($G128:$BP128,"a")+COUNTIF($G128:$BP128,"r0,a5")/2+COUNTIF($G128:$BP128,"p5,a5")/2</f>
        <v/>
      </c>
      <c r="BR128" s="195">
        <f>COUNTIF($G128:$BP128,"d")+COUNTIF($G128:$BP128,"r0,d5")/2+COUNTIF($G128:$BP128,"p5,d5")/2</f>
        <v/>
      </c>
      <c r="BS128" s="195">
        <f>COUNTIF($G128:$BP128,"b")+COUNTIF($G128:$BP128,"r0,b5")/2+COUNTIF($G128:$BP128,"p5,b5")/2</f>
        <v/>
      </c>
      <c r="BT128" s="195">
        <f>COUNTIF($G128:$BP128,"c")+COUNTIF($G128:$BP128,"r0,c5")/2+COUNTIF($G128:$BP128,"p5,c5")/2</f>
        <v/>
      </c>
      <c r="BU128" s="195">
        <f>COUNTIF($G128:$BP128,"KH")+COUNTIF($G128:$BP128,"TL")+COUNTIF($G128:$BP128,"L")</f>
        <v/>
      </c>
      <c r="BV128" s="202" t="n"/>
      <c r="BW128" s="195">
        <f>COUNTIF($G128:$BP128,"hh")</f>
        <v/>
      </c>
      <c r="BX128" s="195">
        <f>COUNTIF($G128:$BP128,"nt7")</f>
        <v/>
      </c>
      <c r="BY128" s="195">
        <f>COUNTIF($G128:$BP128,"P")+COUNTIF($G128:$BP128,"p5,a5")/2+COUNTIF($G128:$BP128,"p5,b5")/2+COUNTIF($G128:$BP128,"p5,c5")/2+COUNTIF($G128:$BP128,"p5,d5")/2</f>
        <v/>
      </c>
      <c r="BZ128" s="203">
        <f>SUBTOTAL(9,BQ128:BY128)</f>
        <v/>
      </c>
      <c r="CA128" s="54">
        <f>SUM(J128,L128,N128,P128,R128,T128,X128,Z128,AB128,AD128,AF128,AH128,AL128,AN128,AP128,AR128,AT128,AV128,AZ128,BB128,BD128,BF128,BH128,BP128)</f>
        <v/>
      </c>
      <c r="CB128" s="55">
        <f>SUM(H128,V128,AJ128,AX128,BL128)</f>
        <v/>
      </c>
      <c r="CC128" s="56">
        <f>SUM(BJ128,BN128)</f>
        <v/>
      </c>
      <c r="CD128" s="197">
        <f>IF(BZ128&gt;25,4,IF(BZ128&gt;18,3,IF(BZ128&gt;12,2,IF(BZ128&gt;4,1,0))))-BX128-2+1</f>
        <v/>
      </c>
      <c r="CE128" s="49" t="n"/>
      <c r="CF128" s="197">
        <f>CD128*CI128</f>
        <v/>
      </c>
      <c r="CG128" s="198">
        <f>F128-BY128+1</f>
        <v/>
      </c>
      <c r="CH128" s="197">
        <f>CE128*16</f>
        <v/>
      </c>
      <c r="CI128" s="199">
        <f>VLOOKUP(A128,[1]DATA!$A$6:$AI$331,34,0)</f>
        <v/>
      </c>
      <c r="CJ128" s="200">
        <f>VLOOKUP(A128,[2]CHAMCONG!A$7:CI$333,79,0)</f>
        <v/>
      </c>
      <c r="CK128" s="201">
        <f>CJ128-CA128</f>
        <v/>
      </c>
    </row>
    <row r="129" ht="15.75" customFormat="1" customHeight="1" s="68">
      <c r="A129" s="69" t="n"/>
      <c r="B129" s="64" t="n"/>
      <c r="C129" s="115" t="n"/>
      <c r="D129" s="46" t="n"/>
      <c r="E129" s="47" t="n"/>
      <c r="F129" s="48" t="n"/>
      <c r="G129" s="49" t="n"/>
      <c r="H129" s="73" t="n"/>
      <c r="I129" s="49" t="n"/>
      <c r="J129" s="73" t="n"/>
      <c r="K129" s="49" t="n"/>
      <c r="L129" s="73" t="n"/>
      <c r="M129" s="49" t="n"/>
      <c r="N129" s="73" t="n"/>
      <c r="O129" s="49" t="n"/>
      <c r="P129" s="73" t="n"/>
      <c r="Q129" s="49" t="n"/>
      <c r="R129" s="73" t="n"/>
      <c r="S129" s="49" t="n"/>
      <c r="T129" s="73" t="n"/>
      <c r="U129" s="49" t="n"/>
      <c r="V129" s="73" t="n"/>
      <c r="W129" s="49" t="n"/>
      <c r="X129" s="73" t="n"/>
      <c r="Y129" s="49" t="n"/>
      <c r="Z129" s="73" t="n"/>
      <c r="AA129" s="49" t="n"/>
      <c r="AB129" s="73" t="n"/>
      <c r="AC129" s="49" t="n"/>
      <c r="AD129" s="73" t="n"/>
      <c r="AE129" s="49" t="n"/>
      <c r="AF129" s="73" t="n"/>
      <c r="AG129" s="49" t="n"/>
      <c r="AH129" s="73" t="n"/>
      <c r="AI129" s="49" t="n"/>
      <c r="AJ129" s="73" t="n"/>
      <c r="AK129" s="49" t="n"/>
      <c r="AL129" s="73" t="n"/>
      <c r="AM129" s="49" t="n"/>
      <c r="AN129" s="73" t="n"/>
      <c r="AO129" s="49" t="n"/>
      <c r="AP129" s="73" t="n"/>
      <c r="AQ129" s="73" t="n"/>
      <c r="AR129" s="73" t="n"/>
      <c r="AS129" s="73" t="n"/>
      <c r="AT129" s="73" t="n"/>
      <c r="AU129" s="73" t="n"/>
      <c r="AV129" s="73" t="n"/>
      <c r="AW129" s="73" t="n"/>
      <c r="AX129" s="73" t="n"/>
      <c r="AY129" s="73" t="n"/>
      <c r="AZ129" s="73" t="n"/>
      <c r="BA129" s="73" t="n"/>
      <c r="BB129" s="73" t="n"/>
      <c r="BC129" s="73" t="n"/>
      <c r="BD129" s="73" t="n"/>
      <c r="BE129" s="73" t="n"/>
      <c r="BF129" s="73" t="n"/>
      <c r="BG129" s="73" t="n"/>
      <c r="BH129" s="73" t="n"/>
      <c r="BI129" s="49" t="n"/>
      <c r="BJ129" s="73" t="n"/>
      <c r="BK129" s="49" t="n"/>
      <c r="BL129" s="73" t="n"/>
      <c r="BM129" s="49" t="n"/>
      <c r="BN129" s="73" t="n"/>
      <c r="BO129" s="73" t="n"/>
      <c r="BP129" s="73" t="n"/>
      <c r="BQ129" s="195">
        <f>COUNTIF($G129:$BP129,"a")+COUNTIF($G129:$BP129,"r0,a5")/2+COUNTIF($G129:$BP129,"p5,a5")/2</f>
        <v/>
      </c>
      <c r="BR129" s="195">
        <f>COUNTIF($G129:$BP129,"d")+COUNTIF($G129:$BP129,"r0,d5")/2+COUNTIF($G129:$BP129,"p5,d5")/2</f>
        <v/>
      </c>
      <c r="BS129" s="195">
        <f>COUNTIF($G129:$BP129,"b")+COUNTIF($G129:$BP129,"r0,b5")/2+COUNTIF($G129:$BP129,"p5,b5")/2</f>
        <v/>
      </c>
      <c r="BT129" s="195">
        <f>COUNTIF($G129:$BP129,"c")+COUNTIF($G129:$BP129,"r0,c5")/2+COUNTIF($G129:$BP129,"p5,c5")/2</f>
        <v/>
      </c>
      <c r="BU129" s="195">
        <f>COUNTIF($G129:$BP129,"KH")+COUNTIF($G129:$BP129,"TL")+COUNTIF($G129:$BP129,"L")</f>
        <v/>
      </c>
      <c r="BV129" s="202" t="n"/>
      <c r="BW129" s="195">
        <f>COUNTIF($G129:$BP129,"hh")</f>
        <v/>
      </c>
      <c r="BX129" s="195">
        <f>COUNTIF($G129:$BP129,"nt7")</f>
        <v/>
      </c>
      <c r="BY129" s="195">
        <f>COUNTIF($G129:$BP129,"P")+COUNTIF($G129:$BP129,"p5,a5")/2+COUNTIF($G129:$BP129,"p5,b5")/2+COUNTIF($G129:$BP129,"p5,c5")/2+COUNTIF($G129:$BP129,"p5,d5")/2</f>
        <v/>
      </c>
      <c r="BZ129" s="203">
        <f>SUBTOTAL(9,BQ129:BY129)</f>
        <v/>
      </c>
      <c r="CA129" s="54">
        <f>SUM(J129,L129,N129,P129,R129,T129,X129,Z129,AB129,AD129,AF129,AH129,AL129,AN129,AP129,AR129,AT129,AV129,AZ129,BB129,BD129,BF129,BH129,BP129)</f>
        <v/>
      </c>
      <c r="CB129" s="55">
        <f>SUM(H129,V129,AJ129,AX129,BL129)</f>
        <v/>
      </c>
      <c r="CC129" s="56">
        <f>SUM(BJ129,BN129)</f>
        <v/>
      </c>
      <c r="CD129" s="197">
        <f>IF(BZ129&gt;25,4,IF(BZ129&gt;18,3,IF(BZ129&gt;12,2,IF(BZ129&gt;4,1,0))))-BX129-2+1</f>
        <v/>
      </c>
      <c r="CE129" s="49" t="n">
        <v>4</v>
      </c>
      <c r="CF129" s="197">
        <f>CD129*CI129</f>
        <v/>
      </c>
      <c r="CG129" s="198">
        <f>F129-BY129+1</f>
        <v/>
      </c>
      <c r="CH129" s="197">
        <f>CE129*16</f>
        <v/>
      </c>
      <c r="CI129" s="199">
        <f>VLOOKUP(A129,[1]DATA!$A$6:$AI$331,34,0)</f>
        <v/>
      </c>
      <c r="CJ129" s="200">
        <f>VLOOKUP(A129,[2]CHAMCONG!A$7:CI$333,79,0)</f>
        <v/>
      </c>
      <c r="CK129" s="201">
        <f>CJ129-CA129</f>
        <v/>
      </c>
    </row>
    <row r="130" ht="15.75" customFormat="1" customHeight="1" s="68">
      <c r="A130" s="139" t="n"/>
      <c r="B130" s="64" t="n"/>
      <c r="C130" s="115" t="n"/>
      <c r="D130" s="46" t="n"/>
      <c r="E130" s="47" t="n"/>
      <c r="F130" s="48" t="n"/>
      <c r="G130" s="49" t="n"/>
      <c r="H130" s="73" t="n"/>
      <c r="I130" s="50" t="n"/>
      <c r="J130" s="73" t="n"/>
      <c r="K130" s="73" t="n"/>
      <c r="L130" s="73" t="n"/>
      <c r="M130" s="73" t="n"/>
      <c r="N130" s="73" t="n"/>
      <c r="O130" s="50" t="n"/>
      <c r="P130" s="73" t="n"/>
      <c r="Q130" s="73" t="n"/>
      <c r="R130" s="73" t="n"/>
      <c r="S130" s="73" t="n"/>
      <c r="T130" s="73" t="n"/>
      <c r="U130" s="49" t="n"/>
      <c r="V130" s="73" t="n"/>
      <c r="W130" s="73" t="n"/>
      <c r="X130" s="73" t="n"/>
      <c r="Y130" s="73" t="n"/>
      <c r="Z130" s="73" t="n"/>
      <c r="AA130" s="73" t="n"/>
      <c r="AB130" s="73" t="n"/>
      <c r="AC130" s="73" t="n"/>
      <c r="AD130" s="73" t="n"/>
      <c r="AE130" s="73" t="n"/>
      <c r="AF130" s="73" t="n"/>
      <c r="AG130" s="73" t="n"/>
      <c r="AH130" s="73" t="n"/>
      <c r="AI130" s="73" t="n"/>
      <c r="AJ130" s="73" t="n"/>
      <c r="AK130" s="73" t="n"/>
      <c r="AL130" s="73" t="n"/>
      <c r="AM130" s="73" t="n"/>
      <c r="AN130" s="73" t="n"/>
      <c r="AO130" s="73" t="n"/>
      <c r="AP130" s="73" t="n"/>
      <c r="AQ130" s="73" t="n"/>
      <c r="AR130" s="73" t="n"/>
      <c r="AS130" s="73" t="n"/>
      <c r="AT130" s="73" t="n"/>
      <c r="AU130" s="73" t="n"/>
      <c r="AV130" s="73" t="n"/>
      <c r="AW130" s="73" t="n"/>
      <c r="AX130" s="73" t="n"/>
      <c r="AY130" s="73" t="n"/>
      <c r="AZ130" s="73" t="n"/>
      <c r="BA130" s="73" t="n"/>
      <c r="BB130" s="73" t="n"/>
      <c r="BC130" s="73" t="n"/>
      <c r="BD130" s="73" t="n"/>
      <c r="BE130" s="73" t="n"/>
      <c r="BF130" s="73" t="n"/>
      <c r="BG130" s="73" t="n"/>
      <c r="BH130" s="73" t="n"/>
      <c r="BI130" s="49" t="n"/>
      <c r="BJ130" s="73" t="n"/>
      <c r="BK130" s="73" t="n"/>
      <c r="BL130" s="73" t="n"/>
      <c r="BM130" s="49" t="n"/>
      <c r="BN130" s="73" t="n"/>
      <c r="BO130" s="73" t="n"/>
      <c r="BP130" s="73" t="n"/>
      <c r="BQ130" s="195">
        <f>COUNTIF($G130:$BP130,"a")+COUNTIF($G130:$BP130,"r0,a5")/2+COUNTIF($G130:$BP130,"p5,a5")/2</f>
        <v/>
      </c>
      <c r="BR130" s="195">
        <f>COUNTIF($G130:$BP130,"d")+COUNTIF($G130:$BP130,"r0,d5")/2+COUNTIF($G130:$BP130,"p5,d5")/2</f>
        <v/>
      </c>
      <c r="BS130" s="195">
        <f>COUNTIF($G130:$BP130,"b")+COUNTIF($G130:$BP130,"r0,b5")/2+COUNTIF($G130:$BP130,"p5,b5")/2</f>
        <v/>
      </c>
      <c r="BT130" s="195">
        <f>COUNTIF($G130:$BP130,"c")+COUNTIF($G130:$BP130,"r0,c5")/2+COUNTIF($G130:$BP130,"p5,c5")/2</f>
        <v/>
      </c>
      <c r="BU130" s="195">
        <f>COUNTIF($G130:$BP130,"KH")+COUNTIF($G130:$BP130,"TL")+COUNTIF($G130:$BP130,"L")</f>
        <v/>
      </c>
      <c r="BV130" s="202" t="n"/>
      <c r="BW130" s="195">
        <f>COUNTIF($G130:$BP130,"hh")</f>
        <v/>
      </c>
      <c r="BX130" s="195">
        <f>COUNTIF($G130:$BP130,"nt7")</f>
        <v/>
      </c>
      <c r="BY130" s="195">
        <f>COUNTIF($G130:$BP130,"P")+COUNTIF($G130:$BP130,"p5,a5")/2+COUNTIF($G130:$BP130,"p5,b5")/2+COUNTIF($G130:$BP130,"p5,c5")/2+COUNTIF($G130:$BP130,"p5,d5")/2</f>
        <v/>
      </c>
      <c r="BZ130" s="203">
        <f>SUBTOTAL(9,BQ130:BY130)</f>
        <v/>
      </c>
      <c r="CA130" s="54">
        <f>SUM(J130,L130,N130,P130,R130,T130,X130,Z130,AB130,AD130,AF130,AH130,AL130,AN130,AP130,AR130,AT130,AV130,AZ130,BB130,BD130,BF130,BH130,BP130)</f>
        <v/>
      </c>
      <c r="CB130" s="55">
        <f>SUM(H130,V130,AJ130,AX130,BL130)</f>
        <v/>
      </c>
      <c r="CC130" s="56">
        <f>SUM(BJ130,BN130)</f>
        <v/>
      </c>
      <c r="CD130" s="197">
        <f>IF(BZ130&gt;25,4,IF(BZ130&gt;18,3,IF(BZ130&gt;12,2,IF(BZ130&gt;4,1,0))))-BX130-2+1</f>
        <v/>
      </c>
      <c r="CE130" s="49" t="n"/>
      <c r="CF130" s="197">
        <f>CD130*CI130</f>
        <v/>
      </c>
      <c r="CG130" s="198">
        <f>F130-BY130+1</f>
        <v/>
      </c>
      <c r="CH130" s="197">
        <f>CE130*16</f>
        <v/>
      </c>
      <c r="CI130" s="199">
        <f>VLOOKUP(A130,[1]DATA!$A$6:$AI$331,34,0)</f>
        <v/>
      </c>
      <c r="CJ130" s="200">
        <f>VLOOKUP(A130,[2]CHAMCONG!A$7:CI$333,79,0)</f>
        <v/>
      </c>
      <c r="CK130" s="201">
        <f>CJ130-CA130</f>
        <v/>
      </c>
    </row>
    <row r="131" ht="15.75" customFormat="1" customHeight="1" s="68">
      <c r="A131" s="139" t="n"/>
      <c r="B131" s="64" t="n"/>
      <c r="C131" s="115" t="n"/>
      <c r="D131" s="46" t="n"/>
      <c r="E131" s="47" t="n"/>
      <c r="F131" s="48" t="n"/>
      <c r="G131" s="49" t="n"/>
      <c r="H131" s="73" t="n"/>
      <c r="I131" s="50" t="n"/>
      <c r="J131" s="73" t="n"/>
      <c r="K131" s="73" t="n"/>
      <c r="L131" s="73" t="n"/>
      <c r="M131" s="73" t="n"/>
      <c r="N131" s="73" t="n"/>
      <c r="O131" s="50" t="n"/>
      <c r="P131" s="73" t="n"/>
      <c r="Q131" s="50" t="n"/>
      <c r="R131" s="67" t="n"/>
      <c r="S131" s="50" t="n"/>
      <c r="T131" s="73" t="n"/>
      <c r="U131" s="49" t="n"/>
      <c r="V131" s="73" t="n"/>
      <c r="W131" s="50" t="n"/>
      <c r="X131" s="73" t="n"/>
      <c r="Y131" s="50" t="n"/>
      <c r="Z131" s="73" t="n"/>
      <c r="AA131" s="73" t="n"/>
      <c r="AB131" s="73" t="n"/>
      <c r="AC131" s="73" t="n"/>
      <c r="AD131" s="73" t="n"/>
      <c r="AE131" s="73" t="n"/>
      <c r="AF131" s="73" t="n"/>
      <c r="AG131" s="73" t="n"/>
      <c r="AH131" s="73" t="n"/>
      <c r="AI131" s="73" t="n"/>
      <c r="AJ131" s="73" t="n"/>
      <c r="AK131" s="73" t="n"/>
      <c r="AL131" s="73" t="n"/>
      <c r="AM131" s="73" t="n"/>
      <c r="AN131" s="73" t="n"/>
      <c r="AO131" s="73" t="n"/>
      <c r="AP131" s="73" t="n"/>
      <c r="AQ131" s="73" t="n"/>
      <c r="AR131" s="73" t="n"/>
      <c r="AS131" s="73" t="n"/>
      <c r="AT131" s="73" t="n"/>
      <c r="AU131" s="73" t="n"/>
      <c r="AV131" s="73" t="n"/>
      <c r="AW131" s="73" t="n"/>
      <c r="AX131" s="73" t="n"/>
      <c r="AY131" s="73" t="n"/>
      <c r="AZ131" s="73" t="n"/>
      <c r="BA131" s="73" t="n"/>
      <c r="BB131" s="73" t="n"/>
      <c r="BC131" s="73" t="n"/>
      <c r="BD131" s="73" t="n"/>
      <c r="BE131" s="73" t="n"/>
      <c r="BF131" s="73" t="n"/>
      <c r="BG131" s="73" t="n"/>
      <c r="BH131" s="73" t="n"/>
      <c r="BI131" s="73" t="n"/>
      <c r="BJ131" s="73" t="n"/>
      <c r="BK131" s="73" t="n"/>
      <c r="BL131" s="73" t="n"/>
      <c r="BM131" s="73" t="n"/>
      <c r="BN131" s="73" t="n"/>
      <c r="BO131" s="73" t="n"/>
      <c r="BP131" s="73" t="n"/>
      <c r="BQ131" s="195">
        <f>COUNTIF($G131:$BP131,"a")+COUNTIF($G131:$BP131,"r0,a5")/2+COUNTIF($G131:$BP131,"p5,a5")/2</f>
        <v/>
      </c>
      <c r="BR131" s="195">
        <f>COUNTIF($G131:$BP131,"d")+COUNTIF($G131:$BP131,"r0,d5")/2+COUNTIF($G131:$BP131,"p5,d5")/2</f>
        <v/>
      </c>
      <c r="BS131" s="195">
        <f>COUNTIF($G131:$BP131,"b")+COUNTIF($G131:$BP131,"r0,b5")/2+COUNTIF($G131:$BP131,"p5,b5")/2</f>
        <v/>
      </c>
      <c r="BT131" s="195">
        <f>COUNTIF($G131:$BP131,"c")+COUNTIF($G131:$BP131,"r0,c5")/2+COUNTIF($G131:$BP131,"p5,c5")/2</f>
        <v/>
      </c>
      <c r="BU131" s="195">
        <f>COUNTIF($G131:$BP131,"KH")+COUNTIF($G131:$BP131,"TL")+COUNTIF($G131:$BP131,"L")</f>
        <v/>
      </c>
      <c r="BV131" s="202" t="n"/>
      <c r="BW131" s="195">
        <f>COUNTIF($G131:$BP131,"hh")</f>
        <v/>
      </c>
      <c r="BX131" s="195">
        <f>COUNTIF($G131:$BP131,"nt7")</f>
        <v/>
      </c>
      <c r="BY131" s="195">
        <f>COUNTIF($G131:$BP131,"P")+COUNTIF($G131:$BP131,"p5,a5")/2+COUNTIF($G131:$BP131,"p5,b5")/2+COUNTIF($G131:$BP131,"p5,c5")/2+COUNTIF($G131:$BP131,"p5,d5")/2</f>
        <v/>
      </c>
      <c r="BZ131" s="203">
        <f>SUBTOTAL(9,BQ131:BY131)</f>
        <v/>
      </c>
      <c r="CA131" s="54">
        <f>SUM(J131,L131,N131,P131,R131,T131,X131,Z131,AB131,AD131,AF131,AH131,AL131,AN131,AP131,AR131,AT131,AV131,AZ131,BB131,BD131,BF131,BH131,BP131)</f>
        <v/>
      </c>
      <c r="CB131" s="55">
        <f>SUM(H131,V131,AJ131,AX131,BL131)</f>
        <v/>
      </c>
      <c r="CC131" s="56">
        <f>SUM(BJ131,BN131)</f>
        <v/>
      </c>
      <c r="CD131" s="197">
        <f>IF(BZ131&gt;25,4,IF(BZ131&gt;18,3,IF(BZ131&gt;12,2,IF(BZ131&gt;4,1,0))))-BX131-2+1</f>
        <v/>
      </c>
      <c r="CE131" s="49" t="n"/>
      <c r="CF131" s="197">
        <f>CD131*CI131</f>
        <v/>
      </c>
      <c r="CG131" s="198">
        <f>F131-BY131+1</f>
        <v/>
      </c>
      <c r="CH131" s="197">
        <f>CE131*16</f>
        <v/>
      </c>
      <c r="CI131" s="199">
        <f>VLOOKUP(A131,[1]DATA!$A$6:$AI$331,34,0)</f>
        <v/>
      </c>
      <c r="CJ131" s="200">
        <f>VLOOKUP(A131,[2]CHAMCONG!A$7:CI$333,79,0)</f>
        <v/>
      </c>
      <c r="CK131" s="201">
        <f>CJ131-CA131</f>
        <v/>
      </c>
    </row>
    <row r="132" ht="15.75" customFormat="1" customHeight="1" s="68">
      <c r="A132" s="139" t="n"/>
      <c r="B132" s="64" t="n"/>
      <c r="C132" s="115" t="n"/>
      <c r="D132" s="46" t="n"/>
      <c r="E132" s="47" t="n"/>
      <c r="F132" s="48" t="n"/>
      <c r="G132" s="49" t="n"/>
      <c r="H132" s="73" t="n"/>
      <c r="I132" s="73" t="n"/>
      <c r="J132" s="73" t="n"/>
      <c r="K132" s="73" t="n"/>
      <c r="L132" s="73" t="n"/>
      <c r="M132" s="73" t="n"/>
      <c r="N132" s="73" t="n"/>
      <c r="O132" s="73" t="n"/>
      <c r="P132" s="73" t="n"/>
      <c r="Q132" s="49" t="n"/>
      <c r="R132" s="73" t="n"/>
      <c r="S132" s="49" t="n"/>
      <c r="T132" s="73" t="n"/>
      <c r="U132" s="73" t="n"/>
      <c r="V132" s="73" t="n"/>
      <c r="W132" s="73" t="n"/>
      <c r="X132" s="73" t="n"/>
      <c r="Y132" s="73" t="n"/>
      <c r="Z132" s="73" t="n"/>
      <c r="AA132" s="73" t="n"/>
      <c r="AB132" s="73" t="n"/>
      <c r="AC132" s="73" t="n"/>
      <c r="AD132" s="73" t="n"/>
      <c r="AE132" s="50" t="n"/>
      <c r="AF132" s="67" t="n"/>
      <c r="AG132" s="49" t="n"/>
      <c r="AH132" s="73" t="n"/>
      <c r="AI132" s="49" t="n"/>
      <c r="AJ132" s="73" t="n"/>
      <c r="AK132" s="49" t="n"/>
      <c r="AL132" s="73" t="n"/>
      <c r="AM132" s="49" t="n"/>
      <c r="AN132" s="73" t="n"/>
      <c r="AO132" s="49" t="n"/>
      <c r="AP132" s="73" t="n"/>
      <c r="AQ132" s="73" t="n"/>
      <c r="AR132" s="73" t="n"/>
      <c r="AS132" s="73" t="n"/>
      <c r="AT132" s="73" t="n"/>
      <c r="AU132" s="73" t="n"/>
      <c r="AV132" s="73" t="n"/>
      <c r="AW132" s="73" t="n"/>
      <c r="AX132" s="73" t="n"/>
      <c r="AY132" s="49" t="n"/>
      <c r="AZ132" s="73" t="n"/>
      <c r="BA132" s="49" t="n"/>
      <c r="BB132" s="73" t="n"/>
      <c r="BC132" s="49" t="n"/>
      <c r="BD132" s="73" t="n"/>
      <c r="BE132" s="49" t="n"/>
      <c r="BF132" s="73" t="n"/>
      <c r="BG132" s="49" t="n"/>
      <c r="BH132" s="73" t="n"/>
      <c r="BI132" s="49" t="n"/>
      <c r="BJ132" s="73" t="n"/>
      <c r="BK132" s="49" t="n"/>
      <c r="BL132" s="73" t="n"/>
      <c r="BM132" s="49" t="n"/>
      <c r="BN132" s="73" t="n"/>
      <c r="BO132" s="73" t="n"/>
      <c r="BP132" s="73" t="n"/>
      <c r="BQ132" s="195">
        <f>COUNTIF($G132:$BP132,"a")+COUNTIF($G132:$BP132,"r0,a5")/2+COUNTIF($G132:$BP132,"p5,a5")/2</f>
        <v/>
      </c>
      <c r="BR132" s="195">
        <f>COUNTIF($G132:$BP132,"d")+COUNTIF($G132:$BP132,"r0,d5")/2+COUNTIF($G132:$BP132,"p5,d5")/2</f>
        <v/>
      </c>
      <c r="BS132" s="195">
        <f>COUNTIF($G132:$BP132,"b")+COUNTIF($G132:$BP132,"r0,b5")/2+COUNTIF($G132:$BP132,"p5,b5")/2</f>
        <v/>
      </c>
      <c r="BT132" s="195">
        <f>COUNTIF($G132:$BP132,"c")+COUNTIF($G132:$BP132,"r0,c5")/2+COUNTIF($G132:$BP132,"p5,c5")/2</f>
        <v/>
      </c>
      <c r="BU132" s="195">
        <f>COUNTIF($G132:$BP132,"KH")+COUNTIF($G132:$BP132,"TL")+COUNTIF($G132:$BP132,"L")</f>
        <v/>
      </c>
      <c r="BV132" s="202" t="n"/>
      <c r="BW132" s="195">
        <f>COUNTIF($G132:$BP132,"hh")</f>
        <v/>
      </c>
      <c r="BX132" s="195">
        <f>COUNTIF($G132:$BP132,"nt7")</f>
        <v/>
      </c>
      <c r="BY132" s="195">
        <f>COUNTIF($G132:$BP132,"P")+COUNTIF($G132:$BP132,"p5,a5")/2+COUNTIF($G132:$BP132,"p5,b5")/2+COUNTIF($G132:$BP132,"p5,c5")/2+COUNTIF($G132:$BP132,"p5,d5")/2</f>
        <v/>
      </c>
      <c r="BZ132" s="203">
        <f>SUBTOTAL(9,BQ132:BY132)</f>
        <v/>
      </c>
      <c r="CA132" s="54">
        <f>SUM(J132,L132,N132,P132,R132,T132,X132,Z132,AB132,AD132,AF132,AH132,AL132,AN132,AP132,AR132,AT132,AV132,AZ132,BB132,BD132,BF132,BH132,BP132)</f>
        <v/>
      </c>
      <c r="CB132" s="55">
        <f>SUM(H132,V132,AJ132,AX132,BL132)</f>
        <v/>
      </c>
      <c r="CC132" s="56">
        <f>SUM(BJ132,BN132)</f>
        <v/>
      </c>
      <c r="CD132" s="197">
        <f>IF(BZ132&gt;25,4,IF(BZ132&gt;18,3,IF(BZ132&gt;12,2,IF(BZ132&gt;4,1,0))))-BX132-2+1</f>
        <v/>
      </c>
      <c r="CE132" s="49" t="n"/>
      <c r="CF132" s="197">
        <f>CD132*CI132</f>
        <v/>
      </c>
      <c r="CG132" s="198">
        <f>F132-BY132+1</f>
        <v/>
      </c>
      <c r="CH132" s="197">
        <f>CE132*16</f>
        <v/>
      </c>
      <c r="CI132" s="199">
        <f>VLOOKUP(A132,[1]DATA!$A$6:$AI$331,34,0)</f>
        <v/>
      </c>
      <c r="CJ132" s="200">
        <f>VLOOKUP(A132,[2]CHAMCONG!A$7:CI$333,79,0)</f>
        <v/>
      </c>
      <c r="CK132" s="201">
        <f>CJ132-CA132</f>
        <v/>
      </c>
    </row>
    <row r="133" ht="15.75" customFormat="1" customHeight="1" s="68">
      <c r="A133" s="139" t="n"/>
      <c r="B133" s="64" t="n"/>
      <c r="C133" s="115" t="n"/>
      <c r="D133" s="46" t="n"/>
      <c r="E133" s="47" t="n"/>
      <c r="F133" s="48" t="n"/>
      <c r="G133" s="49" t="n"/>
      <c r="H133" s="73" t="n"/>
      <c r="I133" s="49" t="n"/>
      <c r="J133" s="73" t="n"/>
      <c r="K133" s="49" t="n"/>
      <c r="L133" s="73" t="n"/>
      <c r="M133" s="49" t="n"/>
      <c r="N133" s="73" t="n"/>
      <c r="O133" s="49" t="n"/>
      <c r="P133" s="73" t="n"/>
      <c r="Q133" s="49" t="n"/>
      <c r="R133" s="73" t="n"/>
      <c r="S133" s="73" t="n"/>
      <c r="T133" s="73" t="n"/>
      <c r="U133" s="73" t="n"/>
      <c r="V133" s="73" t="n"/>
      <c r="W133" s="73" t="n"/>
      <c r="X133" s="73" t="n"/>
      <c r="Y133" s="73" t="n"/>
      <c r="Z133" s="73" t="n"/>
      <c r="AA133" s="73" t="n"/>
      <c r="AB133" s="73" t="n"/>
      <c r="AC133" s="73" t="n"/>
      <c r="AD133" s="73" t="n"/>
      <c r="AE133" s="50" t="n"/>
      <c r="AF133" s="67" t="n"/>
      <c r="AG133" s="73" t="n"/>
      <c r="AH133" s="73" t="n"/>
      <c r="AI133" s="73" t="n"/>
      <c r="AJ133" s="73" t="n"/>
      <c r="AK133" s="73" t="n"/>
      <c r="AL133" s="73" t="n"/>
      <c r="AM133" s="73" t="n"/>
      <c r="AN133" s="73" t="n"/>
      <c r="AO133" s="73" t="n"/>
      <c r="AP133" s="73" t="n"/>
      <c r="AQ133" s="73" t="n"/>
      <c r="AR133" s="73" t="n"/>
      <c r="AS133" s="73" t="n"/>
      <c r="AT133" s="73" t="n"/>
      <c r="AU133" s="73" t="n"/>
      <c r="AV133" s="73" t="n"/>
      <c r="AW133" s="73" t="n"/>
      <c r="AX133" s="73" t="n"/>
      <c r="AY133" s="49" t="n"/>
      <c r="AZ133" s="73" t="n"/>
      <c r="BA133" s="49" t="n"/>
      <c r="BB133" s="73" t="n"/>
      <c r="BC133" s="49" t="n"/>
      <c r="BD133" s="73" t="n"/>
      <c r="BE133" s="49" t="n"/>
      <c r="BF133" s="73" t="n"/>
      <c r="BG133" s="49" t="n"/>
      <c r="BH133" s="73" t="n"/>
      <c r="BI133" s="49" t="n"/>
      <c r="BJ133" s="73" t="n"/>
      <c r="BK133" s="49" t="n"/>
      <c r="BL133" s="73" t="n"/>
      <c r="BM133" s="49" t="n"/>
      <c r="BN133" s="73" t="n"/>
      <c r="BO133" s="73" t="n"/>
      <c r="BP133" s="73" t="n"/>
      <c r="BQ133" s="195">
        <f>COUNTIF($G133:$BP133,"a")+COUNTIF($G133:$BP133,"r0,a5")/2+COUNTIF($G133:$BP133,"p5,a5")/2</f>
        <v/>
      </c>
      <c r="BR133" s="195">
        <f>COUNTIF($G133:$BP133,"d")+COUNTIF($G133:$BP133,"r0,d5")/2+COUNTIF($G133:$BP133,"p5,d5")/2</f>
        <v/>
      </c>
      <c r="BS133" s="195">
        <f>COUNTIF($G133:$BP133,"b")+COUNTIF($G133:$BP133,"r0,b5")/2+COUNTIF($G133:$BP133,"p5,b5")/2</f>
        <v/>
      </c>
      <c r="BT133" s="195">
        <f>COUNTIF($G133:$BP133,"c")+COUNTIF($G133:$BP133,"r0,c5")/2+COUNTIF($G133:$BP133,"p5,c5")/2</f>
        <v/>
      </c>
      <c r="BU133" s="195">
        <f>COUNTIF($G133:$BP133,"KH")+COUNTIF($G133:$BP133,"TL")+COUNTIF($G133:$BP133,"L")</f>
        <v/>
      </c>
      <c r="BV133" s="202" t="n"/>
      <c r="BW133" s="195">
        <f>COUNTIF($G133:$BP133,"hh")</f>
        <v/>
      </c>
      <c r="BX133" s="195">
        <f>COUNTIF($G133:$BP133,"nt7")</f>
        <v/>
      </c>
      <c r="BY133" s="195">
        <f>COUNTIF($G133:$BP133,"P")+COUNTIF($G133:$BP133,"p5,a5")/2+COUNTIF($G133:$BP133,"p5,b5")/2+COUNTIF($G133:$BP133,"p5,c5")/2+COUNTIF($G133:$BP133,"p5,d5")/2</f>
        <v/>
      </c>
      <c r="BZ133" s="203">
        <f>SUBTOTAL(9,BQ133:BY133)</f>
        <v/>
      </c>
      <c r="CA133" s="54">
        <f>SUM(J133,L133,N133,P133,R133,T133,X133,Z133,AB133,AD133,AF133,AH133,AL133,AN133,AP133,AR133,AT133,AV133,AZ133,BB133,BD133,BF133,BH133,BP133)</f>
        <v/>
      </c>
      <c r="CB133" s="55">
        <f>SUM(H133,V133,AJ133,AX133,BL133)</f>
        <v/>
      </c>
      <c r="CC133" s="56">
        <f>SUM(BJ133,BN133)</f>
        <v/>
      </c>
      <c r="CD133" s="197">
        <f>IF(BZ133&gt;25,4,IF(BZ133&gt;18,3,IF(BZ133&gt;12,2,IF(BZ133&gt;4,1,0))))-BX133-2+1</f>
        <v/>
      </c>
      <c r="CE133" s="49" t="n">
        <v>5</v>
      </c>
      <c r="CF133" s="197">
        <f>CD133*CI133</f>
        <v/>
      </c>
      <c r="CG133" s="198">
        <f>F133-BY133+1</f>
        <v/>
      </c>
      <c r="CH133" s="197">
        <f>CE133*16</f>
        <v/>
      </c>
      <c r="CI133" s="199">
        <f>VLOOKUP(A133,[1]DATA!$A$6:$AI$331,34,0)</f>
        <v/>
      </c>
      <c r="CJ133" s="200">
        <f>VLOOKUP(A133,[2]CHAMCONG!A$7:CI$333,79,0)</f>
        <v/>
      </c>
      <c r="CK133" s="201">
        <f>CJ133-CA133</f>
        <v/>
      </c>
    </row>
    <row r="134" ht="15.75" customFormat="1" customHeight="1" s="68">
      <c r="A134" s="139" t="n"/>
      <c r="B134" s="64" t="n"/>
      <c r="C134" s="115" t="n"/>
      <c r="D134" s="46" t="n"/>
      <c r="E134" s="47" t="n"/>
      <c r="F134" s="48" t="n"/>
      <c r="G134" s="49" t="n"/>
      <c r="H134" s="73" t="n"/>
      <c r="I134" s="73" t="n"/>
      <c r="J134" s="73" t="n"/>
      <c r="K134" s="73" t="n"/>
      <c r="L134" s="73" t="n"/>
      <c r="M134" s="73" t="n"/>
      <c r="N134" s="73" t="n"/>
      <c r="O134" s="73" t="n"/>
      <c r="P134" s="73" t="n"/>
      <c r="Q134" s="73" t="n"/>
      <c r="R134" s="73" t="n"/>
      <c r="S134" s="50" t="n"/>
      <c r="T134" s="73" t="n"/>
      <c r="U134" s="50" t="n"/>
      <c r="V134" s="73" t="n"/>
      <c r="W134" s="50" t="n"/>
      <c r="X134" s="73" t="n"/>
      <c r="Y134" s="50" t="n"/>
      <c r="Z134" s="73" t="n"/>
      <c r="AA134" s="50" t="n"/>
      <c r="AB134" s="73" t="n"/>
      <c r="AC134" s="50" t="n"/>
      <c r="AD134" s="73" t="n"/>
      <c r="AE134" s="50" t="n"/>
      <c r="AF134" s="67" t="n"/>
      <c r="AG134" s="49" t="n"/>
      <c r="AH134" s="73" t="n"/>
      <c r="AI134" s="49" t="n"/>
      <c r="AJ134" s="73" t="n"/>
      <c r="AK134" s="49" t="n"/>
      <c r="AL134" s="73" t="n"/>
      <c r="AM134" s="49" t="n"/>
      <c r="AN134" s="73" t="n"/>
      <c r="AO134" s="49" t="n"/>
      <c r="AP134" s="73" t="n"/>
      <c r="AQ134" s="73" t="n"/>
      <c r="AR134" s="73" t="n"/>
      <c r="AS134" s="73" t="n"/>
      <c r="AT134" s="73" t="n"/>
      <c r="AU134" s="73" t="n"/>
      <c r="AV134" s="73" t="n"/>
      <c r="AW134" s="73" t="n"/>
      <c r="AX134" s="73" t="n"/>
      <c r="AY134" s="73" t="n"/>
      <c r="AZ134" s="73" t="n"/>
      <c r="BA134" s="73" t="n"/>
      <c r="BB134" s="73" t="n"/>
      <c r="BC134" s="73" t="n"/>
      <c r="BD134" s="73" t="n"/>
      <c r="BE134" s="73" t="n"/>
      <c r="BF134" s="73" t="n"/>
      <c r="BG134" s="73" t="n"/>
      <c r="BH134" s="73" t="n"/>
      <c r="BI134" s="73" t="n"/>
      <c r="BJ134" s="73" t="n"/>
      <c r="BK134" s="73" t="n"/>
      <c r="BL134" s="73" t="n"/>
      <c r="BM134" s="73" t="n"/>
      <c r="BN134" s="73" t="n"/>
      <c r="BO134" s="73" t="n"/>
      <c r="BP134" s="73" t="n"/>
      <c r="BQ134" s="195">
        <f>COUNTIF($G134:$BP134,"a")+COUNTIF($G134:$BP134,"r0,a5")/2+COUNTIF($G134:$BP134,"p5,a5")/2</f>
        <v/>
      </c>
      <c r="BR134" s="195">
        <f>COUNTIF($G134:$BP134,"d")+COUNTIF($G134:$BP134,"r0,d5")/2+COUNTIF($G134:$BP134,"p5,d5")/2</f>
        <v/>
      </c>
      <c r="BS134" s="195">
        <f>COUNTIF($G134:$BP134,"b")+COUNTIF($G134:$BP134,"r0,b5")/2+COUNTIF($G134:$BP134,"p5,b5")/2</f>
        <v/>
      </c>
      <c r="BT134" s="195">
        <f>COUNTIF($G134:$BP134,"c")+COUNTIF($G134:$BP134,"r0,c5")/2+COUNTIF($G134:$BP134,"p5,c5")/2</f>
        <v/>
      </c>
      <c r="BU134" s="195">
        <f>COUNTIF($G134:$BP134,"KH")+COUNTIF($G134:$BP134,"TL")+COUNTIF($G134:$BP134,"L")</f>
        <v/>
      </c>
      <c r="BV134" s="202" t="n"/>
      <c r="BW134" s="195">
        <f>COUNTIF($G134:$BP134,"hh")</f>
        <v/>
      </c>
      <c r="BX134" s="195">
        <f>COUNTIF($G134:$BP134,"nt7")</f>
        <v/>
      </c>
      <c r="BY134" s="195">
        <f>COUNTIF($G134:$BP134,"P")+COUNTIF($G134:$BP134,"p5,a5")/2+COUNTIF($G134:$BP134,"p5,b5")/2+COUNTIF($G134:$BP134,"p5,c5")/2+COUNTIF($G134:$BP134,"p5,d5")/2</f>
        <v/>
      </c>
      <c r="BZ134" s="203">
        <f>SUBTOTAL(9,BQ134:BY134)</f>
        <v/>
      </c>
      <c r="CA134" s="54">
        <f>SUM(J134,L134,N134,P134,R134,T134,X134,Z134,AB134,AD134,AF134,AH134,AL134,AN134,AP134,AR134,AT134,AV134,AZ134,BB134,BD134,BF134,BH134,BP134)</f>
        <v/>
      </c>
      <c r="CB134" s="55">
        <f>SUM(H134,V134,AJ134,AX134,BL134)</f>
        <v/>
      </c>
      <c r="CC134" s="56">
        <f>SUM(BJ134,BN134)</f>
        <v/>
      </c>
      <c r="CD134" s="197">
        <f>IF(BZ134&gt;25,4,IF(BZ134&gt;18,3,IF(BZ134&gt;12,2,IF(BZ134&gt;4,1,0))))-BX134-2+1</f>
        <v/>
      </c>
      <c r="CE134" s="49" t="n">
        <v>1</v>
      </c>
      <c r="CF134" s="197">
        <f>CD134*CI134</f>
        <v/>
      </c>
      <c r="CG134" s="198">
        <f>F134-BY134+1</f>
        <v/>
      </c>
      <c r="CH134" s="197">
        <f>CE134*16</f>
        <v/>
      </c>
      <c r="CI134" s="199">
        <f>VLOOKUP(A134,[1]DATA!$A$6:$AI$331,34,0)</f>
        <v/>
      </c>
      <c r="CJ134" s="200">
        <f>VLOOKUP(A134,[2]CHAMCONG!A$7:CI$333,79,0)</f>
        <v/>
      </c>
      <c r="CK134" s="201">
        <f>CJ134-CA134</f>
        <v/>
      </c>
    </row>
    <row r="135" ht="15.75" customFormat="1" customHeight="1" s="68">
      <c r="A135" s="139" t="n"/>
      <c r="B135" s="64" t="n"/>
      <c r="C135" s="115" t="n"/>
      <c r="D135" s="46" t="n"/>
      <c r="E135" s="47" t="n"/>
      <c r="F135" s="48" t="n"/>
      <c r="G135" s="49" t="n"/>
      <c r="H135" s="73" t="n"/>
      <c r="I135" s="50" t="n"/>
      <c r="J135" s="73" t="n"/>
      <c r="K135" s="73" t="n"/>
      <c r="L135" s="73" t="n"/>
      <c r="M135" s="73" t="n"/>
      <c r="N135" s="73" t="n"/>
      <c r="O135" s="73" t="n"/>
      <c r="P135" s="73" t="n"/>
      <c r="Q135" s="73" t="n"/>
      <c r="R135" s="73" t="n"/>
      <c r="S135" s="73" t="n"/>
      <c r="T135" s="73" t="n"/>
      <c r="U135" s="50" t="n"/>
      <c r="V135" s="73" t="n"/>
      <c r="W135" s="50" t="n"/>
      <c r="X135" s="73" t="n"/>
      <c r="Y135" s="50" t="n"/>
      <c r="Z135" s="73" t="n"/>
      <c r="AA135" s="50" t="n"/>
      <c r="AB135" s="73" t="n"/>
      <c r="AC135" s="73" t="n"/>
      <c r="AD135" s="73" t="n"/>
      <c r="AE135" s="73" t="n"/>
      <c r="AF135" s="73" t="n"/>
      <c r="AG135" s="73" t="n"/>
      <c r="AH135" s="73" t="n"/>
      <c r="AI135" s="73" t="n"/>
      <c r="AJ135" s="73" t="n"/>
      <c r="AK135" s="73" t="n"/>
      <c r="AL135" s="73" t="n"/>
      <c r="AM135" s="73" t="n"/>
      <c r="AN135" s="73" t="n"/>
      <c r="AO135" s="73" t="n"/>
      <c r="AP135" s="73" t="n"/>
      <c r="AQ135" s="73" t="n"/>
      <c r="AR135" s="73" t="n"/>
      <c r="AS135" s="73" t="n"/>
      <c r="AT135" s="73" t="n"/>
      <c r="AU135" s="73" t="n"/>
      <c r="AV135" s="73" t="n"/>
      <c r="AW135" s="73" t="n"/>
      <c r="AX135" s="73" t="n"/>
      <c r="AY135" s="73" t="n"/>
      <c r="AZ135" s="73" t="n"/>
      <c r="BA135" s="73" t="n"/>
      <c r="BB135" s="73" t="n"/>
      <c r="BC135" s="73" t="n"/>
      <c r="BD135" s="73" t="n"/>
      <c r="BE135" s="73" t="n"/>
      <c r="BF135" s="73" t="n"/>
      <c r="BG135" s="73" t="n"/>
      <c r="BH135" s="73" t="n"/>
      <c r="BI135" s="73" t="n"/>
      <c r="BJ135" s="73" t="n"/>
      <c r="BK135" s="73" t="n"/>
      <c r="BL135" s="73" t="n"/>
      <c r="BM135" s="73" t="n"/>
      <c r="BN135" s="73" t="n"/>
      <c r="BO135" s="73" t="n"/>
      <c r="BP135" s="73" t="n"/>
      <c r="BQ135" s="195">
        <f>COUNTIF($G135:$BP135,"a")+COUNTIF($G135:$BP135,"r0,a5")/2+COUNTIF($G135:$BP135,"p5,a5")/2</f>
        <v/>
      </c>
      <c r="BR135" s="195">
        <f>COUNTIF($G135:$BP135,"d")+COUNTIF($G135:$BP135,"r0,d5")/2+COUNTIF($G135:$BP135,"p5,d5")/2</f>
        <v/>
      </c>
      <c r="BS135" s="195">
        <f>COUNTIF($G135:$BP135,"b")+COUNTIF($G135:$BP135,"r0,b5")/2+COUNTIF($G135:$BP135,"p5,b5")/2</f>
        <v/>
      </c>
      <c r="BT135" s="195">
        <f>COUNTIF($G135:$BP135,"c")+COUNTIF($G135:$BP135,"r0,c5")/2+COUNTIF($G135:$BP135,"p5,c5")/2</f>
        <v/>
      </c>
      <c r="BU135" s="195">
        <f>COUNTIF($G135:$BP135,"KH")+COUNTIF($G135:$BP135,"TL")+COUNTIF($G135:$BP135,"L")</f>
        <v/>
      </c>
      <c r="BV135" s="202" t="n"/>
      <c r="BW135" s="195">
        <f>COUNTIF($G135:$BP135,"hh")</f>
        <v/>
      </c>
      <c r="BX135" s="195">
        <f>COUNTIF($G135:$BP135,"nt7")</f>
        <v/>
      </c>
      <c r="BY135" s="195">
        <f>COUNTIF($G135:$BP135,"P")+COUNTIF($G135:$BP135,"p5,a5")/2+COUNTIF($G135:$BP135,"p5,b5")/2+COUNTIF($G135:$BP135,"p5,c5")/2+COUNTIF($G135:$BP135,"p5,d5")/2</f>
        <v/>
      </c>
      <c r="BZ135" s="203">
        <f>SUBTOTAL(9,BQ135:BY135)</f>
        <v/>
      </c>
      <c r="CA135" s="54">
        <f>SUM(J135,L135,N135,P135,R135,T135,X135,Z135,AB135,AD135,AF135,AH135,AL135,AN135,AP135,AR135,AT135,AV135,AZ135,BB135,BD135,BF135,BH135,BP135)</f>
        <v/>
      </c>
      <c r="CB135" s="55">
        <f>SUM(H135,V135,AJ135,AX135,BL135)</f>
        <v/>
      </c>
      <c r="CC135" s="56">
        <f>SUM(BJ135,BN135)</f>
        <v/>
      </c>
      <c r="CD135" s="197">
        <f>IF(BZ135&gt;25,4,IF(BZ135&gt;18,3,IF(BZ135&gt;12,2,IF(BZ135&gt;4,1,0))))-BX135-2+1</f>
        <v/>
      </c>
      <c r="CE135" s="49" t="n">
        <v>1</v>
      </c>
      <c r="CF135" s="197">
        <f>CD135*CI135</f>
        <v/>
      </c>
      <c r="CG135" s="198">
        <f>F135-BY135+1</f>
        <v/>
      </c>
      <c r="CH135" s="197">
        <f>CE135*16</f>
        <v/>
      </c>
      <c r="CI135" s="199">
        <f>VLOOKUP(A135,[1]DATA!$A$6:$AI$331,34,0)</f>
        <v/>
      </c>
      <c r="CJ135" s="200">
        <f>VLOOKUP(A135,[2]CHAMCONG!A$7:CI$333,79,0)</f>
        <v/>
      </c>
      <c r="CK135" s="201">
        <f>CJ135-CA135</f>
        <v/>
      </c>
    </row>
    <row r="136" ht="15.75" customFormat="1" customHeight="1" s="68">
      <c r="A136" s="139" t="n"/>
      <c r="B136" s="64" t="n"/>
      <c r="C136" s="115" t="n"/>
      <c r="D136" s="46" t="n"/>
      <c r="E136" s="47" t="n"/>
      <c r="F136" s="48" t="n"/>
      <c r="G136" s="49" t="n"/>
      <c r="H136" s="73" t="n"/>
      <c r="I136" s="49" t="n"/>
      <c r="J136" s="73" t="n"/>
      <c r="K136" s="49" t="n"/>
      <c r="L136" s="73" t="n"/>
      <c r="M136" s="49" t="n"/>
      <c r="N136" s="73" t="n"/>
      <c r="O136" s="49" t="n"/>
      <c r="P136" s="73" t="n"/>
      <c r="Q136" s="49" t="n"/>
      <c r="R136" s="73" t="n"/>
      <c r="S136" s="49" t="n"/>
      <c r="T136" s="73" t="n"/>
      <c r="U136" s="49" t="n"/>
      <c r="V136" s="73" t="n"/>
      <c r="W136" s="49" t="n"/>
      <c r="X136" s="73" t="n"/>
      <c r="Y136" s="49" t="n"/>
      <c r="Z136" s="73" t="n"/>
      <c r="AA136" s="49" t="n"/>
      <c r="AB136" s="73" t="n"/>
      <c r="AC136" s="49" t="n"/>
      <c r="AD136" s="73" t="n"/>
      <c r="AE136" s="49" t="n"/>
      <c r="AF136" s="73" t="n"/>
      <c r="AG136" s="49" t="n"/>
      <c r="AH136" s="73" t="n"/>
      <c r="AI136" s="73" t="n"/>
      <c r="AJ136" s="73" t="n"/>
      <c r="AK136" s="73" t="n"/>
      <c r="AL136" s="73" t="n"/>
      <c r="AM136" s="73" t="n"/>
      <c r="AN136" s="73" t="n"/>
      <c r="AO136" s="73" t="n"/>
      <c r="AP136" s="73" t="n"/>
      <c r="AQ136" s="73" t="n"/>
      <c r="AR136" s="73" t="n"/>
      <c r="AS136" s="73" t="n"/>
      <c r="AT136" s="73" t="n"/>
      <c r="AU136" s="73" t="n"/>
      <c r="AV136" s="73" t="n"/>
      <c r="AW136" s="73" t="n"/>
      <c r="AX136" s="73" t="n"/>
      <c r="AY136" s="73" t="n"/>
      <c r="AZ136" s="73" t="n"/>
      <c r="BA136" s="73" t="n"/>
      <c r="BB136" s="73" t="n"/>
      <c r="BC136" s="73" t="n"/>
      <c r="BD136" s="73" t="n"/>
      <c r="BE136" s="73" t="n"/>
      <c r="BF136" s="73" t="n"/>
      <c r="BG136" s="73" t="n"/>
      <c r="BH136" s="73" t="n"/>
      <c r="BI136" s="73" t="n"/>
      <c r="BJ136" s="73" t="n"/>
      <c r="BK136" s="73" t="n"/>
      <c r="BL136" s="73" t="n"/>
      <c r="BM136" s="73" t="n"/>
      <c r="BN136" s="73" t="n"/>
      <c r="BO136" s="73" t="n"/>
      <c r="BP136" s="73" t="n"/>
      <c r="BQ136" s="195">
        <f>COUNTIF($G136:$BP136,"a")+COUNTIF($G136:$BP136,"r0,a5")/2+COUNTIF($G136:$BP136,"p5,a5")/2</f>
        <v/>
      </c>
      <c r="BR136" s="195">
        <f>COUNTIF($G136:$BP136,"d")+COUNTIF($G136:$BP136,"r0,d5")/2+COUNTIF($G136:$BP136,"p5,d5")/2</f>
        <v/>
      </c>
      <c r="BS136" s="195">
        <f>COUNTIF($G136:$BP136,"b")+COUNTIF($G136:$BP136,"r0,b5")/2+COUNTIF($G136:$BP136,"p5,b5")/2</f>
        <v/>
      </c>
      <c r="BT136" s="195">
        <f>COUNTIF($G136:$BP136,"c")+COUNTIF($G136:$BP136,"r0,c5")/2+COUNTIF($G136:$BP136,"p5,c5")/2</f>
        <v/>
      </c>
      <c r="BU136" s="195">
        <f>COUNTIF($G136:$BP136,"KH")+COUNTIF($G136:$BP136,"TL")+COUNTIF($G136:$BP136,"L")</f>
        <v/>
      </c>
      <c r="BV136" s="202" t="n"/>
      <c r="BW136" s="195">
        <f>COUNTIF($G136:$BP136,"hh")</f>
        <v/>
      </c>
      <c r="BX136" s="195">
        <f>COUNTIF($G136:$BP136,"nt7")</f>
        <v/>
      </c>
      <c r="BY136" s="195">
        <f>COUNTIF($G136:$BP136,"P")+COUNTIF($G136:$BP136,"p5,a5")/2+COUNTIF($G136:$BP136,"p5,b5")/2+COUNTIF($G136:$BP136,"p5,c5")/2+COUNTIF($G136:$BP136,"p5,d5")/2</f>
        <v/>
      </c>
      <c r="BZ136" s="203">
        <f>SUBTOTAL(9,BQ136:BY136)</f>
        <v/>
      </c>
      <c r="CA136" s="54">
        <f>SUM(J136,L136,N136,P136,R136,T136,X136,Z136,AB136,AD136,AF136,AH136,AL136,AN136,AP136,AR136,AT136,AV136,AZ136,BB136,BD136,BF136,BH136,BP136)</f>
        <v/>
      </c>
      <c r="CB136" s="55">
        <f>SUM(H136,V136,AJ136,AX136,BL136)</f>
        <v/>
      </c>
      <c r="CC136" s="56">
        <f>SUM(BJ136,BN136)</f>
        <v/>
      </c>
      <c r="CD136" s="197">
        <f>IF(BZ136&gt;25,4,IF(BZ136&gt;18,3,IF(BZ136&gt;12,2,IF(BZ136&gt;4,1,0))))-BX136-2+1</f>
        <v/>
      </c>
      <c r="CE136" s="49" t="n">
        <v>4</v>
      </c>
      <c r="CF136" s="197">
        <f>CD136*CI136</f>
        <v/>
      </c>
      <c r="CG136" s="198">
        <f>F136-BY136+1</f>
        <v/>
      </c>
      <c r="CH136" s="197">
        <f>CE136*16</f>
        <v/>
      </c>
      <c r="CI136" s="199">
        <f>VLOOKUP(A136,[1]DATA!$A$6:$AI$331,34,0)</f>
        <v/>
      </c>
      <c r="CJ136" s="200">
        <f>VLOOKUP(A136,[2]CHAMCONG!A$7:CI$333,79,0)</f>
        <v/>
      </c>
      <c r="CK136" s="201">
        <f>CJ136-CA136</f>
        <v/>
      </c>
    </row>
    <row r="137" ht="15.75" customFormat="1" customHeight="1" s="68">
      <c r="A137" s="139" t="n"/>
      <c r="B137" s="64" t="n"/>
      <c r="C137" s="115" t="n"/>
      <c r="D137" s="46" t="n"/>
      <c r="E137" s="47" t="n"/>
      <c r="F137" s="48" t="n"/>
      <c r="G137" s="49" t="n"/>
      <c r="H137" s="73" t="n"/>
      <c r="I137" s="49" t="n"/>
      <c r="J137" s="73" t="n"/>
      <c r="K137" s="49" t="n"/>
      <c r="L137" s="73" t="n"/>
      <c r="M137" s="49" t="n"/>
      <c r="N137" s="73" t="n"/>
      <c r="O137" s="73" t="n"/>
      <c r="P137" s="73" t="n"/>
      <c r="Q137" s="73" t="n"/>
      <c r="R137" s="73" t="n"/>
      <c r="S137" s="49" t="n"/>
      <c r="T137" s="73" t="n"/>
      <c r="U137" s="49" t="n"/>
      <c r="V137" s="73" t="n"/>
      <c r="W137" s="49" t="n"/>
      <c r="X137" s="73" t="n"/>
      <c r="Y137" s="49" t="n"/>
      <c r="Z137" s="73" t="n"/>
      <c r="AA137" s="49" t="n"/>
      <c r="AB137" s="73" t="n"/>
      <c r="AC137" s="49" t="n"/>
      <c r="AD137" s="73" t="n"/>
      <c r="AE137" s="50" t="n"/>
      <c r="AF137" s="67" t="n"/>
      <c r="AG137" s="50" t="n"/>
      <c r="AH137" s="73" t="n"/>
      <c r="AI137" s="50" t="n"/>
      <c r="AJ137" s="73" t="n"/>
      <c r="AK137" s="50" t="n"/>
      <c r="AL137" s="73" t="n"/>
      <c r="AM137" s="50" t="n"/>
      <c r="AN137" s="73" t="n"/>
      <c r="AO137" s="50" t="n"/>
      <c r="AP137" s="73" t="n"/>
      <c r="AQ137" s="73" t="n"/>
      <c r="AR137" s="73" t="n"/>
      <c r="AS137" s="73" t="n"/>
      <c r="AT137" s="73" t="n"/>
      <c r="AU137" s="73" t="n"/>
      <c r="AV137" s="73" t="n"/>
      <c r="AW137" s="50" t="n"/>
      <c r="AX137" s="73" t="n"/>
      <c r="AY137" s="49" t="n"/>
      <c r="AZ137" s="73" t="n"/>
      <c r="BA137" s="49" t="n"/>
      <c r="BB137" s="73" t="n"/>
      <c r="BC137" s="49" t="n"/>
      <c r="BD137" s="73" t="n"/>
      <c r="BE137" s="49" t="n"/>
      <c r="BF137" s="73" t="n"/>
      <c r="BG137" s="49" t="n"/>
      <c r="BH137" s="73" t="n"/>
      <c r="BI137" s="73" t="n"/>
      <c r="BJ137" s="73" t="n"/>
      <c r="BK137" s="73" t="n"/>
      <c r="BL137" s="73" t="n"/>
      <c r="BM137" s="73" t="n"/>
      <c r="BN137" s="73" t="n"/>
      <c r="BO137" s="73" t="n"/>
      <c r="BP137" s="73" t="n"/>
      <c r="BQ137" s="195">
        <f>COUNTIF($G137:$BP137,"a")+COUNTIF($G137:$BP137,"r0,a5")/2+COUNTIF($G137:$BP137,"p5,a5")/2</f>
        <v/>
      </c>
      <c r="BR137" s="195">
        <f>COUNTIF($G137:$BP137,"d")+COUNTIF($G137:$BP137,"r0,d5")/2+COUNTIF($G137:$BP137,"p5,d5")/2</f>
        <v/>
      </c>
      <c r="BS137" s="195">
        <f>COUNTIF($G137:$BP137,"b")+COUNTIF($G137:$BP137,"r0,b5")/2+COUNTIF($G137:$BP137,"p5,b5")/2</f>
        <v/>
      </c>
      <c r="BT137" s="195">
        <f>COUNTIF($G137:$BP137,"c")+COUNTIF($G137:$BP137,"r0,c5")/2+COUNTIF($G137:$BP137,"p5,c5")/2</f>
        <v/>
      </c>
      <c r="BU137" s="195">
        <f>COUNTIF($G137:$BP137,"KH")+COUNTIF($G137:$BP137,"TL")+COUNTIF($G137:$BP137,"L")</f>
        <v/>
      </c>
      <c r="BV137" s="202" t="n"/>
      <c r="BW137" s="195">
        <f>COUNTIF($G137:$BP137,"hh")</f>
        <v/>
      </c>
      <c r="BX137" s="195">
        <f>COUNTIF($G137:$BP137,"nt7")</f>
        <v/>
      </c>
      <c r="BY137" s="195">
        <f>COUNTIF($G137:$BP137,"P")+COUNTIF($G137:$BP137,"p5,a5")/2+COUNTIF($G137:$BP137,"p5,b5")/2+COUNTIF($G137:$BP137,"p5,c5")/2+COUNTIF($G137:$BP137,"p5,d5")/2</f>
        <v/>
      </c>
      <c r="BZ137" s="203">
        <f>SUBTOTAL(9,BQ137:BY137)</f>
        <v/>
      </c>
      <c r="CA137" s="54">
        <f>SUM(J137,L137,N137,P137,R137,T137,X137,Z137,AB137,AD137,AF137,AH137,AL137,AN137,AP137,AR137,AT137,AV137,AZ137,BB137,BD137,BF137,BH137,BP137)</f>
        <v/>
      </c>
      <c r="CB137" s="55">
        <f>SUM(H137,V137,AJ137,AX137,BL137)</f>
        <v/>
      </c>
      <c r="CC137" s="56">
        <f>SUM(BJ137,BN137)</f>
        <v/>
      </c>
      <c r="CD137" s="197">
        <f>IF(BZ137&gt;25,4,IF(BZ137&gt;18,3,IF(BZ137&gt;12,2,IF(BZ137&gt;4,1,0))))-BX137-2+1</f>
        <v/>
      </c>
      <c r="CE137" s="49" t="n"/>
      <c r="CF137" s="197">
        <f>CD137*CI137</f>
        <v/>
      </c>
      <c r="CG137" s="198">
        <f>F137-BY137+1</f>
        <v/>
      </c>
      <c r="CH137" s="197">
        <f>CE137*16</f>
        <v/>
      </c>
      <c r="CI137" s="199">
        <f>VLOOKUP(A137,[1]DATA!$A$6:$AI$331,34,0)</f>
        <v/>
      </c>
      <c r="CJ137" s="200">
        <f>VLOOKUP(A137,[2]CHAMCONG!A$7:CI$333,79,0)</f>
        <v/>
      </c>
      <c r="CK137" s="201">
        <f>CJ137-CA137</f>
        <v/>
      </c>
    </row>
    <row r="138" ht="15.75" customFormat="1" customHeight="1" s="68">
      <c r="A138" s="139" t="n"/>
      <c r="B138" s="64" t="n"/>
      <c r="C138" s="115" t="n"/>
      <c r="D138" s="46" t="n"/>
      <c r="E138" s="47" t="n"/>
      <c r="F138" s="48" t="n"/>
      <c r="G138" s="49" t="n"/>
      <c r="H138" s="73" t="n"/>
      <c r="I138" s="73" t="n"/>
      <c r="J138" s="73" t="n"/>
      <c r="K138" s="73" t="n"/>
      <c r="L138" s="73" t="n"/>
      <c r="M138" s="73" t="n"/>
      <c r="N138" s="73" t="n"/>
      <c r="O138" s="49" t="n"/>
      <c r="P138" s="73" t="n"/>
      <c r="Q138" s="49" t="n"/>
      <c r="R138" s="73" t="n"/>
      <c r="S138" s="50" t="n"/>
      <c r="T138" s="73" t="n"/>
      <c r="U138" s="50" t="n"/>
      <c r="V138" s="73" t="n"/>
      <c r="W138" s="50" t="n"/>
      <c r="X138" s="73" t="n"/>
      <c r="Y138" s="50" t="n"/>
      <c r="Z138" s="73" t="n"/>
      <c r="AA138" s="50" t="n"/>
      <c r="AB138" s="73" t="n"/>
      <c r="AC138" s="50" t="n"/>
      <c r="AD138" s="73" t="n"/>
      <c r="AE138" s="49" t="n"/>
      <c r="AF138" s="73" t="n"/>
      <c r="AG138" s="49" t="n"/>
      <c r="AH138" s="73" t="n"/>
      <c r="AI138" s="49" t="n"/>
      <c r="AJ138" s="73" t="n"/>
      <c r="AK138" s="49" t="n"/>
      <c r="AL138" s="73" t="n"/>
      <c r="AM138" s="49" t="n"/>
      <c r="AN138" s="73" t="n"/>
      <c r="AO138" s="49" t="n"/>
      <c r="AP138" s="73" t="n"/>
      <c r="AQ138" s="49" t="n"/>
      <c r="AR138" s="73" t="n"/>
      <c r="AS138" s="49" t="n"/>
      <c r="AT138" s="72" t="n"/>
      <c r="AU138" s="49" t="n"/>
      <c r="AV138" s="73" t="n"/>
      <c r="AW138" s="73" t="n"/>
      <c r="AX138" s="73" t="n"/>
      <c r="AY138" s="73" t="n"/>
      <c r="AZ138" s="73" t="n"/>
      <c r="BA138" s="73" t="n"/>
      <c r="BB138" s="73" t="n"/>
      <c r="BC138" s="73" t="n"/>
      <c r="BD138" s="73" t="n"/>
      <c r="BE138" s="73" t="n"/>
      <c r="BF138" s="73" t="n"/>
      <c r="BG138" s="73" t="n"/>
      <c r="BH138" s="73" t="n"/>
      <c r="BI138" s="73" t="n"/>
      <c r="BJ138" s="73" t="n"/>
      <c r="BK138" s="73" t="n"/>
      <c r="BL138" s="73" t="n"/>
      <c r="BM138" s="73" t="n"/>
      <c r="BN138" s="73" t="n"/>
      <c r="BO138" s="73" t="n"/>
      <c r="BP138" s="73" t="n"/>
      <c r="BQ138" s="195">
        <f>COUNTIF($G138:$BP138,"a")+COUNTIF($G138:$BP138,"r0,a5")/2+COUNTIF($G138:$BP138,"p5,a5")/2</f>
        <v/>
      </c>
      <c r="BR138" s="195">
        <f>COUNTIF($G138:$BP138,"d")+COUNTIF($G138:$BP138,"r0,d5")/2+COUNTIF($G138:$BP138,"p5,d5")/2</f>
        <v/>
      </c>
      <c r="BS138" s="195">
        <f>COUNTIF($G138:$BP138,"b")+COUNTIF($G138:$BP138,"r0,b5")/2+COUNTIF($G138:$BP138,"p5,b5")/2</f>
        <v/>
      </c>
      <c r="BT138" s="195">
        <f>COUNTIF($G138:$BP138,"c")+COUNTIF($G138:$BP138,"r0,c5")/2+COUNTIF($G138:$BP138,"p5,c5")/2</f>
        <v/>
      </c>
      <c r="BU138" s="195">
        <f>COUNTIF($G138:$BP138,"KH")+COUNTIF($G138:$BP138,"TL")+COUNTIF($G138:$BP138,"L")</f>
        <v/>
      </c>
      <c r="BV138" s="202" t="n"/>
      <c r="BW138" s="195">
        <f>COUNTIF($G138:$BP138,"hh")</f>
        <v/>
      </c>
      <c r="BX138" s="195">
        <f>COUNTIF($G138:$BP138,"nt7")</f>
        <v/>
      </c>
      <c r="BY138" s="195">
        <f>COUNTIF($G138:$BP138,"P")+COUNTIF($G138:$BP138,"p5,a5")/2+COUNTIF($G138:$BP138,"p5,b5")/2+COUNTIF($G138:$BP138,"p5,c5")/2+COUNTIF($G138:$BP138,"p5,d5")/2</f>
        <v/>
      </c>
      <c r="BZ138" s="203">
        <f>SUBTOTAL(9,BQ138:BY138)</f>
        <v/>
      </c>
      <c r="CA138" s="54">
        <f>SUM(J138,L138,N138,P138,R138,T138,X138,Z138,AB138,AD138,AF138,AH138,AL138,AN138,AP138,AR138,AT138,AV138,AZ138,BB138,BD138,BF138,BH138,BP138)</f>
        <v/>
      </c>
      <c r="CB138" s="55">
        <f>SUM(H138,V138,AJ138,AX138,BL138)</f>
        <v/>
      </c>
      <c r="CC138" s="56">
        <f>SUM(BJ138,BN138)</f>
        <v/>
      </c>
      <c r="CD138" s="197">
        <f>IF(BZ138&gt;25,4,IF(BZ138&gt;18,3,IF(BZ138&gt;12,2,IF(BZ138&gt;4,1,0))))-BX138-2+1</f>
        <v/>
      </c>
      <c r="CE138" s="49" t="n">
        <v>5</v>
      </c>
      <c r="CF138" s="197">
        <f>CD138*CI138</f>
        <v/>
      </c>
      <c r="CG138" s="198">
        <f>F138-BY138+1</f>
        <v/>
      </c>
      <c r="CH138" s="197">
        <f>CE138*16</f>
        <v/>
      </c>
      <c r="CI138" s="199">
        <f>VLOOKUP(A138,[1]DATA!$A$6:$AI$331,34,0)</f>
        <v/>
      </c>
      <c r="CJ138" s="200">
        <f>VLOOKUP(A138,[2]CHAMCONG!A$7:CI$333,79,0)</f>
        <v/>
      </c>
      <c r="CK138" s="201">
        <f>CJ138-CA138</f>
        <v/>
      </c>
    </row>
    <row r="139" ht="15.75" customFormat="1" customHeight="1" s="68">
      <c r="A139" s="139" t="n"/>
      <c r="B139" s="64" t="n"/>
      <c r="C139" s="115" t="n"/>
      <c r="D139" s="46" t="n"/>
      <c r="E139" s="47" t="n"/>
      <c r="F139" s="48" t="n"/>
      <c r="G139" s="49" t="n"/>
      <c r="H139" s="73" t="n"/>
      <c r="I139" s="73" t="n"/>
      <c r="J139" s="73" t="n"/>
      <c r="K139" s="73" t="n"/>
      <c r="L139" s="73" t="n"/>
      <c r="M139" s="73" t="n"/>
      <c r="N139" s="73" t="n"/>
      <c r="O139" s="73" t="n"/>
      <c r="P139" s="73" t="n"/>
      <c r="Q139" s="73" t="n"/>
      <c r="R139" s="73" t="n"/>
      <c r="S139" s="49" t="n"/>
      <c r="T139" s="73" t="n"/>
      <c r="U139" s="49" t="n"/>
      <c r="V139" s="73" t="n"/>
      <c r="W139" s="49" t="n"/>
      <c r="X139" s="73" t="n"/>
      <c r="Y139" s="49" t="n"/>
      <c r="Z139" s="73" t="n"/>
      <c r="AA139" s="49" t="n"/>
      <c r="AB139" s="73" t="n"/>
      <c r="AC139" s="49" t="n"/>
      <c r="AD139" s="73" t="n"/>
      <c r="AE139" s="50" t="n"/>
      <c r="AF139" s="67" t="n"/>
      <c r="AG139" s="50" t="n"/>
      <c r="AH139" s="73" t="n"/>
      <c r="AI139" s="50" t="n"/>
      <c r="AJ139" s="73" t="n"/>
      <c r="AK139" s="50" t="n"/>
      <c r="AL139" s="73" t="n"/>
      <c r="AM139" s="50" t="n"/>
      <c r="AN139" s="73" t="n"/>
      <c r="AO139" s="50" t="n"/>
      <c r="AP139" s="73" t="n"/>
      <c r="AQ139" s="73" t="n"/>
      <c r="AR139" s="73" t="n"/>
      <c r="AS139" s="73" t="n"/>
      <c r="AT139" s="73" t="n"/>
      <c r="AU139" s="73" t="n"/>
      <c r="AV139" s="73" t="n"/>
      <c r="AW139" s="50" t="n"/>
      <c r="AX139" s="73" t="n"/>
      <c r="AY139" s="49" t="n"/>
      <c r="AZ139" s="73" t="n"/>
      <c r="BA139" s="49" t="n"/>
      <c r="BB139" s="73" t="n"/>
      <c r="BC139" s="49" t="n"/>
      <c r="BD139" s="73" t="n"/>
      <c r="BE139" s="49" t="n"/>
      <c r="BF139" s="73" t="n"/>
      <c r="BG139" s="49" t="n"/>
      <c r="BH139" s="73" t="n"/>
      <c r="BI139" s="73" t="n"/>
      <c r="BJ139" s="73" t="n"/>
      <c r="BK139" s="73" t="n"/>
      <c r="BL139" s="73" t="n"/>
      <c r="BM139" s="73" t="n"/>
      <c r="BN139" s="73" t="n"/>
      <c r="BO139" s="73" t="n"/>
      <c r="BP139" s="73" t="n"/>
      <c r="BQ139" s="195">
        <f>COUNTIF($G139:$BP139,"a")+COUNTIF($G139:$BP139,"r0,a5")/2+COUNTIF($G139:$BP139,"p5,a5")/2</f>
        <v/>
      </c>
      <c r="BR139" s="195">
        <f>COUNTIF($G139:$BP139,"d")+COUNTIF($G139:$BP139,"r0,d5")/2+COUNTIF($G139:$BP139,"p5,d5")/2</f>
        <v/>
      </c>
      <c r="BS139" s="195">
        <f>COUNTIF($G139:$BP139,"b")+COUNTIF($G139:$BP139,"r0,b5")/2+COUNTIF($G139:$BP139,"p5,b5")/2</f>
        <v/>
      </c>
      <c r="BT139" s="195">
        <f>COUNTIF($G139:$BP139,"c")+COUNTIF($G139:$BP139,"r0,c5")/2+COUNTIF($G139:$BP139,"p5,c5")/2</f>
        <v/>
      </c>
      <c r="BU139" s="195">
        <f>COUNTIF($G139:$BP139,"KH")+COUNTIF($G139:$BP139,"TL")+COUNTIF($G139:$BP139,"L")</f>
        <v/>
      </c>
      <c r="BV139" s="202" t="n"/>
      <c r="BW139" s="195">
        <f>COUNTIF($G139:$BP139,"hh")</f>
        <v/>
      </c>
      <c r="BX139" s="195">
        <f>COUNTIF($G139:$BP139,"nt7")</f>
        <v/>
      </c>
      <c r="BY139" s="195">
        <f>COUNTIF($G139:$BP139,"P")+COUNTIF($G139:$BP139,"p5,a5")/2+COUNTIF($G139:$BP139,"p5,b5")/2+COUNTIF($G139:$BP139,"p5,c5")/2+COUNTIF($G139:$BP139,"p5,d5")/2</f>
        <v/>
      </c>
      <c r="BZ139" s="203">
        <f>SUBTOTAL(9,BQ139:BY139)</f>
        <v/>
      </c>
      <c r="CA139" s="54">
        <f>SUM(J139,L139,N139,P139,R139,T139,X139,Z139,AB139,AD139,AF139,AH139,AL139,AN139,AP139,AR139,AT139,AV139,AZ139,BB139,BD139,BF139,BH139,BP139)</f>
        <v/>
      </c>
      <c r="CB139" s="55">
        <f>SUM(H139,V139,AJ139,AX139,BL139)</f>
        <v/>
      </c>
      <c r="CC139" s="56">
        <f>SUM(BJ139,BN139)</f>
        <v/>
      </c>
      <c r="CD139" s="197">
        <f>IF(BZ139&gt;25,4,IF(BZ139&gt;18,3,IF(BZ139&gt;12,2,IF(BZ139&gt;4,1,0))))-BX139-2+1</f>
        <v/>
      </c>
      <c r="CE139" s="49" t="n"/>
      <c r="CF139" s="197">
        <f>CD139*CI139</f>
        <v/>
      </c>
      <c r="CG139" s="198">
        <f>F139-BY139+1</f>
        <v/>
      </c>
      <c r="CH139" s="197">
        <f>CE139*16</f>
        <v/>
      </c>
      <c r="CI139" s="199">
        <f>VLOOKUP(A139,[1]DATA!$A$6:$AI$331,34,0)</f>
        <v/>
      </c>
      <c r="CJ139" s="200">
        <f>VLOOKUP(A139,[2]CHAMCONG!A$7:CI$333,79,0)</f>
        <v/>
      </c>
      <c r="CK139" s="201">
        <f>CJ139-CA139</f>
        <v/>
      </c>
    </row>
    <row r="140" ht="15.75" customFormat="1" customHeight="1" s="68">
      <c r="A140" s="139" t="n"/>
      <c r="B140" s="64" t="n"/>
      <c r="C140" s="115" t="n"/>
      <c r="D140" s="46" t="n"/>
      <c r="E140" s="47" t="n"/>
      <c r="F140" s="48" t="n"/>
      <c r="G140" s="49" t="n"/>
      <c r="H140" s="73" t="n"/>
      <c r="I140" s="50" t="n"/>
      <c r="J140" s="73" t="n"/>
      <c r="K140" s="50" t="n"/>
      <c r="L140" s="73" t="n"/>
      <c r="M140" s="50" t="n"/>
      <c r="N140" s="73" t="n"/>
      <c r="O140" s="50" t="n"/>
      <c r="P140" s="73" t="n"/>
      <c r="Q140" s="50" t="n"/>
      <c r="R140" s="67" t="n"/>
      <c r="S140" s="50" t="n"/>
      <c r="T140" s="73" t="n"/>
      <c r="U140" s="50" t="n"/>
      <c r="V140" s="73" t="n"/>
      <c r="W140" s="50" t="n"/>
      <c r="X140" s="73" t="n"/>
      <c r="Y140" s="50" t="n"/>
      <c r="Z140" s="73" t="n"/>
      <c r="AA140" s="50" t="n"/>
      <c r="AB140" s="73" t="n"/>
      <c r="AC140" s="50" t="n"/>
      <c r="AD140" s="73" t="n"/>
      <c r="AE140" s="50" t="n"/>
      <c r="AF140" s="67" t="n"/>
      <c r="AG140" s="50" t="n"/>
      <c r="AH140" s="73" t="n"/>
      <c r="AI140" s="50" t="n"/>
      <c r="AJ140" s="73" t="n"/>
      <c r="AK140" s="50" t="n"/>
      <c r="AL140" s="73" t="n"/>
      <c r="AM140" s="50" t="n"/>
      <c r="AN140" s="73" t="n"/>
      <c r="AO140" s="50" t="n"/>
      <c r="AP140" s="73" t="n"/>
      <c r="AQ140" s="50" t="n"/>
      <c r="AR140" s="73" t="n"/>
      <c r="AS140" s="50" t="n"/>
      <c r="AT140" s="67" t="n"/>
      <c r="AU140" s="50" t="n"/>
      <c r="AV140" s="73" t="n"/>
      <c r="AW140" s="73" t="n"/>
      <c r="AX140" s="73" t="n"/>
      <c r="AY140" s="73" t="n"/>
      <c r="AZ140" s="73" t="n"/>
      <c r="BA140" s="73" t="n"/>
      <c r="BB140" s="73" t="n"/>
      <c r="BC140" s="73" t="n"/>
      <c r="BD140" s="73" t="n"/>
      <c r="BE140" s="73" t="n"/>
      <c r="BF140" s="73" t="n"/>
      <c r="BG140" s="73" t="n"/>
      <c r="BH140" s="73" t="n"/>
      <c r="BI140" s="73" t="n"/>
      <c r="BJ140" s="73" t="n"/>
      <c r="BK140" s="73" t="n"/>
      <c r="BL140" s="73" t="n"/>
      <c r="BM140" s="73" t="n"/>
      <c r="BN140" s="73" t="n"/>
      <c r="BO140" s="73" t="n"/>
      <c r="BP140" s="73" t="n"/>
      <c r="BQ140" s="195">
        <f>COUNTIF($G140:$BP140,"a")+COUNTIF($G140:$BP140,"r0,a5")/2+COUNTIF($G140:$BP140,"p5,a5")/2</f>
        <v/>
      </c>
      <c r="BR140" s="195">
        <f>COUNTIF($G140:$BP140,"d")+COUNTIF($G140:$BP140,"r0,d5")/2+COUNTIF($G140:$BP140,"p5,d5")/2</f>
        <v/>
      </c>
      <c r="BS140" s="195">
        <f>COUNTIF($G140:$BP140,"b")+COUNTIF($G140:$BP140,"r0,b5")/2+COUNTIF($G140:$BP140,"p5,b5")/2</f>
        <v/>
      </c>
      <c r="BT140" s="195">
        <f>COUNTIF($G140:$BP140,"c")+COUNTIF($G140:$BP140,"r0,c5")/2+COUNTIF($G140:$BP140,"p5,c5")/2</f>
        <v/>
      </c>
      <c r="BU140" s="195">
        <f>COUNTIF($G140:$BP140,"KH")+COUNTIF($G140:$BP140,"TL")+COUNTIF($G140:$BP140,"L")</f>
        <v/>
      </c>
      <c r="BV140" s="202" t="n"/>
      <c r="BW140" s="195">
        <f>COUNTIF($G140:$BP140,"hh")</f>
        <v/>
      </c>
      <c r="BX140" s="195">
        <f>COUNTIF($G140:$BP140,"nt7")</f>
        <v/>
      </c>
      <c r="BY140" s="195">
        <f>COUNTIF($G140:$BP140,"P")+COUNTIF($G140:$BP140,"p5,a5")/2+COUNTIF($G140:$BP140,"p5,b5")/2+COUNTIF($G140:$BP140,"p5,c5")/2+COUNTIF($G140:$BP140,"p5,d5")/2</f>
        <v/>
      </c>
      <c r="BZ140" s="203">
        <f>SUBTOTAL(9,BQ140:BY140)</f>
        <v/>
      </c>
      <c r="CA140" s="54">
        <f>SUM(J140,L140,N140,P140,R140,T140,X140,Z140,AB140,AD140,AF140,AH140,AL140,AN140,AP140,AR140,AT140,AV140,AZ140,BB140,BD140,BF140,BH140,BP140)</f>
        <v/>
      </c>
      <c r="CB140" s="55">
        <f>SUM(H140,V140,AJ140,AX140,BL140)</f>
        <v/>
      </c>
      <c r="CC140" s="56">
        <f>SUM(BJ140,BN140)</f>
        <v/>
      </c>
      <c r="CD140" s="197" t="n"/>
      <c r="CE140" s="49" t="n">
        <v>18</v>
      </c>
      <c r="CF140" s="197">
        <f>CD140*CI140</f>
        <v/>
      </c>
      <c r="CG140" s="198">
        <f>F140-BY140+1</f>
        <v/>
      </c>
      <c r="CH140" s="197">
        <f>CE140*16</f>
        <v/>
      </c>
      <c r="CI140" s="199">
        <f>VLOOKUP(A140,[1]DATA!$A$6:$AI$331,34,0)</f>
        <v/>
      </c>
      <c r="CJ140" s="200">
        <f>VLOOKUP(A140,[2]CHAMCONG!A$7:CI$333,79,0)</f>
        <v/>
      </c>
      <c r="CK140" s="201">
        <f>CJ140-CA140</f>
        <v/>
      </c>
    </row>
    <row r="141" ht="15.75" customFormat="1" customHeight="1" s="68">
      <c r="A141" s="139" t="n"/>
      <c r="B141" s="64" t="n"/>
      <c r="C141" s="115" t="n"/>
      <c r="D141" s="46" t="n"/>
      <c r="E141" s="47" t="n"/>
      <c r="F141" s="48" t="n"/>
      <c r="G141" s="49" t="n"/>
      <c r="H141" s="73" t="n"/>
      <c r="I141" s="49" t="n"/>
      <c r="J141" s="73" t="n"/>
      <c r="K141" s="49" t="n"/>
      <c r="L141" s="73" t="n"/>
      <c r="M141" s="49" t="n"/>
      <c r="N141" s="73" t="n"/>
      <c r="O141" s="49" t="n"/>
      <c r="P141" s="73" t="n"/>
      <c r="Q141" s="73" t="n"/>
      <c r="R141" s="73" t="n"/>
      <c r="S141" s="50" t="n"/>
      <c r="T141" s="73" t="n"/>
      <c r="U141" s="50" t="n"/>
      <c r="V141" s="73" t="n"/>
      <c r="W141" s="73" t="n"/>
      <c r="X141" s="73" t="n"/>
      <c r="Y141" s="50" t="n"/>
      <c r="Z141" s="73" t="n"/>
      <c r="AA141" s="50" t="n"/>
      <c r="AB141" s="73" t="n"/>
      <c r="AC141" s="50" t="n"/>
      <c r="AD141" s="73" t="n"/>
      <c r="AE141" s="73" t="n"/>
      <c r="AF141" s="73" t="n"/>
      <c r="AG141" s="73" t="n"/>
      <c r="AH141" s="73" t="n"/>
      <c r="AI141" s="49" t="n"/>
      <c r="AJ141" s="73" t="n"/>
      <c r="AK141" s="49" t="n"/>
      <c r="AL141" s="73" t="n"/>
      <c r="AM141" s="49" t="n"/>
      <c r="AN141" s="73" t="n"/>
      <c r="AO141" s="49" t="n"/>
      <c r="AP141" s="73" t="n"/>
      <c r="AQ141" s="73" t="n"/>
      <c r="AR141" s="73" t="n"/>
      <c r="AS141" s="50" t="n"/>
      <c r="AT141" s="50" t="n"/>
      <c r="AU141" s="50" t="n"/>
      <c r="AV141" s="73" t="n"/>
      <c r="AW141" s="73" t="n"/>
      <c r="AX141" s="73" t="n"/>
      <c r="AY141" s="49" t="n"/>
      <c r="AZ141" s="73" t="n"/>
      <c r="BA141" s="49" t="n"/>
      <c r="BB141" s="73" t="n"/>
      <c r="BC141" s="49" t="n"/>
      <c r="BD141" s="73" t="n"/>
      <c r="BE141" s="49" t="n"/>
      <c r="BF141" s="73" t="n"/>
      <c r="BG141" s="49" t="n"/>
      <c r="BH141" s="73" t="n"/>
      <c r="BI141" s="73" t="n"/>
      <c r="BJ141" s="73" t="n"/>
      <c r="BK141" s="73" t="n"/>
      <c r="BL141" s="73" t="n"/>
      <c r="BM141" s="73" t="n"/>
      <c r="BN141" s="73" t="n"/>
      <c r="BO141" s="73" t="n"/>
      <c r="BP141" s="73" t="n"/>
      <c r="BQ141" s="195">
        <f>COUNTIF($G141:$BP141,"a")+COUNTIF($G141:$BP141,"r0,a5")/2+COUNTIF($G141:$BP141,"p5,a5")/2</f>
        <v/>
      </c>
      <c r="BR141" s="195">
        <f>COUNTIF($G141:$BP141,"d")+COUNTIF($G141:$BP141,"r0,d5")/2+COUNTIF($G141:$BP141,"p5,d5")/2</f>
        <v/>
      </c>
      <c r="BS141" s="195">
        <f>COUNTIF($G141:$BP141,"b")+COUNTIF($G141:$BP141,"r0,b5")/2+COUNTIF($G141:$BP141,"p5,b5")/2</f>
        <v/>
      </c>
      <c r="BT141" s="195">
        <f>COUNTIF($G141:$BP141,"c")+COUNTIF($G141:$BP141,"r0,c5")/2+COUNTIF($G141:$BP141,"p5,c5")/2</f>
        <v/>
      </c>
      <c r="BU141" s="195">
        <f>COUNTIF($G141:$BP141,"KH")+COUNTIF($G141:$BP141,"TL")+COUNTIF($G141:$BP141,"L")</f>
        <v/>
      </c>
      <c r="BV141" s="202" t="n"/>
      <c r="BW141" s="195">
        <f>COUNTIF($G141:$BP141,"hh")</f>
        <v/>
      </c>
      <c r="BX141" s="195">
        <f>COUNTIF($G141:$BP141,"nt7")</f>
        <v/>
      </c>
      <c r="BY141" s="195">
        <f>COUNTIF($G141:$BP141,"P")+COUNTIF($G141:$BP141,"p5,a5")/2+COUNTIF($G141:$BP141,"p5,b5")/2+COUNTIF($G141:$BP141,"p5,c5")/2+COUNTIF($G141:$BP141,"p5,d5")/2</f>
        <v/>
      </c>
      <c r="BZ141" s="203">
        <f>SUBTOTAL(9,BQ141:BY141)</f>
        <v/>
      </c>
      <c r="CA141" s="54">
        <f>SUM(J141,L141,N141,P141,R141,T141,X141,Z141,AB141,AD141,AF141,AH141,AL141,AN141,AP141,AR141,AT141,AV141,AZ141,BB141,BD141,BF141,BH141,BP141)</f>
        <v/>
      </c>
      <c r="CB141" s="55">
        <f>SUM(H141,V141,AJ141,AX141,BL141)</f>
        <v/>
      </c>
      <c r="CC141" s="56">
        <f>SUM(BJ141,BN141)</f>
        <v/>
      </c>
      <c r="CD141" s="197">
        <f>IF(BZ141&gt;25,4,IF(BZ141&gt;18,3,IF(BZ141&gt;12,2,IF(BZ141&gt;4,1,0))))-BX141-2+1</f>
        <v/>
      </c>
      <c r="CE141" s="49" t="n">
        <v>2</v>
      </c>
      <c r="CF141" s="197">
        <f>CD141*CI141</f>
        <v/>
      </c>
      <c r="CG141" s="198">
        <f>F141-BY141+1</f>
        <v/>
      </c>
      <c r="CH141" s="197">
        <f>CE141*16</f>
        <v/>
      </c>
      <c r="CI141" s="199">
        <f>VLOOKUP(A141,[1]DATA!$A$6:$AI$331,34,0)</f>
        <v/>
      </c>
      <c r="CJ141" s="200">
        <f>VLOOKUP(A141,[2]CHAMCONG!A$7:CI$333,79,0)</f>
        <v/>
      </c>
      <c r="CK141" s="201">
        <f>CJ141-CA141</f>
        <v/>
      </c>
    </row>
    <row r="142" ht="15.75" customFormat="1" customHeight="1" s="68">
      <c r="A142" s="139" t="n"/>
      <c r="B142" s="64" t="n"/>
      <c r="C142" s="115" t="n"/>
      <c r="D142" s="46" t="n"/>
      <c r="E142" s="47" t="n"/>
      <c r="F142" s="48" t="n"/>
      <c r="G142" s="49" t="n"/>
      <c r="H142" s="73" t="n"/>
      <c r="I142" s="50" t="n"/>
      <c r="J142" s="73" t="n"/>
      <c r="K142" s="50" t="n"/>
      <c r="L142" s="73" t="n"/>
      <c r="M142" s="50" t="n"/>
      <c r="N142" s="73" t="n"/>
      <c r="O142" s="50" t="n"/>
      <c r="P142" s="73" t="n"/>
      <c r="Q142" s="50" t="n"/>
      <c r="R142" s="67" t="n"/>
      <c r="S142" s="50" t="n"/>
      <c r="T142" s="73" t="n"/>
      <c r="U142" s="49" t="n"/>
      <c r="V142" s="73" t="n"/>
      <c r="W142" s="50" t="n"/>
      <c r="X142" s="73" t="n"/>
      <c r="Y142" s="50" t="n"/>
      <c r="Z142" s="73" t="n"/>
      <c r="AA142" s="50" t="n"/>
      <c r="AB142" s="73" t="n"/>
      <c r="AC142" s="50" t="n"/>
      <c r="AD142" s="73" t="n"/>
      <c r="AE142" s="50" t="n"/>
      <c r="AF142" s="67" t="n"/>
      <c r="AG142" s="50" t="n"/>
      <c r="AH142" s="73" t="n"/>
      <c r="AI142" s="73" t="n"/>
      <c r="AJ142" s="73" t="n"/>
      <c r="AK142" s="50" t="n"/>
      <c r="AL142" s="73" t="n"/>
      <c r="AM142" s="50" t="n"/>
      <c r="AN142" s="73" t="n"/>
      <c r="AO142" s="50" t="n"/>
      <c r="AP142" s="73" t="n"/>
      <c r="AQ142" s="73" t="n"/>
      <c r="AR142" s="73" t="n"/>
      <c r="AS142" s="73" t="n"/>
      <c r="AT142" s="73" t="n"/>
      <c r="AU142" s="73" t="n"/>
      <c r="AV142" s="73" t="n"/>
      <c r="AW142" s="73" t="n"/>
      <c r="AX142" s="73" t="n"/>
      <c r="AY142" s="73" t="n"/>
      <c r="AZ142" s="73" t="n"/>
      <c r="BA142" s="73" t="n"/>
      <c r="BB142" s="73" t="n"/>
      <c r="BC142" s="73" t="n"/>
      <c r="BD142" s="73" t="n"/>
      <c r="BE142" s="73" t="n"/>
      <c r="BF142" s="73" t="n"/>
      <c r="BG142" s="73" t="n"/>
      <c r="BH142" s="73" t="n"/>
      <c r="BI142" s="73" t="n"/>
      <c r="BJ142" s="73" t="n"/>
      <c r="BK142" s="73" t="n"/>
      <c r="BL142" s="73" t="n"/>
      <c r="BM142" s="73" t="n"/>
      <c r="BN142" s="73" t="n"/>
      <c r="BO142" s="73" t="n"/>
      <c r="BP142" s="73" t="n"/>
      <c r="BQ142" s="195">
        <f>COUNTIF($G142:$BP142,"a")+COUNTIF($G142:$BP142,"r0,a5")/2+COUNTIF($G142:$BP142,"p5,a5")/2</f>
        <v/>
      </c>
      <c r="BR142" s="195">
        <f>COUNTIF($G142:$BP142,"d")+COUNTIF($G142:$BP142,"r0,d5")/2+COUNTIF($G142:$BP142,"p5,d5")/2</f>
        <v/>
      </c>
      <c r="BS142" s="195">
        <f>COUNTIF($G142:$BP142,"b")+COUNTIF($G142:$BP142,"r0,b5")/2+COUNTIF($G142:$BP142,"p5,b5")/2</f>
        <v/>
      </c>
      <c r="BT142" s="195">
        <f>COUNTIF($G142:$BP142,"c")+COUNTIF($G142:$BP142,"r0,c5")/2+COUNTIF($G142:$BP142,"p5,c5")/2</f>
        <v/>
      </c>
      <c r="BU142" s="195">
        <f>COUNTIF($G142:$BP142,"KH")+COUNTIF($G142:$BP142,"TL")+COUNTIF($G142:$BP142,"L")</f>
        <v/>
      </c>
      <c r="BV142" s="202" t="n"/>
      <c r="BW142" s="195">
        <f>COUNTIF($G142:$BP142,"hh")</f>
        <v/>
      </c>
      <c r="BX142" s="195">
        <f>COUNTIF($G142:$BP142,"nt7")</f>
        <v/>
      </c>
      <c r="BY142" s="195">
        <f>COUNTIF($G142:$BP142,"P")+COUNTIF($G142:$BP142,"p5,a5")/2+COUNTIF($G142:$BP142,"p5,b5")/2+COUNTIF($G142:$BP142,"p5,c5")/2+COUNTIF($G142:$BP142,"p5,d5")/2</f>
        <v/>
      </c>
      <c r="BZ142" s="203">
        <f>SUBTOTAL(9,BQ142:BY142)</f>
        <v/>
      </c>
      <c r="CA142" s="54">
        <f>SUM(J142,L142,N142,P142,R142,T142,X142,Z142,AB142,AD142,AF142,AH142,AL142,AN142,AP142,AR142,AT142,AV142,AZ142,BB142,BD142,BF142,BH142,BP142)</f>
        <v/>
      </c>
      <c r="CB142" s="55">
        <f>SUM(H142,V142,AJ142,AX142,BL142)</f>
        <v/>
      </c>
      <c r="CC142" s="56">
        <f>SUM(BJ142,BN142)</f>
        <v/>
      </c>
      <c r="CD142" s="197" t="n"/>
      <c r="CE142" s="49" t="n">
        <v>15</v>
      </c>
      <c r="CF142" s="197">
        <f>CD142*CI142</f>
        <v/>
      </c>
      <c r="CG142" s="198">
        <f>F142-BY142+1</f>
        <v/>
      </c>
      <c r="CH142" s="197">
        <f>CE142*16</f>
        <v/>
      </c>
      <c r="CI142" s="199">
        <f>VLOOKUP(A142,[1]DATA!$A$6:$AI$331,34,0)</f>
        <v/>
      </c>
      <c r="CJ142" s="200">
        <f>VLOOKUP(A142,[2]CHAMCONG!A$7:CI$333,79,0)</f>
        <v/>
      </c>
      <c r="CK142" s="201">
        <f>CJ142-CA142</f>
        <v/>
      </c>
    </row>
    <row r="143" ht="15.75" customFormat="1" customHeight="1" s="68">
      <c r="A143" s="139" t="n"/>
      <c r="B143" s="64" t="n"/>
      <c r="C143" s="115" t="n"/>
      <c r="D143" s="46" t="n"/>
      <c r="E143" s="47" t="n"/>
      <c r="F143" s="48" t="n"/>
      <c r="G143" s="49" t="n"/>
      <c r="H143" s="73" t="n"/>
      <c r="I143" s="73" t="n"/>
      <c r="J143" s="73" t="n"/>
      <c r="K143" s="73" t="n"/>
      <c r="L143" s="73" t="n"/>
      <c r="M143" s="73" t="n"/>
      <c r="N143" s="73" t="n"/>
      <c r="O143" s="73" t="n"/>
      <c r="P143" s="73" t="n"/>
      <c r="Q143" s="73" t="n"/>
      <c r="R143" s="73" t="n"/>
      <c r="S143" s="73" t="n"/>
      <c r="T143" s="73" t="n"/>
      <c r="U143" s="49" t="n"/>
      <c r="V143" s="73" t="n"/>
      <c r="W143" s="50" t="n"/>
      <c r="X143" s="73" t="n"/>
      <c r="Y143" s="73" t="n"/>
      <c r="Z143" s="73" t="n"/>
      <c r="AA143" s="50" t="n"/>
      <c r="AB143" s="73" t="n"/>
      <c r="AC143" s="50" t="n"/>
      <c r="AD143" s="73" t="n"/>
      <c r="AE143" s="50" t="n"/>
      <c r="AF143" s="50" t="n"/>
      <c r="AG143" s="73" t="n"/>
      <c r="AH143" s="73" t="n"/>
      <c r="AI143" s="73" t="n"/>
      <c r="AJ143" s="73" t="n"/>
      <c r="AK143" s="50" t="n"/>
      <c r="AL143" s="73" t="n"/>
      <c r="AM143" s="50" t="n"/>
      <c r="AN143" s="73" t="n"/>
      <c r="AO143" s="50" t="n"/>
      <c r="AP143" s="73" t="n"/>
      <c r="AQ143" s="50" t="n"/>
      <c r="AR143" s="73" t="n"/>
      <c r="AS143" s="50" t="n"/>
      <c r="AT143" s="50" t="n"/>
      <c r="AU143" s="50" t="n"/>
      <c r="AV143" s="73" t="n"/>
      <c r="AW143" s="73" t="n"/>
      <c r="AX143" s="73" t="n"/>
      <c r="AY143" s="50" t="n"/>
      <c r="AZ143" s="73" t="n"/>
      <c r="BA143" s="50" t="n"/>
      <c r="BB143" s="73" t="n"/>
      <c r="BC143" s="50" t="n"/>
      <c r="BD143" s="73" t="n"/>
      <c r="BE143" s="50" t="n"/>
      <c r="BF143" s="73" t="n"/>
      <c r="BG143" s="50" t="n"/>
      <c r="BH143" s="50" t="n"/>
      <c r="BI143" s="73" t="n"/>
      <c r="BJ143" s="73" t="n"/>
      <c r="BK143" s="73" t="n"/>
      <c r="BL143" s="73" t="n"/>
      <c r="BM143" s="73" t="n"/>
      <c r="BN143" s="73" t="n"/>
      <c r="BO143" s="73" t="n"/>
      <c r="BP143" s="73" t="n"/>
      <c r="BQ143" s="195">
        <f>COUNTIF($G143:$BP143,"a")+COUNTIF($G143:$BP143,"r0,a5")/2+COUNTIF($G143:$BP143,"p5,a5")/2</f>
        <v/>
      </c>
      <c r="BR143" s="195">
        <f>COUNTIF($G143:$BP143,"d")+COUNTIF($G143:$BP143,"r0,d5")/2+COUNTIF($G143:$BP143,"p5,d5")/2</f>
        <v/>
      </c>
      <c r="BS143" s="195">
        <f>COUNTIF($G143:$BP143,"b")+COUNTIF($G143:$BP143,"r0,b5")/2+COUNTIF($G143:$BP143,"p5,b5")/2</f>
        <v/>
      </c>
      <c r="BT143" s="195">
        <f>COUNTIF($G143:$BP143,"c")+COUNTIF($G143:$BP143,"r0,c5")/2+COUNTIF($G143:$BP143,"p5,c5")/2</f>
        <v/>
      </c>
      <c r="BU143" s="195">
        <f>COUNTIF($G143:$BP143,"KH")+COUNTIF($G143:$BP143,"TL")+COUNTIF($G143:$BP143,"L")</f>
        <v/>
      </c>
      <c r="BV143" s="202" t="n"/>
      <c r="BW143" s="195">
        <f>COUNTIF($G143:$BP143,"hh")</f>
        <v/>
      </c>
      <c r="BX143" s="195">
        <f>COUNTIF($G143:$BP143,"nt7")</f>
        <v/>
      </c>
      <c r="BY143" s="195">
        <f>COUNTIF($G143:$BP143,"P")+COUNTIF($G143:$BP143,"p5,a5")/2+COUNTIF($G143:$BP143,"p5,b5")/2+COUNTIF($G143:$BP143,"p5,c5")/2+COUNTIF($G143:$BP143,"p5,d5")/2</f>
        <v/>
      </c>
      <c r="BZ143" s="203">
        <f>SUBTOTAL(9,BQ143:BY143)</f>
        <v/>
      </c>
      <c r="CA143" s="54">
        <f>SUM(J143,L143,N143,P143,R143,T143,X143,Z143,AB143,AD143,AF143,AH143,AL143,AN143,AP143,AR143,AT143,AV143,AZ143,BB143,BD143,BF143,BH143,BP143)</f>
        <v/>
      </c>
      <c r="CB143" s="55">
        <f>SUM(H143,V143,AJ143,AX143,BL143)</f>
        <v/>
      </c>
      <c r="CC143" s="56">
        <f>SUM(BJ143,BN143)</f>
        <v/>
      </c>
      <c r="CD143" s="197">
        <f>IF(BZ143&gt;25,4,IF(BZ143&gt;18,3,IF(BZ143&gt;12,2,IF(BZ143&gt;4,1,0))))-BX143-2+1</f>
        <v/>
      </c>
      <c r="CE143" s="49" t="n"/>
      <c r="CF143" s="197">
        <f>CD143*CI143</f>
        <v/>
      </c>
      <c r="CG143" s="198">
        <f>F143-BY143+1</f>
        <v/>
      </c>
      <c r="CH143" s="197">
        <f>CE143*16</f>
        <v/>
      </c>
      <c r="CI143" s="199">
        <f>VLOOKUP(A143,[1]DATA!$A$6:$AI$331,34,0)</f>
        <v/>
      </c>
      <c r="CJ143" s="200">
        <f>VLOOKUP(A143,[2]CHAMCONG!A$7:CI$333,79,0)</f>
        <v/>
      </c>
      <c r="CK143" s="201">
        <f>CJ143-CA143</f>
        <v/>
      </c>
    </row>
    <row r="144" ht="15.75" customFormat="1" customHeight="1" s="68">
      <c r="A144" s="139" t="n"/>
      <c r="B144" s="64" t="n"/>
      <c r="C144" s="115" t="n"/>
      <c r="D144" s="46" t="n"/>
      <c r="E144" s="47" t="n"/>
      <c r="F144" s="48" t="n"/>
      <c r="G144" s="49" t="n"/>
      <c r="H144" s="73" t="n"/>
      <c r="I144" s="50" t="n"/>
      <c r="J144" s="73" t="n"/>
      <c r="K144" s="73" t="n"/>
      <c r="L144" s="73" t="n"/>
      <c r="M144" s="73" t="n"/>
      <c r="N144" s="73" t="n"/>
      <c r="O144" s="73" t="n"/>
      <c r="P144" s="73" t="n"/>
      <c r="Q144" s="50" t="n"/>
      <c r="R144" s="67" t="n"/>
      <c r="S144" s="49" t="n"/>
      <c r="T144" s="73" t="n"/>
      <c r="U144" s="49" t="n"/>
      <c r="V144" s="73" t="n"/>
      <c r="W144" s="49" t="n"/>
      <c r="X144" s="73" t="n"/>
      <c r="Y144" s="49" t="n"/>
      <c r="Z144" s="73" t="n"/>
      <c r="AA144" s="49" t="n"/>
      <c r="AB144" s="73" t="n"/>
      <c r="AC144" s="49" t="n"/>
      <c r="AD144" s="73" t="n"/>
      <c r="AE144" s="50" t="n"/>
      <c r="AF144" s="67" t="n"/>
      <c r="AG144" s="50" t="n"/>
      <c r="AH144" s="73" t="n"/>
      <c r="AI144" s="50" t="n"/>
      <c r="AJ144" s="73" t="n"/>
      <c r="AK144" s="73" t="n"/>
      <c r="AL144" s="73" t="n"/>
      <c r="AM144" s="50" t="n"/>
      <c r="AN144" s="73" t="n"/>
      <c r="AO144" s="50" t="n"/>
      <c r="AP144" s="73" t="n"/>
      <c r="AQ144" s="73" t="n"/>
      <c r="AR144" s="73" t="n"/>
      <c r="AS144" s="73" t="n"/>
      <c r="AT144" s="73" t="n"/>
      <c r="AU144" s="73" t="n"/>
      <c r="AV144" s="73" t="n"/>
      <c r="AW144" s="73" t="n"/>
      <c r="AX144" s="73" t="n"/>
      <c r="AY144" s="49" t="n"/>
      <c r="AZ144" s="73" t="n"/>
      <c r="BA144" s="49" t="n"/>
      <c r="BB144" s="73" t="n"/>
      <c r="BC144" s="49" t="n"/>
      <c r="BD144" s="73" t="n"/>
      <c r="BE144" s="49" t="n"/>
      <c r="BF144" s="73" t="n"/>
      <c r="BG144" s="49" t="n"/>
      <c r="BH144" s="73" t="n"/>
      <c r="BI144" s="73" t="n"/>
      <c r="BJ144" s="73" t="n"/>
      <c r="BK144" s="73" t="n"/>
      <c r="BL144" s="73" t="n"/>
      <c r="BM144" s="73" t="n"/>
      <c r="BN144" s="73" t="n"/>
      <c r="BO144" s="73" t="n"/>
      <c r="BP144" s="73" t="n"/>
      <c r="BQ144" s="195">
        <f>COUNTIF($G144:$BP144,"a")+COUNTIF($G144:$BP144,"r0,a5")/2+COUNTIF($G144:$BP144,"p5,a5")/2</f>
        <v/>
      </c>
      <c r="BR144" s="195">
        <f>COUNTIF($G144:$BP144,"d")+COUNTIF($G144:$BP144,"r0,d5")/2+COUNTIF($G144:$BP144,"p5,d5")/2</f>
        <v/>
      </c>
      <c r="BS144" s="195">
        <f>COUNTIF($G144:$BP144,"b")+COUNTIF($G144:$BP144,"r0,b5")/2+COUNTIF($G144:$BP144,"p5,b5")/2</f>
        <v/>
      </c>
      <c r="BT144" s="195">
        <f>COUNTIF($G144:$BP144,"c")+COUNTIF($G144:$BP144,"r0,c5")/2+COUNTIF($G144:$BP144,"p5,c5")/2</f>
        <v/>
      </c>
      <c r="BU144" s="195">
        <f>COUNTIF($G144:$BP144,"KH")+COUNTIF($G144:$BP144,"TL")+COUNTIF($G144:$BP144,"L")</f>
        <v/>
      </c>
      <c r="BV144" s="202" t="n"/>
      <c r="BW144" s="195">
        <f>COUNTIF($G144:$BP144,"hh")</f>
        <v/>
      </c>
      <c r="BX144" s="195">
        <f>COUNTIF($G144:$BP144,"nt7")</f>
        <v/>
      </c>
      <c r="BY144" s="195">
        <f>COUNTIF($G144:$BP144,"P")+COUNTIF($G144:$BP144,"p5,a5")/2+COUNTIF($G144:$BP144,"p5,b5")/2+COUNTIF($G144:$BP144,"p5,c5")/2+COUNTIF($G144:$BP144,"p5,d5")/2</f>
        <v/>
      </c>
      <c r="BZ144" s="203">
        <f>SUBTOTAL(9,BQ144:BY144)</f>
        <v/>
      </c>
      <c r="CA144" s="54">
        <f>SUM(J144,L144,N144,P144,R144,T144,X144,Z144,AB144,AD144,AF144,AH144,AL144,AN144,AP144,AR144,AT144,AV144,AZ144,BB144,BD144,BF144,BH144,BP144)</f>
        <v/>
      </c>
      <c r="CB144" s="55">
        <f>SUM(H144,V144,AJ144,AX144,BL144)</f>
        <v/>
      </c>
      <c r="CC144" s="56">
        <f>SUM(BJ144,BN144)</f>
        <v/>
      </c>
      <c r="CD144" s="197">
        <f>IF(BZ144&gt;25,4,IF(BZ144&gt;18,3,IF(BZ144&gt;12,2,IF(BZ144&gt;4,1,0))))-BX144-2+1</f>
        <v/>
      </c>
      <c r="CE144" s="49" t="n"/>
      <c r="CF144" s="197">
        <f>CD144*CI144</f>
        <v/>
      </c>
      <c r="CG144" s="198">
        <f>F144-BY144+1</f>
        <v/>
      </c>
      <c r="CH144" s="197">
        <f>CE144*16</f>
        <v/>
      </c>
      <c r="CI144" s="199">
        <f>VLOOKUP(A144,[1]DATA!$A$6:$AI$331,34,0)</f>
        <v/>
      </c>
      <c r="CJ144" s="200">
        <f>VLOOKUP(A144,[2]CHAMCONG!A$7:CI$333,79,0)</f>
        <v/>
      </c>
      <c r="CK144" s="201">
        <f>CJ144-CA144</f>
        <v/>
      </c>
    </row>
    <row r="145" ht="15.75" customFormat="1" customHeight="1" s="68">
      <c r="A145" s="139" t="n"/>
      <c r="B145" s="64" t="n"/>
      <c r="C145" s="115" t="n"/>
      <c r="D145" s="46" t="n"/>
      <c r="E145" s="47" t="n"/>
      <c r="F145" s="48" t="n"/>
      <c r="G145" s="49" t="n"/>
      <c r="H145" s="73" t="n"/>
      <c r="I145" s="50" t="n"/>
      <c r="J145" s="73" t="n"/>
      <c r="K145" s="73" t="n"/>
      <c r="L145" s="73" t="n"/>
      <c r="M145" s="73" t="n"/>
      <c r="N145" s="73" t="n"/>
      <c r="O145" s="50" t="n"/>
      <c r="P145" s="73" t="n"/>
      <c r="Q145" s="73" t="n"/>
      <c r="R145" s="73" t="n"/>
      <c r="S145" s="73" t="n"/>
      <c r="T145" s="73" t="n"/>
      <c r="U145" s="49" t="n"/>
      <c r="V145" s="73" t="n"/>
      <c r="W145" s="73" t="n"/>
      <c r="X145" s="73" t="n"/>
      <c r="Y145" s="73" t="n"/>
      <c r="Z145" s="73" t="n"/>
      <c r="AA145" s="73" t="n"/>
      <c r="AB145" s="73" t="n"/>
      <c r="AC145" s="73" t="n"/>
      <c r="AD145" s="73" t="n"/>
      <c r="AE145" s="73" t="n"/>
      <c r="AF145" s="73" t="n"/>
      <c r="AG145" s="73" t="n"/>
      <c r="AH145" s="73" t="n"/>
      <c r="AI145" s="73" t="n"/>
      <c r="AJ145" s="73" t="n"/>
      <c r="AK145" s="49" t="n"/>
      <c r="AL145" s="73" t="n"/>
      <c r="AM145" s="49" t="n"/>
      <c r="AN145" s="73" t="n"/>
      <c r="AO145" s="49" t="n"/>
      <c r="AP145" s="73" t="n"/>
      <c r="AQ145" s="49" t="n"/>
      <c r="AR145" s="73" t="n"/>
      <c r="AS145" s="49" t="n"/>
      <c r="AT145" s="73" t="n"/>
      <c r="AU145" s="49" t="n"/>
      <c r="AV145" s="73" t="n"/>
      <c r="AW145" s="73" t="n"/>
      <c r="AX145" s="73" t="n"/>
      <c r="AY145" s="73" t="n"/>
      <c r="AZ145" s="73" t="n"/>
      <c r="BA145" s="73" t="n"/>
      <c r="BB145" s="73" t="n"/>
      <c r="BC145" s="73" t="n"/>
      <c r="BD145" s="73" t="n"/>
      <c r="BE145" s="73" t="n"/>
      <c r="BF145" s="73" t="n"/>
      <c r="BG145" s="73" t="n"/>
      <c r="BH145" s="73" t="n"/>
      <c r="BI145" s="73" t="n"/>
      <c r="BJ145" s="73" t="n"/>
      <c r="BK145" s="73" t="n"/>
      <c r="BL145" s="73" t="n"/>
      <c r="BM145" s="73" t="n"/>
      <c r="BN145" s="73" t="n"/>
      <c r="BO145" s="73" t="n"/>
      <c r="BP145" s="73" t="n"/>
      <c r="BQ145" s="195">
        <f>COUNTIF($G145:$BP145,"a")+COUNTIF($G145:$BP145,"r0,a5")/2+COUNTIF($G145:$BP145,"p5,a5")/2</f>
        <v/>
      </c>
      <c r="BR145" s="195">
        <f>COUNTIF($G145:$BP145,"d")+COUNTIF($G145:$BP145,"r0,d5")/2+COUNTIF($G145:$BP145,"p5,d5")/2</f>
        <v/>
      </c>
      <c r="BS145" s="195">
        <f>COUNTIF($G145:$BP145,"b")+COUNTIF($G145:$BP145,"r0,b5")/2+COUNTIF($G145:$BP145,"p5,b5")/2</f>
        <v/>
      </c>
      <c r="BT145" s="195">
        <f>COUNTIF($G145:$BP145,"c")+COUNTIF($G145:$BP145,"r0,c5")/2+COUNTIF($G145:$BP145,"p5,c5")/2</f>
        <v/>
      </c>
      <c r="BU145" s="195">
        <f>COUNTIF($G145:$BP145,"KH")+COUNTIF($G145:$BP145,"TL")+COUNTIF($G145:$BP145,"L")</f>
        <v/>
      </c>
      <c r="BV145" s="202" t="n"/>
      <c r="BW145" s="195">
        <f>COUNTIF($G145:$BP145,"hh")</f>
        <v/>
      </c>
      <c r="BX145" s="195">
        <f>COUNTIF($G145:$BP145,"nt7")</f>
        <v/>
      </c>
      <c r="BY145" s="195">
        <f>COUNTIF($G145:$BP145,"P")+COUNTIF($G145:$BP145,"p5,a5")/2+COUNTIF($G145:$BP145,"p5,b5")/2+COUNTIF($G145:$BP145,"p5,c5")/2+COUNTIF($G145:$BP145,"p5,d5")/2</f>
        <v/>
      </c>
      <c r="BZ145" s="203">
        <f>SUBTOTAL(9,BQ145:BY145)</f>
        <v/>
      </c>
      <c r="CA145" s="54">
        <f>SUM(J145,L145,N145,P145,R145,T145,X145,Z145,AB145,AD145,AF145,AH145,AL145,AN145,AP145,AR145,AT145,AV145,AZ145,BB145,BD145,BF145,BH145,BP145)</f>
        <v/>
      </c>
      <c r="CB145" s="55">
        <f>SUM(H145,V145,AJ145,AX145,BL145)</f>
        <v/>
      </c>
      <c r="CC145" s="56">
        <f>SUM(BJ145,BN145)</f>
        <v/>
      </c>
      <c r="CD145" s="197">
        <f>IF(BZ145&gt;25,4,IF(BZ145&gt;18,3,IF(BZ145&gt;12,2,IF(BZ145&gt;4,1,0))))-BX145-2+1</f>
        <v/>
      </c>
      <c r="CE145" s="49" t="n">
        <v>3</v>
      </c>
      <c r="CF145" s="197">
        <f>CD145*CI145</f>
        <v/>
      </c>
      <c r="CG145" s="198">
        <f>F145-BY145+1</f>
        <v/>
      </c>
      <c r="CH145" s="197">
        <f>CE145*16</f>
        <v/>
      </c>
      <c r="CI145" s="199">
        <f>VLOOKUP(A145,[1]DATA!$A$6:$AI$331,34,0)</f>
        <v/>
      </c>
      <c r="CJ145" s="200">
        <f>VLOOKUP(A145,[2]CHAMCONG!A$7:CI$333,79,0)</f>
        <v/>
      </c>
      <c r="CK145" s="201">
        <f>CJ145-CA145</f>
        <v/>
      </c>
    </row>
    <row r="146" ht="15.75" customFormat="1" customHeight="1" s="68">
      <c r="A146" s="139" t="n"/>
      <c r="B146" s="64" t="n"/>
      <c r="C146" s="115" t="n"/>
      <c r="D146" s="46" t="n"/>
      <c r="E146" s="47" t="n"/>
      <c r="F146" s="48" t="n"/>
      <c r="G146" s="49" t="n"/>
      <c r="H146" s="73" t="n"/>
      <c r="I146" s="50" t="n"/>
      <c r="J146" s="73" t="n"/>
      <c r="K146" s="50" t="n"/>
      <c r="L146" s="73" t="n"/>
      <c r="M146" s="50" t="n"/>
      <c r="N146" s="73" t="n"/>
      <c r="O146" s="50" t="n"/>
      <c r="P146" s="73" t="n"/>
      <c r="Q146" s="50" t="n"/>
      <c r="R146" s="73" t="n"/>
      <c r="S146" s="50" t="n"/>
      <c r="T146" s="73" t="n"/>
      <c r="U146" s="50" t="n"/>
      <c r="V146" s="73" t="n"/>
      <c r="W146" s="50" t="n"/>
      <c r="X146" s="73" t="n"/>
      <c r="Y146" s="50" t="n"/>
      <c r="Z146" s="73" t="n"/>
      <c r="AA146" s="50" t="n"/>
      <c r="AB146" s="73" t="n"/>
      <c r="AC146" s="50" t="n"/>
      <c r="AD146" s="73" t="n"/>
      <c r="AE146" s="50" t="n"/>
      <c r="AF146" s="73" t="n"/>
      <c r="AG146" s="50" t="n"/>
      <c r="AH146" s="73" t="n"/>
      <c r="AI146" s="50" t="n"/>
      <c r="AJ146" s="73" t="n"/>
      <c r="AK146" s="50" t="n"/>
      <c r="AL146" s="73" t="n"/>
      <c r="AM146" s="50" t="n"/>
      <c r="AN146" s="73" t="n"/>
      <c r="AO146" s="50" t="n"/>
      <c r="AP146" s="73" t="n"/>
      <c r="AQ146" s="50" t="n"/>
      <c r="AR146" s="73" t="n"/>
      <c r="AS146" s="50" t="n"/>
      <c r="AT146" s="73" t="n"/>
      <c r="AU146" s="50" t="n"/>
      <c r="AV146" s="73" t="n"/>
      <c r="AW146" s="73" t="n"/>
      <c r="AX146" s="73" t="n"/>
      <c r="AY146" s="50" t="n"/>
      <c r="AZ146" s="73" t="n"/>
      <c r="BA146" s="50" t="n"/>
      <c r="BB146" s="73" t="n"/>
      <c r="BC146" s="50" t="n"/>
      <c r="BD146" s="73" t="n"/>
      <c r="BE146" s="50" t="n"/>
      <c r="BF146" s="73" t="n"/>
      <c r="BG146" s="50" t="n"/>
      <c r="BH146" s="73" t="n"/>
      <c r="BI146" s="73" t="n"/>
      <c r="BJ146" s="73" t="n"/>
      <c r="BK146" s="73" t="n"/>
      <c r="BL146" s="73" t="n"/>
      <c r="BM146" s="73" t="n"/>
      <c r="BN146" s="73" t="n"/>
      <c r="BO146" s="73" t="n"/>
      <c r="BP146" s="73" t="n"/>
      <c r="BQ146" s="195">
        <f>COUNTIF($G146:$BP146,"a")+COUNTIF($G146:$BP146,"r0,a5")/2+COUNTIF($G146:$BP146,"p5,a5")/2</f>
        <v/>
      </c>
      <c r="BR146" s="195">
        <f>COUNTIF($G146:$BP146,"d")+COUNTIF($G146:$BP146,"r0,d5")/2+COUNTIF($G146:$BP146,"p5,d5")/2</f>
        <v/>
      </c>
      <c r="BS146" s="195">
        <f>COUNTIF($G146:$BP146,"b")+COUNTIF($G146:$BP146,"r0,b5")/2+COUNTIF($G146:$BP146,"p5,b5")/2</f>
        <v/>
      </c>
      <c r="BT146" s="195">
        <f>COUNTIF($G146:$BP146,"c")+COUNTIF($G146:$BP146,"r0,c5")/2+COUNTIF($G146:$BP146,"p5,c5")/2</f>
        <v/>
      </c>
      <c r="BU146" s="195">
        <f>COUNTIF($G146:$BP146,"KH")+COUNTIF($G146:$BP146,"TL")+COUNTIF($G146:$BP146,"L")</f>
        <v/>
      </c>
      <c r="BV146" s="202" t="n"/>
      <c r="BW146" s="195">
        <f>COUNTIF($G146:$BP146,"hh")</f>
        <v/>
      </c>
      <c r="BX146" s="195">
        <f>COUNTIF($G146:$BP146,"nt7")</f>
        <v/>
      </c>
      <c r="BY146" s="195">
        <f>COUNTIF($G146:$BP146,"P")+COUNTIF($G146:$BP146,"p5,a5")/2+COUNTIF($G146:$BP146,"p5,b5")/2+COUNTIF($G146:$BP146,"p5,c5")/2+COUNTIF($G146:$BP146,"p5,d5")/2</f>
        <v/>
      </c>
      <c r="BZ146" s="203">
        <f>SUBTOTAL(9,BQ146:BY146)</f>
        <v/>
      </c>
      <c r="CA146" s="54">
        <f>SUM(J146,L146,N146,P146,R146,T146,X146,Z146,AB146,AD146,AF146,AH146,AL146,AN146,AP146,AR146,AT146,AV146,AZ146,BB146,BD146,BF146,BH146,BP146)</f>
        <v/>
      </c>
      <c r="CB146" s="55">
        <f>SUM(H146,V146,AJ146,AX146,BL146)</f>
        <v/>
      </c>
      <c r="CC146" s="56">
        <f>SUM(BJ146,BN146)</f>
        <v/>
      </c>
      <c r="CD146" s="197" t="n"/>
      <c r="CE146" s="49" t="n">
        <v>17</v>
      </c>
      <c r="CF146" s="197">
        <f>CD146*CI146</f>
        <v/>
      </c>
      <c r="CG146" s="198">
        <f>F146-BY146+1</f>
        <v/>
      </c>
      <c r="CH146" s="197">
        <f>CE146*16</f>
        <v/>
      </c>
      <c r="CI146" s="199">
        <f>VLOOKUP(A146,[1]DATA!$A$6:$AI$331,34,0)</f>
        <v/>
      </c>
      <c r="CJ146" s="200">
        <f>VLOOKUP(A146,[2]CHAMCONG!A$7:CI$333,79,0)</f>
        <v/>
      </c>
      <c r="CK146" s="201">
        <f>CJ146-CA146</f>
        <v/>
      </c>
    </row>
    <row r="147" ht="15.75" customFormat="1" customHeight="1" s="68">
      <c r="A147" s="139" t="n"/>
      <c r="B147" s="64" t="n"/>
      <c r="C147" s="115" t="n"/>
      <c r="D147" s="46" t="n"/>
      <c r="E147" s="47" t="n"/>
      <c r="F147" s="48" t="n"/>
      <c r="G147" s="49" t="n"/>
      <c r="H147" s="73" t="n"/>
      <c r="I147" s="50" t="n"/>
      <c r="J147" s="73" t="n"/>
      <c r="K147" s="50" t="n"/>
      <c r="L147" s="73" t="n"/>
      <c r="M147" s="50" t="n"/>
      <c r="N147" s="73" t="n"/>
      <c r="O147" s="50" t="n"/>
      <c r="P147" s="73" t="n"/>
      <c r="Q147" s="50" t="n"/>
      <c r="R147" s="67" t="n"/>
      <c r="S147" s="50" t="n"/>
      <c r="T147" s="73" t="n"/>
      <c r="U147" s="50" t="n"/>
      <c r="V147" s="73" t="n"/>
      <c r="W147" s="50" t="n"/>
      <c r="X147" s="73" t="n"/>
      <c r="Y147" s="50" t="n"/>
      <c r="Z147" s="73" t="n"/>
      <c r="AA147" s="50" t="n"/>
      <c r="AB147" s="73" t="n"/>
      <c r="AC147" s="50" t="n"/>
      <c r="AD147" s="73" t="n"/>
      <c r="AE147" s="50" t="n"/>
      <c r="AF147" s="67" t="n"/>
      <c r="AG147" s="50" t="n"/>
      <c r="AH147" s="73" t="n"/>
      <c r="AI147" s="50" t="n"/>
      <c r="AJ147" s="73" t="n"/>
      <c r="AK147" s="50" t="n"/>
      <c r="AL147" s="73" t="n"/>
      <c r="AM147" s="50" t="n"/>
      <c r="AN147" s="73" t="n"/>
      <c r="AO147" s="50" t="n"/>
      <c r="AP147" s="73" t="n"/>
      <c r="AQ147" s="50" t="n"/>
      <c r="AR147" s="73" t="n"/>
      <c r="AS147" s="50" t="n"/>
      <c r="AT147" s="67" t="n"/>
      <c r="AU147" s="50" t="n"/>
      <c r="AV147" s="73" t="n"/>
      <c r="AW147" s="73" t="n"/>
      <c r="AX147" s="73" t="n"/>
      <c r="AY147" s="50" t="n"/>
      <c r="AZ147" s="73" t="n"/>
      <c r="BA147" s="50" t="n"/>
      <c r="BB147" s="73" t="n"/>
      <c r="BC147" s="50" t="n"/>
      <c r="BD147" s="73" t="n"/>
      <c r="BE147" s="50" t="n"/>
      <c r="BF147" s="73" t="n"/>
      <c r="BG147" s="50" t="n"/>
      <c r="BH147" s="67" t="n"/>
      <c r="BI147" s="73" t="n"/>
      <c r="BJ147" s="73" t="n"/>
      <c r="BK147" s="49" t="n"/>
      <c r="BL147" s="73" t="n"/>
      <c r="BM147" s="73" t="n"/>
      <c r="BN147" s="73" t="n"/>
      <c r="BO147" s="73" t="n"/>
      <c r="BP147" s="73" t="n"/>
      <c r="BQ147" s="195">
        <f>COUNTIF($G147:$BP147,"a")+COUNTIF($G147:$BP147,"r0,a5")/2+COUNTIF($G147:$BP147,"p5,a5")/2</f>
        <v/>
      </c>
      <c r="BR147" s="195">
        <f>COUNTIF($G147:$BP147,"d")+COUNTIF($G147:$BP147,"r0,d5")/2+COUNTIF($G147:$BP147,"p5,d5")/2</f>
        <v/>
      </c>
      <c r="BS147" s="195">
        <f>COUNTIF($G147:$BP147,"b")+COUNTIF($G147:$BP147,"r0,b5")/2+COUNTIF($G147:$BP147,"p5,b5")/2</f>
        <v/>
      </c>
      <c r="BT147" s="195">
        <f>COUNTIF($G147:$BP147,"c")+COUNTIF($G147:$BP147,"r0,c5")/2+COUNTIF($G147:$BP147,"p5,c5")/2</f>
        <v/>
      </c>
      <c r="BU147" s="195">
        <f>COUNTIF($G147:$BP147,"KH")+COUNTIF($G147:$BP147,"TL")+COUNTIF($G147:$BP147,"L")</f>
        <v/>
      </c>
      <c r="BV147" s="202" t="n"/>
      <c r="BW147" s="195">
        <f>COUNTIF($G147:$BP147,"hh")</f>
        <v/>
      </c>
      <c r="BX147" s="195">
        <f>COUNTIF($G147:$BP147,"nt7")</f>
        <v/>
      </c>
      <c r="BY147" s="195">
        <f>COUNTIF($G147:$BP147,"P")+COUNTIF($G147:$BP147,"p5,a5")/2+COUNTIF($G147:$BP147,"p5,b5")/2+COUNTIF($G147:$BP147,"p5,c5")/2+COUNTIF($G147:$BP147,"p5,d5")/2</f>
        <v/>
      </c>
      <c r="BZ147" s="203">
        <f>SUBTOTAL(9,BQ147:BY147)</f>
        <v/>
      </c>
      <c r="CA147" s="54">
        <f>SUM(J147,L147,N147,P147,R147,T147,X147,Z147,AB147,AD147,AF147,AH147,AL147,AN147,AP147,AR147,AT147,AV147,AZ147,BB147,BD147,BF147,BH147,BP147)</f>
        <v/>
      </c>
      <c r="CB147" s="55">
        <f>SUM(H147,V147,AJ147,AX147,BL147)</f>
        <v/>
      </c>
      <c r="CC147" s="56">
        <f>SUM(BJ147,BN147)</f>
        <v/>
      </c>
      <c r="CD147" s="197">
        <f>IF(BZ147&gt;25,4,IF(BZ147&gt;18,3,IF(BZ147&gt;12,2,IF(BZ147&gt;4,1,0))))-BX147-2+1</f>
        <v/>
      </c>
      <c r="CE147" s="49" t="n">
        <v>2</v>
      </c>
      <c r="CF147" s="197">
        <f>CD147*CI147</f>
        <v/>
      </c>
      <c r="CG147" s="198">
        <f>F147-BY147+1</f>
        <v/>
      </c>
      <c r="CH147" s="197">
        <f>CE147*16</f>
        <v/>
      </c>
      <c r="CI147" s="199">
        <f>VLOOKUP(A147,[1]DATA!$A$6:$AI$331,34,0)</f>
        <v/>
      </c>
      <c r="CJ147" s="200">
        <f>VLOOKUP(A147,[2]CHAMCONG!A$7:CI$333,79,0)</f>
        <v/>
      </c>
      <c r="CK147" s="201">
        <f>CJ147-CA147</f>
        <v/>
      </c>
    </row>
    <row r="148" ht="15.75" customFormat="1" customHeight="1" s="68">
      <c r="A148" s="139" t="n"/>
      <c r="B148" s="64" t="n"/>
      <c r="C148" s="115" t="n"/>
      <c r="D148" s="46" t="n"/>
      <c r="E148" s="47" t="n"/>
      <c r="F148" s="48" t="n"/>
      <c r="G148" s="49" t="n"/>
      <c r="H148" s="73" t="n"/>
      <c r="I148" s="50" t="n"/>
      <c r="J148" s="73" t="n"/>
      <c r="K148" s="73" t="n"/>
      <c r="L148" s="73" t="n"/>
      <c r="M148" s="73" t="n"/>
      <c r="N148" s="73" t="n"/>
      <c r="O148" s="50" t="n"/>
      <c r="P148" s="73" t="n"/>
      <c r="Q148" s="50" t="n"/>
      <c r="R148" s="67" t="n"/>
      <c r="S148" s="50" t="n"/>
      <c r="T148" s="73" t="n"/>
      <c r="U148" s="49" t="n"/>
      <c r="V148" s="73" t="n"/>
      <c r="W148" s="49" t="n"/>
      <c r="X148" s="73" t="n"/>
      <c r="Y148" s="73" t="n"/>
      <c r="Z148" s="73" t="n"/>
      <c r="AA148" s="73" t="n"/>
      <c r="AB148" s="73" t="n"/>
      <c r="AC148" s="73" t="n"/>
      <c r="AD148" s="73" t="n"/>
      <c r="AE148" s="73" t="n"/>
      <c r="AF148" s="73" t="n"/>
      <c r="AG148" s="73" t="n"/>
      <c r="AH148" s="73" t="n"/>
      <c r="AI148" s="73" t="n"/>
      <c r="AJ148" s="73" t="n"/>
      <c r="AK148" s="73" t="n"/>
      <c r="AL148" s="73" t="n"/>
      <c r="AM148" s="73" t="n"/>
      <c r="AN148" s="73" t="n"/>
      <c r="AO148" s="73" t="n"/>
      <c r="AP148" s="73" t="n"/>
      <c r="AQ148" s="73" t="n"/>
      <c r="AR148" s="73" t="n"/>
      <c r="AS148" s="50" t="n"/>
      <c r="AT148" s="50" t="n"/>
      <c r="AU148" s="50" t="n"/>
      <c r="AV148" s="73" t="n"/>
      <c r="AW148" s="73" t="n"/>
      <c r="AX148" s="73" t="n"/>
      <c r="AY148" s="73" t="n"/>
      <c r="AZ148" s="73" t="n"/>
      <c r="BA148" s="73" t="n"/>
      <c r="BB148" s="73" t="n"/>
      <c r="BC148" s="73" t="n"/>
      <c r="BD148" s="73" t="n"/>
      <c r="BE148" s="50" t="n"/>
      <c r="BF148" s="73" t="n"/>
      <c r="BG148" s="73" t="n"/>
      <c r="BH148" s="73" t="n"/>
      <c r="BI148" s="73" t="n"/>
      <c r="BJ148" s="73" t="n"/>
      <c r="BK148" s="73" t="n"/>
      <c r="BL148" s="73" t="n"/>
      <c r="BM148" s="73" t="n"/>
      <c r="BN148" s="73" t="n"/>
      <c r="BO148" s="73" t="n"/>
      <c r="BP148" s="73" t="n"/>
      <c r="BQ148" s="195">
        <f>COUNTIF($G148:$BP148,"a")+COUNTIF($G148:$BP148,"r0,a5")/2+COUNTIF($G148:$BP148,"p5,a5")/2</f>
        <v/>
      </c>
      <c r="BR148" s="195">
        <f>COUNTIF($G148:$BP148,"d")+COUNTIF($G148:$BP148,"r0,d5")/2+COUNTIF($G148:$BP148,"p5,d5")/2</f>
        <v/>
      </c>
      <c r="BS148" s="195">
        <f>COUNTIF($G148:$BP148,"b")+COUNTIF($G148:$BP148,"r0,b5")/2+COUNTIF($G148:$BP148,"p5,b5")/2</f>
        <v/>
      </c>
      <c r="BT148" s="195">
        <f>COUNTIF($G148:$BP148,"c")+COUNTIF($G148:$BP148,"r0,c5")/2+COUNTIF($G148:$BP148,"p5,c5")/2</f>
        <v/>
      </c>
      <c r="BU148" s="195">
        <f>COUNTIF($G148:$BP148,"KH")+COUNTIF($G148:$BP148,"TL")+COUNTIF($G148:$BP148,"L")</f>
        <v/>
      </c>
      <c r="BV148" s="202" t="n"/>
      <c r="BW148" s="195">
        <f>COUNTIF($G148:$BP148,"hh")</f>
        <v/>
      </c>
      <c r="BX148" s="195">
        <f>COUNTIF($G148:$BP148,"nt7")</f>
        <v/>
      </c>
      <c r="BY148" s="195">
        <f>COUNTIF($G148:$BP148,"P")+COUNTIF($G148:$BP148,"p5,a5")/2+COUNTIF($G148:$BP148,"p5,b5")/2+COUNTIF($G148:$BP148,"p5,c5")/2+COUNTIF($G148:$BP148,"p5,d5")/2</f>
        <v/>
      </c>
      <c r="BZ148" s="203">
        <f>SUBTOTAL(9,BQ148:BY148)</f>
        <v/>
      </c>
      <c r="CA148" s="54">
        <f>SUM(J148,L148,N148,P148,R148,T148,X148,Z148,AB148,AD148,AF148,AH148,AL148,AN148,AP148,AR148,AT148,AV148,AZ148,BB148,BD148,BF148,BH148,BP148)</f>
        <v/>
      </c>
      <c r="CB148" s="55">
        <f>SUM(H148,V148,AJ148,AX148,BL148)</f>
        <v/>
      </c>
      <c r="CC148" s="56">
        <f>SUM(BJ148,BN148)</f>
        <v/>
      </c>
      <c r="CD148" s="197">
        <f>IF(BZ148&gt;25,4,IF(BZ148&gt;18,3,IF(BZ148&gt;12,2,IF(BZ148&gt;4,1,0))))-BX148-2+1</f>
        <v/>
      </c>
      <c r="CE148" s="49" t="n">
        <v>1</v>
      </c>
      <c r="CF148" s="197">
        <f>CD148*CI148</f>
        <v/>
      </c>
      <c r="CG148" s="198">
        <f>F148-BY148+1</f>
        <v/>
      </c>
      <c r="CH148" s="197">
        <f>CE148*16</f>
        <v/>
      </c>
      <c r="CI148" s="199">
        <f>VLOOKUP(A148,[1]DATA!$A$6:$AI$331,34,0)</f>
        <v/>
      </c>
      <c r="CJ148" s="200">
        <f>VLOOKUP(A148,[2]CHAMCONG!A$7:CI$333,79,0)</f>
        <v/>
      </c>
      <c r="CK148" s="201">
        <f>CJ148-CA148</f>
        <v/>
      </c>
    </row>
    <row r="149" ht="15.75" customFormat="1" customHeight="1" s="68">
      <c r="A149" s="139" t="n"/>
      <c r="B149" s="64" t="n"/>
      <c r="C149" s="115" t="n"/>
      <c r="D149" s="46" t="n"/>
      <c r="E149" s="47" t="n"/>
      <c r="F149" s="48" t="n"/>
      <c r="G149" s="49" t="n"/>
      <c r="H149" s="73" t="n"/>
      <c r="I149" s="49" t="n"/>
      <c r="J149" s="73" t="n"/>
      <c r="K149" s="49" t="n"/>
      <c r="L149" s="73" t="n"/>
      <c r="M149" s="49" t="n"/>
      <c r="N149" s="73" t="n"/>
      <c r="O149" s="49" t="n"/>
      <c r="P149" s="73" t="n"/>
      <c r="Q149" s="49" t="n"/>
      <c r="R149" s="73" t="n"/>
      <c r="S149" s="73" t="n"/>
      <c r="T149" s="73" t="n"/>
      <c r="U149" s="73" t="n"/>
      <c r="V149" s="73" t="n"/>
      <c r="W149" s="73" t="n"/>
      <c r="X149" s="73" t="n"/>
      <c r="Y149" s="73" t="n"/>
      <c r="Z149" s="73" t="n"/>
      <c r="AA149" s="73" t="n"/>
      <c r="AB149" s="73" t="n"/>
      <c r="AC149" s="73" t="n"/>
      <c r="AD149" s="73" t="n"/>
      <c r="AE149" s="49" t="n"/>
      <c r="AF149" s="73" t="n"/>
      <c r="AG149" s="49" t="n"/>
      <c r="AH149" s="73" t="n"/>
      <c r="AI149" s="73" t="n"/>
      <c r="AJ149" s="73" t="n"/>
      <c r="AK149" s="73" t="n"/>
      <c r="AL149" s="73" t="n"/>
      <c r="AM149" s="73" t="n"/>
      <c r="AN149" s="73" t="n"/>
      <c r="AO149" s="73" t="n"/>
      <c r="AP149" s="73" t="n"/>
      <c r="AQ149" s="73" t="n"/>
      <c r="AR149" s="73" t="n"/>
      <c r="AS149" s="73" t="n"/>
      <c r="AT149" s="73" t="n"/>
      <c r="AU149" s="73" t="n"/>
      <c r="AV149" s="73" t="n"/>
      <c r="AW149" s="73" t="n"/>
      <c r="AX149" s="73" t="n"/>
      <c r="AY149" s="49" t="n"/>
      <c r="AZ149" s="73" t="n"/>
      <c r="BA149" s="49" t="n"/>
      <c r="BB149" s="73" t="n"/>
      <c r="BC149" s="49" t="n"/>
      <c r="BD149" s="73" t="n"/>
      <c r="BE149" s="49" t="n"/>
      <c r="BF149" s="73" t="n"/>
      <c r="BG149" s="49" t="n"/>
      <c r="BH149" s="73" t="n"/>
      <c r="BI149" s="73" t="n"/>
      <c r="BJ149" s="73" t="n"/>
      <c r="BK149" s="73" t="n"/>
      <c r="BL149" s="73" t="n"/>
      <c r="BM149" s="73" t="n"/>
      <c r="BN149" s="73" t="n"/>
      <c r="BO149" s="73" t="n"/>
      <c r="BP149" s="73" t="n"/>
      <c r="BQ149" s="195">
        <f>COUNTIF($G149:$BP149,"a")+COUNTIF($G149:$BP149,"r0,a5")/2+COUNTIF($G149:$BP149,"p5,a5")/2</f>
        <v/>
      </c>
      <c r="BR149" s="195">
        <f>COUNTIF($G149:$BP149,"d")+COUNTIF($G149:$BP149,"r0,d5")/2+COUNTIF($G149:$BP149,"p5,d5")/2</f>
        <v/>
      </c>
      <c r="BS149" s="195">
        <f>COUNTIF($G149:$BP149,"b")+COUNTIF($G149:$BP149,"r0,b5")/2+COUNTIF($G149:$BP149,"p5,b5")/2</f>
        <v/>
      </c>
      <c r="BT149" s="195">
        <f>COUNTIF($G149:$BP149,"c")+COUNTIF($G149:$BP149,"r0,c5")/2+COUNTIF($G149:$BP149,"p5,c5")/2</f>
        <v/>
      </c>
      <c r="BU149" s="195">
        <f>COUNTIF($G149:$BP149,"KH")+COUNTIF($G149:$BP149,"TL")+COUNTIF($G149:$BP149,"L")</f>
        <v/>
      </c>
      <c r="BV149" s="202" t="n"/>
      <c r="BW149" s="195">
        <f>COUNTIF($G149:$BP149,"hh")</f>
        <v/>
      </c>
      <c r="BX149" s="195">
        <f>COUNTIF($G149:$BP149,"nt7")</f>
        <v/>
      </c>
      <c r="BY149" s="195">
        <f>COUNTIF($G149:$BP149,"P")+COUNTIF($G149:$BP149,"p5,a5")/2+COUNTIF($G149:$BP149,"p5,b5")/2+COUNTIF($G149:$BP149,"p5,c5")/2+COUNTIF($G149:$BP149,"p5,d5")/2</f>
        <v/>
      </c>
      <c r="BZ149" s="203">
        <f>SUBTOTAL(9,BQ149:BY149)</f>
        <v/>
      </c>
      <c r="CA149" s="54">
        <f>SUM(J149,L149,N149,P149,R149,T149,X149,Z149,AB149,AD149,AF149,AH149,AL149,AN149,AP149,AR149,AT149,AV149,AZ149,BB149,BD149,BF149,BH149,BP149)</f>
        <v/>
      </c>
      <c r="CB149" s="55">
        <f>SUM(H149,V149,AJ149,AX149,BL149)</f>
        <v/>
      </c>
      <c r="CC149" s="56">
        <f>SUM(BJ149,BN149)</f>
        <v/>
      </c>
      <c r="CD149" s="197">
        <f>IF(BZ149&gt;25,4,IF(BZ149&gt;18,3,IF(BZ149&gt;12,2,IF(BZ149&gt;4,1,0))))-BX149-2+1</f>
        <v/>
      </c>
      <c r="CE149" s="49" t="n">
        <v>1</v>
      </c>
      <c r="CF149" s="197">
        <f>CD149*CI149</f>
        <v/>
      </c>
      <c r="CG149" s="198">
        <f>F149-BY149+1</f>
        <v/>
      </c>
      <c r="CH149" s="197">
        <f>CE149*16</f>
        <v/>
      </c>
      <c r="CI149" s="199">
        <f>VLOOKUP(A149,[1]DATA!$A$6:$AI$331,34,0)</f>
        <v/>
      </c>
      <c r="CJ149" s="200">
        <f>VLOOKUP(A149,[2]CHAMCONG!A$7:CI$333,79,0)</f>
        <v/>
      </c>
      <c r="CK149" s="201">
        <f>CJ149-CA149</f>
        <v/>
      </c>
    </row>
    <row r="150" ht="15.75" customFormat="1" customHeight="1" s="68">
      <c r="A150" s="69" t="n"/>
      <c r="B150" s="64" t="n"/>
      <c r="C150" s="115" t="n"/>
      <c r="D150" s="46" t="n"/>
      <c r="E150" s="47" t="n"/>
      <c r="F150" s="48" t="n"/>
      <c r="G150" s="49" t="n"/>
      <c r="H150" s="73" t="n"/>
      <c r="I150" s="50" t="n"/>
      <c r="J150" s="73" t="n"/>
      <c r="K150" s="67" t="n"/>
      <c r="L150" s="73" t="n"/>
      <c r="M150" s="67" t="n"/>
      <c r="N150" s="73" t="n"/>
      <c r="O150" s="67" t="n"/>
      <c r="P150" s="73" t="n"/>
      <c r="Q150" s="73" t="n"/>
      <c r="R150" s="73" t="n"/>
      <c r="S150" s="73" t="n"/>
      <c r="T150" s="73" t="n"/>
      <c r="U150" s="49" t="n"/>
      <c r="V150" s="73" t="n"/>
      <c r="W150" s="73" t="n"/>
      <c r="X150" s="73" t="n"/>
      <c r="Y150" s="73" t="n"/>
      <c r="Z150" s="73" t="n"/>
      <c r="AA150" s="73" t="n"/>
      <c r="AB150" s="73" t="n"/>
      <c r="AC150" s="73" t="n"/>
      <c r="AD150" s="73" t="n"/>
      <c r="AE150" s="73" t="n"/>
      <c r="AF150" s="73" t="n"/>
      <c r="AG150" s="67" t="n"/>
      <c r="AH150" s="73" t="n"/>
      <c r="AI150" s="67" t="n"/>
      <c r="AJ150" s="73" t="n"/>
      <c r="AK150" s="67" t="n"/>
      <c r="AL150" s="73" t="n"/>
      <c r="AM150" s="67" t="n"/>
      <c r="AN150" s="73" t="n"/>
      <c r="AO150" s="67" t="n"/>
      <c r="AP150" s="73" t="n"/>
      <c r="AQ150" s="73" t="n"/>
      <c r="AR150" s="73" t="n"/>
      <c r="AS150" s="73" t="n"/>
      <c r="AT150" s="73" t="n"/>
      <c r="AU150" s="73" t="n"/>
      <c r="AV150" s="73" t="n"/>
      <c r="AW150" s="73" t="n"/>
      <c r="AX150" s="73" t="n"/>
      <c r="AY150" s="73" t="n"/>
      <c r="AZ150" s="73" t="n"/>
      <c r="BA150" s="73" t="n"/>
      <c r="BB150" s="73" t="n"/>
      <c r="BC150" s="73" t="n"/>
      <c r="BD150" s="73" t="n"/>
      <c r="BE150" s="73" t="n"/>
      <c r="BF150" s="73" t="n"/>
      <c r="BG150" s="73" t="n"/>
      <c r="BH150" s="73" t="n"/>
      <c r="BI150" s="73" t="n"/>
      <c r="BJ150" s="73" t="n"/>
      <c r="BK150" s="73" t="n"/>
      <c r="BL150" s="73" t="n"/>
      <c r="BM150" s="73" t="n"/>
      <c r="BN150" s="73" t="n"/>
      <c r="BO150" s="73" t="n"/>
      <c r="BP150" s="73" t="n"/>
      <c r="BQ150" s="195">
        <f>COUNTIF($G150:$BP150,"a")+COUNTIF($G150:$BP150,"r0,a5")/2+COUNTIF($G150:$BP150,"p5,a5")/2</f>
        <v/>
      </c>
      <c r="BR150" s="195">
        <f>COUNTIF($G150:$BP150,"d")+COUNTIF($G150:$BP150,"r0,d5")/2+COUNTIF($G150:$BP150,"p5,d5")/2</f>
        <v/>
      </c>
      <c r="BS150" s="195">
        <f>COUNTIF($G150:$BP150,"b")+COUNTIF($G150:$BP150,"r0,b5")/2+COUNTIF($G150:$BP150,"p5,b5")/2</f>
        <v/>
      </c>
      <c r="BT150" s="195">
        <f>COUNTIF($G150:$BP150,"c")+COUNTIF($G150:$BP150,"r0,c5")/2+COUNTIF($G150:$BP150,"p5,c5")/2</f>
        <v/>
      </c>
      <c r="BU150" s="195">
        <f>COUNTIF($G150:$BP150,"KH")+COUNTIF($G150:$BP150,"TL")+COUNTIF($G150:$BP150,"L")</f>
        <v/>
      </c>
      <c r="BV150" s="202" t="n"/>
      <c r="BW150" s="195">
        <f>COUNTIF($G150:$BP150,"hh")</f>
        <v/>
      </c>
      <c r="BX150" s="195">
        <f>COUNTIF($G150:$BP150,"nt7")</f>
        <v/>
      </c>
      <c r="BY150" s="195">
        <f>COUNTIF($G150:$BP150,"P")+COUNTIF($G150:$BP150,"p5,a5")/2+COUNTIF($G150:$BP150,"p5,b5")/2+COUNTIF($G150:$BP150,"p5,c5")/2+COUNTIF($G150:$BP150,"p5,d5")/2</f>
        <v/>
      </c>
      <c r="BZ150" s="203">
        <f>SUBTOTAL(9,BQ150:BY150)</f>
        <v/>
      </c>
      <c r="CA150" s="54">
        <f>SUM(J150,L150,N150,P150,R150,T150,X150,Z150,AB150,AD150,AF150,AH150,AL150,AN150,AP150,AR150,AT150,AV150,AZ150,BB150,BD150,BF150,BH150,BP150)</f>
        <v/>
      </c>
      <c r="CB150" s="55">
        <f>SUM(H150,V150,AJ150,AX150,BL150)</f>
        <v/>
      </c>
      <c r="CC150" s="56">
        <f>SUM(BJ150,BN150)</f>
        <v/>
      </c>
      <c r="CD150" s="197">
        <f>IF(BZ150&gt;25,4,IF(BZ150&gt;18,3,IF(BZ150&gt;12,2,IF(BZ150&gt;4,1,0))))-BX150-2+1</f>
        <v/>
      </c>
      <c r="CE150" s="49" t="n"/>
      <c r="CF150" s="197">
        <f>CD150*CI150</f>
        <v/>
      </c>
      <c r="CG150" s="198">
        <f>F150-BY150+1</f>
        <v/>
      </c>
      <c r="CH150" s="197">
        <f>CE150*16</f>
        <v/>
      </c>
      <c r="CI150" s="199">
        <f>VLOOKUP(A150,[1]DATA!$A$6:$AI$331,34,0)</f>
        <v/>
      </c>
      <c r="CJ150" s="200">
        <f>VLOOKUP(A150,[2]CHAMCONG!A$7:CI$333,79,0)</f>
        <v/>
      </c>
      <c r="CK150" s="201">
        <f>CJ150-CA150</f>
        <v/>
      </c>
    </row>
    <row r="151" ht="15.75" customFormat="1" customHeight="1" s="68">
      <c r="A151" s="69" t="n"/>
      <c r="B151" s="64" t="n"/>
      <c r="C151" s="115" t="n"/>
      <c r="D151" s="46" t="n"/>
      <c r="E151" s="47" t="n"/>
      <c r="F151" s="48" t="n"/>
      <c r="G151" s="49" t="n"/>
      <c r="H151" s="73" t="n"/>
      <c r="I151" s="50" t="n"/>
      <c r="J151" s="73" t="n"/>
      <c r="K151" s="50" t="n"/>
      <c r="L151" s="73" t="n"/>
      <c r="M151" s="50" t="n"/>
      <c r="N151" s="73" t="n"/>
      <c r="O151" s="50" t="n"/>
      <c r="P151" s="73" t="n"/>
      <c r="Q151" s="50" t="n"/>
      <c r="R151" s="67" t="n"/>
      <c r="S151" s="73" t="n"/>
      <c r="T151" s="73" t="n"/>
      <c r="U151" s="73" t="n"/>
      <c r="V151" s="73" t="n"/>
      <c r="W151" s="73" t="n"/>
      <c r="X151" s="73" t="n"/>
      <c r="Y151" s="49" t="n"/>
      <c r="Z151" s="73" t="n"/>
      <c r="AA151" s="73" t="n"/>
      <c r="AB151" s="73" t="n"/>
      <c r="AC151" s="73" t="n"/>
      <c r="AD151" s="73" t="n"/>
      <c r="AE151" s="49" t="n"/>
      <c r="AF151" s="73" t="n"/>
      <c r="AG151" s="73" t="n"/>
      <c r="AH151" s="73" t="n"/>
      <c r="AI151" s="73" t="n"/>
      <c r="AJ151" s="73" t="n"/>
      <c r="AK151" s="73" t="n"/>
      <c r="AL151" s="73" t="n"/>
      <c r="AM151" s="73" t="n"/>
      <c r="AN151" s="73" t="n"/>
      <c r="AO151" s="73" t="n"/>
      <c r="AP151" s="73" t="n"/>
      <c r="AQ151" s="50" t="n"/>
      <c r="AR151" s="73" t="n"/>
      <c r="AS151" s="50" t="n"/>
      <c r="AT151" s="67" t="n"/>
      <c r="AU151" s="50" t="n"/>
      <c r="AV151" s="73" t="n"/>
      <c r="AW151" s="73" t="n"/>
      <c r="AX151" s="73" t="n"/>
      <c r="AY151" s="49" t="n"/>
      <c r="AZ151" s="73" t="n"/>
      <c r="BA151" s="49" t="n"/>
      <c r="BB151" s="73" t="n"/>
      <c r="BC151" s="49" t="n"/>
      <c r="BD151" s="73" t="n"/>
      <c r="BE151" s="49" t="n"/>
      <c r="BF151" s="73" t="n"/>
      <c r="BG151" s="49" t="n"/>
      <c r="BH151" s="73" t="n"/>
      <c r="BI151" s="73" t="n"/>
      <c r="BJ151" s="73" t="n"/>
      <c r="BK151" s="73" t="n"/>
      <c r="BL151" s="73" t="n"/>
      <c r="BM151" s="73" t="n"/>
      <c r="BN151" s="73" t="n"/>
      <c r="BO151" s="73" t="n"/>
      <c r="BP151" s="73" t="n"/>
      <c r="BQ151" s="195">
        <f>COUNTIF($G151:$BP151,"a")+COUNTIF($G151:$BP151,"r0,a5")/2+COUNTIF($G151:$BP151,"p5,a5")/2</f>
        <v/>
      </c>
      <c r="BR151" s="195">
        <f>COUNTIF($G151:$BP151,"d")+COUNTIF($G151:$BP151,"r0,d5")/2+COUNTIF($G151:$BP151,"p5,d5")/2</f>
        <v/>
      </c>
      <c r="BS151" s="195">
        <f>COUNTIF($G151:$BP151,"b")+COUNTIF($G151:$BP151,"r0,b5")/2+COUNTIF($G151:$BP151,"p5,b5")/2</f>
        <v/>
      </c>
      <c r="BT151" s="195">
        <f>COUNTIF($G151:$BP151,"c")+COUNTIF($G151:$BP151,"r0,c5")/2+COUNTIF($G151:$BP151,"p5,c5")/2</f>
        <v/>
      </c>
      <c r="BU151" s="195">
        <f>COUNTIF($G151:$BP151,"KH")+COUNTIF($G151:$BP151,"TL")+COUNTIF($G151:$BP151,"L")</f>
        <v/>
      </c>
      <c r="BV151" s="202" t="n"/>
      <c r="BW151" s="195">
        <f>COUNTIF($G151:$BP151,"hh")</f>
        <v/>
      </c>
      <c r="BX151" s="195">
        <f>COUNTIF($G151:$BP151,"nt7")</f>
        <v/>
      </c>
      <c r="BY151" s="195">
        <f>COUNTIF($G151:$BP151,"P")+COUNTIF($G151:$BP151,"p5,a5")/2+COUNTIF($G151:$BP151,"p5,b5")/2+COUNTIF($G151:$BP151,"p5,c5")/2+COUNTIF($G151:$BP151,"p5,d5")/2</f>
        <v/>
      </c>
      <c r="BZ151" s="203">
        <f>SUBTOTAL(9,BQ151:BY151)</f>
        <v/>
      </c>
      <c r="CA151" s="54">
        <f>SUM(J151,L151,N151,P151,R151,T151,X151,Z151,AB151,AD151,AF151,AH151,AL151,AN151,AP151,AR151,AT151,AV151,AZ151,BB151,BD151,BF151,BH151,BP151)</f>
        <v/>
      </c>
      <c r="CB151" s="55">
        <f>SUM(H151,V151,AJ151,AX151,BL151)</f>
        <v/>
      </c>
      <c r="CC151" s="56">
        <f>SUM(BJ151,BN151)</f>
        <v/>
      </c>
      <c r="CD151" s="197">
        <f>IF(BZ151&gt;25,4,IF(BZ151&gt;18,3,IF(BZ151&gt;12,2,IF(BZ151&gt;4,1,0))))-BX151-2+1</f>
        <v/>
      </c>
      <c r="CE151" s="49" t="n">
        <v>2</v>
      </c>
      <c r="CF151" s="197">
        <f>CD151*CI151</f>
        <v/>
      </c>
      <c r="CG151" s="198">
        <f>F151-BY151+1</f>
        <v/>
      </c>
      <c r="CH151" s="197">
        <f>CE151*16</f>
        <v/>
      </c>
      <c r="CI151" s="199">
        <f>VLOOKUP(A151,[1]DATA!$A$6:$AI$331,34,0)</f>
        <v/>
      </c>
      <c r="CJ151" s="200">
        <f>VLOOKUP(A151,[2]CHAMCONG!A$7:CI$333,79,0)</f>
        <v/>
      </c>
      <c r="CK151" s="201">
        <f>CJ151-CA151</f>
        <v/>
      </c>
    </row>
    <row r="152" ht="15.75" customFormat="1" customHeight="1" s="68">
      <c r="A152" s="139" t="n"/>
      <c r="B152" s="64" t="n"/>
      <c r="C152" s="115" t="n"/>
      <c r="D152" s="46" t="n"/>
      <c r="E152" s="47" t="n"/>
      <c r="F152" s="48" t="n"/>
      <c r="G152" s="49" t="n"/>
      <c r="H152" s="73" t="n"/>
      <c r="I152" s="50" t="n"/>
      <c r="J152" s="73" t="n"/>
      <c r="K152" s="73" t="n"/>
      <c r="L152" s="73" t="n"/>
      <c r="M152" s="73" t="n"/>
      <c r="N152" s="73" t="n"/>
      <c r="O152" s="73" t="n"/>
      <c r="P152" s="73" t="n"/>
      <c r="Q152" s="50" t="n"/>
      <c r="R152" s="67" t="n"/>
      <c r="S152" s="73" t="n"/>
      <c r="T152" s="73" t="n"/>
      <c r="U152" s="73" t="n"/>
      <c r="V152" s="73" t="n"/>
      <c r="W152" s="49" t="n"/>
      <c r="X152" s="73" t="n"/>
      <c r="Y152" s="73" t="n"/>
      <c r="Z152" s="73" t="n"/>
      <c r="AA152" s="73" t="n"/>
      <c r="AB152" s="73" t="n"/>
      <c r="AC152" s="73" t="n"/>
      <c r="AD152" s="73" t="n"/>
      <c r="AE152" s="49" t="n"/>
      <c r="AF152" s="73" t="n"/>
      <c r="AG152" s="73" t="n"/>
      <c r="AH152" s="73" t="n"/>
      <c r="AI152" s="73" t="n"/>
      <c r="AJ152" s="73" t="n"/>
      <c r="AK152" s="73" t="n"/>
      <c r="AL152" s="73" t="n"/>
      <c r="AM152" s="73" t="n"/>
      <c r="AN152" s="73" t="n"/>
      <c r="AO152" s="73" t="n"/>
      <c r="AP152" s="73" t="n"/>
      <c r="AQ152" s="72" t="n"/>
      <c r="AR152" s="73" t="n"/>
      <c r="AS152" s="72" t="n"/>
      <c r="AT152" s="73" t="n"/>
      <c r="AU152" s="72" t="n"/>
      <c r="AV152" s="73" t="n"/>
      <c r="AW152" s="73" t="n"/>
      <c r="AX152" s="73" t="n"/>
      <c r="AY152" s="49" t="n"/>
      <c r="AZ152" s="73" t="n"/>
      <c r="BA152" s="49" t="n"/>
      <c r="BB152" s="73" t="n"/>
      <c r="BC152" s="49" t="n"/>
      <c r="BD152" s="73" t="n"/>
      <c r="BE152" s="73" t="n"/>
      <c r="BF152" s="73" t="n"/>
      <c r="BG152" s="73" t="n"/>
      <c r="BH152" s="73" t="n"/>
      <c r="BI152" s="73" t="n"/>
      <c r="BJ152" s="73" t="n"/>
      <c r="BK152" s="73" t="n"/>
      <c r="BL152" s="73" t="n"/>
      <c r="BM152" s="73" t="n"/>
      <c r="BN152" s="73" t="n"/>
      <c r="BO152" s="73" t="n"/>
      <c r="BP152" s="73" t="n"/>
      <c r="BQ152" s="195">
        <f>COUNTIF($G152:$BP152,"a")+COUNTIF($G152:$BP152,"r0,a5")/2+COUNTIF($G152:$BP152,"p5,a5")/2</f>
        <v/>
      </c>
      <c r="BR152" s="195">
        <f>COUNTIF($G152:$BP152,"d")+COUNTIF($G152:$BP152,"r0,d5")/2+COUNTIF($G152:$BP152,"p5,d5")/2</f>
        <v/>
      </c>
      <c r="BS152" s="195">
        <f>COUNTIF($G152:$BP152,"b")+COUNTIF($G152:$BP152,"r0,b5")/2+COUNTIF($G152:$BP152,"p5,b5")/2</f>
        <v/>
      </c>
      <c r="BT152" s="195">
        <f>COUNTIF($G152:$BP152,"c")+COUNTIF($G152:$BP152,"r0,c5")/2+COUNTIF($G152:$BP152,"p5,c5")/2</f>
        <v/>
      </c>
      <c r="BU152" s="195">
        <f>COUNTIF($G152:$BP152,"KH")+COUNTIF($G152:$BP152,"TL")+COUNTIF($G152:$BP152,"L")</f>
        <v/>
      </c>
      <c r="BV152" s="202" t="n"/>
      <c r="BW152" s="195">
        <f>COUNTIF($G152:$BP152,"hh")</f>
        <v/>
      </c>
      <c r="BX152" s="195">
        <f>COUNTIF($G152:$BP152,"nt7")</f>
        <v/>
      </c>
      <c r="BY152" s="195">
        <f>COUNTIF($G152:$BP152,"P")+COUNTIF($G152:$BP152,"p5,a5")/2+COUNTIF($G152:$BP152,"p5,b5")/2+COUNTIF($G152:$BP152,"p5,c5")/2+COUNTIF($G152:$BP152,"p5,d5")/2</f>
        <v/>
      </c>
      <c r="BZ152" s="203">
        <f>SUBTOTAL(9,BQ152:BY152)</f>
        <v/>
      </c>
      <c r="CA152" s="54">
        <f>SUM(J152,L152,N152,P152,R152,T152,X152,Z152,AB152,AD152,AF152,AH152,AL152,AN152,AP152,AR152,AT152,AV152,AZ152,BB152,BD152,BF152,BH152,BP152)</f>
        <v/>
      </c>
      <c r="CB152" s="55">
        <f>SUM(H152,V152,AJ152,AX152,BL152)</f>
        <v/>
      </c>
      <c r="CC152" s="56">
        <f>SUM(BJ152,BN152)</f>
        <v/>
      </c>
      <c r="CD152" s="197">
        <f>IF(BZ152&gt;25,4,IF(BZ152&gt;18,3,IF(BZ152&gt;12,2,IF(BZ152&gt;4,1,0))))-BX152-2+1</f>
        <v/>
      </c>
      <c r="CE152" s="49" t="n"/>
      <c r="CF152" s="197">
        <f>CD152*CI152</f>
        <v/>
      </c>
      <c r="CG152" s="198">
        <f>F152-BY152+1</f>
        <v/>
      </c>
      <c r="CH152" s="197">
        <f>CE152*16</f>
        <v/>
      </c>
      <c r="CI152" s="199">
        <f>VLOOKUP(A152,[1]DATA!$A$6:$AI$331,34,0)</f>
        <v/>
      </c>
      <c r="CJ152" s="200">
        <f>VLOOKUP(A152,[2]CHAMCONG!A$7:CI$333,79,0)</f>
        <v/>
      </c>
      <c r="CK152" s="201">
        <f>CJ152-CA152</f>
        <v/>
      </c>
    </row>
    <row r="153" ht="15.75" customFormat="1" customHeight="1" s="68">
      <c r="A153" s="139" t="n"/>
      <c r="B153" s="64" t="n"/>
      <c r="C153" s="115" t="n"/>
      <c r="D153" s="46" t="n"/>
      <c r="E153" s="47" t="n"/>
      <c r="F153" s="48" t="n"/>
      <c r="G153" s="49" t="n"/>
      <c r="H153" s="73" t="n"/>
      <c r="I153" s="49" t="n"/>
      <c r="J153" s="73" t="n"/>
      <c r="K153" s="49" t="n"/>
      <c r="L153" s="73" t="n"/>
      <c r="M153" s="49" t="n"/>
      <c r="N153" s="73" t="n"/>
      <c r="O153" s="49" t="n"/>
      <c r="P153" s="73" t="n"/>
      <c r="Q153" s="49" t="n"/>
      <c r="R153" s="73" t="n"/>
      <c r="S153" s="49" t="n"/>
      <c r="T153" s="73" t="n"/>
      <c r="U153" s="49" t="n"/>
      <c r="V153" s="73" t="n"/>
      <c r="W153" s="49" t="n"/>
      <c r="X153" s="73" t="n"/>
      <c r="Y153" s="49" t="n"/>
      <c r="Z153" s="73" t="n"/>
      <c r="AA153" s="49" t="n"/>
      <c r="AB153" s="73" t="n"/>
      <c r="AC153" s="49" t="n"/>
      <c r="AD153" s="73" t="n"/>
      <c r="AE153" s="49" t="n"/>
      <c r="AF153" s="73" t="n"/>
      <c r="AG153" s="49" t="n"/>
      <c r="AH153" s="73" t="n"/>
      <c r="AI153" s="49" t="n"/>
      <c r="AJ153" s="73" t="n"/>
      <c r="AK153" s="49" t="n"/>
      <c r="AL153" s="73" t="n"/>
      <c r="AM153" s="49" t="n"/>
      <c r="AN153" s="73" t="n"/>
      <c r="AO153" s="49" t="n"/>
      <c r="AP153" s="73" t="n"/>
      <c r="AQ153" s="49" t="n"/>
      <c r="AR153" s="73" t="n"/>
      <c r="AS153" s="49" t="n"/>
      <c r="AT153" s="73" t="n"/>
      <c r="AU153" s="49" t="n"/>
      <c r="AV153" s="73" t="n"/>
      <c r="AW153" s="49" t="n"/>
      <c r="AX153" s="73" t="n"/>
      <c r="AY153" s="49" t="n"/>
      <c r="AZ153" s="73" t="n"/>
      <c r="BA153" s="73" t="n"/>
      <c r="BB153" s="73" t="n"/>
      <c r="BC153" s="73" t="n"/>
      <c r="BD153" s="73" t="n"/>
      <c r="BE153" s="73" t="n"/>
      <c r="BF153" s="73" t="n"/>
      <c r="BG153" s="73" t="n"/>
      <c r="BH153" s="73" t="n"/>
      <c r="BI153" s="73" t="n"/>
      <c r="BJ153" s="73" t="n"/>
      <c r="BK153" s="73" t="n"/>
      <c r="BL153" s="73" t="n"/>
      <c r="BM153" s="73" t="n"/>
      <c r="BN153" s="73" t="n"/>
      <c r="BO153" s="73" t="n"/>
      <c r="BP153" s="73" t="n"/>
      <c r="BQ153" s="195">
        <f>COUNTIF($G153:$BP153,"a")+COUNTIF($G153:$BP153,"r0,a5")/2+COUNTIF($G153:$BP153,"p5,a5")/2</f>
        <v/>
      </c>
      <c r="BR153" s="195">
        <f>COUNTIF($G153:$BP153,"d")+COUNTIF($G153:$BP153,"r0,d5")/2+COUNTIF($G153:$BP153,"p5,d5")/2</f>
        <v/>
      </c>
      <c r="BS153" s="195">
        <f>COUNTIF($G153:$BP153,"b")+COUNTIF($G153:$BP153,"r0,b5")/2+COUNTIF($G153:$BP153,"p5,b5")/2</f>
        <v/>
      </c>
      <c r="BT153" s="195">
        <f>COUNTIF($G153:$BP153,"c")+COUNTIF($G153:$BP153,"r0,c5")/2+COUNTIF($G153:$BP153,"p5,c5")/2</f>
        <v/>
      </c>
      <c r="BU153" s="195">
        <f>COUNTIF($G153:$BP153,"KH")+COUNTIF($G153:$BP153,"TL")+COUNTIF($G153:$BP153,"L")</f>
        <v/>
      </c>
      <c r="BV153" s="202" t="n"/>
      <c r="BW153" s="195">
        <f>COUNTIF($G153:$BP153,"hh")</f>
        <v/>
      </c>
      <c r="BX153" s="195">
        <f>COUNTIF($G153:$BP153,"nt7")</f>
        <v/>
      </c>
      <c r="BY153" s="195">
        <f>COUNTIF($G153:$BP153,"P")+COUNTIF($G153:$BP153,"p5,a5")/2+COUNTIF($G153:$BP153,"p5,b5")/2+COUNTIF($G153:$BP153,"p5,c5")/2+COUNTIF($G153:$BP153,"p5,d5")/2</f>
        <v/>
      </c>
      <c r="BZ153" s="203">
        <f>SUBTOTAL(9,BQ153:BY153)</f>
        <v/>
      </c>
      <c r="CA153" s="54">
        <f>SUM(J153,L153,N153,P153,R153,T153,X153,Z153,AB153,AD153,AF153,AH153,AL153,AN153,AP153,AR153,AT153,AV153,AZ153,BB153,BD153,BF153,BH153,BP153)</f>
        <v/>
      </c>
      <c r="CB153" s="55">
        <f>SUM(H153,V153,AJ153,AX153,BL153)</f>
        <v/>
      </c>
      <c r="CC153" s="56">
        <f>SUM(BJ153,BN153)</f>
        <v/>
      </c>
      <c r="CD153" s="197">
        <f>IF(BZ153&gt;25,4,IF(BZ153&gt;18,3,IF(BZ153&gt;12,2,IF(BZ153&gt;4,1,0))))-BX153-2+1</f>
        <v/>
      </c>
      <c r="CE153" s="49" t="n"/>
      <c r="CF153" s="197">
        <f>CD153*CI153</f>
        <v/>
      </c>
      <c r="CG153" s="198">
        <f>F153-BY153+1</f>
        <v/>
      </c>
      <c r="CH153" s="197">
        <f>CE153*16</f>
        <v/>
      </c>
      <c r="CI153" s="199">
        <f>VLOOKUP(A153,[1]DATA!$A$6:$AI$331,34,0)</f>
        <v/>
      </c>
      <c r="CJ153" s="200">
        <f>VLOOKUP(A153,[2]CHAMCONG!A$7:CI$333,79,0)</f>
        <v/>
      </c>
      <c r="CK153" s="201">
        <f>CJ153-CA153</f>
        <v/>
      </c>
    </row>
    <row r="154" ht="15.75" customFormat="1" customHeight="1" s="68">
      <c r="A154" s="69" t="n"/>
      <c r="B154" s="64" t="n"/>
      <c r="C154" s="115" t="n"/>
      <c r="D154" s="46" t="n"/>
      <c r="E154" s="47" t="n"/>
      <c r="F154" s="48" t="n"/>
      <c r="G154" s="49" t="n"/>
      <c r="H154" s="73" t="n"/>
      <c r="I154" s="50" t="n"/>
      <c r="J154" s="73" t="n"/>
      <c r="K154" s="73" t="n"/>
      <c r="L154" s="73" t="n"/>
      <c r="M154" s="73" t="n"/>
      <c r="N154" s="73" t="n"/>
      <c r="O154" s="50" t="n"/>
      <c r="P154" s="73" t="n"/>
      <c r="Q154" s="49" t="n"/>
      <c r="R154" s="73" t="n"/>
      <c r="S154" s="49" t="n"/>
      <c r="T154" s="73" t="n"/>
      <c r="U154" s="49" t="n"/>
      <c r="V154" s="73" t="n"/>
      <c r="W154" s="49" t="n"/>
      <c r="X154" s="73" t="n"/>
      <c r="Y154" s="73" t="n"/>
      <c r="Z154" s="73" t="n"/>
      <c r="AA154" s="73" t="n"/>
      <c r="AB154" s="73" t="n"/>
      <c r="AC154" s="73" t="n"/>
      <c r="AD154" s="73" t="n"/>
      <c r="AE154" s="73" t="n"/>
      <c r="AF154" s="73" t="n"/>
      <c r="AG154" s="73" t="n"/>
      <c r="AH154" s="73" t="n"/>
      <c r="AI154" s="73" t="n"/>
      <c r="AJ154" s="73" t="n"/>
      <c r="AK154" s="73" t="n"/>
      <c r="AL154" s="73" t="n"/>
      <c r="AM154" s="73" t="n"/>
      <c r="AN154" s="73" t="n"/>
      <c r="AO154" s="73" t="n"/>
      <c r="AP154" s="73" t="n"/>
      <c r="AQ154" s="73" t="n"/>
      <c r="AR154" s="73" t="n"/>
      <c r="AS154" s="73" t="n"/>
      <c r="AT154" s="73" t="n"/>
      <c r="AU154" s="73" t="n"/>
      <c r="AV154" s="73" t="n"/>
      <c r="AW154" s="73" t="n"/>
      <c r="AX154" s="73" t="n"/>
      <c r="AY154" s="73" t="n"/>
      <c r="AZ154" s="73" t="n"/>
      <c r="BA154" s="73" t="n"/>
      <c r="BB154" s="73" t="n"/>
      <c r="BC154" s="73" t="n"/>
      <c r="BD154" s="73" t="n"/>
      <c r="BE154" s="73" t="n"/>
      <c r="BF154" s="73" t="n"/>
      <c r="BG154" s="73" t="n"/>
      <c r="BH154" s="73" t="n"/>
      <c r="BI154" s="73" t="n"/>
      <c r="BJ154" s="73" t="n"/>
      <c r="BK154" s="73" t="n"/>
      <c r="BL154" s="73" t="n"/>
      <c r="BM154" s="73" t="n"/>
      <c r="BN154" s="73" t="n"/>
      <c r="BO154" s="73" t="n"/>
      <c r="BP154" s="73" t="n"/>
      <c r="BQ154" s="195">
        <f>COUNTIF($G154:$BP154,"a")+COUNTIF($G154:$BP154,"r0,a5")/2+COUNTIF($G154:$BP154,"p5,a5")/2</f>
        <v/>
      </c>
      <c r="BR154" s="195">
        <f>COUNTIF($G154:$BP154,"d")+COUNTIF($G154:$BP154,"r0,d5")/2+COUNTIF($G154:$BP154,"p5,d5")/2</f>
        <v/>
      </c>
      <c r="BS154" s="195">
        <f>COUNTIF($G154:$BP154,"b")+COUNTIF($G154:$BP154,"r0,b5")/2+COUNTIF($G154:$BP154,"p5,b5")/2</f>
        <v/>
      </c>
      <c r="BT154" s="195">
        <f>COUNTIF($G154:$BP154,"c")+COUNTIF($G154:$BP154,"r0,c5")/2+COUNTIF($G154:$BP154,"p5,c5")/2</f>
        <v/>
      </c>
      <c r="BU154" s="195">
        <f>COUNTIF($G154:$BP154,"KH")+COUNTIF($G154:$BP154,"TL")+COUNTIF($G154:$BP154,"L")</f>
        <v/>
      </c>
      <c r="BV154" s="202" t="n"/>
      <c r="BW154" s="195">
        <f>COUNTIF($G154:$BP154,"hh")</f>
        <v/>
      </c>
      <c r="BX154" s="195">
        <f>COUNTIF($G154:$BP154,"nt7")</f>
        <v/>
      </c>
      <c r="BY154" s="195">
        <f>COUNTIF($G154:$BP154,"P")+COUNTIF($G154:$BP154,"p5,a5")/2+COUNTIF($G154:$BP154,"p5,b5")/2+COUNTIF($G154:$BP154,"p5,c5")/2+COUNTIF($G154:$BP154,"p5,d5")/2</f>
        <v/>
      </c>
      <c r="BZ154" s="203">
        <f>SUBTOTAL(9,BQ154:BY154)</f>
        <v/>
      </c>
      <c r="CA154" s="54">
        <f>SUM(J154,L154,N154,P154,R154,T154,X154,Z154,AB154,AD154,AF154,AH154,AL154,AN154,AP154,AR154,AT154,AV154,AZ154,BB154,BD154,BF154,BH154,BP154)</f>
        <v/>
      </c>
      <c r="CB154" s="55">
        <f>SUM(H154,V154,AJ154,AX154,BL154)</f>
        <v/>
      </c>
      <c r="CC154" s="56">
        <f>SUM(BJ154,BN154)</f>
        <v/>
      </c>
      <c r="CD154" s="197">
        <f>IF(BZ154&gt;25,4,IF(BZ154&gt;18,3,IF(BZ154&gt;12,2,IF(BZ154&gt;4,1,0))))-BX154-2+1</f>
        <v/>
      </c>
      <c r="CE154" s="49" t="n"/>
      <c r="CF154" s="197">
        <f>CD154*CI154</f>
        <v/>
      </c>
      <c r="CG154" s="198">
        <f>F154-BY154+1</f>
        <v/>
      </c>
      <c r="CH154" s="197">
        <f>CE154*16</f>
        <v/>
      </c>
      <c r="CI154" s="199">
        <f>VLOOKUP(A154,[1]DATA!$A$6:$AI$331,34,0)</f>
        <v/>
      </c>
      <c r="CJ154" s="200">
        <f>VLOOKUP(A154,[2]CHAMCONG!A$7:CI$333,79,0)</f>
        <v/>
      </c>
      <c r="CK154" s="201">
        <f>CJ154-CA154</f>
        <v/>
      </c>
    </row>
    <row r="155" ht="15.75" customFormat="1" customHeight="1" s="68">
      <c r="A155" s="139" t="n"/>
      <c r="B155" s="64" t="n"/>
      <c r="C155" s="115" t="n"/>
      <c r="D155" s="46" t="n"/>
      <c r="E155" s="47" t="n"/>
      <c r="F155" s="48" t="n"/>
      <c r="G155" s="49" t="n"/>
      <c r="H155" s="73" t="n"/>
      <c r="I155" s="50" t="n"/>
      <c r="J155" s="73" t="n"/>
      <c r="K155" s="50" t="n"/>
      <c r="L155" s="73" t="n"/>
      <c r="M155" s="50" t="n"/>
      <c r="N155" s="73" t="n"/>
      <c r="O155" s="50" t="n"/>
      <c r="P155" s="73" t="n"/>
      <c r="Q155" s="50" t="n"/>
      <c r="R155" s="73" t="n"/>
      <c r="S155" s="50" t="n"/>
      <c r="T155" s="73" t="n"/>
      <c r="U155" s="49" t="n"/>
      <c r="V155" s="73" t="n"/>
      <c r="W155" s="50" t="n"/>
      <c r="X155" s="73" t="n"/>
      <c r="Y155" s="50" t="n"/>
      <c r="Z155" s="73" t="n"/>
      <c r="AA155" s="50" t="n"/>
      <c r="AB155" s="73" t="n"/>
      <c r="AC155" s="50" t="n"/>
      <c r="AD155" s="73" t="n"/>
      <c r="AE155" s="50" t="n"/>
      <c r="AF155" s="67" t="n"/>
      <c r="AG155" s="50" t="n"/>
      <c r="AH155" s="73" t="n"/>
      <c r="AI155" s="73" t="n"/>
      <c r="AJ155" s="73" t="n"/>
      <c r="AK155" s="50" t="n"/>
      <c r="AL155" s="73" t="n"/>
      <c r="AM155" s="50" t="n"/>
      <c r="AN155" s="73" t="n"/>
      <c r="AO155" s="50" t="n"/>
      <c r="AP155" s="73" t="n"/>
      <c r="AQ155" s="50" t="n"/>
      <c r="AR155" s="73" t="n"/>
      <c r="AS155" s="50" t="n"/>
      <c r="AT155" s="67" t="n"/>
      <c r="AU155" s="50" t="n"/>
      <c r="AV155" s="73" t="n"/>
      <c r="AW155" s="73" t="n"/>
      <c r="AX155" s="73" t="n"/>
      <c r="AY155" s="49" t="n"/>
      <c r="AZ155" s="73" t="n"/>
      <c r="BA155" s="49" t="n"/>
      <c r="BB155" s="73" t="n"/>
      <c r="BC155" s="73" t="n"/>
      <c r="BD155" s="73" t="n"/>
      <c r="BE155" s="50" t="n"/>
      <c r="BF155" s="73" t="n"/>
      <c r="BG155" s="73" t="n"/>
      <c r="BH155" s="73" t="n"/>
      <c r="BI155" s="73" t="n"/>
      <c r="BJ155" s="73" t="n"/>
      <c r="BK155" s="73" t="n"/>
      <c r="BL155" s="73" t="n"/>
      <c r="BM155" s="73" t="n"/>
      <c r="BN155" s="73" t="n"/>
      <c r="BO155" s="73" t="n"/>
      <c r="BP155" s="73" t="n"/>
      <c r="BQ155" s="195">
        <f>COUNTIF($G155:$BP155,"a")+COUNTIF($G155:$BP155,"r0,a5")/2+COUNTIF($G155:$BP155,"p5,a5")/2</f>
        <v/>
      </c>
      <c r="BR155" s="195">
        <f>COUNTIF($G155:$BP155,"d")+COUNTIF($G155:$BP155,"r0,d5")/2+COUNTIF($G155:$BP155,"p5,d5")/2</f>
        <v/>
      </c>
      <c r="BS155" s="195">
        <f>COUNTIF($G155:$BP155,"b")+COUNTIF($G155:$BP155,"r0,b5")/2+COUNTIF($G155:$BP155,"p5,b5")/2</f>
        <v/>
      </c>
      <c r="BT155" s="195">
        <f>COUNTIF($G155:$BP155,"c")+COUNTIF($G155:$BP155,"r0,c5")/2+COUNTIF($G155:$BP155,"p5,c5")/2</f>
        <v/>
      </c>
      <c r="BU155" s="195">
        <f>COUNTIF($G155:$BP155,"KH")+COUNTIF($G155:$BP155,"TL")+COUNTIF($G155:$BP155,"L")</f>
        <v/>
      </c>
      <c r="BV155" s="202" t="n"/>
      <c r="BW155" s="195">
        <f>COUNTIF($G155:$BP155,"hh")</f>
        <v/>
      </c>
      <c r="BX155" s="195">
        <f>COUNTIF($G155:$BP155,"nt7")</f>
        <v/>
      </c>
      <c r="BY155" s="195">
        <f>COUNTIF($G155:$BP155,"P")+COUNTIF($G155:$BP155,"p5,a5")/2+COUNTIF($G155:$BP155,"p5,b5")/2+COUNTIF($G155:$BP155,"p5,c5")/2+COUNTIF($G155:$BP155,"p5,d5")/2</f>
        <v/>
      </c>
      <c r="BZ155" s="203">
        <f>SUBTOTAL(9,BQ155:BY155)</f>
        <v/>
      </c>
      <c r="CA155" s="54">
        <f>SUM(J155,L155,N155,P155,R155,T155,X155,Z155,AB155,AD155,AF155,AH155,AL155,AN155,AP155,AR155,AT155,AV155,AZ155,BB155,BD155,BF155,BH155,BP155)</f>
        <v/>
      </c>
      <c r="CB155" s="55">
        <f>SUM(H155,V155,AJ155,AX155,BL155)</f>
        <v/>
      </c>
      <c r="CC155" s="56">
        <f>SUM(BJ155,BN155)</f>
        <v/>
      </c>
      <c r="CD155" s="197">
        <f>IF(BZ155&gt;25,4,IF(BZ155&gt;18,3,IF(BZ155&gt;12,2,IF(BZ155&gt;4,1,0))))-BX155-2+1</f>
        <v/>
      </c>
      <c r="CE155" s="49" t="n">
        <v>4</v>
      </c>
      <c r="CF155" s="197">
        <f>CD155*CI155</f>
        <v/>
      </c>
      <c r="CG155" s="198">
        <f>F155-BY155+1</f>
        <v/>
      </c>
      <c r="CH155" s="197">
        <f>CE155*16</f>
        <v/>
      </c>
      <c r="CI155" s="199">
        <f>VLOOKUP(A155,[1]DATA!$A$6:$AI$331,34,0)</f>
        <v/>
      </c>
      <c r="CJ155" s="200">
        <f>VLOOKUP(A155,[2]CHAMCONG!A$7:CI$333,79,0)</f>
        <v/>
      </c>
      <c r="CK155" s="201">
        <f>CJ155-CA155</f>
        <v/>
      </c>
    </row>
    <row r="156" ht="15.75" customFormat="1" customHeight="1" s="68">
      <c r="A156" s="139" t="n"/>
      <c r="B156" s="64" t="n"/>
      <c r="C156" s="115" t="n"/>
      <c r="D156" s="46" t="n"/>
      <c r="E156" s="47" t="n"/>
      <c r="F156" s="48" t="n"/>
      <c r="G156" s="49" t="n"/>
      <c r="H156" s="73" t="n"/>
      <c r="I156" s="49" t="n"/>
      <c r="J156" s="73" t="n"/>
      <c r="K156" s="49" t="n"/>
      <c r="L156" s="73" t="n"/>
      <c r="M156" s="50" t="n"/>
      <c r="N156" s="73" t="n"/>
      <c r="O156" s="50" t="n"/>
      <c r="P156" s="73" t="n"/>
      <c r="Q156" s="49" t="n"/>
      <c r="R156" s="73" t="n"/>
      <c r="S156" s="50" t="n"/>
      <c r="T156" s="73" t="n"/>
      <c r="U156" s="50" t="n"/>
      <c r="V156" s="73" t="n"/>
      <c r="W156" s="50" t="n"/>
      <c r="X156" s="73" t="n"/>
      <c r="Y156" s="50" t="n"/>
      <c r="Z156" s="73" t="n"/>
      <c r="AA156" s="50" t="n"/>
      <c r="AB156" s="73" t="n"/>
      <c r="AC156" s="50" t="n"/>
      <c r="AD156" s="73" t="n"/>
      <c r="AE156" s="49" t="n"/>
      <c r="AF156" s="73" t="n"/>
      <c r="AG156" s="50" t="n"/>
      <c r="AH156" s="73" t="n"/>
      <c r="AI156" s="50" t="n"/>
      <c r="AJ156" s="73" t="n"/>
      <c r="AK156" s="50" t="n"/>
      <c r="AL156" s="73" t="n"/>
      <c r="AM156" s="50" t="n"/>
      <c r="AN156" s="73" t="n"/>
      <c r="AO156" s="50" t="n"/>
      <c r="AP156" s="73" t="n"/>
      <c r="AQ156" s="49" t="n"/>
      <c r="AR156" s="73" t="n"/>
      <c r="AS156" s="49" t="n"/>
      <c r="AT156" s="73" t="n"/>
      <c r="AU156" s="49" t="n"/>
      <c r="AV156" s="73" t="n"/>
      <c r="AW156" s="73" t="n"/>
      <c r="AX156" s="73" t="n"/>
      <c r="AY156" s="49" t="n"/>
      <c r="AZ156" s="73" t="n"/>
      <c r="BA156" s="49" t="n"/>
      <c r="BB156" s="73" t="n"/>
      <c r="BC156" s="73" t="n"/>
      <c r="BD156" s="73" t="n"/>
      <c r="BE156" s="49" t="n"/>
      <c r="BF156" s="73" t="n"/>
      <c r="BG156" s="49" t="n"/>
      <c r="BH156" s="73" t="n"/>
      <c r="BI156" s="73" t="n"/>
      <c r="BJ156" s="73" t="n"/>
      <c r="BK156" s="73" t="n"/>
      <c r="BL156" s="73" t="n"/>
      <c r="BM156" s="73" t="n"/>
      <c r="BN156" s="73" t="n"/>
      <c r="BO156" s="73" t="n"/>
      <c r="BP156" s="73" t="n"/>
      <c r="BQ156" s="195">
        <f>COUNTIF($G156:$BP156,"a")+COUNTIF($G156:$BP156,"r0,a5")/2+COUNTIF($G156:$BP156,"p5,a5")/2</f>
        <v/>
      </c>
      <c r="BR156" s="195">
        <f>COUNTIF($G156:$BP156,"d")+COUNTIF($G156:$BP156,"r0,d5")/2+COUNTIF($G156:$BP156,"p5,d5")/2</f>
        <v/>
      </c>
      <c r="BS156" s="195">
        <f>COUNTIF($G156:$BP156,"b")+COUNTIF($G156:$BP156,"r0,b5")/2+COUNTIF($G156:$BP156,"p5,b5")/2</f>
        <v/>
      </c>
      <c r="BT156" s="195">
        <f>COUNTIF($G156:$BP156,"c")+COUNTIF($G156:$BP156,"r0,c5")/2+COUNTIF($G156:$BP156,"p5,c5")/2</f>
        <v/>
      </c>
      <c r="BU156" s="195">
        <f>COUNTIF($G156:$BP156,"KH")+COUNTIF($G156:$BP156,"TL")+COUNTIF($G156:$BP156,"L")</f>
        <v/>
      </c>
      <c r="BV156" s="202" t="n"/>
      <c r="BW156" s="195">
        <f>COUNTIF($G156:$BP156,"hh")</f>
        <v/>
      </c>
      <c r="BX156" s="195">
        <f>COUNTIF($G156:$BP156,"nt7")</f>
        <v/>
      </c>
      <c r="BY156" s="195">
        <f>COUNTIF($G156:$BP156,"P")+COUNTIF($G156:$BP156,"p5,a5")/2+COUNTIF($G156:$BP156,"p5,b5")/2+COUNTIF($G156:$BP156,"p5,c5")/2+COUNTIF($G156:$BP156,"p5,d5")/2</f>
        <v/>
      </c>
      <c r="BZ156" s="203">
        <f>SUBTOTAL(9,BQ156:BY156)</f>
        <v/>
      </c>
      <c r="CA156" s="54">
        <f>SUM(J156,L156,N156,P156,R156,T156,X156,Z156,AB156,AD156,AF156,AH156,AL156,AN156,AP156,AR156,AT156,AV156,AZ156,BB156,BD156,BF156,BH156,BP156)</f>
        <v/>
      </c>
      <c r="CB156" s="55">
        <f>SUM(H156,V156,AJ156,AX156,BL156)</f>
        <v/>
      </c>
      <c r="CC156" s="56">
        <f>SUM(BJ156,BN156)</f>
        <v/>
      </c>
      <c r="CD156" s="197">
        <f>IF(BZ156&gt;25,4,IF(BZ156&gt;18,3,IF(BZ156&gt;12,2,IF(BZ156&gt;4,1,0))))-BX156-2+1</f>
        <v/>
      </c>
      <c r="CE156" s="49" t="n">
        <v>2</v>
      </c>
      <c r="CF156" s="197">
        <f>CD156*CI156</f>
        <v/>
      </c>
      <c r="CG156" s="198">
        <f>F156-BY156+1</f>
        <v/>
      </c>
      <c r="CH156" s="197">
        <f>CE156*16</f>
        <v/>
      </c>
      <c r="CI156" s="199">
        <f>VLOOKUP(A156,[1]DATA!$A$6:$AI$331,34,0)</f>
        <v/>
      </c>
      <c r="CJ156" s="200">
        <f>VLOOKUP(A156,[2]CHAMCONG!A$7:CI$333,79,0)</f>
        <v/>
      </c>
      <c r="CK156" s="201">
        <f>CJ156-CA156</f>
        <v/>
      </c>
    </row>
    <row r="157" ht="15.75" customFormat="1" customHeight="1" s="68">
      <c r="A157" s="139" t="n"/>
      <c r="B157" s="64" t="n"/>
      <c r="C157" s="115" t="n"/>
      <c r="D157" s="46" t="n"/>
      <c r="E157" s="47" t="n"/>
      <c r="F157" s="48" t="n"/>
      <c r="G157" s="49" t="n"/>
      <c r="H157" s="73" t="n"/>
      <c r="I157" s="49" t="n"/>
      <c r="J157" s="73" t="n"/>
      <c r="K157" s="49" t="n"/>
      <c r="L157" s="73" t="n"/>
      <c r="M157" s="49" t="n"/>
      <c r="N157" s="73" t="n"/>
      <c r="O157" s="49" t="n"/>
      <c r="P157" s="73" t="n"/>
      <c r="Q157" s="49" t="n"/>
      <c r="R157" s="73" t="n"/>
      <c r="S157" s="50" t="n"/>
      <c r="T157" s="73" t="n"/>
      <c r="U157" s="50" t="n"/>
      <c r="V157" s="73" t="n"/>
      <c r="W157" s="50" t="n"/>
      <c r="X157" s="73" t="n"/>
      <c r="Y157" s="50" t="n"/>
      <c r="Z157" s="73" t="n"/>
      <c r="AA157" s="50" t="n"/>
      <c r="AB157" s="73" t="n"/>
      <c r="AC157" s="50" t="n"/>
      <c r="AD157" s="73" t="n"/>
      <c r="AE157" s="50" t="n"/>
      <c r="AF157" s="67" t="n"/>
      <c r="AG157" s="49" t="n"/>
      <c r="AH157" s="73" t="n"/>
      <c r="AI157" s="49" t="n"/>
      <c r="AJ157" s="73" t="n"/>
      <c r="AK157" s="49" t="n"/>
      <c r="AL157" s="73" t="n"/>
      <c r="AM157" s="50" t="n"/>
      <c r="AN157" s="73" t="n"/>
      <c r="AO157" s="49" t="n"/>
      <c r="AP157" s="73" t="n"/>
      <c r="AQ157" s="50" t="n"/>
      <c r="AR157" s="73" t="n"/>
      <c r="AS157" s="50" t="n"/>
      <c r="AT157" s="67" t="n"/>
      <c r="AU157" s="73" t="n"/>
      <c r="AV157" s="73" t="n"/>
      <c r="AW157" s="73" t="n"/>
      <c r="AX157" s="73" t="n"/>
      <c r="AY157" s="49" t="n"/>
      <c r="AZ157" s="73" t="n"/>
      <c r="BA157" s="49" t="n"/>
      <c r="BB157" s="73" t="n"/>
      <c r="BC157" s="49" t="n"/>
      <c r="BD157" s="73" t="n"/>
      <c r="BE157" s="49" t="n"/>
      <c r="BF157" s="73" t="n"/>
      <c r="BG157" s="49" t="n"/>
      <c r="BH157" s="73" t="n"/>
      <c r="BI157" s="73" t="n"/>
      <c r="BJ157" s="73" t="n"/>
      <c r="BK157" s="73" t="n"/>
      <c r="BL157" s="73" t="n"/>
      <c r="BM157" s="73" t="n"/>
      <c r="BN157" s="73" t="n"/>
      <c r="BO157" s="73" t="n"/>
      <c r="BP157" s="73" t="n"/>
      <c r="BQ157" s="195">
        <f>COUNTIF($G157:$BP157,"a")+COUNTIF($G157:$BP157,"r0,a5")/2+COUNTIF($G157:$BP157,"p5,a5")/2</f>
        <v/>
      </c>
      <c r="BR157" s="195">
        <f>COUNTIF($G157:$BP157,"d")+COUNTIF($G157:$BP157,"r0,d5")/2+COUNTIF($G157:$BP157,"p5,d5")/2</f>
        <v/>
      </c>
      <c r="BS157" s="195">
        <f>COUNTIF($G157:$BP157,"b")+COUNTIF($G157:$BP157,"r0,b5")/2+COUNTIF($G157:$BP157,"p5,b5")/2</f>
        <v/>
      </c>
      <c r="BT157" s="195">
        <f>COUNTIF($G157:$BP157,"c")+COUNTIF($G157:$BP157,"r0,c5")/2+COUNTIF($G157:$BP157,"p5,c5")/2</f>
        <v/>
      </c>
      <c r="BU157" s="195">
        <f>COUNTIF($G157:$BP157,"KH")+COUNTIF($G157:$BP157,"TL")+COUNTIF($G157:$BP157,"L")</f>
        <v/>
      </c>
      <c r="BV157" s="202" t="n"/>
      <c r="BW157" s="195">
        <f>COUNTIF($G157:$BP157,"hh")</f>
        <v/>
      </c>
      <c r="BX157" s="195">
        <f>COUNTIF($G157:$BP157,"nt7")</f>
        <v/>
      </c>
      <c r="BY157" s="195">
        <f>COUNTIF($G157:$BP157,"P")+COUNTIF($G157:$BP157,"p5,a5")/2+COUNTIF($G157:$BP157,"p5,b5")/2+COUNTIF($G157:$BP157,"p5,c5")/2+COUNTIF($G157:$BP157,"p5,d5")/2</f>
        <v/>
      </c>
      <c r="BZ157" s="203">
        <f>SUBTOTAL(9,BQ157:BY157)</f>
        <v/>
      </c>
      <c r="CA157" s="54">
        <f>SUM(J157,L157,N157,P157,R157,T157,X157,Z157,AB157,AD157,AF157,AH157,AL157,AN157,AP157,AR157,AT157,AV157,AZ157,BB157,BD157,BF157,BH157,BP157)</f>
        <v/>
      </c>
      <c r="CB157" s="55">
        <f>SUM(H157,V157,AJ157,AX157,BL157)</f>
        <v/>
      </c>
      <c r="CC157" s="56">
        <f>SUM(BJ157,BN157)</f>
        <v/>
      </c>
      <c r="CD157" s="197">
        <f>IF(BZ157&gt;25,4,IF(BZ157&gt;18,3,IF(BZ157&gt;12,2,IF(BZ157&gt;4,1,0))))-BX157-2+1</f>
        <v/>
      </c>
      <c r="CE157" s="49" t="n">
        <v>2</v>
      </c>
      <c r="CF157" s="197">
        <f>CD157*CI157</f>
        <v/>
      </c>
      <c r="CG157" s="198">
        <f>F157-BY157+1</f>
        <v/>
      </c>
      <c r="CH157" s="197">
        <f>CE157*16</f>
        <v/>
      </c>
      <c r="CI157" s="199">
        <f>VLOOKUP(A157,[1]DATA!$A$6:$AI$331,34,0)</f>
        <v/>
      </c>
      <c r="CJ157" s="200">
        <f>VLOOKUP(A157,[2]CHAMCONG!A$7:CI$333,79,0)</f>
        <v/>
      </c>
      <c r="CK157" s="201">
        <f>CJ157-CA157</f>
        <v/>
      </c>
    </row>
    <row r="158" ht="15.75" customFormat="1" customHeight="1" s="68">
      <c r="A158" s="139" t="n"/>
      <c r="B158" s="64" t="n"/>
      <c r="C158" s="115" t="n"/>
      <c r="D158" s="46" t="n"/>
      <c r="E158" s="47" t="n"/>
      <c r="F158" s="48" t="n"/>
      <c r="G158" s="49" t="n"/>
      <c r="H158" s="73" t="n"/>
      <c r="I158" s="49" t="n"/>
      <c r="J158" s="73" t="n"/>
      <c r="K158" s="49" t="n"/>
      <c r="L158" s="73" t="n"/>
      <c r="M158" s="73" t="n"/>
      <c r="N158" s="73" t="n"/>
      <c r="O158" s="50" t="n"/>
      <c r="P158" s="73" t="n"/>
      <c r="Q158" s="73" t="n"/>
      <c r="R158" s="73" t="n"/>
      <c r="S158" s="73" t="n"/>
      <c r="T158" s="73" t="n"/>
      <c r="U158" s="49" t="n"/>
      <c r="V158" s="73" t="n"/>
      <c r="W158" s="49" t="n"/>
      <c r="X158" s="73" t="n"/>
      <c r="Y158" s="49" t="n"/>
      <c r="Z158" s="73" t="n"/>
      <c r="AA158" s="73" t="n"/>
      <c r="AB158" s="73" t="n"/>
      <c r="AC158" s="50" t="n"/>
      <c r="AD158" s="73" t="n"/>
      <c r="AE158" s="73" t="n"/>
      <c r="AF158" s="73" t="n"/>
      <c r="AG158" s="73" t="n"/>
      <c r="AH158" s="73" t="n"/>
      <c r="AI158" s="73" t="n"/>
      <c r="AJ158" s="73" t="n"/>
      <c r="AK158" s="49" t="n"/>
      <c r="AL158" s="73" t="n"/>
      <c r="AM158" s="49" t="n"/>
      <c r="AN158" s="73" t="n"/>
      <c r="AO158" s="73" t="n"/>
      <c r="AP158" s="73" t="n"/>
      <c r="AQ158" s="50" t="n"/>
      <c r="AR158" s="73" t="n"/>
      <c r="AS158" s="73" t="n"/>
      <c r="AT158" s="73" t="n"/>
      <c r="AU158" s="73" t="n"/>
      <c r="AV158" s="73" t="n"/>
      <c r="AW158" s="73" t="n"/>
      <c r="AX158" s="73" t="n"/>
      <c r="AY158" s="49" t="n"/>
      <c r="AZ158" s="73" t="n"/>
      <c r="BA158" s="49" t="n"/>
      <c r="BB158" s="73" t="n"/>
      <c r="BC158" s="73" t="n"/>
      <c r="BD158" s="73" t="n"/>
      <c r="BE158" s="50" t="n"/>
      <c r="BF158" s="73" t="n"/>
      <c r="BG158" s="73" t="n"/>
      <c r="BH158" s="73" t="n"/>
      <c r="BI158" s="73" t="n"/>
      <c r="BJ158" s="73" t="n"/>
      <c r="BK158" s="73" t="n"/>
      <c r="BL158" s="73" t="n"/>
      <c r="BM158" s="73" t="n"/>
      <c r="BN158" s="73" t="n"/>
      <c r="BO158" s="73" t="n"/>
      <c r="BP158" s="73" t="n"/>
      <c r="BQ158" s="195">
        <f>COUNTIF($G158:$BP158,"a")+COUNTIF($G158:$BP158,"r0,a5")/2+COUNTIF($G158:$BP158,"p5,a5")/2</f>
        <v/>
      </c>
      <c r="BR158" s="195">
        <f>COUNTIF($G158:$BP158,"d")+COUNTIF($G158:$BP158,"r0,d5")/2+COUNTIF($G158:$BP158,"p5,d5")/2</f>
        <v/>
      </c>
      <c r="BS158" s="195">
        <f>COUNTIF($G158:$BP158,"b")+COUNTIF($G158:$BP158,"r0,b5")/2+COUNTIF($G158:$BP158,"p5,b5")/2</f>
        <v/>
      </c>
      <c r="BT158" s="195">
        <f>COUNTIF($G158:$BP158,"c")+COUNTIF($G158:$BP158,"r0,c5")/2+COUNTIF($G158:$BP158,"p5,c5")/2</f>
        <v/>
      </c>
      <c r="BU158" s="195">
        <f>COUNTIF($G158:$BP158,"KH")+COUNTIF($G158:$BP158,"TL")+COUNTIF($G158:$BP158,"L")</f>
        <v/>
      </c>
      <c r="BV158" s="202" t="n"/>
      <c r="BW158" s="195">
        <f>COUNTIF($G158:$BP158,"hh")</f>
        <v/>
      </c>
      <c r="BX158" s="195">
        <f>COUNTIF($G158:$BP158,"nt7")</f>
        <v/>
      </c>
      <c r="BY158" s="195">
        <f>COUNTIF($G158:$BP158,"P")+COUNTIF($G158:$BP158,"p5,a5")/2+COUNTIF($G158:$BP158,"p5,b5")/2+COUNTIF($G158:$BP158,"p5,c5")/2+COUNTIF($G158:$BP158,"p5,d5")/2</f>
        <v/>
      </c>
      <c r="BZ158" s="203">
        <f>SUBTOTAL(9,BQ158:BY158)</f>
        <v/>
      </c>
      <c r="CA158" s="54">
        <f>SUM(J158,L158,N158,P158,R158,T158,X158,Z158,AB158,AD158,AF158,AH158,AL158,AN158,AP158,AR158,AT158,AV158,AZ158,BB158,BD158,BF158,BH158,BP158)</f>
        <v/>
      </c>
      <c r="CB158" s="55">
        <f>SUM(H158,V158,AJ158,AX158,BL158)</f>
        <v/>
      </c>
      <c r="CC158" s="56">
        <f>SUM(BJ158,BN158)</f>
        <v/>
      </c>
      <c r="CD158" s="197">
        <f>IF(BZ158&gt;25,4,IF(BZ158&gt;18,3,IF(BZ158&gt;12,2,IF(BZ158&gt;4,1,0))))-BX158-2+1</f>
        <v/>
      </c>
      <c r="CE158" s="49" t="n">
        <v>1</v>
      </c>
      <c r="CF158" s="197">
        <f>CD158*CI158</f>
        <v/>
      </c>
      <c r="CG158" s="198">
        <f>F158-BY158+1</f>
        <v/>
      </c>
      <c r="CH158" s="197">
        <f>CE158*16</f>
        <v/>
      </c>
      <c r="CI158" s="199">
        <f>VLOOKUP(A158,[1]DATA!$A$6:$AI$331,34,0)</f>
        <v/>
      </c>
      <c r="CJ158" s="200">
        <f>VLOOKUP(A158,[2]CHAMCONG!A$7:CI$333,79,0)</f>
        <v/>
      </c>
      <c r="CK158" s="201">
        <f>CJ158-CA158</f>
        <v/>
      </c>
    </row>
    <row r="159" ht="15.75" customFormat="1" customHeight="1" s="68">
      <c r="A159" s="139" t="n"/>
      <c r="B159" s="64" t="n"/>
      <c r="C159" s="115" t="n"/>
      <c r="D159" s="46" t="n"/>
      <c r="E159" s="47" t="n"/>
      <c r="F159" s="48" t="n"/>
      <c r="G159" s="49" t="n"/>
      <c r="H159" s="73" t="n"/>
      <c r="I159" s="50" t="n"/>
      <c r="J159" s="73" t="n"/>
      <c r="K159" s="73" t="n"/>
      <c r="L159" s="73" t="n"/>
      <c r="M159" s="73" t="n"/>
      <c r="N159" s="73" t="n"/>
      <c r="O159" s="73" t="n"/>
      <c r="P159" s="73" t="n"/>
      <c r="Q159" s="67" t="n"/>
      <c r="R159" s="67" t="n"/>
      <c r="S159" s="67" t="n"/>
      <c r="T159" s="73" t="n"/>
      <c r="U159" s="67" t="n"/>
      <c r="V159" s="73" t="n"/>
      <c r="W159" s="67" t="n"/>
      <c r="X159" s="73" t="n"/>
      <c r="Y159" s="67" t="n"/>
      <c r="Z159" s="73" t="n"/>
      <c r="AA159" s="67" t="n"/>
      <c r="AB159" s="73" t="n"/>
      <c r="AC159" s="67" t="n"/>
      <c r="AD159" s="73" t="n"/>
      <c r="AE159" s="67" t="n"/>
      <c r="AF159" s="73" t="n"/>
      <c r="AG159" s="67" t="n"/>
      <c r="AH159" s="73" t="n"/>
      <c r="AI159" s="67" t="n"/>
      <c r="AJ159" s="73" t="n"/>
      <c r="AK159" s="67" t="n"/>
      <c r="AL159" s="73" t="n"/>
      <c r="AM159" s="67" t="n"/>
      <c r="AN159" s="73" t="n"/>
      <c r="AO159" s="73" t="n"/>
      <c r="AP159" s="73" t="n"/>
      <c r="AQ159" s="73" t="n"/>
      <c r="AR159" s="73" t="n"/>
      <c r="AS159" s="73" t="n"/>
      <c r="AT159" s="73" t="n"/>
      <c r="AU159" s="73" t="n"/>
      <c r="AV159" s="73" t="n"/>
      <c r="AW159" s="73" t="n"/>
      <c r="AX159" s="73" t="n"/>
      <c r="AY159" s="73" t="n"/>
      <c r="AZ159" s="73" t="n"/>
      <c r="BA159" s="73" t="n"/>
      <c r="BB159" s="73" t="n"/>
      <c r="BC159" s="73" t="n"/>
      <c r="BD159" s="73" t="n"/>
      <c r="BE159" s="73" t="n"/>
      <c r="BF159" s="73" t="n"/>
      <c r="BG159" s="73" t="n"/>
      <c r="BH159" s="73" t="n"/>
      <c r="BI159" s="73" t="n"/>
      <c r="BJ159" s="73" t="n"/>
      <c r="BK159" s="73" t="n"/>
      <c r="BL159" s="73" t="n"/>
      <c r="BM159" s="73" t="n"/>
      <c r="BN159" s="73" t="n"/>
      <c r="BO159" s="73" t="n"/>
      <c r="BP159" s="73" t="n"/>
      <c r="BQ159" s="195">
        <f>COUNTIF($G159:$BP159,"a")+COUNTIF($G159:$BP159,"r0,a5")/2+COUNTIF($G159:$BP159,"p5,a5")/2</f>
        <v/>
      </c>
      <c r="BR159" s="195">
        <f>COUNTIF($G159:$BP159,"d")+COUNTIF($G159:$BP159,"r0,d5")/2+COUNTIF($G159:$BP159,"p5,d5")/2</f>
        <v/>
      </c>
      <c r="BS159" s="195">
        <f>COUNTIF($G159:$BP159,"b")+COUNTIF($G159:$BP159,"r0,b5")/2+COUNTIF($G159:$BP159,"p5,b5")/2</f>
        <v/>
      </c>
      <c r="BT159" s="195">
        <f>COUNTIF($G159:$BP159,"c")+COUNTIF($G159:$BP159,"r0,c5")/2+COUNTIF($G159:$BP159,"p5,c5")/2</f>
        <v/>
      </c>
      <c r="BU159" s="195">
        <f>COUNTIF($G159:$BP159,"KH")+COUNTIF($G159:$BP159,"TL")+COUNTIF($G159:$BP159,"L")</f>
        <v/>
      </c>
      <c r="BV159" s="202" t="n"/>
      <c r="BW159" s="195">
        <f>COUNTIF($G159:$BP159,"hh")</f>
        <v/>
      </c>
      <c r="BX159" s="195">
        <f>COUNTIF($G159:$BP159,"nt7")</f>
        <v/>
      </c>
      <c r="BY159" s="195">
        <f>COUNTIF($G159:$BP159,"P")+COUNTIF($G159:$BP159,"p5,a5")/2+COUNTIF($G159:$BP159,"p5,b5")/2+COUNTIF($G159:$BP159,"p5,c5")/2+COUNTIF($G159:$BP159,"p5,d5")/2</f>
        <v/>
      </c>
      <c r="BZ159" s="203">
        <f>SUBTOTAL(9,BQ159:BY159)</f>
        <v/>
      </c>
      <c r="CA159" s="54">
        <f>SUM(J159,L159,N159,P159,R159,T159,X159,Z159,AB159,AD159,AF159,AH159,AL159,AN159,AP159,AR159,AT159,AV159,AZ159,BB159,BD159,BF159,BH159,BP159)</f>
        <v/>
      </c>
      <c r="CB159" s="55">
        <f>SUM(H159,V159,AJ159,AX159,BL159)</f>
        <v/>
      </c>
      <c r="CC159" s="56">
        <f>SUM(BJ159,BN159)</f>
        <v/>
      </c>
      <c r="CD159" s="197">
        <f>IF(BZ159&gt;25,4,IF(BZ159&gt;18,3,IF(BZ159&gt;12,2,IF(BZ159&gt;4,1,0))))-BX159-2+1</f>
        <v/>
      </c>
      <c r="CE159" s="49" t="n">
        <v>1</v>
      </c>
      <c r="CF159" s="197">
        <f>CD159*CI159</f>
        <v/>
      </c>
      <c r="CG159" s="198">
        <f>F159-BY159+1</f>
        <v/>
      </c>
      <c r="CH159" s="197">
        <f>CE159*16</f>
        <v/>
      </c>
      <c r="CI159" s="199">
        <f>VLOOKUP(A159,[1]DATA!$A$6:$AI$331,34,0)</f>
        <v/>
      </c>
      <c r="CJ159" s="200">
        <f>VLOOKUP(A159,[2]CHAMCONG!A$7:CI$333,79,0)</f>
        <v/>
      </c>
      <c r="CK159" s="201">
        <f>CJ159-CA159</f>
        <v/>
      </c>
    </row>
    <row r="160" ht="15.75" customFormat="1" customHeight="1" s="68">
      <c r="A160" s="139" t="n"/>
      <c r="B160" s="64" t="n"/>
      <c r="C160" s="115" t="n"/>
      <c r="D160" s="46" t="n"/>
      <c r="E160" s="47" t="n"/>
      <c r="F160" s="48" t="n"/>
      <c r="G160" s="49" t="n"/>
      <c r="H160" s="73" t="n"/>
      <c r="I160" s="50" t="n"/>
      <c r="J160" s="73" t="n"/>
      <c r="K160" s="73" t="n"/>
      <c r="L160" s="73" t="n"/>
      <c r="M160" s="50" t="n"/>
      <c r="N160" s="73" t="n"/>
      <c r="O160" s="50" t="n"/>
      <c r="P160" s="73" t="n"/>
      <c r="Q160" s="50" t="n"/>
      <c r="R160" s="67" t="n"/>
      <c r="S160" s="50" t="n"/>
      <c r="T160" s="73" t="n"/>
      <c r="U160" s="49" t="n"/>
      <c r="V160" s="73" t="n"/>
      <c r="W160" s="50" t="n"/>
      <c r="X160" s="73" t="n"/>
      <c r="Y160" s="50" t="n"/>
      <c r="Z160" s="73" t="n"/>
      <c r="AA160" s="73" t="n"/>
      <c r="AB160" s="73" t="n"/>
      <c r="AC160" s="73" t="n"/>
      <c r="AD160" s="73" t="n"/>
      <c r="AE160" s="73" t="n"/>
      <c r="AF160" s="73" t="n"/>
      <c r="AG160" s="73" t="n"/>
      <c r="AH160" s="73" t="n"/>
      <c r="AI160" s="73" t="n"/>
      <c r="AJ160" s="73" t="n"/>
      <c r="AK160" s="73" t="n"/>
      <c r="AL160" s="73" t="n"/>
      <c r="AM160" s="73" t="n"/>
      <c r="AN160" s="73" t="n"/>
      <c r="AO160" s="73" t="n"/>
      <c r="AP160" s="73" t="n"/>
      <c r="AQ160" s="73" t="n"/>
      <c r="AR160" s="73" t="n"/>
      <c r="AS160" s="49" t="n"/>
      <c r="AT160" s="73" t="n"/>
      <c r="AU160" s="73" t="n"/>
      <c r="AV160" s="73" t="n"/>
      <c r="AW160" s="49" t="n"/>
      <c r="AX160" s="73" t="n"/>
      <c r="AY160" s="49" t="n"/>
      <c r="AZ160" s="73" t="n"/>
      <c r="BA160" s="49" t="n"/>
      <c r="BB160" s="73" t="n"/>
      <c r="BC160" s="73" t="n"/>
      <c r="BD160" s="73" t="n"/>
      <c r="BE160" s="73" t="n"/>
      <c r="BF160" s="73" t="n"/>
      <c r="BG160" s="73" t="n"/>
      <c r="BH160" s="73" t="n"/>
      <c r="BI160" s="73" t="n"/>
      <c r="BJ160" s="73" t="n"/>
      <c r="BK160" s="73" t="n"/>
      <c r="BL160" s="73" t="n"/>
      <c r="BM160" s="73" t="n"/>
      <c r="BN160" s="73" t="n"/>
      <c r="BO160" s="73" t="n"/>
      <c r="BP160" s="73" t="n"/>
      <c r="BQ160" s="195">
        <f>COUNTIF($G160:$BP160,"a")+COUNTIF($G160:$BP160,"r0,a5")/2+COUNTIF($G160:$BP160,"p5,a5")/2</f>
        <v/>
      </c>
      <c r="BR160" s="195">
        <f>COUNTIF($G160:$BP160,"d")+COUNTIF($G160:$BP160,"r0,d5")/2+COUNTIF($G160:$BP160,"p5,d5")/2</f>
        <v/>
      </c>
      <c r="BS160" s="195">
        <f>COUNTIF($G160:$BP160,"b")+COUNTIF($G160:$BP160,"r0,b5")/2+COUNTIF($G160:$BP160,"p5,b5")/2</f>
        <v/>
      </c>
      <c r="BT160" s="195">
        <f>COUNTIF($G160:$BP160,"c")+COUNTIF($G160:$BP160,"r0,c5")/2+COUNTIF($G160:$BP160,"p5,c5")/2</f>
        <v/>
      </c>
      <c r="BU160" s="195">
        <f>COUNTIF($G160:$BP160,"KH")+COUNTIF($G160:$BP160,"TL")+COUNTIF($G160:$BP160,"L")</f>
        <v/>
      </c>
      <c r="BV160" s="202" t="n"/>
      <c r="BW160" s="195">
        <f>COUNTIF($G160:$BP160,"hh")</f>
        <v/>
      </c>
      <c r="BX160" s="195">
        <f>COUNTIF($G160:$BP160,"nt7")</f>
        <v/>
      </c>
      <c r="BY160" s="195">
        <f>COUNTIF($G160:$BP160,"P")+COUNTIF($G160:$BP160,"p5,a5")/2+COUNTIF($G160:$BP160,"p5,b5")/2+COUNTIF($G160:$BP160,"p5,c5")/2+COUNTIF($G160:$BP160,"p5,d5")/2</f>
        <v/>
      </c>
      <c r="BZ160" s="203">
        <f>SUBTOTAL(9,BQ160:BY160)</f>
        <v/>
      </c>
      <c r="CA160" s="54">
        <f>SUM(J160,L160,N160,P160,R160,T160,X160,Z160,AB160,AD160,AF160,AH160,AL160,AN160,AP160,AR160,AT160,AV160,AZ160,BB160,BD160,BF160,BH160,BP160)</f>
        <v/>
      </c>
      <c r="CB160" s="55">
        <f>SUM(H160,V160,AJ160,AX160,BL160)</f>
        <v/>
      </c>
      <c r="CC160" s="56">
        <f>SUM(BJ160,BN160)</f>
        <v/>
      </c>
      <c r="CD160" s="197" t="n"/>
      <c r="CE160" s="49" t="n">
        <v>2</v>
      </c>
      <c r="CF160" s="197">
        <f>CD160*CI160</f>
        <v/>
      </c>
      <c r="CG160" s="198">
        <f>F160-BY160+1</f>
        <v/>
      </c>
      <c r="CH160" s="197">
        <f>CE160*16</f>
        <v/>
      </c>
      <c r="CI160" s="199">
        <f>VLOOKUP(A160,[1]DATA!$A$6:$AI$331,34,0)</f>
        <v/>
      </c>
      <c r="CJ160" s="200">
        <f>VLOOKUP(A160,[2]CHAMCONG!A$7:CI$333,79,0)</f>
        <v/>
      </c>
      <c r="CK160" s="201">
        <f>CJ160-CA160</f>
        <v/>
      </c>
    </row>
    <row r="161" ht="15.75" customFormat="1" customHeight="1" s="68">
      <c r="A161" s="139" t="n"/>
      <c r="B161" s="64" t="n"/>
      <c r="C161" s="115" t="n"/>
      <c r="D161" s="46" t="n"/>
      <c r="E161" s="47" t="n"/>
      <c r="F161" s="48" t="n"/>
      <c r="G161" s="49" t="n"/>
      <c r="H161" s="73" t="n"/>
      <c r="I161" s="50" t="n"/>
      <c r="J161" s="73" t="n"/>
      <c r="K161" s="50" t="n"/>
      <c r="L161" s="73" t="n"/>
      <c r="M161" s="50" t="n"/>
      <c r="N161" s="73" t="n"/>
      <c r="O161" s="50" t="n"/>
      <c r="P161" s="73" t="n"/>
      <c r="Q161" s="49" t="n"/>
      <c r="R161" s="73" t="n"/>
      <c r="S161" s="50" t="n"/>
      <c r="T161" s="73" t="n"/>
      <c r="U161" s="50" t="n"/>
      <c r="V161" s="73" t="n"/>
      <c r="W161" s="50" t="n"/>
      <c r="X161" s="73" t="n"/>
      <c r="Y161" s="50" t="n"/>
      <c r="Z161" s="73" t="n"/>
      <c r="AA161" s="50" t="n"/>
      <c r="AB161" s="73" t="n"/>
      <c r="AC161" s="50" t="n"/>
      <c r="AD161" s="73" t="n"/>
      <c r="AE161" s="73" t="n"/>
      <c r="AF161" s="73" t="n"/>
      <c r="AG161" s="50" t="n"/>
      <c r="AH161" s="73" t="n"/>
      <c r="AI161" s="50" t="n"/>
      <c r="AJ161" s="73" t="n"/>
      <c r="AK161" s="50" t="n"/>
      <c r="AL161" s="73" t="n"/>
      <c r="AM161" s="50" t="n"/>
      <c r="AN161" s="73" t="n"/>
      <c r="AO161" s="50" t="n"/>
      <c r="AP161" s="73" t="n"/>
      <c r="AQ161" s="73" t="n"/>
      <c r="AR161" s="73" t="n"/>
      <c r="AS161" s="73" t="n"/>
      <c r="AT161" s="73" t="n"/>
      <c r="AU161" s="73" t="n"/>
      <c r="AV161" s="73" t="n"/>
      <c r="AW161" s="73" t="n"/>
      <c r="AX161" s="73" t="n"/>
      <c r="AY161" s="50" t="n"/>
      <c r="AZ161" s="73" t="n"/>
      <c r="BA161" s="50" t="n"/>
      <c r="BB161" s="73" t="n"/>
      <c r="BC161" s="73" t="n"/>
      <c r="BD161" s="73" t="n"/>
      <c r="BE161" s="73" t="n"/>
      <c r="BF161" s="73" t="n"/>
      <c r="BG161" s="73" t="n"/>
      <c r="BH161" s="73" t="n"/>
      <c r="BI161" s="73" t="n"/>
      <c r="BJ161" s="73" t="n"/>
      <c r="BK161" s="73" t="n"/>
      <c r="BL161" s="73" t="n"/>
      <c r="BM161" s="73" t="n"/>
      <c r="BN161" s="73" t="n"/>
      <c r="BO161" s="73" t="n"/>
      <c r="BP161" s="73" t="n"/>
      <c r="BQ161" s="195">
        <f>COUNTIF($G161:$BP161,"a")+COUNTIF($G161:$BP161,"r0,a5")/2+COUNTIF($G161:$BP161,"p5,a5")/2</f>
        <v/>
      </c>
      <c r="BR161" s="195">
        <f>COUNTIF($G161:$BP161,"d")+COUNTIF($G161:$BP161,"r0,d5")/2+COUNTIF($G161:$BP161,"p5,d5")/2</f>
        <v/>
      </c>
      <c r="BS161" s="195">
        <f>COUNTIF($G161:$BP161,"b")+COUNTIF($G161:$BP161,"r0,b5")/2+COUNTIF($G161:$BP161,"p5,b5")/2</f>
        <v/>
      </c>
      <c r="BT161" s="195">
        <f>COUNTIF($G161:$BP161,"c")+COUNTIF($G161:$BP161,"r0,c5")/2+COUNTIF($G161:$BP161,"p5,c5")/2</f>
        <v/>
      </c>
      <c r="BU161" s="195">
        <f>COUNTIF($G161:$BP161,"KH")+COUNTIF($G161:$BP161,"TL")+COUNTIF($G161:$BP161,"L")</f>
        <v/>
      </c>
      <c r="BV161" s="202" t="n"/>
      <c r="BW161" s="195">
        <f>COUNTIF($G161:$BP161,"hh")</f>
        <v/>
      </c>
      <c r="BX161" s="195">
        <f>COUNTIF($G161:$BP161,"nt7")</f>
        <v/>
      </c>
      <c r="BY161" s="195">
        <f>COUNTIF($G161:$BP161,"P")+COUNTIF($G161:$BP161,"p5,a5")/2+COUNTIF($G161:$BP161,"p5,b5")/2+COUNTIF($G161:$BP161,"p5,c5")/2+COUNTIF($G161:$BP161,"p5,d5")/2</f>
        <v/>
      </c>
      <c r="BZ161" s="203">
        <f>SUBTOTAL(9,BQ161:BY161)</f>
        <v/>
      </c>
      <c r="CA161" s="54">
        <f>SUM(J161,L161,N161,P161,R161,T161,X161,Z161,AB161,AD161,AF161,AH161,AL161,AN161,AP161,AR161,AT161,AV161,AZ161,BB161,BD161,BF161,BH161,BP161)</f>
        <v/>
      </c>
      <c r="CB161" s="55">
        <f>SUM(H161,V161,AJ161,AX161,BL161)</f>
        <v/>
      </c>
      <c r="CC161" s="56">
        <f>SUM(BJ161,BN161)</f>
        <v/>
      </c>
      <c r="CD161" s="197">
        <f>IF(BZ161&gt;25,4,IF(BZ161&gt;18,3,IF(BZ161&gt;12,2,IF(BZ161&gt;4,1,0))))-BX161-2+1</f>
        <v/>
      </c>
      <c r="CE161" s="49" t="n"/>
      <c r="CF161" s="197">
        <f>CD161*CI161</f>
        <v/>
      </c>
      <c r="CG161" s="198">
        <f>F161-BY161+1</f>
        <v/>
      </c>
      <c r="CH161" s="197">
        <f>CE161*16</f>
        <v/>
      </c>
      <c r="CI161" s="199">
        <f>VLOOKUP(A161,[1]DATA!$A$6:$AI$331,34,0)</f>
        <v/>
      </c>
      <c r="CJ161" s="200">
        <f>VLOOKUP(A161,[2]CHAMCONG!A$7:CI$333,79,0)</f>
        <v/>
      </c>
      <c r="CK161" s="201">
        <f>CJ161-CA161</f>
        <v/>
      </c>
    </row>
    <row r="162" ht="15.75" customFormat="1" customHeight="1" s="68">
      <c r="A162" s="139" t="n"/>
      <c r="B162" s="64" t="n"/>
      <c r="C162" s="115" t="n"/>
      <c r="D162" s="46" t="n"/>
      <c r="E162" s="47" t="n"/>
      <c r="F162" s="48" t="n"/>
      <c r="G162" s="49" t="n"/>
      <c r="H162" s="73" t="n"/>
      <c r="I162" s="49" t="n"/>
      <c r="J162" s="73" t="n"/>
      <c r="K162" s="49" t="n"/>
      <c r="L162" s="73" t="n"/>
      <c r="M162" s="49" t="n"/>
      <c r="N162" s="73" t="n"/>
      <c r="O162" s="50" t="n"/>
      <c r="P162" s="73" t="n"/>
      <c r="Q162" s="50" t="n"/>
      <c r="R162" s="67" t="n"/>
      <c r="S162" s="50" t="n"/>
      <c r="T162" s="73" t="n"/>
      <c r="U162" s="49" t="n"/>
      <c r="V162" s="73" t="n"/>
      <c r="W162" s="49" t="n"/>
      <c r="X162" s="73" t="n"/>
      <c r="Y162" s="49" t="n"/>
      <c r="Z162" s="73" t="n"/>
      <c r="AA162" s="73" t="n"/>
      <c r="AB162" s="73" t="n"/>
      <c r="AC162" s="73" t="n"/>
      <c r="AD162" s="73" t="n"/>
      <c r="AE162" s="73" t="n"/>
      <c r="AF162" s="73" t="n"/>
      <c r="AG162" s="73" t="n"/>
      <c r="AH162" s="73" t="n"/>
      <c r="AI162" s="73" t="n"/>
      <c r="AJ162" s="73" t="n"/>
      <c r="AK162" s="49" t="n"/>
      <c r="AL162" s="73" t="n"/>
      <c r="AM162" s="49" t="n"/>
      <c r="AN162" s="73" t="n"/>
      <c r="AO162" s="73" t="n"/>
      <c r="AP162" s="73" t="n"/>
      <c r="AQ162" s="50" t="n"/>
      <c r="AR162" s="73" t="n"/>
      <c r="AS162" s="50" t="n"/>
      <c r="AT162" s="67" t="n"/>
      <c r="AU162" s="50" t="n"/>
      <c r="AV162" s="73" t="n"/>
      <c r="AW162" s="73" t="n"/>
      <c r="AX162" s="73" t="n"/>
      <c r="AY162" s="73" t="n"/>
      <c r="AZ162" s="73" t="n"/>
      <c r="BA162" s="73" t="n"/>
      <c r="BB162" s="73" t="n"/>
      <c r="BC162" s="73" t="n"/>
      <c r="BD162" s="73" t="n"/>
      <c r="BE162" s="73" t="n"/>
      <c r="BF162" s="73" t="n"/>
      <c r="BG162" s="73" t="n"/>
      <c r="BH162" s="73" t="n"/>
      <c r="BI162" s="73" t="n"/>
      <c r="BJ162" s="73" t="n"/>
      <c r="BK162" s="73" t="n"/>
      <c r="BL162" s="73" t="n"/>
      <c r="BM162" s="73" t="n"/>
      <c r="BN162" s="73" t="n"/>
      <c r="BO162" s="73" t="n"/>
      <c r="BP162" s="73" t="n"/>
      <c r="BQ162" s="195">
        <f>COUNTIF($G162:$BP162,"a")+COUNTIF($G162:$BP162,"r0,a5")/2+COUNTIF($G162:$BP162,"p5,a5")/2</f>
        <v/>
      </c>
      <c r="BR162" s="195">
        <f>COUNTIF($G162:$BP162,"d")+COUNTIF($G162:$BP162,"r0,d5")/2+COUNTIF($G162:$BP162,"p5,d5")/2</f>
        <v/>
      </c>
      <c r="BS162" s="195">
        <f>COUNTIF($G162:$BP162,"b")+COUNTIF($G162:$BP162,"r0,b5")/2+COUNTIF($G162:$BP162,"p5,b5")/2</f>
        <v/>
      </c>
      <c r="BT162" s="195">
        <f>COUNTIF($G162:$BP162,"c")+COUNTIF($G162:$BP162,"r0,c5")/2+COUNTIF($G162:$BP162,"p5,c5")/2</f>
        <v/>
      </c>
      <c r="BU162" s="195">
        <f>COUNTIF($G162:$BP162,"KH")+COUNTIF($G162:$BP162,"TL")+COUNTIF($G162:$BP162,"L")</f>
        <v/>
      </c>
      <c r="BV162" s="202" t="n"/>
      <c r="BW162" s="195">
        <f>COUNTIF($G162:$BP162,"hh")</f>
        <v/>
      </c>
      <c r="BX162" s="195">
        <f>COUNTIF($G162:$BP162,"nt7")</f>
        <v/>
      </c>
      <c r="BY162" s="195">
        <f>COUNTIF($G162:$BP162,"P")+COUNTIF($G162:$BP162,"p5,a5")/2+COUNTIF($G162:$BP162,"p5,b5")/2+COUNTIF($G162:$BP162,"p5,c5")/2+COUNTIF($G162:$BP162,"p5,d5")/2</f>
        <v/>
      </c>
      <c r="BZ162" s="203">
        <f>SUBTOTAL(9,BQ162:BY162)</f>
        <v/>
      </c>
      <c r="CA162" s="54">
        <f>SUM(J162,L162,N162,P162,R162,T162,X162,Z162,AB162,AD162,AF162,AH162,AL162,AN162,AP162,AR162,AT162,AV162,AZ162,BB162,BD162,BF162,BH162,BP162)</f>
        <v/>
      </c>
      <c r="CB162" s="55">
        <f>SUM(H162,V162,AJ162,AX162,BL162)</f>
        <v/>
      </c>
      <c r="CC162" s="56">
        <f>SUM(BJ162,BN162)</f>
        <v/>
      </c>
      <c r="CD162" s="197">
        <f>IF(BZ162&gt;25,4,IF(BZ162&gt;18,3,IF(BZ162&gt;12,2,IF(BZ162&gt;4,1,0))))-BX162-2+1</f>
        <v/>
      </c>
      <c r="CE162" s="49" t="n">
        <v>3</v>
      </c>
      <c r="CF162" s="197">
        <f>CD162*CI162</f>
        <v/>
      </c>
      <c r="CG162" s="198">
        <f>F162-BY162+1</f>
        <v/>
      </c>
      <c r="CH162" s="197">
        <f>CE162*16</f>
        <v/>
      </c>
      <c r="CI162" s="199">
        <f>VLOOKUP(A162,[1]DATA!$A$6:$AI$331,34,0)</f>
        <v/>
      </c>
      <c r="CJ162" s="200">
        <f>VLOOKUP(A162,[2]CHAMCONG!A$7:CI$333,79,0)</f>
        <v/>
      </c>
      <c r="CK162" s="201">
        <f>CJ162-CA162</f>
        <v/>
      </c>
    </row>
    <row r="163" ht="15.75" customFormat="1" customHeight="1" s="68">
      <c r="A163" s="139" t="n"/>
      <c r="B163" s="64" t="n"/>
      <c r="C163" s="115" t="n"/>
      <c r="D163" s="46" t="n"/>
      <c r="E163" s="47" t="n"/>
      <c r="F163" s="48" t="n"/>
      <c r="G163" s="49" t="n"/>
      <c r="H163" s="73" t="n"/>
      <c r="I163" s="49" t="n"/>
      <c r="J163" s="73" t="n"/>
      <c r="K163" s="49" t="n"/>
      <c r="L163" s="73" t="n"/>
      <c r="M163" s="73" t="n"/>
      <c r="N163" s="73" t="n"/>
      <c r="O163" s="50" t="n"/>
      <c r="P163" s="73" t="n"/>
      <c r="Q163" s="49" t="n"/>
      <c r="R163" s="73" t="n"/>
      <c r="S163" s="49" t="n"/>
      <c r="T163" s="73" t="n"/>
      <c r="U163" s="49" t="n"/>
      <c r="V163" s="73" t="n"/>
      <c r="W163" s="49" t="n"/>
      <c r="X163" s="73" t="n"/>
      <c r="Y163" s="73" t="n"/>
      <c r="Z163" s="73" t="n"/>
      <c r="AA163" s="73" t="n"/>
      <c r="AB163" s="73" t="n"/>
      <c r="AC163" s="73" t="n"/>
      <c r="AD163" s="73" t="n"/>
      <c r="AE163" s="73" t="n"/>
      <c r="AF163" s="73" t="n"/>
      <c r="AG163" s="49" t="n"/>
      <c r="AH163" s="73" t="n"/>
      <c r="AI163" s="49" t="n"/>
      <c r="AJ163" s="73" t="n"/>
      <c r="AK163" s="73" t="n"/>
      <c r="AL163" s="73" t="n"/>
      <c r="AM163" s="73" t="n"/>
      <c r="AN163" s="73" t="n"/>
      <c r="AO163" s="73" t="n"/>
      <c r="AP163" s="73" t="n"/>
      <c r="AQ163" s="73" t="n"/>
      <c r="AR163" s="73" t="n"/>
      <c r="AS163" s="49" t="n"/>
      <c r="AT163" s="73" t="n"/>
      <c r="AU163" s="73" t="n"/>
      <c r="AV163" s="73" t="n"/>
      <c r="AW163" s="49" t="n"/>
      <c r="AX163" s="73" t="n"/>
      <c r="AY163" s="73" t="n"/>
      <c r="AZ163" s="73" t="n"/>
      <c r="BA163" s="73" t="n"/>
      <c r="BB163" s="73" t="n"/>
      <c r="BC163" s="73" t="n"/>
      <c r="BD163" s="73" t="n"/>
      <c r="BE163" s="73" t="n"/>
      <c r="BF163" s="73" t="n"/>
      <c r="BG163" s="73" t="n"/>
      <c r="BH163" s="73" t="n"/>
      <c r="BI163" s="73" t="n"/>
      <c r="BJ163" s="73" t="n"/>
      <c r="BK163" s="73" t="n"/>
      <c r="BL163" s="73" t="n"/>
      <c r="BM163" s="73" t="n"/>
      <c r="BN163" s="73" t="n"/>
      <c r="BO163" s="73" t="n"/>
      <c r="BP163" s="73" t="n"/>
      <c r="BQ163" s="195">
        <f>COUNTIF($G163:$BP163,"a")+COUNTIF($G163:$BP163,"r0,a5")/2+COUNTIF($G163:$BP163,"p5,a5")/2</f>
        <v/>
      </c>
      <c r="BR163" s="195">
        <f>COUNTIF($G163:$BP163,"d")+COUNTIF($G163:$BP163,"r0,d5")/2+COUNTIF($G163:$BP163,"p5,d5")/2</f>
        <v/>
      </c>
      <c r="BS163" s="195">
        <f>COUNTIF($G163:$BP163,"b")+COUNTIF($G163:$BP163,"r0,b5")/2+COUNTIF($G163:$BP163,"p5,b5")/2</f>
        <v/>
      </c>
      <c r="BT163" s="195">
        <f>COUNTIF($G163:$BP163,"c")+COUNTIF($G163:$BP163,"r0,c5")/2+COUNTIF($G163:$BP163,"p5,c5")/2</f>
        <v/>
      </c>
      <c r="BU163" s="195">
        <f>COUNTIF($G163:$BP163,"KH")+COUNTIF($G163:$BP163,"TL")+COUNTIF($G163:$BP163,"L")</f>
        <v/>
      </c>
      <c r="BV163" s="202" t="n"/>
      <c r="BW163" s="195">
        <f>COUNTIF($G163:$BP163,"hh")</f>
        <v/>
      </c>
      <c r="BX163" s="195">
        <f>COUNTIF($G163:$BP163,"nt7")</f>
        <v/>
      </c>
      <c r="BY163" s="195">
        <f>COUNTIF($G163:$BP163,"P")+COUNTIF($G163:$BP163,"p5,a5")/2+COUNTIF($G163:$BP163,"p5,b5")/2+COUNTIF($G163:$BP163,"p5,c5")/2+COUNTIF($G163:$BP163,"p5,d5")/2</f>
        <v/>
      </c>
      <c r="BZ163" s="203">
        <f>SUBTOTAL(9,BQ163:BY163)</f>
        <v/>
      </c>
      <c r="CA163" s="54">
        <f>SUM(J163,L163,N163,P163,R163,T163,X163,Z163,AB163,AD163,AF163,AH163,AL163,AN163,AP163,AR163,AT163,AV163,AZ163,BB163,BD163,BF163,BH163,BP163)</f>
        <v/>
      </c>
      <c r="CB163" s="55">
        <f>SUM(H163,V163,AJ163,AX163,BL163)</f>
        <v/>
      </c>
      <c r="CC163" s="56">
        <f>SUM(BJ163,BN163)</f>
        <v/>
      </c>
      <c r="CD163" s="197">
        <f>IF(BZ163&gt;25,4,IF(BZ163&gt;18,3,IF(BZ163&gt;12,2,IF(BZ163&gt;4,1,0))))-BX163-2+1</f>
        <v/>
      </c>
      <c r="CE163" s="49" t="n">
        <v>1</v>
      </c>
      <c r="CF163" s="197">
        <f>CD163*CI163</f>
        <v/>
      </c>
      <c r="CG163" s="198">
        <f>F163-BY163+1</f>
        <v/>
      </c>
      <c r="CH163" s="197">
        <f>CE163*16</f>
        <v/>
      </c>
      <c r="CI163" s="199">
        <f>VLOOKUP(A163,[1]DATA!$A$6:$AI$331,34,0)</f>
        <v/>
      </c>
      <c r="CJ163" s="200">
        <f>VLOOKUP(A163,[2]CHAMCONG!A$7:CI$333,79,0)</f>
        <v/>
      </c>
      <c r="CK163" s="201">
        <f>CJ163-CA163</f>
        <v/>
      </c>
    </row>
    <row r="164" ht="15.75" customFormat="1" customHeight="1" s="68">
      <c r="A164" s="139" t="n"/>
      <c r="B164" s="64" t="n"/>
      <c r="C164" s="115" t="n"/>
      <c r="D164" s="46" t="n"/>
      <c r="E164" s="47" t="n"/>
      <c r="F164" s="48" t="n"/>
      <c r="G164" s="49" t="n"/>
      <c r="H164" s="73" t="n"/>
      <c r="I164" s="50" t="n"/>
      <c r="J164" s="73" t="n"/>
      <c r="K164" s="50" t="n"/>
      <c r="L164" s="73" t="n"/>
      <c r="M164" s="50" t="n"/>
      <c r="N164" s="73" t="n"/>
      <c r="O164" s="50" t="n"/>
      <c r="P164" s="73" t="n"/>
      <c r="Q164" s="50" t="n"/>
      <c r="R164" s="67" t="n"/>
      <c r="S164" s="49" t="n"/>
      <c r="T164" s="73" t="n"/>
      <c r="U164" s="49" t="n"/>
      <c r="V164" s="73" t="n"/>
      <c r="W164" s="49" t="n"/>
      <c r="X164" s="73" t="n"/>
      <c r="Y164" s="49" t="n"/>
      <c r="Z164" s="73" t="n"/>
      <c r="AA164" s="49" t="n"/>
      <c r="AB164" s="73" t="n"/>
      <c r="AC164" s="49" t="n"/>
      <c r="AD164" s="73" t="n"/>
      <c r="AE164" s="49" t="n"/>
      <c r="AF164" s="73" t="n"/>
      <c r="AG164" s="49" t="n"/>
      <c r="AH164" s="73" t="n"/>
      <c r="AI164" s="49" t="n"/>
      <c r="AJ164" s="73" t="n"/>
      <c r="AK164" s="49" t="n"/>
      <c r="AL164" s="73" t="n"/>
      <c r="AM164" s="49" t="n"/>
      <c r="AN164" s="73" t="n"/>
      <c r="AO164" s="49" t="n"/>
      <c r="AP164" s="73" t="n"/>
      <c r="AQ164" s="73" t="n"/>
      <c r="AR164" s="73" t="n"/>
      <c r="AS164" s="73" t="n"/>
      <c r="AT164" s="73" t="n"/>
      <c r="AU164" s="73" t="n"/>
      <c r="AV164" s="73" t="n"/>
      <c r="AW164" s="73" t="n"/>
      <c r="AX164" s="73" t="n"/>
      <c r="AY164" s="50" t="n"/>
      <c r="AZ164" s="73" t="n"/>
      <c r="BA164" s="50" t="n"/>
      <c r="BB164" s="73" t="n"/>
      <c r="BC164" s="50" t="n"/>
      <c r="BD164" s="73" t="n"/>
      <c r="BE164" s="50" t="n"/>
      <c r="BF164" s="73" t="n"/>
      <c r="BG164" s="50" t="n"/>
      <c r="BH164" s="50" t="n"/>
      <c r="BI164" s="73" t="n"/>
      <c r="BJ164" s="73" t="n"/>
      <c r="BK164" s="73" t="n"/>
      <c r="BL164" s="73" t="n"/>
      <c r="BM164" s="73" t="n"/>
      <c r="BN164" s="73" t="n"/>
      <c r="BO164" s="73" t="n"/>
      <c r="BP164" s="73" t="n"/>
      <c r="BQ164" s="195">
        <f>COUNTIF($G164:$BP164,"a")+COUNTIF($G164:$BP164,"r0,a5")/2+COUNTIF($G164:$BP164,"p5,a5")/2</f>
        <v/>
      </c>
      <c r="BR164" s="195">
        <f>COUNTIF($G164:$BP164,"d")+COUNTIF($G164:$BP164,"r0,d5")/2+COUNTIF($G164:$BP164,"p5,d5")/2</f>
        <v/>
      </c>
      <c r="BS164" s="195">
        <f>COUNTIF($G164:$BP164,"b")+COUNTIF($G164:$BP164,"r0,b5")/2+COUNTIF($G164:$BP164,"p5,b5")/2</f>
        <v/>
      </c>
      <c r="BT164" s="195">
        <f>COUNTIF($G164:$BP164,"c")+COUNTIF($G164:$BP164,"r0,c5")/2+COUNTIF($G164:$BP164,"p5,c5")/2</f>
        <v/>
      </c>
      <c r="BU164" s="195">
        <f>COUNTIF($G164:$BP164,"KH")+COUNTIF($G164:$BP164,"TL")+COUNTIF($G164:$BP164,"L")</f>
        <v/>
      </c>
      <c r="BV164" s="202" t="n"/>
      <c r="BW164" s="195">
        <f>COUNTIF($G164:$BP164,"hh")</f>
        <v/>
      </c>
      <c r="BX164" s="195">
        <f>COUNTIF($G164:$BP164,"nt7")</f>
        <v/>
      </c>
      <c r="BY164" s="195">
        <f>COUNTIF($G164:$BP164,"P")+COUNTIF($G164:$BP164,"p5,a5")/2+COUNTIF($G164:$BP164,"p5,b5")/2+COUNTIF($G164:$BP164,"p5,c5")/2+COUNTIF($G164:$BP164,"p5,d5")/2</f>
        <v/>
      </c>
      <c r="BZ164" s="203">
        <f>SUBTOTAL(9,BQ164:BY164)</f>
        <v/>
      </c>
      <c r="CA164" s="54">
        <f>SUM(J164,L164,N164,P164,R164,T164,X164,Z164,AB164,AD164,AF164,AH164,AL164,AN164,AP164,AR164,AT164,AV164,AZ164,BB164,BD164,BF164,BH164,BP164)</f>
        <v/>
      </c>
      <c r="CB164" s="55">
        <f>SUM(H164,V164,AJ164,AX164,BL164)</f>
        <v/>
      </c>
      <c r="CC164" s="56">
        <f>SUM(BJ164,BN164)</f>
        <v/>
      </c>
      <c r="CD164" s="197">
        <f>IF(BZ164&gt;25,4,IF(BZ164&gt;18,3,IF(BZ164&gt;12,2,IF(BZ164&gt;4,1,0))))-BX164-2+1</f>
        <v/>
      </c>
      <c r="CE164" s="49" t="n">
        <v>1</v>
      </c>
      <c r="CF164" s="197">
        <f>CD164*CI164</f>
        <v/>
      </c>
      <c r="CG164" s="198">
        <f>F164-BY164+1</f>
        <v/>
      </c>
      <c r="CH164" s="197">
        <f>CE164*16</f>
        <v/>
      </c>
      <c r="CI164" s="199">
        <f>VLOOKUP(A164,[1]DATA!$A$6:$AI$331,34,0)</f>
        <v/>
      </c>
      <c r="CJ164" s="200">
        <f>VLOOKUP(A164,[2]CHAMCONG!A$7:CI$333,79,0)</f>
        <v/>
      </c>
      <c r="CK164" s="201">
        <f>CJ164-CA164</f>
        <v/>
      </c>
    </row>
    <row r="165" ht="15.75" customFormat="1" customHeight="1" s="68">
      <c r="A165" s="139" t="n"/>
      <c r="B165" s="64" t="n"/>
      <c r="C165" s="115" t="n"/>
      <c r="D165" s="46" t="n"/>
      <c r="E165" s="47" t="n"/>
      <c r="F165" s="48" t="n"/>
      <c r="G165" s="49" t="n"/>
      <c r="H165" s="73" t="n"/>
      <c r="I165" s="49" t="n"/>
      <c r="J165" s="73" t="n"/>
      <c r="K165" s="49" t="n"/>
      <c r="L165" s="73" t="n"/>
      <c r="M165" s="67" t="n"/>
      <c r="N165" s="73" t="n"/>
      <c r="O165" s="49" t="n"/>
      <c r="P165" s="73" t="n"/>
      <c r="Q165" s="49" t="n"/>
      <c r="R165" s="73" t="n"/>
      <c r="S165" s="49" t="n"/>
      <c r="T165" s="73" t="n"/>
      <c r="U165" s="49" t="n"/>
      <c r="V165" s="73" t="n"/>
      <c r="W165" s="49" t="n"/>
      <c r="X165" s="73" t="n"/>
      <c r="Y165" s="49" t="n"/>
      <c r="Z165" s="73" t="n"/>
      <c r="AA165" s="67" t="n"/>
      <c r="AB165" s="73" t="n"/>
      <c r="AC165" s="73" t="n"/>
      <c r="AD165" s="73" t="n"/>
      <c r="AE165" s="73" t="n"/>
      <c r="AF165" s="73" t="n"/>
      <c r="AG165" s="73" t="n"/>
      <c r="AH165" s="73" t="n"/>
      <c r="AI165" s="73" t="n"/>
      <c r="AJ165" s="73" t="n"/>
      <c r="AK165" s="73" t="n"/>
      <c r="AL165" s="73" t="n"/>
      <c r="AM165" s="73" t="n"/>
      <c r="AN165" s="73" t="n"/>
      <c r="AO165" s="73" t="n"/>
      <c r="AP165" s="73" t="n"/>
      <c r="AQ165" s="73" t="n"/>
      <c r="AR165" s="73" t="n"/>
      <c r="AS165" s="73" t="n"/>
      <c r="AT165" s="73" t="n"/>
      <c r="AU165" s="73" t="n"/>
      <c r="AV165" s="73" t="n"/>
      <c r="AW165" s="73" t="n"/>
      <c r="AX165" s="73" t="n"/>
      <c r="AY165" s="73" t="n"/>
      <c r="AZ165" s="73" t="n"/>
      <c r="BA165" s="73" t="n"/>
      <c r="BB165" s="73" t="n"/>
      <c r="BC165" s="73" t="n"/>
      <c r="BD165" s="73" t="n"/>
      <c r="BE165" s="73" t="n"/>
      <c r="BF165" s="73" t="n"/>
      <c r="BG165" s="73" t="n"/>
      <c r="BH165" s="73" t="n"/>
      <c r="BI165" s="73" t="n"/>
      <c r="BJ165" s="73" t="n"/>
      <c r="BK165" s="73" t="n"/>
      <c r="BL165" s="73" t="n"/>
      <c r="BM165" s="73" t="n"/>
      <c r="BN165" s="73" t="n"/>
      <c r="BO165" s="73" t="n"/>
      <c r="BP165" s="73" t="n"/>
      <c r="BQ165" s="195">
        <f>COUNTIF($G165:$BP165,"a")+COUNTIF($G165:$BP165,"r0,a5")/2+COUNTIF($G165:$BP165,"p5,a5")/2</f>
        <v/>
      </c>
      <c r="BR165" s="195">
        <f>COUNTIF($G165:$BP165,"d")+COUNTIF($G165:$BP165,"r0,d5")/2+COUNTIF($G165:$BP165,"p5,d5")/2</f>
        <v/>
      </c>
      <c r="BS165" s="195">
        <f>COUNTIF($G165:$BP165,"b")+COUNTIF($G165:$BP165,"r0,b5")/2+COUNTIF($G165:$BP165,"p5,b5")/2</f>
        <v/>
      </c>
      <c r="BT165" s="195">
        <f>COUNTIF($G165:$BP165,"c")+COUNTIF($G165:$BP165,"r0,c5")/2+COUNTIF($G165:$BP165,"p5,c5")/2</f>
        <v/>
      </c>
      <c r="BU165" s="195">
        <f>COUNTIF($G165:$BP165,"KH")+COUNTIF($G165:$BP165,"TL")+COUNTIF($G165:$BP165,"L")</f>
        <v/>
      </c>
      <c r="BV165" s="202" t="n"/>
      <c r="BW165" s="195">
        <f>COUNTIF($G165:$BP165,"hh")</f>
        <v/>
      </c>
      <c r="BX165" s="195">
        <f>COUNTIF($G165:$BP165,"nt7")</f>
        <v/>
      </c>
      <c r="BY165" s="195">
        <f>COUNTIF($G165:$BP165,"P")+COUNTIF($G165:$BP165,"p5,a5")/2+COUNTIF($G165:$BP165,"p5,b5")/2+COUNTIF($G165:$BP165,"p5,c5")/2+COUNTIF($G165:$BP165,"p5,d5")/2</f>
        <v/>
      </c>
      <c r="BZ165" s="203">
        <f>SUBTOTAL(9,BQ165:BY165)</f>
        <v/>
      </c>
      <c r="CA165" s="54">
        <f>SUM(J165,L165,N165,P165,R165,T165,X165,Z165,AB165,AD165,AF165,AH165,AL165,AN165,AP165,AR165,AT165,AV165,AZ165,BB165,BD165,BF165,BH165,BP165)</f>
        <v/>
      </c>
      <c r="CB165" s="55">
        <f>SUM(H165,V165,AJ165,AX165,BL165)</f>
        <v/>
      </c>
      <c r="CC165" s="56">
        <f>SUM(BJ165,BN165)</f>
        <v/>
      </c>
      <c r="CD165" s="197">
        <f>IF(BZ165&gt;25,4,IF(BZ165&gt;18,3,IF(BZ165&gt;12,2,IF(BZ165&gt;4,1,0))))-BX165-2+1</f>
        <v/>
      </c>
      <c r="CE165" s="49" t="n">
        <v>1</v>
      </c>
      <c r="CF165" s="197">
        <f>CD165*CI165</f>
        <v/>
      </c>
      <c r="CG165" s="198">
        <f>F165-BY165+1</f>
        <v/>
      </c>
      <c r="CH165" s="197">
        <f>CE165*16</f>
        <v/>
      </c>
      <c r="CI165" s="199">
        <f>VLOOKUP(A165,[1]DATA!$A$6:$AI$331,34,0)</f>
        <v/>
      </c>
      <c r="CJ165" s="200">
        <f>VLOOKUP(A165,[2]CHAMCONG!A$7:CI$333,79,0)</f>
        <v/>
      </c>
      <c r="CK165" s="201">
        <f>CJ165-CA165</f>
        <v/>
      </c>
    </row>
    <row r="166" ht="15.75" customFormat="1" customHeight="1" s="75">
      <c r="A166" s="139" t="n"/>
      <c r="B166" s="64" t="n"/>
      <c r="C166" s="115" t="n"/>
      <c r="D166" s="46" t="n"/>
      <c r="E166" s="47" t="n"/>
      <c r="F166" s="48" t="n"/>
      <c r="G166" s="49" t="n"/>
      <c r="H166" s="73" t="n"/>
      <c r="I166" s="50" t="n"/>
      <c r="J166" s="73" t="n"/>
      <c r="K166" s="73" t="n"/>
      <c r="L166" s="73" t="n"/>
      <c r="M166" s="73" t="n"/>
      <c r="N166" s="73" t="n"/>
      <c r="O166" s="50" t="n"/>
      <c r="P166" s="73" t="n"/>
      <c r="Q166" s="73" t="n"/>
      <c r="R166" s="73" t="n"/>
      <c r="S166" s="73" t="n"/>
      <c r="T166" s="73" t="n"/>
      <c r="U166" s="49" t="n"/>
      <c r="V166" s="73" t="n"/>
      <c r="W166" s="73" t="n"/>
      <c r="X166" s="73" t="n"/>
      <c r="Y166" s="73" t="n"/>
      <c r="Z166" s="73" t="n"/>
      <c r="AA166" s="73" t="n"/>
      <c r="AB166" s="73" t="n"/>
      <c r="AC166" s="73" t="n"/>
      <c r="AD166" s="73" t="n"/>
      <c r="AE166" s="73" t="n"/>
      <c r="AF166" s="73" t="n"/>
      <c r="AG166" s="73" t="n"/>
      <c r="AH166" s="73" t="n"/>
      <c r="AI166" s="73" t="n"/>
      <c r="AJ166" s="73" t="n"/>
      <c r="AK166" s="73" t="n"/>
      <c r="AL166" s="73" t="n"/>
      <c r="AM166" s="73" t="n"/>
      <c r="AN166" s="73" t="n"/>
      <c r="AO166" s="73" t="n"/>
      <c r="AP166" s="73" t="n"/>
      <c r="AQ166" s="50" t="n"/>
      <c r="AR166" s="73" t="n"/>
      <c r="AS166" s="50" t="n"/>
      <c r="AT166" s="50" t="n"/>
      <c r="AU166" s="50" t="n"/>
      <c r="AV166" s="73" t="n"/>
      <c r="AW166" s="73" t="n"/>
      <c r="AX166" s="73" t="n"/>
      <c r="AY166" s="73" t="n"/>
      <c r="AZ166" s="73" t="n"/>
      <c r="BA166" s="73" t="n"/>
      <c r="BB166" s="73" t="n"/>
      <c r="BC166" s="73" t="n"/>
      <c r="BD166" s="73" t="n"/>
      <c r="BE166" s="73" t="n"/>
      <c r="BF166" s="73" t="n"/>
      <c r="BG166" s="73" t="n"/>
      <c r="BH166" s="73" t="n"/>
      <c r="BI166" s="73" t="n"/>
      <c r="BJ166" s="73" t="n"/>
      <c r="BK166" s="73" t="n"/>
      <c r="BL166" s="73" t="n"/>
      <c r="BM166" s="73" t="n"/>
      <c r="BN166" s="73" t="n"/>
      <c r="BO166" s="73" t="n"/>
      <c r="BP166" s="73" t="n"/>
      <c r="BQ166" s="195">
        <f>COUNTIF($G166:$BP166,"a")+COUNTIF($G166:$BP166,"r0,a5")/2+COUNTIF($G166:$BP166,"p5,a5")/2</f>
        <v/>
      </c>
      <c r="BR166" s="195">
        <f>COUNTIF($G166:$BP166,"d")+COUNTIF($G166:$BP166,"r0,d5")/2+COUNTIF($G166:$BP166,"p5,d5")/2</f>
        <v/>
      </c>
      <c r="BS166" s="195">
        <f>COUNTIF($G166:$BP166,"b")+COUNTIF($G166:$BP166,"r0,b5")/2+COUNTIF($G166:$BP166,"p5,b5")/2</f>
        <v/>
      </c>
      <c r="BT166" s="195">
        <f>COUNTIF($G166:$BP166,"c")+COUNTIF($G166:$BP166,"r0,c5")/2+COUNTIF($G166:$BP166,"p5,c5")/2</f>
        <v/>
      </c>
      <c r="BU166" s="195">
        <f>COUNTIF($G166:$BP166,"KH")+COUNTIF($G166:$BP166,"TL")+COUNTIF($G166:$BP166,"L")</f>
        <v/>
      </c>
      <c r="BV166" s="202" t="n"/>
      <c r="BW166" s="195">
        <f>COUNTIF($G166:$BP166,"hh")</f>
        <v/>
      </c>
      <c r="BX166" s="195">
        <f>COUNTIF($G166:$BP166,"nt7")</f>
        <v/>
      </c>
      <c r="BY166" s="195">
        <f>COUNTIF($G166:$BP166,"P")+COUNTIF($G166:$BP166,"p5,a5")/2+COUNTIF($G166:$BP166,"p5,b5")/2+COUNTIF($G166:$BP166,"p5,c5")/2+COUNTIF($G166:$BP166,"p5,d5")/2</f>
        <v/>
      </c>
      <c r="BZ166" s="203">
        <f>SUBTOTAL(9,BQ166:BY166)</f>
        <v/>
      </c>
      <c r="CA166" s="54">
        <f>SUM(J166,L166,N166,P166,R166,T166,X166,Z166,AB166,AD166,AF166,AH166,AL166,AN166,AP166,AR166,AT166,AV166,AZ166,BB166,BD166,BF166,BH166,BP166)</f>
        <v/>
      </c>
      <c r="CB166" s="55">
        <f>SUM(H166,V166,AJ166,AX166,BL166)</f>
        <v/>
      </c>
      <c r="CC166" s="56">
        <f>SUM(BJ166,BN166)</f>
        <v/>
      </c>
      <c r="CD166" s="197">
        <f>IF(BZ166&gt;25,4,IF(BZ166&gt;18,3,IF(BZ166&gt;12,2,IF(BZ166&gt;4,1,0))))-BX166-2+1</f>
        <v/>
      </c>
      <c r="CE166" s="49" t="n"/>
      <c r="CF166" s="197">
        <f>CD166*CI166</f>
        <v/>
      </c>
      <c r="CG166" s="198">
        <f>F166-BY166+1</f>
        <v/>
      </c>
      <c r="CH166" s="197">
        <f>CE166*16</f>
        <v/>
      </c>
      <c r="CI166" s="199">
        <f>VLOOKUP(A166,[1]DATA!$A$6:$AI$331,34,0)</f>
        <v/>
      </c>
      <c r="CJ166" s="200">
        <f>VLOOKUP(A166,[2]CHAMCONG!A$7:CI$333,79,0)</f>
        <v/>
      </c>
      <c r="CK166" s="201">
        <f>CJ166-CA166</f>
        <v/>
      </c>
      <c r="CL166" s="68" t="n"/>
      <c r="CM166" s="68" t="n"/>
    </row>
    <row r="167" ht="15.75" customFormat="1" customHeight="1" s="68">
      <c r="A167" s="139" t="n"/>
      <c r="B167" s="64" t="n"/>
      <c r="C167" s="115" t="n"/>
      <c r="D167" s="46" t="n"/>
      <c r="E167" s="47" t="n"/>
      <c r="F167" s="48" t="n"/>
      <c r="G167" s="49" t="n"/>
      <c r="H167" s="73" t="n"/>
      <c r="I167" s="49" t="n"/>
      <c r="J167" s="73" t="n"/>
      <c r="K167" s="49" t="n"/>
      <c r="L167" s="73" t="n"/>
      <c r="M167" s="49" t="n"/>
      <c r="N167" s="73" t="n"/>
      <c r="O167" s="49" t="n"/>
      <c r="P167" s="73" t="n"/>
      <c r="Q167" s="50" t="n"/>
      <c r="R167" s="67" t="n"/>
      <c r="S167" s="73" t="n"/>
      <c r="T167" s="73" t="n"/>
      <c r="U167" s="49" t="n"/>
      <c r="V167" s="73" t="n"/>
      <c r="W167" s="50" t="n"/>
      <c r="X167" s="73" t="n"/>
      <c r="Y167" s="50" t="n"/>
      <c r="Z167" s="73" t="n"/>
      <c r="AA167" s="50" t="n"/>
      <c r="AB167" s="73" t="n"/>
      <c r="AC167" s="50" t="n"/>
      <c r="AD167" s="73" t="n"/>
      <c r="AE167" s="50" t="n"/>
      <c r="AF167" s="67" t="n"/>
      <c r="AG167" s="50" t="n"/>
      <c r="AH167" s="73" t="n"/>
      <c r="AI167" s="73" t="n"/>
      <c r="AJ167" s="73" t="n"/>
      <c r="AK167" s="50" t="n"/>
      <c r="AL167" s="73" t="n"/>
      <c r="AM167" s="50" t="n"/>
      <c r="AN167" s="73" t="n"/>
      <c r="AO167" s="50" t="n"/>
      <c r="AP167" s="73" t="n"/>
      <c r="AQ167" s="50" t="n"/>
      <c r="AR167" s="73" t="n"/>
      <c r="AS167" s="50" t="n"/>
      <c r="AT167" s="67" t="n"/>
      <c r="AU167" s="73" t="n"/>
      <c r="AV167" s="73" t="n"/>
      <c r="AW167" s="49" t="n"/>
      <c r="AX167" s="73" t="n"/>
      <c r="AY167" s="50" t="n"/>
      <c r="AZ167" s="73" t="n"/>
      <c r="BA167" s="50" t="n"/>
      <c r="BB167" s="73" t="n"/>
      <c r="BC167" s="50" t="n"/>
      <c r="BD167" s="73" t="n"/>
      <c r="BE167" s="50" t="n"/>
      <c r="BF167" s="73" t="n"/>
      <c r="BG167" s="50" t="n"/>
      <c r="BH167" s="67" t="n"/>
      <c r="BI167" s="73" t="n"/>
      <c r="BJ167" s="73" t="n"/>
      <c r="BK167" s="73" t="n"/>
      <c r="BL167" s="73" t="n"/>
      <c r="BM167" s="73" t="n"/>
      <c r="BN167" s="73" t="n"/>
      <c r="BO167" s="73" t="n"/>
      <c r="BP167" s="73" t="n"/>
      <c r="BQ167" s="195">
        <f>COUNTIF($G167:$BP167,"a")+COUNTIF($G167:$BP167,"r0,a5")/2+COUNTIF($G167:$BP167,"p5,a5")/2</f>
        <v/>
      </c>
      <c r="BR167" s="195">
        <f>COUNTIF($G167:$BP167,"d")+COUNTIF($G167:$BP167,"r0,d5")/2+COUNTIF($G167:$BP167,"p5,d5")/2</f>
        <v/>
      </c>
      <c r="BS167" s="195">
        <f>COUNTIF($G167:$BP167,"b")+COUNTIF($G167:$BP167,"r0,b5")/2+COUNTIF($G167:$BP167,"p5,b5")/2</f>
        <v/>
      </c>
      <c r="BT167" s="195">
        <f>COUNTIF($G167:$BP167,"c")+COUNTIF($G167:$BP167,"r0,c5")/2+COUNTIF($G167:$BP167,"p5,c5")/2</f>
        <v/>
      </c>
      <c r="BU167" s="195">
        <f>COUNTIF($G167:$BP167,"KH")+COUNTIF($G167:$BP167,"TL")+COUNTIF($G167:$BP167,"L")</f>
        <v/>
      </c>
      <c r="BV167" s="202" t="n"/>
      <c r="BW167" s="195">
        <f>COUNTIF($G167:$BP167,"hh")</f>
        <v/>
      </c>
      <c r="BX167" s="195">
        <f>COUNTIF($G167:$BP167,"nt7")</f>
        <v/>
      </c>
      <c r="BY167" s="195">
        <f>COUNTIF($G167:$BP167,"P")+COUNTIF($G167:$BP167,"p5,a5")/2+COUNTIF($G167:$BP167,"p5,b5")/2+COUNTIF($G167:$BP167,"p5,c5")/2+COUNTIF($G167:$BP167,"p5,d5")/2</f>
        <v/>
      </c>
      <c r="BZ167" s="203">
        <f>SUBTOTAL(9,BQ167:BY167)</f>
        <v/>
      </c>
      <c r="CA167" s="54">
        <f>SUM(J167,L167,N167,P167,R167,T167,X167,Z167,AB167,AD167,AF167,AH167,AL167,AN167,AP167,AR167,AT167,AV167,AZ167,BB167,BD167,BF167,BH167,BP167)</f>
        <v/>
      </c>
      <c r="CB167" s="55">
        <f>SUM(H167,V167,AJ167,AX167,BL167)</f>
        <v/>
      </c>
      <c r="CC167" s="56">
        <f>SUM(BJ167,BN167)</f>
        <v/>
      </c>
      <c r="CD167" s="197">
        <f>IF(BZ167&gt;25,4,IF(BZ167&gt;18,3,IF(BZ167&gt;12,2,IF(BZ167&gt;4,1,0))))-BX167-2+1</f>
        <v/>
      </c>
      <c r="CE167" s="49" t="n">
        <v>1</v>
      </c>
      <c r="CF167" s="197">
        <f>CD167*CI167</f>
        <v/>
      </c>
      <c r="CG167" s="198">
        <f>F167-BY167+1</f>
        <v/>
      </c>
      <c r="CH167" s="197">
        <f>CE167*16</f>
        <v/>
      </c>
      <c r="CI167" s="199">
        <f>VLOOKUP(A167,[1]DATA!$A$6:$AI$331,34,0)</f>
        <v/>
      </c>
      <c r="CJ167" s="200">
        <f>VLOOKUP(A167,[2]CHAMCONG!A$7:CI$333,79,0)</f>
        <v/>
      </c>
      <c r="CK167" s="201">
        <f>CJ167-CA167</f>
        <v/>
      </c>
    </row>
    <row r="168" ht="15.75" customFormat="1" customHeight="1" s="68">
      <c r="A168" s="69" t="n"/>
      <c r="B168" s="64" t="n"/>
      <c r="C168" s="115" t="n"/>
      <c r="D168" s="46" t="n"/>
      <c r="E168" s="47" t="n"/>
      <c r="F168" s="48" t="n"/>
      <c r="G168" s="49" t="n"/>
      <c r="H168" s="73" t="n"/>
      <c r="I168" s="73" t="n"/>
      <c r="J168" s="73" t="n"/>
      <c r="K168" s="73" t="n"/>
      <c r="L168" s="73" t="n"/>
      <c r="M168" s="73" t="n"/>
      <c r="N168" s="73" t="n"/>
      <c r="O168" s="50" t="n"/>
      <c r="P168" s="73" t="n"/>
      <c r="Q168" s="49" t="n"/>
      <c r="R168" s="49" t="n"/>
      <c r="S168" s="50" t="n"/>
      <c r="T168" s="73" t="n"/>
      <c r="U168" s="73" t="n"/>
      <c r="V168" s="73" t="n"/>
      <c r="W168" s="50" t="n"/>
      <c r="X168" s="73" t="n"/>
      <c r="Y168" s="50" t="n"/>
      <c r="Z168" s="73" t="n"/>
      <c r="AA168" s="73" t="n"/>
      <c r="AB168" s="73" t="n"/>
      <c r="AC168" s="73" t="n"/>
      <c r="AD168" s="73" t="n"/>
      <c r="AE168" s="73" t="n"/>
      <c r="AF168" s="73" t="n"/>
      <c r="AG168" s="73" t="n"/>
      <c r="AH168" s="73" t="n"/>
      <c r="AI168" s="73" t="n"/>
      <c r="AJ168" s="73" t="n"/>
      <c r="AK168" s="49" t="n"/>
      <c r="AL168" s="73" t="n"/>
      <c r="AM168" s="73" t="n"/>
      <c r="AN168" s="73" t="n"/>
      <c r="AO168" s="73" t="n"/>
      <c r="AP168" s="73" t="n"/>
      <c r="AQ168" s="49" t="n"/>
      <c r="AR168" s="73" t="n"/>
      <c r="AS168" s="49" t="n"/>
      <c r="AT168" s="49" t="n"/>
      <c r="AU168" s="49" t="n"/>
      <c r="AV168" s="73" t="n"/>
      <c r="AW168" s="50" t="n"/>
      <c r="AX168" s="73" t="n"/>
      <c r="AY168" s="49" t="n"/>
      <c r="AZ168" s="73" t="n"/>
      <c r="BA168" s="49" t="n"/>
      <c r="BB168" s="73" t="n"/>
      <c r="BC168" s="49" t="n"/>
      <c r="BD168" s="73" t="n"/>
      <c r="BE168" s="73" t="n"/>
      <c r="BF168" s="73" t="n"/>
      <c r="BG168" s="73" t="n"/>
      <c r="BH168" s="73" t="n"/>
      <c r="BI168" s="73" t="n"/>
      <c r="BJ168" s="73" t="n"/>
      <c r="BK168" s="73" t="n"/>
      <c r="BL168" s="73" t="n"/>
      <c r="BM168" s="73" t="n"/>
      <c r="BN168" s="73" t="n"/>
      <c r="BO168" s="73" t="n"/>
      <c r="BP168" s="73" t="n"/>
      <c r="BQ168" s="195">
        <f>COUNTIF($G168:$BP168,"a")+COUNTIF($G168:$BP168,"r0,a5")/2+COUNTIF($G168:$BP168,"p5,a5")/2</f>
        <v/>
      </c>
      <c r="BR168" s="195">
        <f>COUNTIF($G168:$BP168,"d")+COUNTIF($G168:$BP168,"r0,d5")/2+COUNTIF($G168:$BP168,"p5,d5")/2</f>
        <v/>
      </c>
      <c r="BS168" s="195">
        <f>COUNTIF($G168:$BP168,"b")+COUNTIF($G168:$BP168,"r0,b5")/2+COUNTIF($G168:$BP168,"p5,b5")/2</f>
        <v/>
      </c>
      <c r="BT168" s="195">
        <f>COUNTIF($G168:$BP168,"c")+COUNTIF($G168:$BP168,"r0,c5")/2+COUNTIF($G168:$BP168,"p5,c5")/2</f>
        <v/>
      </c>
      <c r="BU168" s="195">
        <f>COUNTIF($G168:$BP168,"KH")+COUNTIF($G168:$BP168,"TL")+COUNTIF($G168:$BP168,"L")</f>
        <v/>
      </c>
      <c r="BV168" s="202" t="n"/>
      <c r="BW168" s="195">
        <f>COUNTIF($G168:$BP168,"hh")</f>
        <v/>
      </c>
      <c r="BX168" s="195">
        <f>COUNTIF($G168:$BP168,"nt7")</f>
        <v/>
      </c>
      <c r="BY168" s="195">
        <f>COUNTIF($G168:$BP168,"P")+COUNTIF($G168:$BP168,"p5,a5")/2+COUNTIF($G168:$BP168,"p5,b5")/2+COUNTIF($G168:$BP168,"p5,c5")/2+COUNTIF($G168:$BP168,"p5,d5")/2</f>
        <v/>
      </c>
      <c r="BZ168" s="203">
        <f>SUBTOTAL(9,BQ168:BY168)</f>
        <v/>
      </c>
      <c r="CA168" s="54">
        <f>SUM(J168,L168,N168,P168,R168,T168,X168,Z168,AB168,AD168,AF168,AH168,AL168,AN168,AP168,AR168,AT168,AV168,AZ168,BB168,BD168,BF168,BH168,BP168)</f>
        <v/>
      </c>
      <c r="CB168" s="55">
        <f>SUM(H168,V168,AJ168,AX168,BL168)</f>
        <v/>
      </c>
      <c r="CC168" s="56">
        <f>SUM(BJ168,BN168)</f>
        <v/>
      </c>
      <c r="CD168" s="197">
        <f>IF(BZ168&gt;25,4,IF(BZ168&gt;18,3,IF(BZ168&gt;12,2,IF(BZ168&gt;4,1,0))))-BX168-2+1</f>
        <v/>
      </c>
      <c r="CE168" s="49" t="n"/>
      <c r="CF168" s="197">
        <f>CD168*CI168</f>
        <v/>
      </c>
      <c r="CG168" s="198">
        <f>F168-BY168+1</f>
        <v/>
      </c>
      <c r="CH168" s="197">
        <f>CE168*16</f>
        <v/>
      </c>
      <c r="CI168" s="199">
        <f>VLOOKUP(A168,[1]DATA!$A$6:$AI$331,34,0)</f>
        <v/>
      </c>
      <c r="CJ168" s="200">
        <f>VLOOKUP(A168,[2]CHAMCONG!A$7:CI$333,79,0)</f>
        <v/>
      </c>
      <c r="CK168" s="201">
        <f>CJ168-CA168</f>
        <v/>
      </c>
    </row>
    <row r="169" ht="15.75" customFormat="1" customHeight="1" s="68">
      <c r="A169" s="139" t="n"/>
      <c r="B169" s="64" t="n"/>
      <c r="C169" s="115" t="n"/>
      <c r="D169" s="46" t="n"/>
      <c r="E169" s="47" t="n"/>
      <c r="F169" s="48" t="n"/>
      <c r="G169" s="49" t="n"/>
      <c r="H169" s="73" t="n"/>
      <c r="I169" s="50" t="n"/>
      <c r="J169" s="73" t="n"/>
      <c r="K169" s="73" t="n"/>
      <c r="L169" s="73" t="n"/>
      <c r="M169" s="73" t="n"/>
      <c r="N169" s="73" t="n"/>
      <c r="O169" s="50" t="n"/>
      <c r="P169" s="73" t="n"/>
      <c r="Q169" s="73" t="n"/>
      <c r="R169" s="73" t="n"/>
      <c r="S169" s="73" t="n"/>
      <c r="T169" s="73" t="n"/>
      <c r="U169" s="73" t="n"/>
      <c r="V169" s="73" t="n"/>
      <c r="W169" s="73" t="n"/>
      <c r="X169" s="73" t="n"/>
      <c r="Y169" s="73" t="n"/>
      <c r="Z169" s="73" t="n"/>
      <c r="AA169" s="73" t="n"/>
      <c r="AB169" s="73" t="n"/>
      <c r="AC169" s="73" t="n"/>
      <c r="AD169" s="73" t="n"/>
      <c r="AE169" s="67" t="n"/>
      <c r="AF169" s="67" t="n"/>
      <c r="AG169" s="73" t="n"/>
      <c r="AH169" s="73" t="n"/>
      <c r="AI169" s="73" t="n"/>
      <c r="AJ169" s="73" t="n"/>
      <c r="AK169" s="73" t="n"/>
      <c r="AL169" s="73" t="n"/>
      <c r="AM169" s="73" t="n"/>
      <c r="AN169" s="73" t="n"/>
      <c r="AO169" s="73" t="n"/>
      <c r="AP169" s="73" t="n"/>
      <c r="AQ169" s="73" t="n"/>
      <c r="AR169" s="73" t="n"/>
      <c r="AS169" s="49" t="n"/>
      <c r="AT169" s="73" t="n"/>
      <c r="AU169" s="73" t="n"/>
      <c r="AV169" s="73" t="n"/>
      <c r="AW169" s="49" t="n"/>
      <c r="AX169" s="73" t="n"/>
      <c r="AY169" s="49" t="n"/>
      <c r="AZ169" s="73" t="n"/>
      <c r="BA169" s="73" t="n"/>
      <c r="BB169" s="73" t="n"/>
      <c r="BC169" s="73" t="n"/>
      <c r="BD169" s="73" t="n"/>
      <c r="BE169" s="73" t="n"/>
      <c r="BF169" s="73" t="n"/>
      <c r="BG169" s="49" t="n"/>
      <c r="BH169" s="73" t="n"/>
      <c r="BI169" s="73" t="n"/>
      <c r="BJ169" s="73" t="n"/>
      <c r="BK169" s="73" t="n"/>
      <c r="BL169" s="73" t="n"/>
      <c r="BM169" s="73" t="n"/>
      <c r="BN169" s="73" t="n"/>
      <c r="BO169" s="73" t="n"/>
      <c r="BP169" s="73" t="n"/>
      <c r="BQ169" s="195">
        <f>COUNTIF($G169:$BP169,"a")+COUNTIF($G169:$BP169,"r0,a5")/2+COUNTIF($G169:$BP169,"p5,a5")/2</f>
        <v/>
      </c>
      <c r="BR169" s="195">
        <f>COUNTIF($G169:$BP169,"d")+COUNTIF($G169:$BP169,"r0,d5")/2+COUNTIF($G169:$BP169,"p5,d5")/2</f>
        <v/>
      </c>
      <c r="BS169" s="195">
        <f>COUNTIF($G169:$BP169,"b")+COUNTIF($G169:$BP169,"r0,b5")/2+COUNTIF($G169:$BP169,"p5,b5")/2</f>
        <v/>
      </c>
      <c r="BT169" s="195">
        <f>COUNTIF($G169:$BP169,"c")+COUNTIF($G169:$BP169,"r0,c5")/2+COUNTIF($G169:$BP169,"p5,c5")/2</f>
        <v/>
      </c>
      <c r="BU169" s="195">
        <f>COUNTIF($G169:$BP169,"KH")+COUNTIF($G169:$BP169,"TL")+COUNTIF($G169:$BP169,"L")</f>
        <v/>
      </c>
      <c r="BV169" s="202" t="n"/>
      <c r="BW169" s="195">
        <f>COUNTIF($G169:$BP169,"hh")</f>
        <v/>
      </c>
      <c r="BX169" s="195">
        <f>COUNTIF($G169:$BP169,"nt7")</f>
        <v/>
      </c>
      <c r="BY169" s="195">
        <f>COUNTIF($G169:$BP169,"P")+COUNTIF($G169:$BP169,"p5,a5")/2+COUNTIF($G169:$BP169,"p5,b5")/2+COUNTIF($G169:$BP169,"p5,c5")/2+COUNTIF($G169:$BP169,"p5,d5")/2</f>
        <v/>
      </c>
      <c r="BZ169" s="203">
        <f>SUBTOTAL(9,BQ169:BY169)</f>
        <v/>
      </c>
      <c r="CA169" s="54">
        <f>SUM(J169,L169,N169,P169,R169,T169,X169,Z169,AB169,AD169,AF169,AH169,AL169,AN169,AP169,AR169,AT169,AV169,AZ169,BB169,BD169,BF169,BH169,BP169)</f>
        <v/>
      </c>
      <c r="CB169" s="55">
        <f>SUM(H169,V169,AJ169,AX169,BL169)</f>
        <v/>
      </c>
      <c r="CC169" s="56">
        <f>SUM(BJ169,BN169)</f>
        <v/>
      </c>
      <c r="CD169" s="197">
        <f>IF(BZ169&gt;25,4,IF(BZ169&gt;18,3,IF(BZ169&gt;12,2,IF(BZ169&gt;4,1,0))))-BX169-2+1</f>
        <v/>
      </c>
      <c r="CE169" s="49" t="n">
        <v>3</v>
      </c>
      <c r="CF169" s="197">
        <f>CD169*CI169</f>
        <v/>
      </c>
      <c r="CG169" s="198">
        <f>F169-BY169+1</f>
        <v/>
      </c>
      <c r="CH169" s="197">
        <f>CE169*16</f>
        <v/>
      </c>
      <c r="CI169" s="199">
        <f>VLOOKUP(A169,[1]DATA!$A$6:$AI$331,34,0)</f>
        <v/>
      </c>
      <c r="CJ169" s="200">
        <f>VLOOKUP(A169,[2]CHAMCONG!A$7:CI$333,79,0)</f>
        <v/>
      </c>
      <c r="CK169" s="201">
        <f>CJ169-CA169</f>
        <v/>
      </c>
    </row>
    <row r="170" ht="15.75" customFormat="1" customHeight="1" s="68">
      <c r="A170" s="139" t="n"/>
      <c r="B170" s="64" t="n"/>
      <c r="C170" s="115" t="n"/>
      <c r="D170" s="46" t="n"/>
      <c r="E170" s="47" t="n"/>
      <c r="F170" s="48" t="n"/>
      <c r="G170" s="49" t="n"/>
      <c r="H170" s="73" t="n"/>
      <c r="I170" s="50" t="n"/>
      <c r="J170" s="73" t="n"/>
      <c r="K170" s="73" t="n"/>
      <c r="L170" s="73" t="n"/>
      <c r="M170" s="73" t="n"/>
      <c r="N170" s="73" t="n"/>
      <c r="O170" s="50" t="n"/>
      <c r="P170" s="73" t="n"/>
      <c r="Q170" s="73" t="n"/>
      <c r="R170" s="73" t="n"/>
      <c r="S170" s="73" t="n"/>
      <c r="T170" s="73" t="n"/>
      <c r="U170" s="49" t="n"/>
      <c r="V170" s="73" t="n"/>
      <c r="W170" s="50" t="n"/>
      <c r="X170" s="73" t="n"/>
      <c r="Y170" s="73" t="n"/>
      <c r="Z170" s="73" t="n"/>
      <c r="AA170" s="73" t="n"/>
      <c r="AB170" s="73" t="n"/>
      <c r="AC170" s="50" t="n"/>
      <c r="AD170" s="73" t="n"/>
      <c r="AE170" s="73" t="n"/>
      <c r="AF170" s="73" t="n"/>
      <c r="AG170" s="73" t="n"/>
      <c r="AH170" s="73" t="n"/>
      <c r="AI170" s="73" t="n"/>
      <c r="AJ170" s="73" t="n"/>
      <c r="AK170" s="50" t="n"/>
      <c r="AL170" s="73" t="n"/>
      <c r="AM170" s="73" t="n"/>
      <c r="AN170" s="73" t="n"/>
      <c r="AO170" s="73" t="n"/>
      <c r="AP170" s="73" t="n"/>
      <c r="AQ170" s="50" t="n"/>
      <c r="AR170" s="73" t="n"/>
      <c r="AS170" s="73" t="n"/>
      <c r="AT170" s="73" t="n"/>
      <c r="AU170" s="73" t="n"/>
      <c r="AV170" s="73" t="n"/>
      <c r="AW170" s="73" t="n"/>
      <c r="AX170" s="73" t="n"/>
      <c r="AY170" s="50" t="n"/>
      <c r="AZ170" s="73" t="n"/>
      <c r="BA170" s="73" t="n"/>
      <c r="BB170" s="73" t="n"/>
      <c r="BC170" s="73" t="n"/>
      <c r="BD170" s="73" t="n"/>
      <c r="BE170" s="50" t="n"/>
      <c r="BF170" s="73" t="n"/>
      <c r="BG170" s="73" t="n"/>
      <c r="BH170" s="73" t="n"/>
      <c r="BI170" s="73" t="n"/>
      <c r="BJ170" s="73" t="n"/>
      <c r="BK170" s="73" t="n"/>
      <c r="BL170" s="73" t="n"/>
      <c r="BM170" s="73" t="n"/>
      <c r="BN170" s="73" t="n"/>
      <c r="BO170" s="73" t="n"/>
      <c r="BP170" s="73" t="n"/>
      <c r="BQ170" s="195">
        <f>COUNTIF($G170:$BP170,"a")+COUNTIF($G170:$BP170,"r0,a5")/2+COUNTIF($G170:$BP170,"p5,a5")/2</f>
        <v/>
      </c>
      <c r="BR170" s="195">
        <f>COUNTIF($G170:$BP170,"d")+COUNTIF($G170:$BP170,"r0,d5")/2+COUNTIF($G170:$BP170,"p5,d5")/2</f>
        <v/>
      </c>
      <c r="BS170" s="195">
        <f>COUNTIF($G170:$BP170,"b")+COUNTIF($G170:$BP170,"r0,b5")/2+COUNTIF($G170:$BP170,"p5,b5")/2</f>
        <v/>
      </c>
      <c r="BT170" s="195">
        <f>COUNTIF($G170:$BP170,"c")+COUNTIF($G170:$BP170,"r0,c5")/2+COUNTIF($G170:$BP170,"p5,c5")/2</f>
        <v/>
      </c>
      <c r="BU170" s="195">
        <f>COUNTIF($G170:$BP170,"KH")+COUNTIF($G170:$BP170,"TL")+COUNTIF($G170:$BP170,"L")</f>
        <v/>
      </c>
      <c r="BV170" s="202" t="n"/>
      <c r="BW170" s="195">
        <f>COUNTIF($G170:$BP170,"hh")</f>
        <v/>
      </c>
      <c r="BX170" s="195">
        <f>COUNTIF($G170:$BP170,"nt7")</f>
        <v/>
      </c>
      <c r="BY170" s="195">
        <f>COUNTIF($G170:$BP170,"P")+COUNTIF($G170:$BP170,"p5,a5")/2+COUNTIF($G170:$BP170,"p5,b5")/2+COUNTIF($G170:$BP170,"p5,c5")/2+COUNTIF($G170:$BP170,"p5,d5")/2</f>
        <v/>
      </c>
      <c r="BZ170" s="203">
        <f>SUBTOTAL(9,BQ170:BY170)</f>
        <v/>
      </c>
      <c r="CA170" s="54">
        <f>SUM(J170,L170,N170,P170,R170,T170,X170,Z170,AB170,AD170,AF170,AH170,AL170,AN170,AP170,AR170,AT170,AV170,AZ170,BB170,BD170,BF170,BH170,BP170)</f>
        <v/>
      </c>
      <c r="CB170" s="55">
        <f>SUM(H170,V170,AJ170,AX170,BL170)</f>
        <v/>
      </c>
      <c r="CC170" s="56">
        <f>SUM(BJ170,BN170)</f>
        <v/>
      </c>
      <c r="CD170" s="197">
        <f>IF(BZ170&gt;25,4,IF(BZ170&gt;18,3,IF(BZ170&gt;12,2,IF(BZ170&gt;4,1,0))))-BX170-2+1</f>
        <v/>
      </c>
      <c r="CE170" s="49" t="n"/>
      <c r="CF170" s="197">
        <f>CD170*CI170</f>
        <v/>
      </c>
      <c r="CG170" s="198">
        <f>F170-BY170+1</f>
        <v/>
      </c>
      <c r="CH170" s="197">
        <f>CE170*16</f>
        <v/>
      </c>
      <c r="CI170" s="199">
        <f>VLOOKUP(A170,[1]DATA!$A$6:$AI$331,34,0)</f>
        <v/>
      </c>
      <c r="CJ170" s="200">
        <f>VLOOKUP(A170,[2]CHAMCONG!A$7:CI$333,79,0)</f>
        <v/>
      </c>
      <c r="CK170" s="201">
        <f>CJ170-CA170</f>
        <v/>
      </c>
    </row>
    <row r="171" ht="15.75" customFormat="1" customHeight="1" s="68">
      <c r="A171" s="69" t="n"/>
      <c r="B171" s="64" t="n"/>
      <c r="C171" s="115" t="n"/>
      <c r="D171" s="46" t="n"/>
      <c r="E171" s="47" t="n"/>
      <c r="F171" s="48" t="n"/>
      <c r="G171" s="49" t="n"/>
      <c r="H171" s="73" t="n"/>
      <c r="I171" s="49" t="n"/>
      <c r="J171" s="73" t="n"/>
      <c r="K171" s="49" t="n"/>
      <c r="L171" s="73" t="n"/>
      <c r="M171" s="73" t="n"/>
      <c r="N171" s="73" t="n"/>
      <c r="O171" s="50" t="n"/>
      <c r="P171" s="73" t="n"/>
      <c r="Q171" s="50" t="n"/>
      <c r="R171" s="73" t="n"/>
      <c r="S171" s="50" t="n"/>
      <c r="T171" s="73" t="n"/>
      <c r="U171" s="50" t="n"/>
      <c r="V171" s="73" t="n"/>
      <c r="W171" s="50" t="n"/>
      <c r="X171" s="73" t="n"/>
      <c r="Y171" s="50" t="n"/>
      <c r="Z171" s="73" t="n"/>
      <c r="AA171" s="73" t="n"/>
      <c r="AB171" s="73" t="n"/>
      <c r="AC171" s="73" t="n"/>
      <c r="AD171" s="73" t="n"/>
      <c r="AE171" s="73" t="n"/>
      <c r="AF171" s="73" t="n"/>
      <c r="AG171" s="73" t="n"/>
      <c r="AH171" s="73" t="n"/>
      <c r="AI171" s="73" t="n"/>
      <c r="AJ171" s="73" t="n"/>
      <c r="AK171" s="73" t="n"/>
      <c r="AL171" s="73" t="n"/>
      <c r="AM171" s="73" t="n"/>
      <c r="AN171" s="73" t="n"/>
      <c r="AO171" s="73" t="n"/>
      <c r="AP171" s="73" t="n"/>
      <c r="AQ171" s="73" t="n"/>
      <c r="AR171" s="73" t="n"/>
      <c r="AS171" s="73" t="n"/>
      <c r="AT171" s="73" t="n"/>
      <c r="AU171" s="73" t="n"/>
      <c r="AV171" s="73" t="n"/>
      <c r="AW171" s="73" t="n"/>
      <c r="AX171" s="73" t="n"/>
      <c r="AY171" s="73" t="n"/>
      <c r="AZ171" s="73" t="n"/>
      <c r="BA171" s="73" t="n"/>
      <c r="BB171" s="73" t="n"/>
      <c r="BC171" s="73" t="n"/>
      <c r="BD171" s="73" t="n"/>
      <c r="BE171" s="73" t="n"/>
      <c r="BF171" s="73" t="n"/>
      <c r="BG171" s="73" t="n"/>
      <c r="BH171" s="73" t="n"/>
      <c r="BI171" s="73" t="n"/>
      <c r="BJ171" s="73" t="n"/>
      <c r="BK171" s="73" t="n"/>
      <c r="BL171" s="73" t="n"/>
      <c r="BM171" s="73" t="n"/>
      <c r="BN171" s="73" t="n"/>
      <c r="BO171" s="73" t="n"/>
      <c r="BP171" s="73" t="n"/>
      <c r="BQ171" s="195">
        <f>COUNTIF($G171:$BP171,"a")+COUNTIF($G171:$BP171,"r0,a5")/2+COUNTIF($G171:$BP171,"p5,a5")/2</f>
        <v/>
      </c>
      <c r="BR171" s="195">
        <f>COUNTIF($G171:$BP171,"d")+COUNTIF($G171:$BP171,"r0,d5")/2+COUNTIF($G171:$BP171,"p5,d5")/2</f>
        <v/>
      </c>
      <c r="BS171" s="195">
        <f>COUNTIF($G171:$BP171,"b")+COUNTIF($G171:$BP171,"r0,b5")/2+COUNTIF($G171:$BP171,"p5,b5")/2</f>
        <v/>
      </c>
      <c r="BT171" s="195">
        <f>COUNTIF($G171:$BP171,"c")+COUNTIF($G171:$BP171,"r0,c5")/2+COUNTIF($G171:$BP171,"p5,c5")/2</f>
        <v/>
      </c>
      <c r="BU171" s="195">
        <f>COUNTIF($G171:$BP171,"KH")+COUNTIF($G171:$BP171,"TL")+COUNTIF($G171:$BP171,"L")</f>
        <v/>
      </c>
      <c r="BV171" s="202" t="n"/>
      <c r="BW171" s="195">
        <f>COUNTIF($G171:$BP171,"hh")</f>
        <v/>
      </c>
      <c r="BX171" s="195">
        <f>COUNTIF($G171:$BP171,"nt7")</f>
        <v/>
      </c>
      <c r="BY171" s="195">
        <f>COUNTIF($G171:$BP171,"P")+COUNTIF($G171:$BP171,"p5,a5")/2+COUNTIF($G171:$BP171,"p5,b5")/2+COUNTIF($G171:$BP171,"p5,c5")/2+COUNTIF($G171:$BP171,"p5,d5")/2</f>
        <v/>
      </c>
      <c r="BZ171" s="203">
        <f>SUBTOTAL(9,BQ171:BY171)</f>
        <v/>
      </c>
      <c r="CA171" s="54">
        <f>SUM(J171,L171,N171,P171,R171,T171,X171,Z171,AB171,AD171,AF171,AH171,AL171,AN171,AP171,AR171,AT171,AV171,AZ171,BB171,BD171,BF171,BH171,BP171)</f>
        <v/>
      </c>
      <c r="CB171" s="55">
        <f>SUM(H171,V171,AJ171,AX171,BL171)</f>
        <v/>
      </c>
      <c r="CC171" s="56">
        <f>SUM(BJ171,BN171)</f>
        <v/>
      </c>
      <c r="CD171" s="197">
        <f>IF(BZ171&gt;25,4,IF(BZ171&gt;18,3,IF(BZ171&gt;12,2,IF(BZ171&gt;4,1,0))))-BX171-2+1</f>
        <v/>
      </c>
      <c r="CE171" s="49" t="n"/>
      <c r="CF171" s="197">
        <f>CD171*CI171</f>
        <v/>
      </c>
      <c r="CG171" s="198">
        <f>F171-BY171+1</f>
        <v/>
      </c>
      <c r="CH171" s="197">
        <f>CE171*16</f>
        <v/>
      </c>
      <c r="CI171" s="199">
        <f>VLOOKUP(A171,[1]DATA!$A$6:$AI$331,34,0)</f>
        <v/>
      </c>
      <c r="CJ171" s="200">
        <f>VLOOKUP(A171,[2]CHAMCONG!A$7:CI$333,79,0)</f>
        <v/>
      </c>
      <c r="CK171" s="201">
        <f>CJ171-CA171</f>
        <v/>
      </c>
    </row>
    <row r="172" ht="15.75" customFormat="1" customHeight="1" s="68">
      <c r="A172" s="69" t="n"/>
      <c r="B172" s="64" t="n"/>
      <c r="C172" s="115" t="n"/>
      <c r="D172" s="46" t="n"/>
      <c r="E172" s="47" t="n"/>
      <c r="F172" s="48" t="n"/>
      <c r="G172" s="49" t="n"/>
      <c r="H172" s="73" t="n"/>
      <c r="I172" s="49" t="n"/>
      <c r="J172" s="73" t="n"/>
      <c r="K172" s="49" t="n"/>
      <c r="L172" s="73" t="n"/>
      <c r="M172" s="49" t="n"/>
      <c r="N172" s="73" t="n"/>
      <c r="O172" s="49" t="n"/>
      <c r="P172" s="73" t="n"/>
      <c r="Q172" s="73" t="n"/>
      <c r="R172" s="73" t="n"/>
      <c r="S172" s="49" t="n"/>
      <c r="T172" s="73" t="n"/>
      <c r="U172" s="49" t="n"/>
      <c r="V172" s="73" t="n"/>
      <c r="W172" s="49" t="n"/>
      <c r="X172" s="73" t="n"/>
      <c r="Y172" s="49" t="n"/>
      <c r="Z172" s="73" t="n"/>
      <c r="AA172" s="49" t="n"/>
      <c r="AB172" s="73" t="n"/>
      <c r="AC172" s="49" t="n"/>
      <c r="AD172" s="73" t="n"/>
      <c r="AE172" s="67" t="n"/>
      <c r="AF172" s="67" t="n"/>
      <c r="AG172" s="49" t="n"/>
      <c r="AH172" s="73" t="n"/>
      <c r="AI172" s="49" t="n"/>
      <c r="AJ172" s="73" t="n"/>
      <c r="AK172" s="49" t="n"/>
      <c r="AL172" s="73" t="n"/>
      <c r="AM172" s="49" t="n"/>
      <c r="AN172" s="73" t="n"/>
      <c r="AO172" s="49" t="n"/>
      <c r="AP172" s="73" t="n"/>
      <c r="AQ172" s="67" t="n"/>
      <c r="AR172" s="73" t="n"/>
      <c r="AS172" s="67" t="n"/>
      <c r="AT172" s="67" t="n"/>
      <c r="AU172" s="67" t="n"/>
      <c r="AV172" s="73" t="n"/>
      <c r="AW172" s="73" t="n"/>
      <c r="AX172" s="73" t="n"/>
      <c r="AY172" s="67" t="n"/>
      <c r="AZ172" s="73" t="n"/>
      <c r="BA172" s="67" t="n"/>
      <c r="BB172" s="73" t="n"/>
      <c r="BC172" s="67" t="n"/>
      <c r="BD172" s="73" t="n"/>
      <c r="BE172" s="67" t="n"/>
      <c r="BF172" s="73" t="n"/>
      <c r="BG172" s="73" t="n"/>
      <c r="BH172" s="73" t="n"/>
      <c r="BI172" s="73" t="n"/>
      <c r="BJ172" s="73" t="n"/>
      <c r="BK172" s="73" t="n"/>
      <c r="BL172" s="73" t="n"/>
      <c r="BM172" s="73" t="n"/>
      <c r="BN172" s="73" t="n"/>
      <c r="BO172" s="73" t="n"/>
      <c r="BP172" s="73" t="n"/>
      <c r="BQ172" s="195">
        <f>COUNTIF($G172:$BP172,"a")+COUNTIF($G172:$BP172,"r0,a5")/2+COUNTIF($G172:$BP172,"p5,a5")/2</f>
        <v/>
      </c>
      <c r="BR172" s="195">
        <f>COUNTIF($G172:$BP172,"d")+COUNTIF($G172:$BP172,"r0,d5")/2+COUNTIF($G172:$BP172,"p5,d5")/2</f>
        <v/>
      </c>
      <c r="BS172" s="195">
        <f>COUNTIF($G172:$BP172,"b")+COUNTIF($G172:$BP172,"r0,b5")/2+COUNTIF($G172:$BP172,"p5,b5")/2</f>
        <v/>
      </c>
      <c r="BT172" s="195">
        <f>COUNTIF($G172:$BP172,"c")+COUNTIF($G172:$BP172,"r0,c5")/2+COUNTIF($G172:$BP172,"p5,c5")/2</f>
        <v/>
      </c>
      <c r="BU172" s="195">
        <f>COUNTIF($G172:$BP172,"KH")+COUNTIF($G172:$BP172,"TL")+COUNTIF($G172:$BP172,"L")</f>
        <v/>
      </c>
      <c r="BV172" s="202" t="n"/>
      <c r="BW172" s="195">
        <f>COUNTIF($G172:$BP172,"hh")</f>
        <v/>
      </c>
      <c r="BX172" s="195">
        <f>COUNTIF($G172:$BP172,"nt7")</f>
        <v/>
      </c>
      <c r="BY172" s="195">
        <f>COUNTIF($G172:$BP172,"P")+COUNTIF($G172:$BP172,"p5,a5")/2+COUNTIF($G172:$BP172,"p5,b5")/2+COUNTIF($G172:$BP172,"p5,c5")/2+COUNTIF($G172:$BP172,"p5,d5")/2</f>
        <v/>
      </c>
      <c r="BZ172" s="203">
        <f>SUBTOTAL(9,BQ172:BY172)</f>
        <v/>
      </c>
      <c r="CA172" s="54">
        <f>SUM(J172,L172,N172,P172,R172,T172,X172,Z172,AB172,AD172,AF172,AH172,AL172,AN172,AP172,AR172,AT172,AV172,AZ172,BB172,BD172,BF172,BH172,BP172)</f>
        <v/>
      </c>
      <c r="CB172" s="55">
        <f>SUM(H172,V172,AJ172,AX172,BL172)</f>
        <v/>
      </c>
      <c r="CC172" s="56">
        <f>SUM(BJ172,BN172)</f>
        <v/>
      </c>
      <c r="CD172" s="197">
        <f>IF(BZ172&gt;25,4,IF(BZ172&gt;18,3,IF(BZ172&gt;12,2,IF(BZ172&gt;4,1,0))))-BX172-2+1</f>
        <v/>
      </c>
      <c r="CE172" s="49" t="n">
        <v>1</v>
      </c>
      <c r="CF172" s="197">
        <f>CD172*CI172</f>
        <v/>
      </c>
      <c r="CG172" s="198">
        <f>F172-BY172+1</f>
        <v/>
      </c>
      <c r="CH172" s="197">
        <f>CE172*16</f>
        <v/>
      </c>
      <c r="CI172" s="199">
        <f>VLOOKUP(A172,[1]DATA!$A$6:$AI$331,34,0)</f>
        <v/>
      </c>
      <c r="CJ172" s="200">
        <f>VLOOKUP(A172,[2]CHAMCONG!A$7:CI$333,79,0)</f>
        <v/>
      </c>
      <c r="CK172" s="201">
        <f>CJ172-CA172</f>
        <v/>
      </c>
    </row>
    <row r="173" ht="15.75" customFormat="1" customHeight="1" s="68">
      <c r="A173" s="139" t="n"/>
      <c r="B173" s="64" t="n"/>
      <c r="C173" s="115" t="n"/>
      <c r="D173" s="46" t="n"/>
      <c r="E173" s="47" t="n"/>
      <c r="F173" s="48" t="n"/>
      <c r="G173" s="49" t="n"/>
      <c r="H173" s="73" t="n"/>
      <c r="I173" s="50" t="n"/>
      <c r="J173" s="73" t="n"/>
      <c r="K173" s="50" t="n"/>
      <c r="L173" s="73" t="n"/>
      <c r="M173" s="73" t="n"/>
      <c r="N173" s="73" t="n"/>
      <c r="O173" s="50" t="n"/>
      <c r="P173" s="73" t="n"/>
      <c r="Q173" s="49" t="n"/>
      <c r="R173" s="73" t="n"/>
      <c r="S173" s="50" t="n"/>
      <c r="T173" s="73" t="n"/>
      <c r="U173" s="50" t="n"/>
      <c r="V173" s="73" t="n"/>
      <c r="W173" s="50" t="n"/>
      <c r="X173" s="73" t="n"/>
      <c r="Y173" s="50" t="n"/>
      <c r="Z173" s="73" t="n"/>
      <c r="AA173" s="73" t="n"/>
      <c r="AB173" s="73" t="n"/>
      <c r="AC173" s="50" t="n"/>
      <c r="AD173" s="73" t="n"/>
      <c r="AE173" s="49" t="n"/>
      <c r="AF173" s="73" t="n"/>
      <c r="AG173" s="50" t="n"/>
      <c r="AH173" s="73" t="n"/>
      <c r="AI173" s="50" t="n"/>
      <c r="AJ173" s="73" t="n"/>
      <c r="AK173" s="50" t="n"/>
      <c r="AL173" s="73" t="n"/>
      <c r="AM173" s="50" t="n"/>
      <c r="AN173" s="73" t="n"/>
      <c r="AO173" s="50" t="n"/>
      <c r="AP173" s="73" t="n"/>
      <c r="AQ173" s="49" t="n"/>
      <c r="AR173" s="73" t="n"/>
      <c r="AS173" s="49" t="n"/>
      <c r="AT173" s="73" t="n"/>
      <c r="AU173" s="49" t="n"/>
      <c r="AV173" s="73" t="n"/>
      <c r="AW173" s="73" t="n"/>
      <c r="AX173" s="73" t="n"/>
      <c r="AY173" s="49" t="n"/>
      <c r="AZ173" s="73" t="n"/>
      <c r="BA173" s="49" t="n"/>
      <c r="BB173" s="73" t="n"/>
      <c r="BC173" s="73" t="n"/>
      <c r="BD173" s="73" t="n"/>
      <c r="BE173" s="49" t="n"/>
      <c r="BF173" s="73" t="n"/>
      <c r="BG173" s="49" t="n"/>
      <c r="BH173" s="73" t="n"/>
      <c r="BI173" s="73" t="n"/>
      <c r="BJ173" s="73" t="n"/>
      <c r="BK173" s="73" t="n"/>
      <c r="BL173" s="73" t="n"/>
      <c r="BM173" s="73" t="n"/>
      <c r="BN173" s="73" t="n"/>
      <c r="BO173" s="73" t="n"/>
      <c r="BP173" s="73" t="n"/>
      <c r="BQ173" s="195">
        <f>COUNTIF($G173:$BP173,"a")+COUNTIF($G173:$BP173,"r0,a5")/2+COUNTIF($G173:$BP173,"p5,a5")/2</f>
        <v/>
      </c>
      <c r="BR173" s="195">
        <f>COUNTIF($G173:$BP173,"d")+COUNTIF($G173:$BP173,"r0,d5")/2+COUNTIF($G173:$BP173,"p5,d5")/2</f>
        <v/>
      </c>
      <c r="BS173" s="195">
        <f>COUNTIF($G173:$BP173,"b")+COUNTIF($G173:$BP173,"r0,b5")/2+COUNTIF($G173:$BP173,"p5,b5")/2</f>
        <v/>
      </c>
      <c r="BT173" s="195">
        <f>COUNTIF($G173:$BP173,"c")+COUNTIF($G173:$BP173,"r0,c5")/2+COUNTIF($G173:$BP173,"p5,c5")/2</f>
        <v/>
      </c>
      <c r="BU173" s="195">
        <f>COUNTIF($G173:$BP173,"KH")+COUNTIF($G173:$BP173,"TL")+COUNTIF($G173:$BP173,"L")</f>
        <v/>
      </c>
      <c r="BV173" s="202" t="n"/>
      <c r="BW173" s="195">
        <f>COUNTIF($G173:$BP173,"hh")</f>
        <v/>
      </c>
      <c r="BX173" s="195">
        <f>COUNTIF($G173:$BP173,"nt7")</f>
        <v/>
      </c>
      <c r="BY173" s="195">
        <f>COUNTIF($G173:$BP173,"P")+COUNTIF($G173:$BP173,"p5,a5")/2+COUNTIF($G173:$BP173,"p5,b5")/2+COUNTIF($G173:$BP173,"p5,c5")/2+COUNTIF($G173:$BP173,"p5,d5")/2</f>
        <v/>
      </c>
      <c r="BZ173" s="203">
        <f>SUBTOTAL(9,BQ173:BY173)</f>
        <v/>
      </c>
      <c r="CA173" s="54">
        <f>SUM(J173,L173,N173,P173,R173,T173,X173,Z173,AB173,AD173,AF173,AH173,AL173,AN173,AP173,AR173,AT173,AV173,AZ173,BB173,BD173,BF173,BH173,BP173)</f>
        <v/>
      </c>
      <c r="CB173" s="55">
        <f>SUM(H173,V173,AJ173,AX173,BL173)</f>
        <v/>
      </c>
      <c r="CC173" s="56">
        <f>SUM(BJ173,BN173)</f>
        <v/>
      </c>
      <c r="CD173" s="197">
        <f>IF(BZ173&gt;25,4,IF(BZ173&gt;18,3,IF(BZ173&gt;12,2,IF(BZ173&gt;4,1,0))))-BX173-2+1</f>
        <v/>
      </c>
      <c r="CE173" s="49" t="n">
        <v>2</v>
      </c>
      <c r="CF173" s="197">
        <f>CD173*CI173</f>
        <v/>
      </c>
      <c r="CG173" s="198">
        <f>F173-BY173+1</f>
        <v/>
      </c>
      <c r="CH173" s="197">
        <f>CE173*16</f>
        <v/>
      </c>
      <c r="CI173" s="199">
        <f>VLOOKUP(A173,[1]DATA!$A$6:$AI$331,34,0)</f>
        <v/>
      </c>
      <c r="CJ173" s="200">
        <f>VLOOKUP(A173,[2]CHAMCONG!A$7:CI$333,79,0)</f>
        <v/>
      </c>
      <c r="CK173" s="201">
        <f>CJ173-CA173</f>
        <v/>
      </c>
    </row>
    <row r="174" ht="15.75" customFormat="1" customHeight="1" s="68">
      <c r="A174" s="139" t="n"/>
      <c r="B174" s="64" t="n"/>
      <c r="C174" s="115" t="n"/>
      <c r="D174" s="46" t="n"/>
      <c r="E174" s="47" t="n"/>
      <c r="F174" s="48" t="n"/>
      <c r="G174" s="49" t="n"/>
      <c r="H174" s="73" t="n"/>
      <c r="I174" s="50" t="n"/>
      <c r="J174" s="73" t="n"/>
      <c r="K174" s="50" t="n"/>
      <c r="L174" s="73" t="n"/>
      <c r="M174" s="50" t="n"/>
      <c r="N174" s="73" t="n"/>
      <c r="O174" s="50" t="n"/>
      <c r="P174" s="73" t="n"/>
      <c r="Q174" s="49" t="n"/>
      <c r="R174" s="73" t="n"/>
      <c r="S174" s="50" t="n"/>
      <c r="T174" s="73" t="n"/>
      <c r="U174" s="50" t="n"/>
      <c r="V174" s="73" t="n"/>
      <c r="W174" s="50" t="n"/>
      <c r="X174" s="73" t="n"/>
      <c r="Y174" s="49" t="n"/>
      <c r="Z174" s="73" t="n"/>
      <c r="AA174" s="50" t="n"/>
      <c r="AB174" s="73" t="n"/>
      <c r="AC174" s="50" t="n"/>
      <c r="AD174" s="73" t="n"/>
      <c r="AE174" s="49" t="n"/>
      <c r="AF174" s="73" t="n"/>
      <c r="AG174" s="50" t="n"/>
      <c r="AH174" s="73" t="n"/>
      <c r="AI174" s="50" t="n"/>
      <c r="AJ174" s="73" t="n"/>
      <c r="AK174" s="50" t="n"/>
      <c r="AL174" s="73" t="n"/>
      <c r="AM174" s="50" t="n"/>
      <c r="AN174" s="73" t="n"/>
      <c r="AO174" s="50" t="n"/>
      <c r="AP174" s="73" t="n"/>
      <c r="AQ174" s="49" t="n"/>
      <c r="AR174" s="73" t="n"/>
      <c r="AS174" s="49" t="n"/>
      <c r="AT174" s="73" t="n"/>
      <c r="AU174" s="49" t="n"/>
      <c r="AV174" s="73" t="n"/>
      <c r="AW174" s="73" t="n"/>
      <c r="AX174" s="73" t="n"/>
      <c r="AY174" s="49" t="n"/>
      <c r="AZ174" s="73" t="n"/>
      <c r="BA174" s="49" t="n"/>
      <c r="BB174" s="73" t="n"/>
      <c r="BC174" s="73" t="n"/>
      <c r="BD174" s="73" t="n"/>
      <c r="BE174" s="49" t="n"/>
      <c r="BF174" s="73" t="n"/>
      <c r="BG174" s="49" t="n"/>
      <c r="BH174" s="73" t="n"/>
      <c r="BI174" s="73" t="n"/>
      <c r="BJ174" s="73" t="n"/>
      <c r="BK174" s="73" t="n"/>
      <c r="BL174" s="73" t="n"/>
      <c r="BM174" s="73" t="n"/>
      <c r="BN174" s="73" t="n"/>
      <c r="BO174" s="73" t="n"/>
      <c r="BP174" s="73" t="n"/>
      <c r="BQ174" s="195">
        <f>COUNTIF($G174:$BP174,"a")+COUNTIF($G174:$BP174,"r0,a5")/2+COUNTIF($G174:$BP174,"p5,a5")/2</f>
        <v/>
      </c>
      <c r="BR174" s="195">
        <f>COUNTIF($G174:$BP174,"d")+COUNTIF($G174:$BP174,"r0,d5")/2+COUNTIF($G174:$BP174,"p5,d5")/2</f>
        <v/>
      </c>
      <c r="BS174" s="195">
        <f>COUNTIF($G174:$BP174,"b")+COUNTIF($G174:$BP174,"r0,b5")/2+COUNTIF($G174:$BP174,"p5,b5")/2</f>
        <v/>
      </c>
      <c r="BT174" s="195">
        <f>COUNTIF($G174:$BP174,"c")+COUNTIF($G174:$BP174,"r0,c5")/2+COUNTIF($G174:$BP174,"p5,c5")/2</f>
        <v/>
      </c>
      <c r="BU174" s="195">
        <f>COUNTIF($G174:$BP174,"KH")+COUNTIF($G174:$BP174,"TL")+COUNTIF($G174:$BP174,"L")</f>
        <v/>
      </c>
      <c r="BV174" s="202" t="n"/>
      <c r="BW174" s="195">
        <f>COUNTIF($G174:$BP174,"hh")</f>
        <v/>
      </c>
      <c r="BX174" s="195">
        <f>COUNTIF($G174:$BP174,"nt7")</f>
        <v/>
      </c>
      <c r="BY174" s="195">
        <f>COUNTIF($G174:$BP174,"P")+COUNTIF($G174:$BP174,"p5,a5")/2+COUNTIF($G174:$BP174,"p5,b5")/2+COUNTIF($G174:$BP174,"p5,c5")/2+COUNTIF($G174:$BP174,"p5,d5")/2</f>
        <v/>
      </c>
      <c r="BZ174" s="203">
        <f>SUBTOTAL(9,BQ174:BY174)</f>
        <v/>
      </c>
      <c r="CA174" s="54">
        <f>SUM(J174,L174,N174,P174,R174,T174,X174,Z174,AB174,AD174,AF174,AH174,AL174,AN174,AP174,AR174,AT174,AV174,AZ174,BB174,BD174,BF174,BH174,BP174)</f>
        <v/>
      </c>
      <c r="CB174" s="55">
        <f>SUM(H174,V174,AJ174,AX174,BL174)</f>
        <v/>
      </c>
      <c r="CC174" s="56">
        <f>SUM(BJ174,BN174)</f>
        <v/>
      </c>
      <c r="CD174" s="197">
        <f>IF(BZ174&gt;25,4,IF(BZ174&gt;18,3,IF(BZ174&gt;12,2,IF(BZ174&gt;4,1,0))))-BX174-2+1</f>
        <v/>
      </c>
      <c r="CE174" s="49" t="n">
        <v>2</v>
      </c>
      <c r="CF174" s="197">
        <f>CD174*CI174</f>
        <v/>
      </c>
      <c r="CG174" s="198">
        <f>F174-BY174+1</f>
        <v/>
      </c>
      <c r="CH174" s="197">
        <f>CE174*16</f>
        <v/>
      </c>
      <c r="CI174" s="199">
        <f>VLOOKUP(A174,[1]DATA!$A$6:$AI$331,34,0)</f>
        <v/>
      </c>
      <c r="CJ174" s="200">
        <f>VLOOKUP(A174,[2]CHAMCONG!A$7:CI$333,79,0)</f>
        <v/>
      </c>
      <c r="CK174" s="201">
        <f>CJ174-CA174</f>
        <v/>
      </c>
    </row>
    <row r="175" ht="15.75" customFormat="1" customHeight="1" s="68">
      <c r="A175" s="139" t="n"/>
      <c r="B175" s="64" t="n"/>
      <c r="C175" s="115" t="n"/>
      <c r="D175" s="46" t="n"/>
      <c r="E175" s="47" t="n"/>
      <c r="F175" s="48" t="n"/>
      <c r="G175" s="49" t="n"/>
      <c r="H175" s="73" t="n"/>
      <c r="I175" s="49" t="n"/>
      <c r="J175" s="73" t="n"/>
      <c r="K175" s="49" t="n"/>
      <c r="L175" s="73" t="n"/>
      <c r="M175" s="49" t="n"/>
      <c r="N175" s="73" t="n"/>
      <c r="O175" s="49" t="n"/>
      <c r="P175" s="73" t="n"/>
      <c r="Q175" s="49" t="n"/>
      <c r="R175" s="73" t="n"/>
      <c r="S175" s="49" t="n"/>
      <c r="T175" s="73" t="n"/>
      <c r="U175" s="49" t="n"/>
      <c r="V175" s="73" t="n"/>
      <c r="W175" s="49" t="n"/>
      <c r="X175" s="73" t="n"/>
      <c r="Y175" s="49" t="n"/>
      <c r="Z175" s="73" t="n"/>
      <c r="AA175" s="49" t="n"/>
      <c r="AB175" s="73" t="n"/>
      <c r="AC175" s="49" t="n"/>
      <c r="AD175" s="73" t="n"/>
      <c r="AE175" s="49" t="n"/>
      <c r="AF175" s="73" t="n"/>
      <c r="AG175" s="49" t="n"/>
      <c r="AH175" s="73" t="n"/>
      <c r="AI175" s="49" t="n"/>
      <c r="AJ175" s="73" t="n"/>
      <c r="AK175" s="49" t="n"/>
      <c r="AL175" s="73" t="n"/>
      <c r="AM175" s="49" t="n"/>
      <c r="AN175" s="73" t="n"/>
      <c r="AO175" s="49" t="n"/>
      <c r="AP175" s="73" t="n"/>
      <c r="AQ175" s="73" t="n"/>
      <c r="AR175" s="73" t="n"/>
      <c r="AS175" s="73" t="n"/>
      <c r="AT175" s="73" t="n"/>
      <c r="AU175" s="73" t="n"/>
      <c r="AV175" s="73" t="n"/>
      <c r="AW175" s="49" t="n"/>
      <c r="AX175" s="73" t="n"/>
      <c r="AY175" s="73" t="n"/>
      <c r="AZ175" s="73" t="n"/>
      <c r="BA175" s="73" t="n"/>
      <c r="BB175" s="73" t="n"/>
      <c r="BC175" s="73" t="n"/>
      <c r="BD175" s="73" t="n"/>
      <c r="BE175" s="73" t="n"/>
      <c r="BF175" s="73" t="n"/>
      <c r="BG175" s="73" t="n"/>
      <c r="BH175" s="73" t="n"/>
      <c r="BI175" s="49" t="n"/>
      <c r="BJ175" s="73" t="n"/>
      <c r="BK175" s="49" t="n"/>
      <c r="BL175" s="73" t="n"/>
      <c r="BM175" s="49" t="n"/>
      <c r="BN175" s="73" t="n"/>
      <c r="BO175" s="73" t="n"/>
      <c r="BP175" s="73" t="n"/>
      <c r="BQ175" s="195">
        <f>COUNTIF($G175:$BP175,"a")+COUNTIF($G175:$BP175,"r0,a5")/2+COUNTIF($G175:$BP175,"p5,a5")/2</f>
        <v/>
      </c>
      <c r="BR175" s="195">
        <f>COUNTIF($G175:$BP175,"d")+COUNTIF($G175:$BP175,"r0,d5")/2+COUNTIF($G175:$BP175,"p5,d5")/2</f>
        <v/>
      </c>
      <c r="BS175" s="195">
        <f>COUNTIF($G175:$BP175,"b")+COUNTIF($G175:$BP175,"r0,b5")/2+COUNTIF($G175:$BP175,"p5,b5")/2</f>
        <v/>
      </c>
      <c r="BT175" s="195">
        <f>COUNTIF($G175:$BP175,"c")+COUNTIF($G175:$BP175,"r0,c5")/2+COUNTIF($G175:$BP175,"p5,c5")/2</f>
        <v/>
      </c>
      <c r="BU175" s="195">
        <f>COUNTIF($G175:$BP175,"KH")+COUNTIF($G175:$BP175,"TL")+COUNTIF($G175:$BP175,"L")</f>
        <v/>
      </c>
      <c r="BV175" s="202" t="n"/>
      <c r="BW175" s="195">
        <f>COUNTIF($G175:$BP175,"hh")</f>
        <v/>
      </c>
      <c r="BX175" s="195">
        <f>COUNTIF($G175:$BP175,"nt7")</f>
        <v/>
      </c>
      <c r="BY175" s="195">
        <f>COUNTIF($G175:$BP175,"P")+COUNTIF($G175:$BP175,"p5,a5")/2+COUNTIF($G175:$BP175,"p5,b5")/2+COUNTIF($G175:$BP175,"p5,c5")/2+COUNTIF($G175:$BP175,"p5,d5")/2</f>
        <v/>
      </c>
      <c r="BZ175" s="203">
        <f>SUBTOTAL(9,BQ175:BY175)</f>
        <v/>
      </c>
      <c r="CA175" s="54">
        <f>SUM(J175,L175,N175,P175,R175,T175,X175,Z175,AB175,AD175,AF175,AH175,AL175,AN175,AP175,AR175,AT175,AV175,AZ175,BB175,BD175,BF175,BH175,BP175)</f>
        <v/>
      </c>
      <c r="CB175" s="55">
        <f>SUM(H175,V175,AJ175,AX175,BL175)</f>
        <v/>
      </c>
      <c r="CC175" s="56">
        <f>SUM(BJ175,BN175)</f>
        <v/>
      </c>
      <c r="CD175" s="197">
        <f>IF(BZ175&gt;25,4,IF(BZ175&gt;18,3,IF(BZ175&gt;12,2,IF(BZ175&gt;4,1,0))))-BX175-2+1</f>
        <v/>
      </c>
      <c r="CE175" s="49" t="n">
        <v>3</v>
      </c>
      <c r="CF175" s="197">
        <f>CD175*CI175</f>
        <v/>
      </c>
      <c r="CG175" s="198">
        <f>F175-BY175+1</f>
        <v/>
      </c>
      <c r="CH175" s="197">
        <f>CE175*16</f>
        <v/>
      </c>
      <c r="CI175" s="199">
        <f>VLOOKUP(A175,[1]DATA!$A$6:$AI$331,34,0)</f>
        <v/>
      </c>
      <c r="CJ175" s="200">
        <f>VLOOKUP(A175,[2]CHAMCONG!A$7:CI$333,79,0)</f>
        <v/>
      </c>
      <c r="CK175" s="201">
        <f>CJ175-CA175</f>
        <v/>
      </c>
    </row>
    <row r="176" ht="15.75" customFormat="1" customHeight="1" s="68">
      <c r="A176" s="139" t="n"/>
      <c r="B176" s="64" t="n"/>
      <c r="C176" s="115" t="n"/>
      <c r="D176" s="46" t="n"/>
      <c r="E176" s="47" t="n"/>
      <c r="F176" s="48" t="n"/>
      <c r="G176" s="49" t="n"/>
      <c r="H176" s="73" t="n"/>
      <c r="I176" s="50" t="n"/>
      <c r="J176" s="73" t="n"/>
      <c r="K176" s="50" t="n"/>
      <c r="L176" s="73" t="n"/>
      <c r="M176" s="50" t="n"/>
      <c r="N176" s="73" t="n"/>
      <c r="O176" s="50" t="n"/>
      <c r="P176" s="73" t="n"/>
      <c r="Q176" s="49" t="n"/>
      <c r="R176" s="73" t="n"/>
      <c r="S176" s="50" t="n"/>
      <c r="T176" s="73" t="n"/>
      <c r="U176" s="50" t="n"/>
      <c r="V176" s="73" t="n"/>
      <c r="W176" s="50" t="n"/>
      <c r="X176" s="73" t="n"/>
      <c r="Y176" s="50" t="n"/>
      <c r="Z176" s="73" t="n"/>
      <c r="AA176" s="50" t="n"/>
      <c r="AB176" s="73" t="n"/>
      <c r="AC176" s="50" t="n"/>
      <c r="AD176" s="73" t="n"/>
      <c r="AE176" s="49" t="n"/>
      <c r="AF176" s="73" t="n"/>
      <c r="AG176" s="50" t="n"/>
      <c r="AH176" s="73" t="n"/>
      <c r="AI176" s="49" t="n"/>
      <c r="AJ176" s="73" t="n"/>
      <c r="AK176" s="50" t="n"/>
      <c r="AL176" s="73" t="n"/>
      <c r="AM176" s="50" t="n"/>
      <c r="AN176" s="73" t="n"/>
      <c r="AO176" s="50" t="n"/>
      <c r="AP176" s="73" t="n"/>
      <c r="AQ176" s="49" t="n"/>
      <c r="AR176" s="73" t="n"/>
      <c r="AS176" s="49" t="n"/>
      <c r="AT176" s="73" t="n"/>
      <c r="AU176" s="49" t="n"/>
      <c r="AV176" s="73" t="n"/>
      <c r="AW176" s="73" t="n"/>
      <c r="AX176" s="73" t="n"/>
      <c r="AY176" s="49" t="n"/>
      <c r="AZ176" s="73" t="n"/>
      <c r="BA176" s="49" t="n"/>
      <c r="BB176" s="73" t="n"/>
      <c r="BC176" s="73" t="n"/>
      <c r="BD176" s="73" t="n"/>
      <c r="BE176" s="49" t="n"/>
      <c r="BF176" s="73" t="n"/>
      <c r="BG176" s="49" t="n"/>
      <c r="BH176" s="73" t="n"/>
      <c r="BI176" s="73" t="n"/>
      <c r="BJ176" s="73" t="n"/>
      <c r="BK176" s="73" t="n"/>
      <c r="BL176" s="73" t="n"/>
      <c r="BM176" s="73" t="n"/>
      <c r="BN176" s="73" t="n"/>
      <c r="BO176" s="73" t="n"/>
      <c r="BP176" s="73" t="n"/>
      <c r="BQ176" s="195">
        <f>COUNTIF($G176:$BP176,"a")+COUNTIF($G176:$BP176,"r0,a5")/2+COUNTIF($G176:$BP176,"p5,a5")/2</f>
        <v/>
      </c>
      <c r="BR176" s="195">
        <f>COUNTIF($G176:$BP176,"d")+COUNTIF($G176:$BP176,"r0,d5")/2+COUNTIF($G176:$BP176,"p5,d5")/2</f>
        <v/>
      </c>
      <c r="BS176" s="195">
        <f>COUNTIF($G176:$BP176,"b")+COUNTIF($G176:$BP176,"r0,b5")/2+COUNTIF($G176:$BP176,"p5,b5")/2</f>
        <v/>
      </c>
      <c r="BT176" s="195">
        <f>COUNTIF($G176:$BP176,"c")+COUNTIF($G176:$BP176,"r0,c5")/2+COUNTIF($G176:$BP176,"p5,c5")/2</f>
        <v/>
      </c>
      <c r="BU176" s="195">
        <f>COUNTIF($G176:$BP176,"KH")+COUNTIF($G176:$BP176,"TL")+COUNTIF($G176:$BP176,"L")</f>
        <v/>
      </c>
      <c r="BV176" s="202" t="n"/>
      <c r="BW176" s="195">
        <f>COUNTIF($G176:$BP176,"hh")</f>
        <v/>
      </c>
      <c r="BX176" s="195">
        <f>COUNTIF($G176:$BP176,"nt7")</f>
        <v/>
      </c>
      <c r="BY176" s="195">
        <f>COUNTIF($G176:$BP176,"P")+COUNTIF($G176:$BP176,"p5,a5")/2+COUNTIF($G176:$BP176,"p5,b5")/2+COUNTIF($G176:$BP176,"p5,c5")/2+COUNTIF($G176:$BP176,"p5,d5")/2</f>
        <v/>
      </c>
      <c r="BZ176" s="203">
        <f>SUBTOTAL(9,BQ176:BY176)</f>
        <v/>
      </c>
      <c r="CA176" s="54">
        <f>SUM(J176,L176,N176,P176,R176,T176,X176,Z176,AB176,AD176,AF176,AH176,AL176,AN176,AP176,AR176,AT176,AV176,AZ176,BB176,BD176,BF176,BH176,BP176)</f>
        <v/>
      </c>
      <c r="CB176" s="55">
        <f>SUM(H176,V176,AJ176,AX176,BL176)</f>
        <v/>
      </c>
      <c r="CC176" s="56">
        <f>SUM(BJ176,BN176)</f>
        <v/>
      </c>
      <c r="CD176" s="197">
        <f>IF(BZ176&gt;25,4,IF(BZ176&gt;18,3,IF(BZ176&gt;12,2,IF(BZ176&gt;4,1,0))))-BX176-2+1</f>
        <v/>
      </c>
      <c r="CE176" s="49" t="n">
        <v>4</v>
      </c>
      <c r="CF176" s="197">
        <f>CD176*CI176</f>
        <v/>
      </c>
      <c r="CG176" s="198">
        <f>F176-BY176+1</f>
        <v/>
      </c>
      <c r="CH176" s="197">
        <f>CE176*16</f>
        <v/>
      </c>
      <c r="CI176" s="199">
        <f>VLOOKUP(A176,[1]DATA!$A$6:$AI$331,34,0)</f>
        <v/>
      </c>
      <c r="CJ176" s="200">
        <f>VLOOKUP(A176,[2]CHAMCONG!A$7:CI$333,79,0)</f>
        <v/>
      </c>
      <c r="CK176" s="201">
        <f>CJ176-CA176</f>
        <v/>
      </c>
    </row>
    <row r="177" ht="15.75" customFormat="1" customHeight="1" s="68">
      <c r="A177" s="139" t="n"/>
      <c r="B177" s="64" t="n"/>
      <c r="C177" s="115" t="n"/>
      <c r="D177" s="46" t="n"/>
      <c r="E177" s="47" t="n"/>
      <c r="F177" s="48" t="n"/>
      <c r="G177" s="49" t="n"/>
      <c r="H177" s="73" t="n"/>
      <c r="I177" s="50" t="n"/>
      <c r="J177" s="73" t="n"/>
      <c r="K177" s="50" t="n"/>
      <c r="L177" s="73" t="n"/>
      <c r="M177" s="50" t="n"/>
      <c r="N177" s="73" t="n"/>
      <c r="O177" s="50" t="n"/>
      <c r="P177" s="73" t="n"/>
      <c r="Q177" s="50" t="n"/>
      <c r="R177" s="73" t="n"/>
      <c r="S177" s="50" t="n"/>
      <c r="T177" s="73" t="n"/>
      <c r="U177" s="50" t="n"/>
      <c r="V177" s="73" t="n"/>
      <c r="W177" s="50" t="n"/>
      <c r="X177" s="73" t="n"/>
      <c r="Y177" s="73" t="n"/>
      <c r="Z177" s="73" t="n"/>
      <c r="AA177" s="50" t="n"/>
      <c r="AB177" s="73" t="n"/>
      <c r="AC177" s="50" t="n"/>
      <c r="AD177" s="73" t="n"/>
      <c r="AE177" s="73" t="n"/>
      <c r="AF177" s="73" t="n"/>
      <c r="AG177" s="49" t="n"/>
      <c r="AH177" s="73" t="n"/>
      <c r="AI177" s="49" t="n"/>
      <c r="AJ177" s="73" t="n"/>
      <c r="AK177" s="49" t="n"/>
      <c r="AL177" s="73" t="n"/>
      <c r="AM177" s="49" t="n"/>
      <c r="AN177" s="73" t="n"/>
      <c r="AO177" s="49" t="n"/>
      <c r="AP177" s="73" t="n"/>
      <c r="AQ177" s="73" t="n"/>
      <c r="AR177" s="73" t="n"/>
      <c r="AS177" s="73" t="n"/>
      <c r="AT177" s="73" t="n"/>
      <c r="AU177" s="73" t="n"/>
      <c r="AV177" s="73" t="n"/>
      <c r="AW177" s="73" t="n"/>
      <c r="AX177" s="73" t="n"/>
      <c r="AY177" s="73" t="n"/>
      <c r="AZ177" s="73" t="n"/>
      <c r="BA177" s="73" t="n"/>
      <c r="BB177" s="73" t="n"/>
      <c r="BC177" s="73" t="n"/>
      <c r="BD177" s="73" t="n"/>
      <c r="BE177" s="73" t="n"/>
      <c r="BF177" s="73" t="n"/>
      <c r="BG177" s="73" t="n"/>
      <c r="BH177" s="73" t="n"/>
      <c r="BI177" s="73" t="n"/>
      <c r="BJ177" s="73" t="n"/>
      <c r="BK177" s="73" t="n"/>
      <c r="BL177" s="73" t="n"/>
      <c r="BM177" s="73" t="n"/>
      <c r="BN177" s="73" t="n"/>
      <c r="BO177" s="73" t="n"/>
      <c r="BP177" s="73" t="n"/>
      <c r="BQ177" s="195">
        <f>COUNTIF($G177:$BP177,"a")+COUNTIF($G177:$BP177,"r0,a5")/2+COUNTIF($G177:$BP177,"p5,a5")/2</f>
        <v/>
      </c>
      <c r="BR177" s="195">
        <f>COUNTIF($G177:$BP177,"d")+COUNTIF($G177:$BP177,"r0,d5")/2+COUNTIF($G177:$BP177,"p5,d5")/2</f>
        <v/>
      </c>
      <c r="BS177" s="195">
        <f>COUNTIF($G177:$BP177,"b")+COUNTIF($G177:$BP177,"r0,b5")/2+COUNTIF($G177:$BP177,"p5,b5")/2</f>
        <v/>
      </c>
      <c r="BT177" s="195">
        <f>COUNTIF($G177:$BP177,"c")+COUNTIF($G177:$BP177,"r0,c5")/2+COUNTIF($G177:$BP177,"p5,c5")/2</f>
        <v/>
      </c>
      <c r="BU177" s="195">
        <f>COUNTIF($G177:$BP177,"KH")+COUNTIF($G177:$BP177,"TL")+COUNTIF($G177:$BP177,"L")</f>
        <v/>
      </c>
      <c r="BV177" s="202" t="n"/>
      <c r="BW177" s="195">
        <f>COUNTIF($G177:$BP177,"hh")</f>
        <v/>
      </c>
      <c r="BX177" s="195">
        <f>COUNTIF($G177:$BP177,"nt7")</f>
        <v/>
      </c>
      <c r="BY177" s="195">
        <f>COUNTIF($G177:$BP177,"P")+COUNTIF($G177:$BP177,"p5,a5")/2+COUNTIF($G177:$BP177,"p5,b5")/2+COUNTIF($G177:$BP177,"p5,c5")/2+COUNTIF($G177:$BP177,"p5,d5")/2</f>
        <v/>
      </c>
      <c r="BZ177" s="203">
        <f>SUBTOTAL(9,BQ177:BY177)</f>
        <v/>
      </c>
      <c r="CA177" s="54">
        <f>SUM(J177,L177,N177,P177,R177,T177,X177,Z177,AB177,AD177,AF177,AH177,AL177,AN177,AP177,AR177,AT177,AV177,AZ177,BB177,BD177,BF177,BH177,BP177)</f>
        <v/>
      </c>
      <c r="CB177" s="55">
        <f>SUM(H177,V177,AJ177,AX177,BL177)</f>
        <v/>
      </c>
      <c r="CC177" s="56">
        <f>SUM(BJ177,BN177)</f>
        <v/>
      </c>
      <c r="CD177" s="197">
        <f>IF(BZ177&gt;25,4,IF(BZ177&gt;18,3,IF(BZ177&gt;12,2,IF(BZ177&gt;4,1,0))))-BX177-2+1</f>
        <v/>
      </c>
      <c r="CE177" s="49" t="n">
        <v>1</v>
      </c>
      <c r="CF177" s="197">
        <f>CD177*CI177</f>
        <v/>
      </c>
      <c r="CG177" s="198">
        <f>F177-BY177+1</f>
        <v/>
      </c>
      <c r="CH177" s="197">
        <f>CE177*16</f>
        <v/>
      </c>
      <c r="CI177" s="199">
        <f>VLOOKUP(A177,[1]DATA!$A$6:$AI$331,34,0)</f>
        <v/>
      </c>
      <c r="CJ177" s="200">
        <f>VLOOKUP(A177,[2]CHAMCONG!A$7:CI$333,79,0)</f>
        <v/>
      </c>
      <c r="CK177" s="201">
        <f>CJ177-CA177</f>
        <v/>
      </c>
      <c r="CL177" s="68" t="n"/>
      <c r="CM177" s="68" t="n"/>
    </row>
    <row r="178" ht="15.75" customFormat="1" customHeight="1" s="68">
      <c r="A178" s="139" t="n"/>
      <c r="B178" s="64" t="n"/>
      <c r="C178" s="115" t="n"/>
      <c r="D178" s="46" t="n"/>
      <c r="E178" s="47" t="n"/>
      <c r="F178" s="48" t="n"/>
      <c r="G178" s="49" t="n"/>
      <c r="H178" s="73" t="n"/>
      <c r="I178" s="50" t="n"/>
      <c r="J178" s="73" t="n"/>
      <c r="K178" s="50" t="n"/>
      <c r="L178" s="73" t="n"/>
      <c r="M178" s="50" t="n"/>
      <c r="N178" s="73" t="n"/>
      <c r="O178" s="49" t="n"/>
      <c r="P178" s="73" t="n"/>
      <c r="Q178" s="49" t="n"/>
      <c r="R178" s="73" t="n"/>
      <c r="S178" s="49" t="n"/>
      <c r="T178" s="73" t="n"/>
      <c r="U178" s="49" t="n"/>
      <c r="V178" s="73" t="n"/>
      <c r="W178" s="49" t="n"/>
      <c r="X178" s="73" t="n"/>
      <c r="Y178" s="49" t="n"/>
      <c r="Z178" s="73" t="n"/>
      <c r="AA178" s="73" t="n"/>
      <c r="AB178" s="73" t="n"/>
      <c r="AC178" s="49" t="n"/>
      <c r="AD178" s="73" t="n"/>
      <c r="AE178" s="49" t="n"/>
      <c r="AF178" s="73" t="n"/>
      <c r="AG178" s="49" t="n"/>
      <c r="AH178" s="73" t="n"/>
      <c r="AI178" s="49" t="n"/>
      <c r="AJ178" s="73" t="n"/>
      <c r="AK178" s="49" t="n"/>
      <c r="AL178" s="73" t="n"/>
      <c r="AM178" s="49" t="n"/>
      <c r="AN178" s="73" t="n"/>
      <c r="AO178" s="73" t="n"/>
      <c r="AP178" s="73" t="n"/>
      <c r="AQ178" s="49" t="n"/>
      <c r="AR178" s="73" t="n"/>
      <c r="AS178" s="49" t="n"/>
      <c r="AT178" s="73" t="n"/>
      <c r="AU178" s="49" t="n"/>
      <c r="AV178" s="73" t="n"/>
      <c r="AW178" s="73" t="n"/>
      <c r="AX178" s="73" t="n"/>
      <c r="AY178" s="49" t="n"/>
      <c r="AZ178" s="73" t="n"/>
      <c r="BA178" s="49" t="n"/>
      <c r="BB178" s="73" t="n"/>
      <c r="BC178" s="73" t="n"/>
      <c r="BD178" s="73" t="n"/>
      <c r="BE178" s="49" t="n"/>
      <c r="BF178" s="73" t="n"/>
      <c r="BG178" s="49" t="n"/>
      <c r="BH178" s="73" t="n"/>
      <c r="BI178" s="73" t="n"/>
      <c r="BJ178" s="73" t="n"/>
      <c r="BK178" s="73" t="n"/>
      <c r="BL178" s="73" t="n"/>
      <c r="BM178" s="73" t="n"/>
      <c r="BN178" s="73" t="n"/>
      <c r="BO178" s="73" t="n"/>
      <c r="BP178" s="73" t="n"/>
      <c r="BQ178" s="195">
        <f>COUNTIF($G178:$BP178,"a")+COUNTIF($G178:$BP178,"r0,a5")/2+COUNTIF($G178:$BP178,"p5,a5")/2</f>
        <v/>
      </c>
      <c r="BR178" s="195">
        <f>COUNTIF($G178:$BP178,"d")+COUNTIF($G178:$BP178,"r0,d5")/2+COUNTIF($G178:$BP178,"p5,d5")/2</f>
        <v/>
      </c>
      <c r="BS178" s="195">
        <f>COUNTIF($G178:$BP178,"b")+COUNTIF($G178:$BP178,"r0,b5")/2+COUNTIF($G178:$BP178,"p5,b5")/2</f>
        <v/>
      </c>
      <c r="BT178" s="195">
        <f>COUNTIF($G178:$BP178,"c")+COUNTIF($G178:$BP178,"r0,c5")/2+COUNTIF($G178:$BP178,"p5,c5")/2</f>
        <v/>
      </c>
      <c r="BU178" s="195">
        <f>COUNTIF($G178:$BP178,"KH")+COUNTIF($G178:$BP178,"TL")+COUNTIF($G178:$BP178,"L")</f>
        <v/>
      </c>
      <c r="BV178" s="202" t="n"/>
      <c r="BW178" s="195">
        <f>COUNTIF($G178:$BP178,"hh")</f>
        <v/>
      </c>
      <c r="BX178" s="195">
        <f>COUNTIF($G178:$BP178,"nt7")</f>
        <v/>
      </c>
      <c r="BY178" s="195">
        <f>COUNTIF($G178:$BP178,"P")+COUNTIF($G178:$BP178,"p5,a5")/2+COUNTIF($G178:$BP178,"p5,b5")/2+COUNTIF($G178:$BP178,"p5,c5")/2+COUNTIF($G178:$BP178,"p5,d5")/2</f>
        <v/>
      </c>
      <c r="BZ178" s="203">
        <f>SUBTOTAL(9,BQ178:BY178)</f>
        <v/>
      </c>
      <c r="CA178" s="54">
        <f>SUM(J178,L178,N178,P178,R178,T178,X178,Z178,AB178,AD178,AF178,AH178,AL178,AN178,AP178,AR178,AT178,AV178,AZ178,BB178,BD178,BF178,BH178,BP178)</f>
        <v/>
      </c>
      <c r="CB178" s="55">
        <f>SUM(H178,V178,AJ178,AX178,BL178)</f>
        <v/>
      </c>
      <c r="CC178" s="56">
        <f>SUM(BJ178,BN178)</f>
        <v/>
      </c>
      <c r="CD178" s="197">
        <f>IF(BZ178&gt;25,4,IF(BZ178&gt;18,3,IF(BZ178&gt;12,2,IF(BZ178&gt;4,1,0))))-BX178-2+1</f>
        <v/>
      </c>
      <c r="CE178" s="49" t="n">
        <v>2</v>
      </c>
      <c r="CF178" s="197">
        <f>CD178*CI178</f>
        <v/>
      </c>
      <c r="CG178" s="198">
        <f>F178-BY178+1</f>
        <v/>
      </c>
      <c r="CH178" s="197">
        <f>CE178*16</f>
        <v/>
      </c>
      <c r="CI178" s="199">
        <f>VLOOKUP(A178,[1]DATA!$A$6:$AI$331,34,0)</f>
        <v/>
      </c>
      <c r="CJ178" s="200">
        <f>VLOOKUP(A178,[2]CHAMCONG!A$7:CI$333,79,0)</f>
        <v/>
      </c>
      <c r="CK178" s="201">
        <f>CJ178-CA178</f>
        <v/>
      </c>
    </row>
    <row r="179" ht="15.75" customFormat="1" customHeight="1" s="68">
      <c r="A179" s="139" t="n"/>
      <c r="B179" s="64" t="n"/>
      <c r="C179" s="115" t="n"/>
      <c r="D179" s="46" t="n"/>
      <c r="E179" s="47" t="n"/>
      <c r="F179" s="48" t="n"/>
      <c r="G179" s="49" t="n"/>
      <c r="H179" s="73" t="n"/>
      <c r="I179" s="49" t="n"/>
      <c r="J179" s="73" t="n"/>
      <c r="K179" s="73" t="n"/>
      <c r="L179" s="73" t="n"/>
      <c r="M179" s="73" t="n"/>
      <c r="N179" s="73" t="n"/>
      <c r="O179" s="73" t="n"/>
      <c r="P179" s="73" t="n"/>
      <c r="Q179" s="73" t="n"/>
      <c r="R179" s="73" t="n"/>
      <c r="S179" s="73" t="n"/>
      <c r="T179" s="73" t="n"/>
      <c r="U179" s="49" t="n"/>
      <c r="V179" s="73" t="n"/>
      <c r="W179" s="73" t="n"/>
      <c r="X179" s="73" t="n"/>
      <c r="Y179" s="73" t="n"/>
      <c r="Z179" s="73" t="n"/>
      <c r="AA179" s="73" t="n"/>
      <c r="AB179" s="73" t="n"/>
      <c r="AC179" s="73" t="n"/>
      <c r="AD179" s="73" t="n"/>
      <c r="AE179" s="73" t="n"/>
      <c r="AF179" s="73" t="n"/>
      <c r="AG179" s="73" t="n"/>
      <c r="AH179" s="73" t="n"/>
      <c r="AI179" s="73" t="n"/>
      <c r="AJ179" s="73" t="n"/>
      <c r="AK179" s="73" t="n"/>
      <c r="AL179" s="73" t="n"/>
      <c r="AM179" s="73" t="n"/>
      <c r="AN179" s="73" t="n"/>
      <c r="AO179" s="73" t="n"/>
      <c r="AP179" s="73" t="n"/>
      <c r="AQ179" s="73" t="n"/>
      <c r="AR179" s="73" t="n"/>
      <c r="AS179" s="73" t="n"/>
      <c r="AT179" s="73" t="n"/>
      <c r="AU179" s="73" t="n"/>
      <c r="AV179" s="73" t="n"/>
      <c r="AW179" s="73" t="n"/>
      <c r="AX179" s="73" t="n"/>
      <c r="AY179" s="73" t="n"/>
      <c r="AZ179" s="73" t="n"/>
      <c r="BA179" s="73" t="n"/>
      <c r="BB179" s="73" t="n"/>
      <c r="BC179" s="73" t="n"/>
      <c r="BD179" s="73" t="n"/>
      <c r="BE179" s="73" t="n"/>
      <c r="BF179" s="73" t="n"/>
      <c r="BG179" s="73" t="n"/>
      <c r="BH179" s="73" t="n"/>
      <c r="BI179" s="73" t="n"/>
      <c r="BJ179" s="73" t="n"/>
      <c r="BK179" s="73" t="n"/>
      <c r="BL179" s="73" t="n"/>
      <c r="BM179" s="73" t="n"/>
      <c r="BN179" s="73" t="n"/>
      <c r="BO179" s="73" t="n"/>
      <c r="BP179" s="73" t="n"/>
      <c r="BQ179" s="195">
        <f>COUNTIF($G179:$BP179,"a")+COUNTIF($G179:$BP179,"r0,a5")/2+COUNTIF($G179:$BP179,"p5,a5")/2</f>
        <v/>
      </c>
      <c r="BR179" s="195">
        <f>COUNTIF($G179:$BP179,"d")+COUNTIF($G179:$BP179,"r0,d5")/2+COUNTIF($G179:$BP179,"p5,d5")/2</f>
        <v/>
      </c>
      <c r="BS179" s="195">
        <f>COUNTIF($G179:$BP179,"b")+COUNTIF($G179:$BP179,"r0,b5")/2+COUNTIF($G179:$BP179,"p5,b5")/2</f>
        <v/>
      </c>
      <c r="BT179" s="195">
        <f>COUNTIF($G179:$BP179,"c")+COUNTIF($G179:$BP179,"r0,c5")/2+COUNTIF($G179:$BP179,"p5,c5")/2</f>
        <v/>
      </c>
      <c r="BU179" s="195">
        <f>COUNTIF($G179:$BP179,"KH")+COUNTIF($G179:$BP179,"TL")+COUNTIF($G179:$BP179,"L")</f>
        <v/>
      </c>
      <c r="BV179" s="202" t="n"/>
      <c r="BW179" s="195">
        <f>COUNTIF($G179:$BP179,"hh")</f>
        <v/>
      </c>
      <c r="BX179" s="195">
        <f>COUNTIF($G179:$BP179,"nt7")</f>
        <v/>
      </c>
      <c r="BY179" s="195">
        <f>COUNTIF($G179:$BP179,"P")+COUNTIF($G179:$BP179,"p5,a5")/2+COUNTIF($G179:$BP179,"p5,b5")/2+COUNTIF($G179:$BP179,"p5,c5")/2+COUNTIF($G179:$BP179,"p5,d5")/2</f>
        <v/>
      </c>
      <c r="BZ179" s="203">
        <f>SUBTOTAL(9,BQ179:BY179)</f>
        <v/>
      </c>
      <c r="CA179" s="54">
        <f>SUM(J179,L179,N179,P179,R179,T179,X179,Z179,AB179,AD179,AF179,AH179,AL179,AN179,AP179,AR179,AT179,AV179,AZ179,BB179,BD179,BF179,BH179,BP179)</f>
        <v/>
      </c>
      <c r="CB179" s="55">
        <f>SUM(H179,V179,AJ179,AX179,BL179)</f>
        <v/>
      </c>
      <c r="CC179" s="56">
        <f>SUM(BJ179,BN179)</f>
        <v/>
      </c>
      <c r="CD179" s="197">
        <f>IF(BZ179&gt;25,4,IF(BZ179&gt;18,3,IF(BZ179&gt;12,2,IF(BZ179&gt;4,1,0))))-BX179-2+1</f>
        <v/>
      </c>
      <c r="CE179" s="49" t="n">
        <v>2</v>
      </c>
      <c r="CF179" s="197">
        <f>CD179*CI179</f>
        <v/>
      </c>
      <c r="CG179" s="198">
        <f>F179-BY179+1</f>
        <v/>
      </c>
      <c r="CH179" s="197">
        <f>CE179*16</f>
        <v/>
      </c>
      <c r="CI179" s="199">
        <f>VLOOKUP(A179,[1]DATA!$A$6:$AI$331,34,0)</f>
        <v/>
      </c>
      <c r="CJ179" s="200">
        <f>VLOOKUP(A179,[2]CHAMCONG!A$7:CI$333,79,0)</f>
        <v/>
      </c>
      <c r="CK179" s="201">
        <f>CJ179-CA179</f>
        <v/>
      </c>
    </row>
    <row r="180" ht="15.75" customFormat="1" customHeight="1" s="68">
      <c r="A180" s="139" t="n"/>
      <c r="B180" s="64" t="n"/>
      <c r="C180" s="115" t="n"/>
      <c r="D180" s="46" t="n"/>
      <c r="E180" s="47" t="n"/>
      <c r="F180" s="48" t="n"/>
      <c r="G180" s="49" t="n"/>
      <c r="H180" s="73" t="n"/>
      <c r="I180" s="50" t="n"/>
      <c r="J180" s="73" t="n"/>
      <c r="K180" s="50" t="n"/>
      <c r="L180" s="73" t="n"/>
      <c r="M180" s="50" t="n"/>
      <c r="N180" s="73" t="n"/>
      <c r="O180" s="50" t="n"/>
      <c r="P180" s="73" t="n"/>
      <c r="Q180" s="73" t="n"/>
      <c r="R180" s="73" t="n"/>
      <c r="S180" s="50" t="n"/>
      <c r="T180" s="73" t="n"/>
      <c r="U180" s="50" t="n"/>
      <c r="V180" s="73" t="n"/>
      <c r="W180" s="50" t="n"/>
      <c r="X180" s="73" t="n"/>
      <c r="Y180" s="50" t="n"/>
      <c r="Z180" s="73" t="n"/>
      <c r="AA180" s="50" t="n"/>
      <c r="AB180" s="73" t="n"/>
      <c r="AC180" s="50" t="n"/>
      <c r="AD180" s="73" t="n"/>
      <c r="AE180" s="73" t="n"/>
      <c r="AF180" s="73" t="n"/>
      <c r="AG180" s="50" t="n"/>
      <c r="AH180" s="73" t="n"/>
      <c r="AI180" s="50" t="n"/>
      <c r="AJ180" s="73" t="n"/>
      <c r="AK180" s="50" t="n"/>
      <c r="AL180" s="73" t="n"/>
      <c r="AM180" s="50" t="n"/>
      <c r="AN180" s="73" t="n"/>
      <c r="AO180" s="50" t="n"/>
      <c r="AP180" s="73" t="n"/>
      <c r="AQ180" s="50" t="n"/>
      <c r="AR180" s="73" t="n"/>
      <c r="AS180" s="73" t="n"/>
      <c r="AT180" s="73" t="n"/>
      <c r="AU180" s="73" t="n"/>
      <c r="AV180" s="73" t="n"/>
      <c r="AW180" s="73" t="n"/>
      <c r="AX180" s="73" t="n"/>
      <c r="AY180" s="50" t="n"/>
      <c r="AZ180" s="73" t="n"/>
      <c r="BA180" s="73" t="n"/>
      <c r="BB180" s="73" t="n"/>
      <c r="BC180" s="73" t="n"/>
      <c r="BD180" s="73" t="n"/>
      <c r="BE180" s="50" t="n"/>
      <c r="BF180" s="73" t="n"/>
      <c r="BG180" s="73" t="n"/>
      <c r="BH180" s="73" t="n"/>
      <c r="BI180" s="73" t="n"/>
      <c r="BJ180" s="73" t="n"/>
      <c r="BK180" s="73" t="n"/>
      <c r="BL180" s="73" t="n"/>
      <c r="BM180" s="73" t="n"/>
      <c r="BN180" s="73" t="n"/>
      <c r="BO180" s="73" t="n"/>
      <c r="BP180" s="73" t="n"/>
      <c r="BQ180" s="195">
        <f>COUNTIF($G180:$BP180,"a")+COUNTIF($G180:$BP180,"r0,a5")/2+COUNTIF($G180:$BP180,"p5,a5")/2</f>
        <v/>
      </c>
      <c r="BR180" s="195">
        <f>COUNTIF($G180:$BP180,"d")+COUNTIF($G180:$BP180,"r0,d5")/2+COUNTIF($G180:$BP180,"p5,d5")/2</f>
        <v/>
      </c>
      <c r="BS180" s="195">
        <f>COUNTIF($G180:$BP180,"b")+COUNTIF($G180:$BP180,"r0,b5")/2+COUNTIF($G180:$BP180,"p5,b5")/2</f>
        <v/>
      </c>
      <c r="BT180" s="195">
        <f>COUNTIF($G180:$BP180,"c")+COUNTIF($G180:$BP180,"r0,c5")/2+COUNTIF($G180:$BP180,"p5,c5")/2</f>
        <v/>
      </c>
      <c r="BU180" s="195">
        <f>COUNTIF($G180:$BP180,"KH")+COUNTIF($G180:$BP180,"TL")+COUNTIF($G180:$BP180,"L")</f>
        <v/>
      </c>
      <c r="BV180" s="202" t="n"/>
      <c r="BW180" s="195">
        <f>COUNTIF($G180:$BP180,"hh")</f>
        <v/>
      </c>
      <c r="BX180" s="195">
        <f>COUNTIF($G180:$BP180,"nt7")</f>
        <v/>
      </c>
      <c r="BY180" s="195">
        <f>COUNTIF($G180:$BP180,"P")+COUNTIF($G180:$BP180,"p5,a5")/2+COUNTIF($G180:$BP180,"p5,b5")/2+COUNTIF($G180:$BP180,"p5,c5")/2+COUNTIF($G180:$BP180,"p5,d5")/2</f>
        <v/>
      </c>
      <c r="BZ180" s="203">
        <f>SUBTOTAL(9,BQ180:BY180)</f>
        <v/>
      </c>
      <c r="CA180" s="54">
        <f>SUM(J180,L180,N180,P180,R180,T180,X180,Z180,AB180,AD180,AF180,AH180,AL180,AN180,AP180,AR180,AT180,AV180,AZ180,BB180,BD180,BF180,BH180,BP180)</f>
        <v/>
      </c>
      <c r="CB180" s="55">
        <f>SUM(H180,V180,AJ180,AX180,BL180)</f>
        <v/>
      </c>
      <c r="CC180" s="56">
        <f>SUM(BJ180,BN180)</f>
        <v/>
      </c>
      <c r="CD180" s="197">
        <f>IF(BZ180&gt;25,4,IF(BZ180&gt;18,3,IF(BZ180&gt;12,2,IF(BZ180&gt;4,1,0))))-BX180-2+1</f>
        <v/>
      </c>
      <c r="CE180" s="49" t="n"/>
      <c r="CF180" s="197">
        <f>CD180*CI180</f>
        <v/>
      </c>
      <c r="CG180" s="198">
        <f>F180-BY180+1</f>
        <v/>
      </c>
      <c r="CH180" s="197">
        <f>CE180*16</f>
        <v/>
      </c>
      <c r="CI180" s="199">
        <f>VLOOKUP(A180,[1]DATA!$A$6:$AI$331,34,0)</f>
        <v/>
      </c>
      <c r="CJ180" s="200">
        <f>VLOOKUP(A180,[2]CHAMCONG!A$7:CI$333,79,0)</f>
        <v/>
      </c>
      <c r="CK180" s="201">
        <f>CJ180-CA180</f>
        <v/>
      </c>
    </row>
    <row r="181" ht="15.75" customFormat="1" customHeight="1" s="68">
      <c r="A181" s="139" t="n"/>
      <c r="B181" s="64" t="n"/>
      <c r="C181" s="115" t="n"/>
      <c r="D181" s="46" t="n"/>
      <c r="E181" s="47" t="n"/>
      <c r="F181" s="48" t="n"/>
      <c r="G181" s="49" t="n"/>
      <c r="H181" s="73" t="n"/>
      <c r="I181" s="50" t="n"/>
      <c r="J181" s="73" t="n"/>
      <c r="K181" s="73" t="n"/>
      <c r="L181" s="73" t="n"/>
      <c r="M181" s="73" t="n"/>
      <c r="N181" s="73" t="n"/>
      <c r="O181" s="73" t="n"/>
      <c r="P181" s="73" t="n"/>
      <c r="Q181" s="73" t="n"/>
      <c r="R181" s="73" t="n"/>
      <c r="S181" s="73" t="n"/>
      <c r="T181" s="73" t="n"/>
      <c r="U181" s="49" t="n"/>
      <c r="V181" s="73" t="n"/>
      <c r="W181" s="73" t="n"/>
      <c r="X181" s="73" t="n"/>
      <c r="Y181" s="73" t="n"/>
      <c r="Z181" s="73" t="n"/>
      <c r="AA181" s="73" t="n"/>
      <c r="AB181" s="73" t="n"/>
      <c r="AC181" s="50" t="n"/>
      <c r="AD181" s="73" t="n"/>
      <c r="AE181" s="50" t="n"/>
      <c r="AF181" s="67" t="n"/>
      <c r="AG181" s="50" t="n"/>
      <c r="AH181" s="73" t="n"/>
      <c r="AI181" s="50" t="n"/>
      <c r="AJ181" s="73" t="n"/>
      <c r="AK181" s="73" t="n"/>
      <c r="AL181" s="73" t="n"/>
      <c r="AM181" s="73" t="n"/>
      <c r="AN181" s="73" t="n"/>
      <c r="AO181" s="73" t="n"/>
      <c r="AP181" s="73" t="n"/>
      <c r="AQ181" s="73" t="n"/>
      <c r="AR181" s="73" t="n"/>
      <c r="AS181" s="73" t="n"/>
      <c r="AT181" s="73" t="n"/>
      <c r="AU181" s="73" t="n"/>
      <c r="AV181" s="73" t="n"/>
      <c r="AW181" s="73" t="n"/>
      <c r="AX181" s="73" t="n"/>
      <c r="AY181" s="73" t="n"/>
      <c r="AZ181" s="73" t="n"/>
      <c r="BA181" s="73" t="n"/>
      <c r="BB181" s="73" t="n"/>
      <c r="BC181" s="73" t="n"/>
      <c r="BD181" s="73" t="n"/>
      <c r="BE181" s="73" t="n"/>
      <c r="BF181" s="73" t="n"/>
      <c r="BG181" s="73" t="n"/>
      <c r="BH181" s="73" t="n"/>
      <c r="BI181" s="73" t="n"/>
      <c r="BJ181" s="73" t="n"/>
      <c r="BK181" s="73" t="n"/>
      <c r="BL181" s="73" t="n"/>
      <c r="BM181" s="73" t="n"/>
      <c r="BN181" s="73" t="n"/>
      <c r="BO181" s="73" t="n"/>
      <c r="BP181" s="73" t="n"/>
      <c r="BQ181" s="195">
        <f>COUNTIF($G181:$BP181,"a")+COUNTIF($G181:$BP181,"r0,a5")/2+COUNTIF($G181:$BP181,"p5,a5")/2</f>
        <v/>
      </c>
      <c r="BR181" s="195">
        <f>COUNTIF($G181:$BP181,"d")+COUNTIF($G181:$BP181,"r0,d5")/2+COUNTIF($G181:$BP181,"p5,d5")/2</f>
        <v/>
      </c>
      <c r="BS181" s="195">
        <f>COUNTIF($G181:$BP181,"b")+COUNTIF($G181:$BP181,"r0,b5")/2+COUNTIF($G181:$BP181,"p5,b5")/2</f>
        <v/>
      </c>
      <c r="BT181" s="195">
        <f>COUNTIF($G181:$BP181,"c")+COUNTIF($G181:$BP181,"r0,c5")/2+COUNTIF($G181:$BP181,"p5,c5")/2</f>
        <v/>
      </c>
      <c r="BU181" s="195">
        <f>COUNTIF($G181:$BP181,"KH")+COUNTIF($G181:$BP181,"TL")+COUNTIF($G181:$BP181,"L")</f>
        <v/>
      </c>
      <c r="BV181" s="202" t="n"/>
      <c r="BW181" s="195">
        <f>COUNTIF($G181:$BP181,"hh")</f>
        <v/>
      </c>
      <c r="BX181" s="195">
        <f>COUNTIF($G181:$BP181,"nt7")</f>
        <v/>
      </c>
      <c r="BY181" s="195">
        <f>COUNTIF($G181:$BP181,"P")+COUNTIF($G181:$BP181,"p5,a5")/2+COUNTIF($G181:$BP181,"p5,b5")/2+COUNTIF($G181:$BP181,"p5,c5")/2+COUNTIF($G181:$BP181,"p5,d5")/2</f>
        <v/>
      </c>
      <c r="BZ181" s="203">
        <f>SUBTOTAL(9,BQ181:BY181)</f>
        <v/>
      </c>
      <c r="CA181" s="54">
        <f>SUM(J181,L181,N181,P181,R181,T181,X181,Z181,AB181,AD181,AF181,AH181,AL181,AN181,AP181,AR181,AT181,AV181,AZ181,BB181,BD181,BF181,BH181,BP181)</f>
        <v/>
      </c>
      <c r="CB181" s="55">
        <f>SUM(H181,V181,AJ181,AX181,BL181)</f>
        <v/>
      </c>
      <c r="CC181" s="56">
        <f>SUM(BJ181,BN181)</f>
        <v/>
      </c>
      <c r="CD181" s="197">
        <f>IF(BZ181&gt;25,4,IF(BZ181&gt;18,3,IF(BZ181&gt;12,2,IF(BZ181&gt;4,1,0))))-BX181-2+1</f>
        <v/>
      </c>
      <c r="CE181" s="49" t="n"/>
      <c r="CF181" s="197">
        <f>CD181*CI181</f>
        <v/>
      </c>
      <c r="CG181" s="198">
        <f>F181-BY181+1</f>
        <v/>
      </c>
      <c r="CH181" s="197">
        <f>CE181*16</f>
        <v/>
      </c>
      <c r="CI181" s="199">
        <f>VLOOKUP(A181,[1]DATA!$A$6:$AI$331,34,0)</f>
        <v/>
      </c>
      <c r="CJ181" s="200">
        <f>VLOOKUP(A181,[2]CHAMCONG!A$7:CI$333,79,0)</f>
        <v/>
      </c>
      <c r="CK181" s="201">
        <f>CJ181-CA181</f>
        <v/>
      </c>
    </row>
    <row r="182" ht="15.75" customFormat="1" customHeight="1" s="68">
      <c r="A182" s="139" t="n"/>
      <c r="B182" s="64" t="n"/>
      <c r="C182" s="115" t="n"/>
      <c r="D182" s="46" t="n"/>
      <c r="E182" s="47" t="n"/>
      <c r="F182" s="48" t="n"/>
      <c r="G182" s="49" t="n"/>
      <c r="H182" s="73" t="n"/>
      <c r="I182" s="73" t="n"/>
      <c r="J182" s="73" t="n"/>
      <c r="K182" s="73" t="n"/>
      <c r="L182" s="73" t="n"/>
      <c r="M182" s="73" t="n"/>
      <c r="N182" s="73" t="n"/>
      <c r="O182" s="73" t="n"/>
      <c r="P182" s="73" t="n"/>
      <c r="Q182" s="73" t="n"/>
      <c r="R182" s="73" t="n"/>
      <c r="S182" s="73" t="n"/>
      <c r="T182" s="73" t="n"/>
      <c r="U182" s="73" t="n"/>
      <c r="V182" s="73" t="n"/>
      <c r="W182" s="73" t="n"/>
      <c r="X182" s="73" t="n"/>
      <c r="Y182" s="73" t="n"/>
      <c r="Z182" s="73" t="n"/>
      <c r="AA182" s="73" t="n"/>
      <c r="AB182" s="73" t="n"/>
      <c r="AC182" s="73" t="n"/>
      <c r="AD182" s="73" t="n"/>
      <c r="AE182" s="49" t="n"/>
      <c r="AF182" s="73" t="n"/>
      <c r="AG182" s="50" t="n"/>
      <c r="AH182" s="73" t="n"/>
      <c r="AI182" s="73" t="n"/>
      <c r="AJ182" s="73" t="n"/>
      <c r="AK182" s="50" t="n"/>
      <c r="AL182" s="73" t="n"/>
      <c r="AM182" s="50" t="n"/>
      <c r="AN182" s="73" t="n"/>
      <c r="AO182" s="50" t="n"/>
      <c r="AP182" s="73" t="n"/>
      <c r="AQ182" s="73" t="n"/>
      <c r="AR182" s="73" t="n"/>
      <c r="AS182" s="73" t="n"/>
      <c r="AT182" s="73" t="n"/>
      <c r="AU182" s="73" t="n"/>
      <c r="AV182" s="73" t="n"/>
      <c r="AW182" s="73" t="n"/>
      <c r="AX182" s="73" t="n"/>
      <c r="AY182" s="73" t="n"/>
      <c r="AZ182" s="73" t="n"/>
      <c r="BA182" s="73" t="n"/>
      <c r="BB182" s="73" t="n"/>
      <c r="BC182" s="73" t="n"/>
      <c r="BD182" s="73" t="n"/>
      <c r="BE182" s="73" t="n"/>
      <c r="BF182" s="73" t="n"/>
      <c r="BG182" s="73" t="n"/>
      <c r="BH182" s="73" t="n"/>
      <c r="BI182" s="73" t="n"/>
      <c r="BJ182" s="73" t="n"/>
      <c r="BK182" s="73" t="n"/>
      <c r="BL182" s="73" t="n"/>
      <c r="BM182" s="73" t="n"/>
      <c r="BN182" s="73" t="n"/>
      <c r="BO182" s="73" t="n"/>
      <c r="BP182" s="73" t="n"/>
      <c r="BQ182" s="195">
        <f>COUNTIF($G182:$BP182,"a")+COUNTIF($G182:$BP182,"r0,a5")/2+COUNTIF($G182:$BP182,"p5,a5")/2</f>
        <v/>
      </c>
      <c r="BR182" s="195">
        <f>COUNTIF($G182:$BP182,"d")+COUNTIF($G182:$BP182,"r0,d5")/2+COUNTIF($G182:$BP182,"p5,d5")/2</f>
        <v/>
      </c>
      <c r="BS182" s="195">
        <f>COUNTIF($G182:$BP182,"b")+COUNTIF($G182:$BP182,"r0,b5")/2+COUNTIF($G182:$BP182,"p5,b5")/2</f>
        <v/>
      </c>
      <c r="BT182" s="195">
        <f>COUNTIF($G182:$BP182,"c")+COUNTIF($G182:$BP182,"r0,c5")/2+COUNTIF($G182:$BP182,"p5,c5")/2</f>
        <v/>
      </c>
      <c r="BU182" s="195">
        <f>COUNTIF($G182:$BP182,"KH")+COUNTIF($G182:$BP182,"TL")+COUNTIF($G182:$BP182,"L")</f>
        <v/>
      </c>
      <c r="BV182" s="202" t="n"/>
      <c r="BW182" s="195">
        <f>COUNTIF($G182:$BP182,"hh")</f>
        <v/>
      </c>
      <c r="BX182" s="195">
        <f>COUNTIF($G182:$BP182,"nt7")</f>
        <v/>
      </c>
      <c r="BY182" s="195">
        <f>COUNTIF($G182:$BP182,"P")+COUNTIF($G182:$BP182,"p5,a5")/2+COUNTIF($G182:$BP182,"p5,b5")/2+COUNTIF($G182:$BP182,"p5,c5")/2+COUNTIF($G182:$BP182,"p5,d5")/2</f>
        <v/>
      </c>
      <c r="BZ182" s="203">
        <f>SUBTOTAL(9,BQ182:BY182)</f>
        <v/>
      </c>
      <c r="CA182" s="54">
        <f>SUM(J182,L182,N182,P182,R182,T182,X182,Z182,AB182,AD182,AF182,AH182,AL182,AN182,AP182,AR182,AT182,AV182,AZ182,BB182,BD182,BF182,BH182,BP182)</f>
        <v/>
      </c>
      <c r="CB182" s="55">
        <f>SUM(H182,V182,AJ182,AX182,BL182)</f>
        <v/>
      </c>
      <c r="CC182" s="56">
        <f>SUM(BJ182,BN182)</f>
        <v/>
      </c>
      <c r="CD182" s="197">
        <f>IF(BZ182&gt;25,4,IF(BZ182&gt;18,3,IF(BZ182&gt;12,2,IF(BZ182&gt;4,1,0))))-BX182-2+1</f>
        <v/>
      </c>
      <c r="CE182" s="49" t="n">
        <v>3</v>
      </c>
      <c r="CF182" s="197">
        <f>CD182*CI182</f>
        <v/>
      </c>
      <c r="CG182" s="198">
        <f>F182-BY182+1</f>
        <v/>
      </c>
      <c r="CH182" s="197">
        <f>CE182*16</f>
        <v/>
      </c>
      <c r="CI182" s="199">
        <f>VLOOKUP(A182,[1]DATA!$A$6:$AI$331,34,0)</f>
        <v/>
      </c>
      <c r="CJ182" s="200">
        <f>VLOOKUP(A182,[2]CHAMCONG!A$7:CI$333,79,0)</f>
        <v/>
      </c>
      <c r="CK182" s="201">
        <f>CJ182-CA182</f>
        <v/>
      </c>
    </row>
    <row r="183" ht="15.75" customFormat="1" customHeight="1" s="68">
      <c r="A183" s="139" t="n"/>
      <c r="B183" s="44" t="n"/>
      <c r="C183" s="76" t="n"/>
      <c r="D183" s="46" t="n"/>
      <c r="E183" s="47" t="n"/>
      <c r="F183" s="48" t="n"/>
      <c r="G183" s="49" t="n"/>
      <c r="H183" s="73" t="n"/>
      <c r="I183" s="50" t="n"/>
      <c r="J183" s="73" t="n"/>
      <c r="K183" s="50" t="n"/>
      <c r="L183" s="73" t="n"/>
      <c r="M183" s="73" t="n"/>
      <c r="N183" s="73" t="n"/>
      <c r="O183" s="50" t="n"/>
      <c r="P183" s="73" t="n"/>
      <c r="Q183" s="49" t="n"/>
      <c r="R183" s="73" t="n"/>
      <c r="S183" s="50" t="n"/>
      <c r="T183" s="73" t="n"/>
      <c r="U183" s="49" t="n"/>
      <c r="V183" s="73" t="n"/>
      <c r="W183" s="50" t="n"/>
      <c r="X183" s="73" t="n"/>
      <c r="Y183" s="50" t="n"/>
      <c r="Z183" s="73" t="n"/>
      <c r="AA183" s="50" t="n"/>
      <c r="AB183" s="73" t="n"/>
      <c r="AC183" s="50" t="n"/>
      <c r="AD183" s="73" t="n"/>
      <c r="AE183" s="50" t="n"/>
      <c r="AF183" s="67" t="n"/>
      <c r="AG183" s="50" t="n"/>
      <c r="AH183" s="73" t="n"/>
      <c r="AI183" s="50" t="n"/>
      <c r="AJ183" s="73" t="n"/>
      <c r="AK183" s="50" t="n"/>
      <c r="AL183" s="73" t="n"/>
      <c r="AM183" s="50" t="n"/>
      <c r="AN183" s="73" t="n"/>
      <c r="AO183" s="50" t="n"/>
      <c r="AP183" s="73" t="n"/>
      <c r="AQ183" s="49" t="n"/>
      <c r="AR183" s="73" t="n"/>
      <c r="AS183" s="49" t="n"/>
      <c r="AT183" s="73" t="n"/>
      <c r="AU183" s="49" t="n"/>
      <c r="AV183" s="73" t="n"/>
      <c r="AW183" s="49" t="n"/>
      <c r="AX183" s="73" t="n"/>
      <c r="AY183" s="49" t="n"/>
      <c r="AZ183" s="73" t="n"/>
      <c r="BA183" s="49" t="n"/>
      <c r="BB183" s="73" t="n"/>
      <c r="BC183" s="73" t="n"/>
      <c r="BD183" s="73" t="n"/>
      <c r="BE183" s="49" t="n"/>
      <c r="BF183" s="73" t="n"/>
      <c r="BG183" s="49" t="n"/>
      <c r="BH183" s="73" t="n"/>
      <c r="BI183" s="73" t="n"/>
      <c r="BJ183" s="73" t="n"/>
      <c r="BK183" s="73" t="n"/>
      <c r="BL183" s="73" t="n"/>
      <c r="BM183" s="73" t="n"/>
      <c r="BN183" s="73" t="n"/>
      <c r="BO183" s="73" t="n"/>
      <c r="BP183" s="73" t="n"/>
      <c r="BQ183" s="195">
        <f>COUNTIF($G183:$BP183,"a")+COUNTIF($G183:$BP183,"r0,a5")/2+COUNTIF($G183:$BP183,"p5,a5")/2</f>
        <v/>
      </c>
      <c r="BR183" s="195">
        <f>COUNTIF($G183:$BP183,"d")+COUNTIF($G183:$BP183,"r0,d5")/2+COUNTIF($G183:$BP183,"p5,d5")/2</f>
        <v/>
      </c>
      <c r="BS183" s="195">
        <f>COUNTIF($G183:$BP183,"b")+COUNTIF($G183:$BP183,"r0,b5")/2+COUNTIF($G183:$BP183,"p5,b5")/2</f>
        <v/>
      </c>
      <c r="BT183" s="195">
        <f>COUNTIF($G183:$BP183,"c")+COUNTIF($G183:$BP183,"r0,c5")/2+COUNTIF($G183:$BP183,"p5,c5")/2</f>
        <v/>
      </c>
      <c r="BU183" s="195">
        <f>COUNTIF($G183:$BP183,"KH")+COUNTIF($G183:$BP183,"TL")+COUNTIF($G183:$BP183,"L")</f>
        <v/>
      </c>
      <c r="BV183" s="202" t="n"/>
      <c r="BW183" s="195">
        <f>COUNTIF($G183:$BP183,"hh")</f>
        <v/>
      </c>
      <c r="BX183" s="195">
        <f>COUNTIF($G183:$BP183,"nt7")</f>
        <v/>
      </c>
      <c r="BY183" s="195">
        <f>COUNTIF($G183:$BP183,"P")+COUNTIF($G183:$BP183,"p5,a5")/2+COUNTIF($G183:$BP183,"p5,b5")/2+COUNTIF($G183:$BP183,"p5,c5")/2+COUNTIF($G183:$BP183,"p5,d5")/2</f>
        <v/>
      </c>
      <c r="BZ183" s="203">
        <f>SUBTOTAL(9,BQ183:BY183)</f>
        <v/>
      </c>
      <c r="CA183" s="54">
        <f>SUM(J183,L183,N183,P183,R183,T183,X183,Z183,AB183,AD183,AF183,AH183,AL183,AN183,AP183,AR183,AT183,AV183,AZ183,BB183,BD183,BF183,BH183,BP183)</f>
        <v/>
      </c>
      <c r="CB183" s="55">
        <f>SUM(H183,V183,AJ183,AX183,BL183)</f>
        <v/>
      </c>
      <c r="CC183" s="56">
        <f>SUM(BJ183,BN183)</f>
        <v/>
      </c>
      <c r="CD183" s="197">
        <f>IF(BZ183&gt;25,4,IF(BZ183&gt;18,3,IF(BZ183&gt;12,2,IF(BZ183&gt;4,1,0))))-BX183-2+1</f>
        <v/>
      </c>
      <c r="CE183" s="49" t="n">
        <v>1</v>
      </c>
      <c r="CF183" s="197">
        <f>CD183*CI183</f>
        <v/>
      </c>
      <c r="CG183" s="198">
        <f>F183-BY183+1</f>
        <v/>
      </c>
      <c r="CH183" s="197">
        <f>CE183*16</f>
        <v/>
      </c>
      <c r="CI183" s="199">
        <f>VLOOKUP(A183,[1]DATA!$A$6:$AI$331,34,0)</f>
        <v/>
      </c>
      <c r="CJ183" s="200">
        <f>VLOOKUP(A183,[2]CHAMCONG!A$7:CI$333,79,0)</f>
        <v/>
      </c>
      <c r="CK183" s="201">
        <f>CJ183-CA183</f>
        <v/>
      </c>
      <c r="CL183" s="68" t="n"/>
      <c r="CM183" s="68" t="n"/>
    </row>
    <row r="184" ht="15.75" customFormat="1" customHeight="1" s="68">
      <c r="A184" s="139" t="n"/>
      <c r="B184" s="64" t="n"/>
      <c r="C184" s="115" t="n"/>
      <c r="D184" s="46" t="n"/>
      <c r="E184" s="47" t="n"/>
      <c r="F184" s="48" t="n"/>
      <c r="G184" s="49" t="n"/>
      <c r="H184" s="73" t="n"/>
      <c r="I184" s="50" t="n"/>
      <c r="J184" s="73" t="n"/>
      <c r="K184" s="49" t="n"/>
      <c r="L184" s="73" t="n"/>
      <c r="M184" s="73" t="n"/>
      <c r="N184" s="73" t="n"/>
      <c r="O184" s="50" t="n"/>
      <c r="P184" s="73" t="n"/>
      <c r="Q184" s="49" t="n"/>
      <c r="R184" s="73" t="n"/>
      <c r="S184" s="50" t="n"/>
      <c r="T184" s="73" t="n"/>
      <c r="U184" s="50" t="n"/>
      <c r="V184" s="73" t="n"/>
      <c r="W184" s="50" t="n"/>
      <c r="X184" s="73" t="n"/>
      <c r="Y184" s="50" t="n"/>
      <c r="Z184" s="73" t="n"/>
      <c r="AA184" s="50" t="n"/>
      <c r="AB184" s="73" t="n"/>
      <c r="AC184" s="50" t="n"/>
      <c r="AD184" s="73" t="n"/>
      <c r="AE184" s="50" t="n"/>
      <c r="AF184" s="67" t="n"/>
      <c r="AG184" s="50" t="n"/>
      <c r="AH184" s="73" t="n"/>
      <c r="AI184" s="50" t="n"/>
      <c r="AJ184" s="73" t="n"/>
      <c r="AK184" s="50" t="n"/>
      <c r="AL184" s="73" t="n"/>
      <c r="AM184" s="50" t="n"/>
      <c r="AN184" s="73" t="n"/>
      <c r="AO184" s="50" t="n"/>
      <c r="AP184" s="73" t="n"/>
      <c r="AQ184" s="50" t="n"/>
      <c r="AR184" s="73" t="n"/>
      <c r="AS184" s="49" t="n"/>
      <c r="AT184" s="73" t="n"/>
      <c r="AU184" s="49" t="n"/>
      <c r="AV184" s="73" t="n"/>
      <c r="AW184" s="49" t="n"/>
      <c r="AX184" s="73" t="n"/>
      <c r="AY184" s="49" t="n"/>
      <c r="AZ184" s="73" t="n"/>
      <c r="BA184" s="49" t="n"/>
      <c r="BB184" s="73" t="n"/>
      <c r="BC184" s="73" t="n"/>
      <c r="BD184" s="73" t="n"/>
      <c r="BE184" s="49" t="n"/>
      <c r="BF184" s="73" t="n"/>
      <c r="BG184" s="49" t="n"/>
      <c r="BH184" s="73" t="n"/>
      <c r="BI184" s="73" t="n"/>
      <c r="BJ184" s="73" t="n"/>
      <c r="BK184" s="73" t="n"/>
      <c r="BL184" s="73" t="n"/>
      <c r="BM184" s="73" t="n"/>
      <c r="BN184" s="73" t="n"/>
      <c r="BO184" s="73" t="n"/>
      <c r="BP184" s="73" t="n"/>
      <c r="BQ184" s="195">
        <f>COUNTIF($G184:$BP184,"a")+COUNTIF($G184:$BP184,"r0,a5")/2+COUNTIF($G184:$BP184,"p5,a5")/2</f>
        <v/>
      </c>
      <c r="BR184" s="195">
        <f>COUNTIF($G184:$BP184,"d")+COUNTIF($G184:$BP184,"r0,d5")/2+COUNTIF($G184:$BP184,"p5,d5")/2</f>
        <v/>
      </c>
      <c r="BS184" s="195">
        <f>COUNTIF($G184:$BP184,"b")+COUNTIF($G184:$BP184,"r0,b5")/2+COUNTIF($G184:$BP184,"p5,b5")/2</f>
        <v/>
      </c>
      <c r="BT184" s="195">
        <f>COUNTIF($G184:$BP184,"c")+COUNTIF($G184:$BP184,"r0,c5")/2+COUNTIF($G184:$BP184,"p5,c5")/2</f>
        <v/>
      </c>
      <c r="BU184" s="195">
        <f>COUNTIF($G184:$BP184,"KH")+COUNTIF($G184:$BP184,"TL")+COUNTIF($G184:$BP184,"L")</f>
        <v/>
      </c>
      <c r="BV184" s="202" t="n"/>
      <c r="BW184" s="195">
        <f>COUNTIF($G184:$BP184,"hh")</f>
        <v/>
      </c>
      <c r="BX184" s="195">
        <f>COUNTIF($G184:$BP184,"nt7")</f>
        <v/>
      </c>
      <c r="BY184" s="195">
        <f>COUNTIF($G184:$BP184,"P")+COUNTIF($G184:$BP184,"p5,a5")/2+COUNTIF($G184:$BP184,"p5,b5")/2+COUNTIF($G184:$BP184,"p5,c5")/2+COUNTIF($G184:$BP184,"p5,d5")/2</f>
        <v/>
      </c>
      <c r="BZ184" s="203">
        <f>SUBTOTAL(9,BQ184:BY184)</f>
        <v/>
      </c>
      <c r="CA184" s="54">
        <f>SUM(J184,L184,N184,P184,R184,T184,X184,Z184,AB184,AD184,AF184,AH184,AL184,AN184,AP184,AR184,AT184,AV184,AZ184,BB184,BD184,BF184,BH184,BP184)</f>
        <v/>
      </c>
      <c r="CB184" s="55">
        <f>SUM(H184,V184,AJ184,AX184,BL184)</f>
        <v/>
      </c>
      <c r="CC184" s="56">
        <f>SUM(BJ184,BN184)</f>
        <v/>
      </c>
      <c r="CD184" s="197">
        <f>IF(BZ184&gt;25,4,IF(BZ184&gt;18,3,IF(BZ184&gt;12,2,IF(BZ184&gt;4,1,0))))-BX184-2+1</f>
        <v/>
      </c>
      <c r="CE184" s="49" t="n">
        <v>1</v>
      </c>
      <c r="CF184" s="197">
        <f>CD184*CI184</f>
        <v/>
      </c>
      <c r="CG184" s="198">
        <f>F184-BY184+1</f>
        <v/>
      </c>
      <c r="CH184" s="197">
        <f>CE184*16</f>
        <v/>
      </c>
      <c r="CI184" s="199">
        <f>VLOOKUP(A184,[1]DATA!$A$6:$AI$331,34,0)</f>
        <v/>
      </c>
      <c r="CJ184" s="200">
        <f>VLOOKUP(A184,[2]CHAMCONG!A$7:CI$333,79,0)</f>
        <v/>
      </c>
      <c r="CK184" s="201">
        <f>CJ184-CA184</f>
        <v/>
      </c>
    </row>
    <row r="185" ht="15.75" customFormat="1" customHeight="1" s="68">
      <c r="A185" s="139" t="n"/>
      <c r="B185" s="64" t="n"/>
      <c r="C185" s="115" t="n"/>
      <c r="D185" s="46" t="n"/>
      <c r="E185" s="47" t="n"/>
      <c r="F185" s="48" t="n"/>
      <c r="G185" s="49" t="n"/>
      <c r="H185" s="73" t="n"/>
      <c r="I185" s="67" t="n"/>
      <c r="J185" s="73" t="n"/>
      <c r="K185" s="67" t="n"/>
      <c r="L185" s="73" t="n"/>
      <c r="M185" s="67" t="n"/>
      <c r="N185" s="73" t="n"/>
      <c r="O185" s="67" t="n"/>
      <c r="P185" s="73" t="n"/>
      <c r="Q185" s="73" t="n"/>
      <c r="R185" s="73" t="n"/>
      <c r="S185" s="67" t="n"/>
      <c r="T185" s="73" t="n"/>
      <c r="U185" s="67" t="n"/>
      <c r="V185" s="73" t="n"/>
      <c r="W185" s="67" t="n"/>
      <c r="X185" s="73" t="n"/>
      <c r="Y185" s="67" t="n"/>
      <c r="Z185" s="73" t="n"/>
      <c r="AA185" s="67" t="n"/>
      <c r="AB185" s="73" t="n"/>
      <c r="AC185" s="67" t="n"/>
      <c r="AD185" s="73" t="n"/>
      <c r="AE185" s="73" t="n"/>
      <c r="AF185" s="73" t="n"/>
      <c r="AG185" s="67" t="n"/>
      <c r="AH185" s="73" t="n"/>
      <c r="AI185" s="67" t="n"/>
      <c r="AJ185" s="73" t="n"/>
      <c r="AK185" s="67" t="n"/>
      <c r="AL185" s="73" t="n"/>
      <c r="AM185" s="67" t="n"/>
      <c r="AN185" s="73" t="n"/>
      <c r="AO185" s="67" t="n"/>
      <c r="AP185" s="73" t="n"/>
      <c r="AQ185" s="73" t="n"/>
      <c r="AR185" s="73" t="n"/>
      <c r="AS185" s="73" t="n"/>
      <c r="AT185" s="73" t="n"/>
      <c r="AU185" s="73" t="n"/>
      <c r="AV185" s="73" t="n"/>
      <c r="AW185" s="73" t="n"/>
      <c r="AX185" s="73" t="n"/>
      <c r="AY185" s="73" t="n"/>
      <c r="AZ185" s="73" t="n"/>
      <c r="BA185" s="73" t="n"/>
      <c r="BB185" s="73" t="n"/>
      <c r="BC185" s="73" t="n"/>
      <c r="BD185" s="73" t="n"/>
      <c r="BE185" s="73" t="n"/>
      <c r="BF185" s="73" t="n"/>
      <c r="BG185" s="73" t="n"/>
      <c r="BH185" s="73" t="n"/>
      <c r="BI185" s="73" t="n"/>
      <c r="BJ185" s="73" t="n"/>
      <c r="BK185" s="73" t="n"/>
      <c r="BL185" s="73" t="n"/>
      <c r="BM185" s="73" t="n"/>
      <c r="BN185" s="73" t="n"/>
      <c r="BO185" s="73" t="n"/>
      <c r="BP185" s="73" t="n"/>
      <c r="BQ185" s="195">
        <f>COUNTIF($G185:$BP185,"a")+COUNTIF($G185:$BP185,"r0,a5")/2+COUNTIF($G185:$BP185,"p5,a5")/2</f>
        <v/>
      </c>
      <c r="BR185" s="195">
        <f>COUNTIF($G185:$BP185,"d")+COUNTIF($G185:$BP185,"r0,d5")/2+COUNTIF($G185:$BP185,"p5,d5")/2</f>
        <v/>
      </c>
      <c r="BS185" s="195">
        <f>COUNTIF($G185:$BP185,"b")+COUNTIF($G185:$BP185,"r0,b5")/2+COUNTIF($G185:$BP185,"p5,b5")/2</f>
        <v/>
      </c>
      <c r="BT185" s="195">
        <f>COUNTIF($G185:$BP185,"c")+COUNTIF($G185:$BP185,"r0,c5")/2+COUNTIF($G185:$BP185,"p5,c5")/2</f>
        <v/>
      </c>
      <c r="BU185" s="195">
        <f>COUNTIF($G185:$BP185,"KH")+COUNTIF($G185:$BP185,"TL")+COUNTIF($G185:$BP185,"L")</f>
        <v/>
      </c>
      <c r="BV185" s="202" t="n"/>
      <c r="BW185" s="195">
        <f>COUNTIF($G185:$BP185,"hh")</f>
        <v/>
      </c>
      <c r="BX185" s="195">
        <f>COUNTIF($G185:$BP185,"nt7")</f>
        <v/>
      </c>
      <c r="BY185" s="195">
        <f>COUNTIF($G185:$BP185,"P")+COUNTIF($G185:$BP185,"p5,a5")/2+COUNTIF($G185:$BP185,"p5,b5")/2+COUNTIF($G185:$BP185,"p5,c5")/2+COUNTIF($G185:$BP185,"p5,d5")/2</f>
        <v/>
      </c>
      <c r="BZ185" s="203">
        <f>SUBTOTAL(9,BQ185:BY185)</f>
        <v/>
      </c>
      <c r="CA185" s="54">
        <f>SUM(J185,L185,N185,P185,R185,T185,X185,Z185,AB185,AD185,AF185,AH185,AL185,AN185,AP185,AR185,AT185,AV185,AZ185,BB185,BD185,BF185,BH185,BP185)</f>
        <v/>
      </c>
      <c r="CB185" s="55">
        <f>SUM(H185,V185,AJ185,AX185,BL185)</f>
        <v/>
      </c>
      <c r="CC185" s="56">
        <f>SUM(BJ185,BN185)</f>
        <v/>
      </c>
      <c r="CD185" s="197">
        <f>IF(BZ185&gt;25,4,IF(BZ185&gt;18,3,IF(BZ185&gt;12,2,IF(BZ185&gt;4,1,0))))-BX185-2+1</f>
        <v/>
      </c>
      <c r="CE185" s="49" t="n"/>
      <c r="CF185" s="197">
        <f>CD185*CI185</f>
        <v/>
      </c>
      <c r="CG185" s="198">
        <f>F185-BY185+1</f>
        <v/>
      </c>
      <c r="CH185" s="197">
        <f>CE185*16</f>
        <v/>
      </c>
      <c r="CI185" s="199">
        <f>VLOOKUP(A185,[1]DATA!$A$6:$AI$331,34,0)</f>
        <v/>
      </c>
      <c r="CJ185" s="200">
        <f>VLOOKUP(A185,[2]CHAMCONG!A$7:CI$333,79,0)</f>
        <v/>
      </c>
      <c r="CK185" s="201">
        <f>CJ185-CA185</f>
        <v/>
      </c>
    </row>
    <row r="186" ht="15.75" customFormat="1" customHeight="1" s="68">
      <c r="A186" s="139" t="n"/>
      <c r="B186" s="64" t="n"/>
      <c r="C186" s="115" t="n"/>
      <c r="D186" s="46" t="n"/>
      <c r="E186" s="47" t="n"/>
      <c r="F186" s="48" t="n"/>
      <c r="G186" s="49" t="n"/>
      <c r="H186" s="73" t="n"/>
      <c r="I186" s="50" t="n"/>
      <c r="J186" s="73" t="n"/>
      <c r="K186" s="73" t="n"/>
      <c r="L186" s="73" t="n"/>
      <c r="M186" s="73" t="n"/>
      <c r="N186" s="73" t="n"/>
      <c r="O186" s="50" t="n"/>
      <c r="P186" s="73" t="n"/>
      <c r="Q186" s="73" t="n"/>
      <c r="R186" s="73" t="n"/>
      <c r="S186" s="73" t="n"/>
      <c r="T186" s="73" t="n"/>
      <c r="U186" s="49" t="n"/>
      <c r="V186" s="73" t="n"/>
      <c r="W186" s="50" t="n"/>
      <c r="X186" s="73" t="n"/>
      <c r="Y186" s="73" t="n"/>
      <c r="Z186" s="73" t="n"/>
      <c r="AA186" s="73" t="n"/>
      <c r="AB186" s="73" t="n"/>
      <c r="AC186" s="50" t="n"/>
      <c r="AD186" s="73" t="n"/>
      <c r="AE186" s="73" t="n"/>
      <c r="AF186" s="73" t="n"/>
      <c r="AG186" s="73" t="n"/>
      <c r="AH186" s="73" t="n"/>
      <c r="AI186" s="73" t="n"/>
      <c r="AJ186" s="73" t="n"/>
      <c r="AK186" s="50" t="n"/>
      <c r="AL186" s="73" t="n"/>
      <c r="AM186" s="73" t="n"/>
      <c r="AN186" s="73" t="n"/>
      <c r="AO186" s="73" t="n"/>
      <c r="AP186" s="73" t="n"/>
      <c r="AQ186" s="50" t="n"/>
      <c r="AR186" s="73" t="n"/>
      <c r="AS186" s="73" t="n"/>
      <c r="AT186" s="73" t="n"/>
      <c r="AU186" s="73" t="n"/>
      <c r="AV186" s="73" t="n"/>
      <c r="AW186" s="73" t="n"/>
      <c r="AX186" s="73" t="n"/>
      <c r="AY186" s="50" t="n"/>
      <c r="AZ186" s="73" t="n"/>
      <c r="BA186" s="73" t="n"/>
      <c r="BB186" s="73" t="n"/>
      <c r="BC186" s="73" t="n"/>
      <c r="BD186" s="73" t="n"/>
      <c r="BE186" s="50" t="n"/>
      <c r="BF186" s="73" t="n"/>
      <c r="BG186" s="73" t="n"/>
      <c r="BH186" s="73" t="n"/>
      <c r="BI186" s="73" t="n"/>
      <c r="BJ186" s="73" t="n"/>
      <c r="BK186" s="73" t="n"/>
      <c r="BL186" s="73" t="n"/>
      <c r="BM186" s="73" t="n"/>
      <c r="BN186" s="73" t="n"/>
      <c r="BO186" s="73" t="n"/>
      <c r="BP186" s="73" t="n"/>
      <c r="BQ186" s="195">
        <f>COUNTIF($G186:$BP186,"a")+COUNTIF($G186:$BP186,"r0,a5")/2+COUNTIF($G186:$BP186,"p5,a5")/2</f>
        <v/>
      </c>
      <c r="BR186" s="195">
        <f>COUNTIF($G186:$BP186,"d")+COUNTIF($G186:$BP186,"r0,d5")/2+COUNTIF($G186:$BP186,"p5,d5")/2</f>
        <v/>
      </c>
      <c r="BS186" s="195">
        <f>COUNTIF($G186:$BP186,"b")+COUNTIF($G186:$BP186,"r0,b5")/2+COUNTIF($G186:$BP186,"p5,b5")/2</f>
        <v/>
      </c>
      <c r="BT186" s="195">
        <f>COUNTIF($G186:$BP186,"c")+COUNTIF($G186:$BP186,"r0,c5")/2+COUNTIF($G186:$BP186,"p5,c5")/2</f>
        <v/>
      </c>
      <c r="BU186" s="195">
        <f>COUNTIF($G186:$BP186,"KH")+COUNTIF($G186:$BP186,"TL")+COUNTIF($G186:$BP186,"L")</f>
        <v/>
      </c>
      <c r="BV186" s="202" t="n"/>
      <c r="BW186" s="195">
        <f>COUNTIF($G186:$BP186,"hh")</f>
        <v/>
      </c>
      <c r="BX186" s="195">
        <f>COUNTIF($G186:$BP186,"nt7")</f>
        <v/>
      </c>
      <c r="BY186" s="195">
        <f>COUNTIF($G186:$BP186,"P")+COUNTIF($G186:$BP186,"p5,a5")/2+COUNTIF($G186:$BP186,"p5,b5")/2+COUNTIF($G186:$BP186,"p5,c5")/2+COUNTIF($G186:$BP186,"p5,d5")/2</f>
        <v/>
      </c>
      <c r="BZ186" s="203">
        <f>SUBTOTAL(9,BQ186:BY186)</f>
        <v/>
      </c>
      <c r="CA186" s="54">
        <f>SUM(J186,L186,N186,P186,R186,T186,X186,Z186,AB186,AD186,AF186,AH186,AL186,AN186,AP186,AR186,AT186,AV186,AZ186,BB186,BD186,BF186,BH186,BP186)</f>
        <v/>
      </c>
      <c r="CB186" s="55">
        <f>SUM(H186,V186,AJ186,AX186,BL186)</f>
        <v/>
      </c>
      <c r="CC186" s="56">
        <f>SUM(BJ186,BN186)</f>
        <v/>
      </c>
      <c r="CD186" s="197">
        <f>IF(BZ186&gt;25,4,IF(BZ186&gt;18,3,IF(BZ186&gt;12,2,IF(BZ186&gt;4,1,0))))-BX186-2+1</f>
        <v/>
      </c>
      <c r="CE186" s="49" t="n"/>
      <c r="CF186" s="197">
        <f>CD186*CI186</f>
        <v/>
      </c>
      <c r="CG186" s="198">
        <f>F186-BY186+1</f>
        <v/>
      </c>
      <c r="CH186" s="197">
        <f>CE186*16</f>
        <v/>
      </c>
      <c r="CI186" s="199">
        <f>VLOOKUP(A186,[1]DATA!$A$6:$AI$331,34,0)</f>
        <v/>
      </c>
      <c r="CJ186" s="200">
        <f>VLOOKUP(A186,[2]CHAMCONG!A$7:CI$333,79,0)</f>
        <v/>
      </c>
      <c r="CK186" s="201">
        <f>CJ186-CA186</f>
        <v/>
      </c>
    </row>
    <row r="187" ht="15.75" customFormat="1" customHeight="1" s="68">
      <c r="A187" s="139" t="n"/>
      <c r="B187" s="64" t="n"/>
      <c r="C187" s="115" t="n"/>
      <c r="D187" s="46" t="n"/>
      <c r="E187" s="47" t="n"/>
      <c r="F187" s="48" t="n"/>
      <c r="G187" s="49" t="n"/>
      <c r="H187" s="73" t="n"/>
      <c r="I187" s="50" t="n"/>
      <c r="J187" s="73" t="n"/>
      <c r="K187" s="73" t="n"/>
      <c r="L187" s="73" t="n"/>
      <c r="M187" s="73" t="n"/>
      <c r="N187" s="73" t="n"/>
      <c r="O187" s="50" t="n"/>
      <c r="P187" s="73" t="n"/>
      <c r="Q187" s="73" t="n"/>
      <c r="R187" s="73" t="n"/>
      <c r="S187" s="73" t="n"/>
      <c r="T187" s="73" t="n"/>
      <c r="U187" s="49" t="n"/>
      <c r="V187" s="73" t="n"/>
      <c r="W187" s="50" t="n"/>
      <c r="X187" s="73" t="n"/>
      <c r="Y187" s="73" t="n"/>
      <c r="Z187" s="73" t="n"/>
      <c r="AA187" s="73" t="n"/>
      <c r="AB187" s="73" t="n"/>
      <c r="AC187" s="50" t="n"/>
      <c r="AD187" s="73" t="n"/>
      <c r="AE187" s="73" t="n"/>
      <c r="AF187" s="73" t="n"/>
      <c r="AG187" s="73" t="n"/>
      <c r="AH187" s="73" t="n"/>
      <c r="AI187" s="73" t="n"/>
      <c r="AJ187" s="73" t="n"/>
      <c r="AK187" s="50" t="n"/>
      <c r="AL187" s="73" t="n"/>
      <c r="AM187" s="73" t="n"/>
      <c r="AN187" s="73" t="n"/>
      <c r="AO187" s="73" t="n"/>
      <c r="AP187" s="73" t="n"/>
      <c r="AQ187" s="50" t="n"/>
      <c r="AR187" s="73" t="n"/>
      <c r="AS187" s="73" t="n"/>
      <c r="AT187" s="73" t="n"/>
      <c r="AU187" s="73" t="n"/>
      <c r="AV187" s="73" t="n"/>
      <c r="AW187" s="73" t="n"/>
      <c r="AX187" s="73" t="n"/>
      <c r="AY187" s="50" t="n"/>
      <c r="AZ187" s="73" t="n"/>
      <c r="BA187" s="73" t="n"/>
      <c r="BB187" s="73" t="n"/>
      <c r="BC187" s="73" t="n"/>
      <c r="BD187" s="73" t="n"/>
      <c r="BE187" s="50" t="n"/>
      <c r="BF187" s="73" t="n"/>
      <c r="BG187" s="73" t="n"/>
      <c r="BH187" s="73" t="n"/>
      <c r="BI187" s="73" t="n"/>
      <c r="BJ187" s="73" t="n"/>
      <c r="BK187" s="73" t="n"/>
      <c r="BL187" s="73" t="n"/>
      <c r="BM187" s="73" t="n"/>
      <c r="BN187" s="73" t="n"/>
      <c r="BO187" s="73" t="n"/>
      <c r="BP187" s="73" t="n"/>
      <c r="BQ187" s="195">
        <f>COUNTIF($G187:$BP187,"a")+COUNTIF($G187:$BP187,"r0,a5")/2+COUNTIF($G187:$BP187,"p5,a5")/2</f>
        <v/>
      </c>
      <c r="BR187" s="195">
        <f>COUNTIF($G187:$BP187,"d")+COUNTIF($G187:$BP187,"r0,d5")/2+COUNTIF($G187:$BP187,"p5,d5")/2</f>
        <v/>
      </c>
      <c r="BS187" s="195">
        <f>COUNTIF($G187:$BP187,"b")+COUNTIF($G187:$BP187,"r0,b5")/2+COUNTIF($G187:$BP187,"p5,b5")/2</f>
        <v/>
      </c>
      <c r="BT187" s="195">
        <f>COUNTIF($G187:$BP187,"c")+COUNTIF($G187:$BP187,"r0,c5")/2+COUNTIF($G187:$BP187,"p5,c5")/2</f>
        <v/>
      </c>
      <c r="BU187" s="195">
        <f>COUNTIF($G187:$BP187,"KH")+COUNTIF($G187:$BP187,"TL")+COUNTIF($G187:$BP187,"L")</f>
        <v/>
      </c>
      <c r="BV187" s="202" t="n"/>
      <c r="BW187" s="195">
        <f>COUNTIF($G187:$BP187,"hh")</f>
        <v/>
      </c>
      <c r="BX187" s="195">
        <f>COUNTIF($G187:$BP187,"nt7")</f>
        <v/>
      </c>
      <c r="BY187" s="195">
        <f>COUNTIF($G187:$BP187,"P")+COUNTIF($G187:$BP187,"p5,a5")/2+COUNTIF($G187:$BP187,"p5,b5")/2+COUNTIF($G187:$BP187,"p5,c5")/2+COUNTIF($G187:$BP187,"p5,d5")/2</f>
        <v/>
      </c>
      <c r="BZ187" s="203">
        <f>SUBTOTAL(9,BQ187:BY187)</f>
        <v/>
      </c>
      <c r="CA187" s="54">
        <f>SUM(J187,L187,N187,P187,R187,T187,X187,Z187,AB187,AD187,AF187,AH187,AL187,AN187,AP187,AR187,AT187,AV187,AZ187,BB187,BD187,BF187,BH187,BP187)</f>
        <v/>
      </c>
      <c r="CB187" s="55">
        <f>SUM(H187,V187,AJ187,AX187,BL187)</f>
        <v/>
      </c>
      <c r="CC187" s="56">
        <f>SUM(BJ187,BN187)</f>
        <v/>
      </c>
      <c r="CD187" s="197">
        <f>IF(BZ187&gt;25,4,IF(BZ187&gt;18,3,IF(BZ187&gt;12,2,IF(BZ187&gt;4,1,0))))-BX187-2+1</f>
        <v/>
      </c>
      <c r="CE187" s="49" t="n"/>
      <c r="CF187" s="197">
        <f>CD187*CI187</f>
        <v/>
      </c>
      <c r="CG187" s="198">
        <f>F187-BY187+1</f>
        <v/>
      </c>
      <c r="CH187" s="197">
        <f>CE187*16</f>
        <v/>
      </c>
      <c r="CI187" s="199">
        <f>VLOOKUP(A187,[1]DATA!$A$6:$AI$331,34,0)</f>
        <v/>
      </c>
      <c r="CJ187" s="200">
        <f>VLOOKUP(A187,[2]CHAMCONG!A$7:CI$333,79,0)</f>
        <v/>
      </c>
      <c r="CK187" s="201">
        <f>CJ187-CA187</f>
        <v/>
      </c>
    </row>
    <row r="188" ht="15.75" customFormat="1" customHeight="1" s="68">
      <c r="A188" s="139" t="n"/>
      <c r="B188" s="64" t="n"/>
      <c r="C188" s="115" t="n"/>
      <c r="D188" s="46" t="n"/>
      <c r="E188" s="47" t="n"/>
      <c r="F188" s="48" t="n"/>
      <c r="G188" s="49" t="n"/>
      <c r="H188" s="73" t="n"/>
      <c r="I188" s="50" t="n"/>
      <c r="J188" s="73" t="n"/>
      <c r="K188" s="50" t="n"/>
      <c r="L188" s="73" t="n"/>
      <c r="M188" s="50" t="n"/>
      <c r="N188" s="73" t="n"/>
      <c r="O188" s="50" t="n"/>
      <c r="P188" s="73" t="n"/>
      <c r="Q188" s="73" t="n"/>
      <c r="R188" s="73" t="n"/>
      <c r="S188" s="50" t="n"/>
      <c r="T188" s="73" t="n"/>
      <c r="U188" s="50" t="n"/>
      <c r="V188" s="73" t="n"/>
      <c r="W188" s="50" t="n"/>
      <c r="X188" s="73" t="n"/>
      <c r="Y188" s="50" t="n"/>
      <c r="Z188" s="73" t="n"/>
      <c r="AA188" s="50" t="n"/>
      <c r="AB188" s="73" t="n"/>
      <c r="AC188" s="50" t="n"/>
      <c r="AD188" s="73" t="n"/>
      <c r="AE188" s="73" t="n"/>
      <c r="AF188" s="73" t="n"/>
      <c r="AG188" s="50" t="n"/>
      <c r="AH188" s="73" t="n"/>
      <c r="AI188" s="50" t="n"/>
      <c r="AJ188" s="73" t="n"/>
      <c r="AK188" s="50" t="n"/>
      <c r="AL188" s="73" t="n"/>
      <c r="AM188" s="50" t="n"/>
      <c r="AN188" s="73" t="n"/>
      <c r="AO188" s="50" t="n"/>
      <c r="AP188" s="73" t="n"/>
      <c r="AQ188" s="73" t="n"/>
      <c r="AR188" s="73" t="n"/>
      <c r="AS188" s="73" t="n"/>
      <c r="AT188" s="73" t="n"/>
      <c r="AU188" s="73" t="n"/>
      <c r="AV188" s="73" t="n"/>
      <c r="AW188" s="73" t="n"/>
      <c r="AX188" s="73" t="n"/>
      <c r="AY188" s="50" t="n"/>
      <c r="AZ188" s="73" t="n"/>
      <c r="BA188" s="50" t="n"/>
      <c r="BB188" s="73" t="n"/>
      <c r="BC188" s="50" t="n"/>
      <c r="BD188" s="73" t="n"/>
      <c r="BE188" s="50" t="n"/>
      <c r="BF188" s="73" t="n"/>
      <c r="BG188" s="50" t="n"/>
      <c r="BH188" s="67" t="n"/>
      <c r="BI188" s="73" t="n"/>
      <c r="BJ188" s="73" t="n"/>
      <c r="BK188" s="73" t="n"/>
      <c r="BL188" s="73" t="n"/>
      <c r="BM188" s="73" t="n"/>
      <c r="BN188" s="73" t="n"/>
      <c r="BO188" s="73" t="n"/>
      <c r="BP188" s="73" t="n"/>
      <c r="BQ188" s="195">
        <f>COUNTIF($G188:$BP188,"a")+COUNTIF($G188:$BP188,"r0,a5")/2+COUNTIF($G188:$BP188,"p5,a5")/2</f>
        <v/>
      </c>
      <c r="BR188" s="195">
        <f>COUNTIF($G188:$BP188,"d")+COUNTIF($G188:$BP188,"r0,d5")/2+COUNTIF($G188:$BP188,"p5,d5")/2</f>
        <v/>
      </c>
      <c r="BS188" s="195">
        <f>COUNTIF($G188:$BP188,"b")+COUNTIF($G188:$BP188,"r0,b5")/2+COUNTIF($G188:$BP188,"p5,b5")/2</f>
        <v/>
      </c>
      <c r="BT188" s="195">
        <f>COUNTIF($G188:$BP188,"c")+COUNTIF($G188:$BP188,"r0,c5")/2+COUNTIF($G188:$BP188,"p5,c5")/2</f>
        <v/>
      </c>
      <c r="BU188" s="195">
        <f>COUNTIF($G188:$BP188,"KH")+COUNTIF($G188:$BP188,"TL")+COUNTIF($G188:$BP188,"L")</f>
        <v/>
      </c>
      <c r="BV188" s="202" t="n"/>
      <c r="BW188" s="195">
        <f>COUNTIF($G188:$BP188,"hh")</f>
        <v/>
      </c>
      <c r="BX188" s="195">
        <f>COUNTIF($G188:$BP188,"nt7")</f>
        <v/>
      </c>
      <c r="BY188" s="195">
        <f>COUNTIF($G188:$BP188,"P")+COUNTIF($G188:$BP188,"p5,a5")/2+COUNTIF($G188:$BP188,"p5,b5")/2+COUNTIF($G188:$BP188,"p5,c5")/2+COUNTIF($G188:$BP188,"p5,d5")/2</f>
        <v/>
      </c>
      <c r="BZ188" s="203">
        <f>SUBTOTAL(9,BQ188:BY188)</f>
        <v/>
      </c>
      <c r="CA188" s="54">
        <f>SUM(J188,L188,N188,P188,R188,T188,X188,Z188,AB188,AD188,AF188,AH188,AL188,AN188,AP188,AR188,AT188,AV188,AZ188,BB188,BD188,BF188,BH188,BP188)</f>
        <v/>
      </c>
      <c r="CB188" s="55">
        <f>SUM(H188,V188,AJ188,AX188,BL188)</f>
        <v/>
      </c>
      <c r="CC188" s="56">
        <f>SUM(BJ188,BN188)</f>
        <v/>
      </c>
      <c r="CD188" s="197">
        <f>IF(BZ188&gt;25,4,IF(BZ188&gt;18,3,IF(BZ188&gt;12,2,IF(BZ188&gt;4,1,0))))-BX188-2+1</f>
        <v/>
      </c>
      <c r="CE188" s="49" t="n"/>
      <c r="CF188" s="197">
        <f>CD188*CI188</f>
        <v/>
      </c>
      <c r="CG188" s="198">
        <f>F188-BY188+1</f>
        <v/>
      </c>
      <c r="CH188" s="197">
        <f>CE188*16</f>
        <v/>
      </c>
      <c r="CI188" s="199">
        <f>VLOOKUP(A188,[1]DATA!$A$6:$AI$331,34,0)</f>
        <v/>
      </c>
      <c r="CJ188" s="200">
        <f>VLOOKUP(A188,[2]CHAMCONG!A$7:CI$333,79,0)</f>
        <v/>
      </c>
      <c r="CK188" s="201">
        <f>CJ188-CA188</f>
        <v/>
      </c>
    </row>
    <row r="189" ht="15.75" customFormat="1" customHeight="1" s="68">
      <c r="A189" s="139" t="n"/>
      <c r="B189" s="64" t="n"/>
      <c r="C189" s="115" t="n"/>
      <c r="D189" s="46" t="n"/>
      <c r="E189" s="47" t="n"/>
      <c r="F189" s="48" t="n"/>
      <c r="G189" s="49" t="n"/>
      <c r="H189" s="73" t="n"/>
      <c r="I189" s="49" t="n"/>
      <c r="J189" s="73" t="n"/>
      <c r="K189" s="49" t="n"/>
      <c r="L189" s="73" t="n"/>
      <c r="M189" s="49" t="n"/>
      <c r="N189" s="73" t="n"/>
      <c r="O189" s="49" t="n"/>
      <c r="P189" s="73" t="n"/>
      <c r="Q189" s="50" t="n"/>
      <c r="R189" s="67" t="n"/>
      <c r="S189" s="73" t="n"/>
      <c r="T189" s="73" t="n"/>
      <c r="U189" s="49" t="n"/>
      <c r="V189" s="73" t="n"/>
      <c r="W189" s="50" t="n"/>
      <c r="X189" s="73" t="n"/>
      <c r="Y189" s="50" t="n"/>
      <c r="Z189" s="73" t="n"/>
      <c r="AA189" s="50" t="n"/>
      <c r="AB189" s="73" t="n"/>
      <c r="AC189" s="50" t="n"/>
      <c r="AD189" s="73" t="n"/>
      <c r="AE189" s="50" t="n"/>
      <c r="AF189" s="67" t="n"/>
      <c r="AG189" s="50" t="n"/>
      <c r="AH189" s="73" t="n"/>
      <c r="AI189" s="73" t="n"/>
      <c r="AJ189" s="73" t="n"/>
      <c r="AK189" s="50" t="n"/>
      <c r="AL189" s="73" t="n"/>
      <c r="AM189" s="50" t="n"/>
      <c r="AN189" s="73" t="n"/>
      <c r="AO189" s="50" t="n"/>
      <c r="AP189" s="73" t="n"/>
      <c r="AQ189" s="50" t="n"/>
      <c r="AR189" s="73" t="n"/>
      <c r="AS189" s="50" t="n"/>
      <c r="AT189" s="67" t="n"/>
      <c r="AU189" s="73" t="n"/>
      <c r="AV189" s="73" t="n"/>
      <c r="AW189" s="49" t="n"/>
      <c r="AX189" s="73" t="n"/>
      <c r="AY189" s="50" t="n"/>
      <c r="AZ189" s="73" t="n"/>
      <c r="BA189" s="50" t="n"/>
      <c r="BB189" s="73" t="n"/>
      <c r="BC189" s="50" t="n"/>
      <c r="BD189" s="73" t="n"/>
      <c r="BE189" s="50" t="n"/>
      <c r="BF189" s="73" t="n"/>
      <c r="BG189" s="50" t="n"/>
      <c r="BH189" s="67" t="n"/>
      <c r="BI189" s="73" t="n"/>
      <c r="BJ189" s="73" t="n"/>
      <c r="BK189" s="73" t="n"/>
      <c r="BL189" s="73" t="n"/>
      <c r="BM189" s="73" t="n"/>
      <c r="BN189" s="73" t="n"/>
      <c r="BO189" s="73" t="n"/>
      <c r="BP189" s="73" t="n"/>
      <c r="BQ189" s="195">
        <f>COUNTIF($G189:$BP189,"a")+COUNTIF($G189:$BP189,"r0,a5")/2+COUNTIF($G189:$BP189,"p5,a5")/2</f>
        <v/>
      </c>
      <c r="BR189" s="195">
        <f>COUNTIF($G189:$BP189,"d")+COUNTIF($G189:$BP189,"r0,d5")/2+COUNTIF($G189:$BP189,"p5,d5")/2</f>
        <v/>
      </c>
      <c r="BS189" s="195">
        <f>COUNTIF($G189:$BP189,"b")+COUNTIF($G189:$BP189,"r0,b5")/2+COUNTIF($G189:$BP189,"p5,b5")/2</f>
        <v/>
      </c>
      <c r="BT189" s="195">
        <f>COUNTIF($G189:$BP189,"c")+COUNTIF($G189:$BP189,"r0,c5")/2+COUNTIF($G189:$BP189,"p5,c5")/2</f>
        <v/>
      </c>
      <c r="BU189" s="195">
        <f>COUNTIF($G189:$BP189,"KH")+COUNTIF($G189:$BP189,"TL")+COUNTIF($G189:$BP189,"L")</f>
        <v/>
      </c>
      <c r="BV189" s="202" t="n"/>
      <c r="BW189" s="195">
        <f>COUNTIF($G189:$BP189,"hh")</f>
        <v/>
      </c>
      <c r="BX189" s="195">
        <f>COUNTIF($G189:$BP189,"nt7")</f>
        <v/>
      </c>
      <c r="BY189" s="195">
        <f>COUNTIF($G189:$BP189,"P")+COUNTIF($G189:$BP189,"p5,a5")/2+COUNTIF($G189:$BP189,"p5,b5")/2+COUNTIF($G189:$BP189,"p5,c5")/2+COUNTIF($G189:$BP189,"p5,d5")/2</f>
        <v/>
      </c>
      <c r="BZ189" s="203">
        <f>SUBTOTAL(9,BQ189:BY189)</f>
        <v/>
      </c>
      <c r="CA189" s="54">
        <f>SUM(J189,L189,N189,P189,R189,T189,X189,Z189,AB189,AD189,AF189,AH189,AL189,AN189,AP189,AR189,AT189,AV189,AZ189,BB189,BD189,BF189,BH189,BP189)</f>
        <v/>
      </c>
      <c r="CB189" s="55">
        <f>SUM(H189,V189,AJ189,AX189,BL189)</f>
        <v/>
      </c>
      <c r="CC189" s="56">
        <f>SUM(BJ189,BN189)</f>
        <v/>
      </c>
      <c r="CD189" s="197">
        <f>IF(BZ189&gt;25,4,IF(BZ189&gt;18,3,IF(BZ189&gt;12,2,IF(BZ189&gt;4,1,0))))-BX189-2+1</f>
        <v/>
      </c>
      <c r="CE189" s="49" t="n">
        <v>3</v>
      </c>
      <c r="CF189" s="197">
        <f>CD189*CI189</f>
        <v/>
      </c>
      <c r="CG189" s="198">
        <f>F189-BY189+1</f>
        <v/>
      </c>
      <c r="CH189" s="197">
        <f>CE189*16</f>
        <v/>
      </c>
      <c r="CI189" s="199">
        <f>VLOOKUP(A189,[1]DATA!$A$6:$AI$331,34,0)</f>
        <v/>
      </c>
      <c r="CJ189" s="200">
        <f>VLOOKUP(A189,[2]CHAMCONG!A$7:CI$333,79,0)</f>
        <v/>
      </c>
      <c r="CK189" s="201">
        <f>CJ189-CA189</f>
        <v/>
      </c>
    </row>
    <row r="190" ht="15.75" customFormat="1" customHeight="1" s="68">
      <c r="A190" s="139" t="n"/>
      <c r="B190" s="64" t="n"/>
      <c r="C190" s="115" t="n"/>
      <c r="D190" s="46" t="n"/>
      <c r="E190" s="47" t="n"/>
      <c r="F190" s="48" t="n"/>
      <c r="G190" s="49" t="n"/>
      <c r="H190" s="73" t="n"/>
      <c r="I190" s="49" t="n"/>
      <c r="J190" s="73" t="n"/>
      <c r="K190" s="49" t="n"/>
      <c r="L190" s="73" t="n"/>
      <c r="M190" s="49" t="n"/>
      <c r="N190" s="73" t="n"/>
      <c r="O190" s="49" t="n"/>
      <c r="P190" s="73" t="n"/>
      <c r="Q190" s="49" t="n"/>
      <c r="R190" s="73" t="n"/>
      <c r="S190" s="73" t="n"/>
      <c r="T190" s="73" t="n"/>
      <c r="U190" s="49" t="n"/>
      <c r="V190" s="73" t="n"/>
      <c r="W190" s="50" t="n"/>
      <c r="X190" s="73" t="n"/>
      <c r="Y190" s="73" t="n"/>
      <c r="Z190" s="73" t="n"/>
      <c r="AA190" s="73" t="n"/>
      <c r="AB190" s="73" t="n"/>
      <c r="AC190" s="73" t="n"/>
      <c r="AD190" s="73" t="n"/>
      <c r="AE190" s="49" t="n"/>
      <c r="AF190" s="73" t="n"/>
      <c r="AG190" s="73" t="n"/>
      <c r="AH190" s="73" t="n"/>
      <c r="AI190" s="73" t="n"/>
      <c r="AJ190" s="73" t="n"/>
      <c r="AK190" s="73" t="n"/>
      <c r="AL190" s="73" t="n"/>
      <c r="AM190" s="73" t="n"/>
      <c r="AN190" s="73" t="n"/>
      <c r="AO190" s="73" t="n"/>
      <c r="AP190" s="73" t="n"/>
      <c r="AQ190" s="49" t="n"/>
      <c r="AR190" s="73" t="n"/>
      <c r="AS190" s="49" t="n"/>
      <c r="AT190" s="49" t="n"/>
      <c r="AU190" s="49" t="n"/>
      <c r="AV190" s="73" t="n"/>
      <c r="AW190" s="73" t="n"/>
      <c r="AX190" s="73" t="n"/>
      <c r="AY190" s="73" t="n"/>
      <c r="AZ190" s="73" t="n"/>
      <c r="BA190" s="73" t="n"/>
      <c r="BB190" s="73" t="n"/>
      <c r="BC190" s="73" t="n"/>
      <c r="BD190" s="73" t="n"/>
      <c r="BE190" s="73" t="n"/>
      <c r="BF190" s="73" t="n"/>
      <c r="BG190" s="73" t="n"/>
      <c r="BH190" s="73" t="n"/>
      <c r="BI190" s="73" t="n"/>
      <c r="BJ190" s="73" t="n"/>
      <c r="BK190" s="73" t="n"/>
      <c r="BL190" s="73" t="n"/>
      <c r="BM190" s="73" t="n"/>
      <c r="BN190" s="73" t="n"/>
      <c r="BO190" s="73" t="n"/>
      <c r="BP190" s="73" t="n"/>
      <c r="BQ190" s="195">
        <f>COUNTIF($G190:$BP190,"a")+COUNTIF($G190:$BP190,"r0,a5")/2+COUNTIF($G190:$BP190,"p5,a5")/2</f>
        <v/>
      </c>
      <c r="BR190" s="195">
        <f>COUNTIF($G190:$BP190,"d")+COUNTIF($G190:$BP190,"r0,d5")/2+COUNTIF($G190:$BP190,"p5,d5")/2</f>
        <v/>
      </c>
      <c r="BS190" s="195">
        <f>COUNTIF($G190:$BP190,"b")+COUNTIF($G190:$BP190,"r0,b5")/2+COUNTIF($G190:$BP190,"p5,b5")/2</f>
        <v/>
      </c>
      <c r="BT190" s="195">
        <f>COUNTIF($G190:$BP190,"c")+COUNTIF($G190:$BP190,"r0,c5")/2+COUNTIF($G190:$BP190,"p5,c5")/2</f>
        <v/>
      </c>
      <c r="BU190" s="195">
        <f>COUNTIF($G190:$BP190,"KH")+COUNTIF($G190:$BP190,"TL")+COUNTIF($G190:$BP190,"L")</f>
        <v/>
      </c>
      <c r="BV190" s="202" t="n"/>
      <c r="BW190" s="195">
        <f>COUNTIF($G190:$BP190,"hh")</f>
        <v/>
      </c>
      <c r="BX190" s="195">
        <f>COUNTIF($G190:$BP190,"nt7")</f>
        <v/>
      </c>
      <c r="BY190" s="195">
        <f>COUNTIF($G190:$BP190,"P")+COUNTIF($G190:$BP190,"p5,a5")/2+COUNTIF($G190:$BP190,"p5,b5")/2+COUNTIF($G190:$BP190,"p5,c5")/2+COUNTIF($G190:$BP190,"p5,d5")/2</f>
        <v/>
      </c>
      <c r="BZ190" s="203">
        <f>SUBTOTAL(9,BQ190:BY190)</f>
        <v/>
      </c>
      <c r="CA190" s="54">
        <f>SUM(J190,L190,N190,P190,R190,T190,X190,Z190,AB190,AD190,AF190,AH190,AL190,AN190,AP190,AR190,AT190,AV190,AZ190,BB190,BD190,BF190,BH190,BP190)</f>
        <v/>
      </c>
      <c r="CB190" s="55">
        <f>SUM(H190,V190,AJ190,AX190,BL190)</f>
        <v/>
      </c>
      <c r="CC190" s="56">
        <f>SUM(BJ190,BN190)</f>
        <v/>
      </c>
      <c r="CD190" s="197">
        <f>IF(BZ190&gt;25,4,IF(BZ190&gt;18,3,IF(BZ190&gt;12,2,IF(BZ190&gt;4,1,0))))-BX190-2+1</f>
        <v/>
      </c>
      <c r="CE190" s="49" t="n"/>
      <c r="CF190" s="197">
        <f>CD190*CI190</f>
        <v/>
      </c>
      <c r="CG190" s="198">
        <f>F190-BY190+1</f>
        <v/>
      </c>
      <c r="CH190" s="197">
        <f>CE190*16</f>
        <v/>
      </c>
      <c r="CI190" s="199">
        <f>VLOOKUP(A190,[1]DATA!$A$6:$AI$331,34,0)</f>
        <v/>
      </c>
      <c r="CJ190" s="200">
        <f>VLOOKUP(A190,[2]CHAMCONG!A$7:CI$333,79,0)</f>
        <v/>
      </c>
      <c r="CK190" s="201">
        <f>CJ190-CA190</f>
        <v/>
      </c>
    </row>
    <row r="191" ht="15.75" customFormat="1" customHeight="1" s="68">
      <c r="A191" s="139" t="n"/>
      <c r="B191" s="64" t="n"/>
      <c r="C191" s="115" t="n"/>
      <c r="D191" s="46" t="n"/>
      <c r="E191" s="47" t="n"/>
      <c r="F191" s="48" t="n"/>
      <c r="G191" s="49" t="n"/>
      <c r="H191" s="73" t="n"/>
      <c r="I191" s="73" t="n"/>
      <c r="J191" s="73" t="n"/>
      <c r="K191" s="73" t="n"/>
      <c r="L191" s="73" t="n"/>
      <c r="M191" s="73" t="n"/>
      <c r="N191" s="73" t="n"/>
      <c r="O191" s="50" t="n"/>
      <c r="P191" s="73" t="n"/>
      <c r="Q191" s="73" t="n"/>
      <c r="R191" s="73" t="n"/>
      <c r="S191" s="73" t="n"/>
      <c r="T191" s="73" t="n"/>
      <c r="U191" s="73" t="n"/>
      <c r="V191" s="73" t="n"/>
      <c r="W191" s="73" t="n"/>
      <c r="X191" s="73" t="n"/>
      <c r="Y191" s="73" t="n"/>
      <c r="Z191" s="73" t="n"/>
      <c r="AA191" s="73" t="n"/>
      <c r="AB191" s="73" t="n"/>
      <c r="AC191" s="50" t="n"/>
      <c r="AD191" s="73" t="n"/>
      <c r="AE191" s="73" t="n"/>
      <c r="AF191" s="73" t="n"/>
      <c r="AG191" s="73" t="n"/>
      <c r="AH191" s="73" t="n"/>
      <c r="AI191" s="73" t="n"/>
      <c r="AJ191" s="73" t="n"/>
      <c r="AK191" s="73" t="n"/>
      <c r="AL191" s="73" t="n"/>
      <c r="AM191" s="73" t="n"/>
      <c r="AN191" s="73" t="n"/>
      <c r="AO191" s="73" t="n"/>
      <c r="AP191" s="73" t="n"/>
      <c r="AQ191" s="50" t="n"/>
      <c r="AR191" s="73" t="n"/>
      <c r="AS191" s="73" t="n"/>
      <c r="AT191" s="73" t="n"/>
      <c r="AU191" s="73" t="n"/>
      <c r="AV191" s="73" t="n"/>
      <c r="AW191" s="73" t="n"/>
      <c r="AX191" s="73" t="n"/>
      <c r="AY191" s="50" t="n"/>
      <c r="AZ191" s="73" t="n"/>
      <c r="BA191" s="73" t="n"/>
      <c r="BB191" s="73" t="n"/>
      <c r="BC191" s="73" t="n"/>
      <c r="BD191" s="73" t="n"/>
      <c r="BE191" s="50" t="n"/>
      <c r="BF191" s="73" t="n"/>
      <c r="BG191" s="73" t="n"/>
      <c r="BH191" s="73" t="n"/>
      <c r="BI191" s="73" t="n"/>
      <c r="BJ191" s="73" t="n"/>
      <c r="BK191" s="73" t="n"/>
      <c r="BL191" s="73" t="n"/>
      <c r="BM191" s="73" t="n"/>
      <c r="BN191" s="73" t="n"/>
      <c r="BO191" s="73" t="n"/>
      <c r="BP191" s="73" t="n"/>
      <c r="BQ191" s="195">
        <f>COUNTIF($G191:$BP191,"a")+COUNTIF($G191:$BP191,"r0,a5")/2+COUNTIF($G191:$BP191,"p5,a5")/2</f>
        <v/>
      </c>
      <c r="BR191" s="195">
        <f>COUNTIF($G191:$BP191,"d")+COUNTIF($G191:$BP191,"r0,d5")/2+COUNTIF($G191:$BP191,"p5,d5")/2</f>
        <v/>
      </c>
      <c r="BS191" s="195">
        <f>COUNTIF($G191:$BP191,"b")+COUNTIF($G191:$BP191,"r0,b5")/2+COUNTIF($G191:$BP191,"p5,b5")/2</f>
        <v/>
      </c>
      <c r="BT191" s="195">
        <f>COUNTIF($G191:$BP191,"c")+COUNTIF($G191:$BP191,"r0,c5")/2+COUNTIF($G191:$BP191,"p5,c5")/2</f>
        <v/>
      </c>
      <c r="BU191" s="195">
        <f>COUNTIF($G191:$BP191,"KH")+COUNTIF($G191:$BP191,"TL")+COUNTIF($G191:$BP191,"L")</f>
        <v/>
      </c>
      <c r="BV191" s="202" t="n"/>
      <c r="BW191" s="195">
        <f>COUNTIF($G191:$BP191,"hh")</f>
        <v/>
      </c>
      <c r="BX191" s="195">
        <f>COUNTIF($G191:$BP191,"nt7")</f>
        <v/>
      </c>
      <c r="BY191" s="195">
        <f>COUNTIF($G191:$BP191,"P")+COUNTIF($G191:$BP191,"p5,a5")/2+COUNTIF($G191:$BP191,"p5,b5")/2+COUNTIF($G191:$BP191,"p5,c5")/2+COUNTIF($G191:$BP191,"p5,d5")/2</f>
        <v/>
      </c>
      <c r="BZ191" s="203">
        <f>SUBTOTAL(9,BQ191:BY191)</f>
        <v/>
      </c>
      <c r="CA191" s="54">
        <f>SUM(J191,L191,N191,P191,R191,T191,X191,Z191,AB191,AD191,AF191,AH191,AL191,AN191,AP191,AR191,AT191,AV191,AZ191,BB191,BD191,BF191,BH191,BP191)</f>
        <v/>
      </c>
      <c r="CB191" s="55">
        <f>SUM(H191,V191,AJ191,AX191,BL191)</f>
        <v/>
      </c>
      <c r="CC191" s="56">
        <f>SUM(BJ191,BN191)</f>
        <v/>
      </c>
      <c r="CD191" s="197">
        <f>IF(BZ191&gt;25,4,IF(BZ191&gt;18,3,IF(BZ191&gt;12,2,IF(BZ191&gt;4,1,0))))-BX191-2+1</f>
        <v/>
      </c>
      <c r="CE191" s="49" t="n"/>
      <c r="CF191" s="197">
        <f>CD191*CI191</f>
        <v/>
      </c>
      <c r="CG191" s="198">
        <f>F191-BY191+1</f>
        <v/>
      </c>
      <c r="CH191" s="197">
        <f>CE191*16</f>
        <v/>
      </c>
      <c r="CI191" s="199">
        <f>VLOOKUP(A191,[1]DATA!$A$6:$AI$331,34,0)</f>
        <v/>
      </c>
      <c r="CJ191" s="200">
        <f>VLOOKUP(A191,[2]CHAMCONG!A$7:CI$333,79,0)</f>
        <v/>
      </c>
      <c r="CK191" s="201">
        <f>CJ191-CA191</f>
        <v/>
      </c>
    </row>
    <row r="192" ht="15.75" customFormat="1" customHeight="1" s="68">
      <c r="A192" s="139" t="n"/>
      <c r="B192" s="64" t="n"/>
      <c r="C192" s="115" t="n"/>
      <c r="D192" s="46" t="n"/>
      <c r="E192" s="47" t="n"/>
      <c r="F192" s="48" t="n"/>
      <c r="G192" s="49" t="n"/>
      <c r="H192" s="73" t="n"/>
      <c r="I192" s="73" t="n"/>
      <c r="J192" s="73" t="n"/>
      <c r="K192" s="73" t="n"/>
      <c r="L192" s="73" t="n"/>
      <c r="M192" s="73" t="n"/>
      <c r="N192" s="73" t="n"/>
      <c r="O192" s="73" t="n"/>
      <c r="P192" s="73" t="n"/>
      <c r="Q192" s="73" t="n"/>
      <c r="R192" s="73" t="n"/>
      <c r="S192" s="73" t="n"/>
      <c r="T192" s="73" t="n"/>
      <c r="U192" s="49" t="n"/>
      <c r="V192" s="73" t="n"/>
      <c r="W192" s="73" t="n"/>
      <c r="X192" s="73" t="n"/>
      <c r="Y192" s="73" t="n"/>
      <c r="Z192" s="73" t="n"/>
      <c r="AA192" s="73" t="n"/>
      <c r="AB192" s="73" t="n"/>
      <c r="AC192" s="73" t="n"/>
      <c r="AD192" s="73" t="n"/>
      <c r="AE192" s="73" t="n"/>
      <c r="AF192" s="73" t="n"/>
      <c r="AG192" s="73" t="n"/>
      <c r="AH192" s="73" t="n"/>
      <c r="AI192" s="73" t="n"/>
      <c r="AJ192" s="73" t="n"/>
      <c r="AK192" s="73" t="n"/>
      <c r="AL192" s="73" t="n"/>
      <c r="AM192" s="73" t="n"/>
      <c r="AN192" s="73" t="n"/>
      <c r="AO192" s="73" t="n"/>
      <c r="AP192" s="73" t="n"/>
      <c r="AQ192" s="73" t="n"/>
      <c r="AR192" s="73" t="n"/>
      <c r="AS192" s="73" t="n"/>
      <c r="AT192" s="73" t="n"/>
      <c r="AU192" s="73" t="n"/>
      <c r="AV192" s="73" t="n"/>
      <c r="AW192" s="73" t="n"/>
      <c r="AX192" s="73" t="n"/>
      <c r="AY192" s="73" t="n"/>
      <c r="AZ192" s="73" t="n"/>
      <c r="BA192" s="73" t="n"/>
      <c r="BB192" s="73" t="n"/>
      <c r="BC192" s="73" t="n"/>
      <c r="BD192" s="73" t="n"/>
      <c r="BE192" s="73" t="n"/>
      <c r="BF192" s="73" t="n"/>
      <c r="BG192" s="73" t="n"/>
      <c r="BH192" s="73" t="n"/>
      <c r="BI192" s="73" t="n"/>
      <c r="BJ192" s="73" t="n"/>
      <c r="BK192" s="73" t="n"/>
      <c r="BL192" s="73" t="n"/>
      <c r="BM192" s="73" t="n"/>
      <c r="BN192" s="73" t="n"/>
      <c r="BO192" s="73" t="n"/>
      <c r="BP192" s="73" t="n"/>
      <c r="BQ192" s="195">
        <f>COUNTIF($G192:$BP192,"a")+COUNTIF($G192:$BP192,"r0,a5")/2+COUNTIF($G192:$BP192,"p5,a5")/2</f>
        <v/>
      </c>
      <c r="BR192" s="195">
        <f>COUNTIF($G192:$BP192,"d")+COUNTIF($G192:$BP192,"r0,d5")/2+COUNTIF($G192:$BP192,"p5,d5")/2</f>
        <v/>
      </c>
      <c r="BS192" s="195">
        <f>COUNTIF($G192:$BP192,"b")+COUNTIF($G192:$BP192,"r0,b5")/2+COUNTIF($G192:$BP192,"p5,b5")/2</f>
        <v/>
      </c>
      <c r="BT192" s="195">
        <f>COUNTIF($G192:$BP192,"c")+COUNTIF($G192:$BP192,"r0,c5")/2+COUNTIF($G192:$BP192,"p5,c5")/2</f>
        <v/>
      </c>
      <c r="BU192" s="195">
        <f>COUNTIF($G192:$BP192,"KH")+COUNTIF($G192:$BP192,"TL")+COUNTIF($G192:$BP192,"L")</f>
        <v/>
      </c>
      <c r="BV192" s="202" t="n"/>
      <c r="BW192" s="195">
        <f>COUNTIF($G192:$BP192,"hh")</f>
        <v/>
      </c>
      <c r="BX192" s="195">
        <f>COUNTIF($G192:$BP192,"nt7")</f>
        <v/>
      </c>
      <c r="BY192" s="195">
        <f>COUNTIF($G192:$BP192,"P")+COUNTIF($G192:$BP192,"p5,a5")/2+COUNTIF($G192:$BP192,"p5,b5")/2+COUNTIF($G192:$BP192,"p5,c5")/2+COUNTIF($G192:$BP192,"p5,d5")/2</f>
        <v/>
      </c>
      <c r="BZ192" s="203">
        <f>SUBTOTAL(9,BQ192:BY192)</f>
        <v/>
      </c>
      <c r="CA192" s="54">
        <f>SUM(J192,L192,N192,P192,R192,T192,X192,Z192,AB192,AD192,AF192,AH192,AL192,AN192,AP192,AR192,AT192,AV192,AZ192,BB192,BD192,BF192,BH192,BP192)</f>
        <v/>
      </c>
      <c r="CB192" s="55">
        <f>SUM(H192,V192,AJ192,AX192,BL192)</f>
        <v/>
      </c>
      <c r="CC192" s="56">
        <f>SUM(BJ192,BN192)</f>
        <v/>
      </c>
      <c r="CD192" s="197">
        <f>IF(BZ192&gt;25,4,IF(BZ192&gt;18,3,IF(BZ192&gt;12,2,IF(BZ192&gt;4,1,0))))-BX192-2+1</f>
        <v/>
      </c>
      <c r="CE192" s="49" t="n"/>
      <c r="CF192" s="197">
        <f>CD192*CI192</f>
        <v/>
      </c>
      <c r="CG192" s="198">
        <f>F192-BY192+1</f>
        <v/>
      </c>
      <c r="CH192" s="197">
        <f>CE192*16</f>
        <v/>
      </c>
      <c r="CI192" s="199">
        <f>VLOOKUP(A192,[1]DATA!$A$6:$AI$331,34,0)</f>
        <v/>
      </c>
      <c r="CJ192" s="200">
        <f>VLOOKUP(A192,[2]CHAMCONG!A$7:CI$333,79,0)</f>
        <v/>
      </c>
      <c r="CK192" s="201">
        <f>CJ192-CA192</f>
        <v/>
      </c>
    </row>
    <row r="193" ht="15.75" customFormat="1" customHeight="1" s="68">
      <c r="A193" s="139" t="n"/>
      <c r="B193" s="64" t="n"/>
      <c r="C193" s="115" t="n"/>
      <c r="D193" s="46" t="n"/>
      <c r="E193" s="47" t="n"/>
      <c r="F193" s="48" t="n"/>
      <c r="G193" s="49" t="n"/>
      <c r="H193" s="73" t="n"/>
      <c r="I193" s="50" t="n"/>
      <c r="J193" s="73" t="n"/>
      <c r="K193" s="50" t="n"/>
      <c r="L193" s="73" t="n"/>
      <c r="M193" s="50" t="n"/>
      <c r="N193" s="73" t="n"/>
      <c r="O193" s="50" t="n"/>
      <c r="P193" s="73" t="n"/>
      <c r="Q193" s="50" t="n"/>
      <c r="R193" s="67" t="n"/>
      <c r="S193" s="50" t="n"/>
      <c r="T193" s="73" t="n"/>
      <c r="U193" s="50" t="n"/>
      <c r="V193" s="73" t="n"/>
      <c r="W193" s="50" t="n"/>
      <c r="X193" s="73" t="n"/>
      <c r="Y193" s="50" t="n"/>
      <c r="Z193" s="73" t="n"/>
      <c r="AA193" s="50" t="n"/>
      <c r="AB193" s="73" t="n"/>
      <c r="AC193" s="50" t="n"/>
      <c r="AD193" s="73" t="n"/>
      <c r="AE193" s="50" t="n"/>
      <c r="AF193" s="67" t="n"/>
      <c r="AG193" s="50" t="n"/>
      <c r="AH193" s="73" t="n"/>
      <c r="AI193" s="50" t="n"/>
      <c r="AJ193" s="73" t="n"/>
      <c r="AK193" s="50" t="n"/>
      <c r="AL193" s="73" t="n"/>
      <c r="AM193" s="50" t="n"/>
      <c r="AN193" s="73" t="n"/>
      <c r="AO193" s="50" t="n"/>
      <c r="AP193" s="73" t="n"/>
      <c r="AQ193" s="50" t="n"/>
      <c r="AR193" s="73" t="n"/>
      <c r="AS193" s="50" t="n"/>
      <c r="AT193" s="67" t="n"/>
      <c r="AU193" s="50" t="n"/>
      <c r="AV193" s="73" t="n"/>
      <c r="AW193" s="73" t="n"/>
      <c r="AX193" s="73" t="n"/>
      <c r="AY193" s="50" t="n"/>
      <c r="AZ193" s="73" t="n"/>
      <c r="BA193" s="50" t="n"/>
      <c r="BB193" s="73" t="n"/>
      <c r="BC193" s="50" t="n"/>
      <c r="BD193" s="73" t="n"/>
      <c r="BE193" s="50" t="n"/>
      <c r="BF193" s="73" t="n"/>
      <c r="BG193" s="50" t="n"/>
      <c r="BH193" s="67" t="n"/>
      <c r="BI193" s="73" t="n"/>
      <c r="BJ193" s="73" t="n"/>
      <c r="BK193" s="73" t="n"/>
      <c r="BL193" s="73" t="n"/>
      <c r="BM193" s="73" t="n"/>
      <c r="BN193" s="73" t="n"/>
      <c r="BO193" s="73" t="n"/>
      <c r="BP193" s="73" t="n"/>
      <c r="BQ193" s="195">
        <f>COUNTIF($G193:$BP193,"a")+COUNTIF($G193:$BP193,"r0,a5")/2+COUNTIF($G193:$BP193,"p5,a5")/2</f>
        <v/>
      </c>
      <c r="BR193" s="195">
        <f>COUNTIF($G193:$BP193,"d")+COUNTIF($G193:$BP193,"r0,d5")/2+COUNTIF($G193:$BP193,"p5,d5")/2</f>
        <v/>
      </c>
      <c r="BS193" s="195">
        <f>COUNTIF($G193:$BP193,"b")+COUNTIF($G193:$BP193,"r0,b5")/2+COUNTIF($G193:$BP193,"p5,b5")/2</f>
        <v/>
      </c>
      <c r="BT193" s="195">
        <f>COUNTIF($G193:$BP193,"c")+COUNTIF($G193:$BP193,"r0,c5")/2+COUNTIF($G193:$BP193,"p5,c5")/2</f>
        <v/>
      </c>
      <c r="BU193" s="195">
        <f>COUNTIF($G193:$BP193,"KH")+COUNTIF($G193:$BP193,"TL")+COUNTIF($G193:$BP193,"L")</f>
        <v/>
      </c>
      <c r="BV193" s="202" t="n"/>
      <c r="BW193" s="195">
        <f>COUNTIF($G193:$BP193,"hh")</f>
        <v/>
      </c>
      <c r="BX193" s="195">
        <f>COUNTIF($G193:$BP193,"nt7")</f>
        <v/>
      </c>
      <c r="BY193" s="195">
        <f>COUNTIF($G193:$BP193,"P")+COUNTIF($G193:$BP193,"p5,a5")/2+COUNTIF($G193:$BP193,"p5,b5")/2+COUNTIF($G193:$BP193,"p5,c5")/2+COUNTIF($G193:$BP193,"p5,d5")/2</f>
        <v/>
      </c>
      <c r="BZ193" s="203">
        <f>SUBTOTAL(9,BQ193:BY193)</f>
        <v/>
      </c>
      <c r="CA193" s="54">
        <f>SUM(J193,L193,N193,P193,R193,T193,X193,Z193,AB193,AD193,AF193,AH193,AL193,AN193,AP193,AR193,AT193,AV193,AZ193,BB193,BD193,BF193,BH193,BP193)</f>
        <v/>
      </c>
      <c r="CB193" s="55">
        <f>SUM(H193,V193,AJ193,AX193,BL193)</f>
        <v/>
      </c>
      <c r="CC193" s="56">
        <f>SUM(BJ193,BN193)</f>
        <v/>
      </c>
      <c r="CD193" s="197">
        <f>IF(BZ193&gt;25,4,IF(BZ193&gt;18,3,IF(BZ193&gt;12,2,IF(BZ193&gt;4,1,0))))-BX193-2+1</f>
        <v/>
      </c>
      <c r="CE193" s="49" t="n">
        <v>4</v>
      </c>
      <c r="CF193" s="197">
        <f>CD193*CI193</f>
        <v/>
      </c>
      <c r="CG193" s="198">
        <f>F193-BY193+1</f>
        <v/>
      </c>
      <c r="CH193" s="197">
        <f>CE193*16</f>
        <v/>
      </c>
      <c r="CI193" s="199">
        <f>VLOOKUP(A193,[1]DATA!$A$6:$AI$331,34,0)</f>
        <v/>
      </c>
      <c r="CJ193" s="200">
        <f>VLOOKUP(A193,[2]CHAMCONG!A$7:CI$333,79,0)</f>
        <v/>
      </c>
      <c r="CK193" s="201">
        <f>CJ193-CA193</f>
        <v/>
      </c>
    </row>
    <row r="194" ht="15.75" customFormat="1" customHeight="1" s="68">
      <c r="A194" s="139" t="n"/>
      <c r="B194" s="64" t="n"/>
      <c r="C194" s="115" t="n"/>
      <c r="D194" s="46" t="n"/>
      <c r="E194" s="47" t="n"/>
      <c r="F194" s="48" t="n"/>
      <c r="G194" s="49" t="n"/>
      <c r="H194" s="73" t="n"/>
      <c r="I194" s="49" t="n"/>
      <c r="J194" s="73" t="n"/>
      <c r="K194" s="49" t="n"/>
      <c r="L194" s="73" t="n"/>
      <c r="M194" s="73" t="n"/>
      <c r="N194" s="73" t="n"/>
      <c r="O194" s="49" t="n"/>
      <c r="P194" s="73" t="n"/>
      <c r="Q194" s="49" t="n"/>
      <c r="R194" s="73" t="n"/>
      <c r="S194" s="73" t="n"/>
      <c r="T194" s="73" t="n"/>
      <c r="U194" s="49" t="n"/>
      <c r="V194" s="73" t="n"/>
      <c r="W194" s="49" t="n"/>
      <c r="X194" s="73" t="n"/>
      <c r="Y194" s="49" t="n"/>
      <c r="Z194" s="73" t="n"/>
      <c r="AA194" s="49" t="n"/>
      <c r="AB194" s="73" t="n"/>
      <c r="AC194" s="73" t="n"/>
      <c r="AD194" s="73" t="n"/>
      <c r="AE194" s="49" t="n"/>
      <c r="AF194" s="73" t="n"/>
      <c r="AG194" s="73" t="n"/>
      <c r="AH194" s="73" t="n"/>
      <c r="AI194" s="73" t="n"/>
      <c r="AJ194" s="73" t="n"/>
      <c r="AK194" s="49" t="n"/>
      <c r="AL194" s="73" t="n"/>
      <c r="AM194" s="49" t="n"/>
      <c r="AN194" s="73" t="n"/>
      <c r="AO194" s="73" t="n"/>
      <c r="AP194" s="73" t="n"/>
      <c r="AQ194" s="49" t="n"/>
      <c r="AR194" s="73" t="n"/>
      <c r="AS194" s="49" t="n"/>
      <c r="AT194" s="73" t="n"/>
      <c r="AU194" s="73" t="n"/>
      <c r="AV194" s="73" t="n"/>
      <c r="AW194" s="73" t="n"/>
      <c r="AX194" s="73" t="n"/>
      <c r="AY194" s="73" t="n"/>
      <c r="AZ194" s="73" t="n"/>
      <c r="BA194" s="73" t="n"/>
      <c r="BB194" s="73" t="n"/>
      <c r="BC194" s="73" t="n"/>
      <c r="BD194" s="73" t="n"/>
      <c r="BE194" s="73" t="n"/>
      <c r="BF194" s="73" t="n"/>
      <c r="BG194" s="73" t="n"/>
      <c r="BH194" s="49" t="n"/>
      <c r="BI194" s="73" t="n"/>
      <c r="BJ194" s="73" t="n"/>
      <c r="BK194" s="73" t="n"/>
      <c r="BL194" s="73" t="n"/>
      <c r="BM194" s="73" t="n"/>
      <c r="BN194" s="73" t="n"/>
      <c r="BO194" s="73" t="n"/>
      <c r="BP194" s="73" t="n"/>
      <c r="BQ194" s="195">
        <f>COUNTIF($G194:$BP194,"a")+COUNTIF($G194:$BP194,"r0,a5")/2+COUNTIF($G194:$BP194,"p5,a5")/2</f>
        <v/>
      </c>
      <c r="BR194" s="195">
        <f>COUNTIF($G194:$BP194,"d")+COUNTIF($G194:$BP194,"r0,d5")/2+COUNTIF($G194:$BP194,"p5,d5")/2</f>
        <v/>
      </c>
      <c r="BS194" s="195">
        <f>COUNTIF($G194:$BP194,"b")+COUNTIF($G194:$BP194,"r0,b5")/2+COUNTIF($G194:$BP194,"p5,b5")/2</f>
        <v/>
      </c>
      <c r="BT194" s="195">
        <f>COUNTIF($G194:$BP194,"c")+COUNTIF($G194:$BP194,"r0,c5")/2+COUNTIF($G194:$BP194,"p5,c5")/2</f>
        <v/>
      </c>
      <c r="BU194" s="195">
        <f>COUNTIF($G194:$BP194,"KH")+COUNTIF($G194:$BP194,"TL")+COUNTIF($G194:$BP194,"L")</f>
        <v/>
      </c>
      <c r="BV194" s="202" t="n"/>
      <c r="BW194" s="195">
        <f>COUNTIF($G194:$BP194,"hh")</f>
        <v/>
      </c>
      <c r="BX194" s="195">
        <f>COUNTIF($G194:$BP194,"nt7")</f>
        <v/>
      </c>
      <c r="BY194" s="195">
        <f>COUNTIF($G194:$BP194,"P")+COUNTIF($G194:$BP194,"p5,a5")/2+COUNTIF($G194:$BP194,"p5,b5")/2+COUNTIF($G194:$BP194,"p5,c5")/2+COUNTIF($G194:$BP194,"p5,d5")/2</f>
        <v/>
      </c>
      <c r="BZ194" s="203">
        <f>SUBTOTAL(9,BQ194:BY194)</f>
        <v/>
      </c>
      <c r="CA194" s="54">
        <f>SUM(J194,L194,N194,P194,R194,T194,X194,Z194,AB194,AD194,AF194,AH194,AL194,AN194,AP194,AR194,AT194,AV194,AZ194,BB194,BD194,BF194,BH194,BP194)</f>
        <v/>
      </c>
      <c r="CB194" s="55">
        <f>SUM(H194,V194,AJ194,AX194,BL194)</f>
        <v/>
      </c>
      <c r="CC194" s="56">
        <f>SUM(BJ194,BN194)</f>
        <v/>
      </c>
      <c r="CD194" s="197">
        <f>IF(BZ194&gt;25,4,IF(BZ194&gt;18,3,IF(BZ194&gt;12,2,IF(BZ194&gt;4,1,0))))-BX194-2+1</f>
        <v/>
      </c>
      <c r="CE194" s="49" t="n">
        <v>1</v>
      </c>
      <c r="CF194" s="197">
        <f>CD194*CI194</f>
        <v/>
      </c>
      <c r="CG194" s="198">
        <f>F194-BY194+1</f>
        <v/>
      </c>
      <c r="CH194" s="197">
        <f>CE194*16</f>
        <v/>
      </c>
      <c r="CI194" s="199">
        <f>VLOOKUP(A194,[1]DATA!$A$6:$AI$331,34,0)</f>
        <v/>
      </c>
      <c r="CJ194" s="200">
        <f>VLOOKUP(A194,[2]CHAMCONG!A$7:CI$333,79,0)</f>
        <v/>
      </c>
      <c r="CK194" s="201">
        <f>CJ194-CA194</f>
        <v/>
      </c>
    </row>
    <row r="195" ht="15.75" customFormat="1" customHeight="1" s="68">
      <c r="A195" s="139" t="n"/>
      <c r="B195" s="64" t="n"/>
      <c r="C195" s="115" t="n"/>
      <c r="D195" s="46" t="n"/>
      <c r="E195" s="47" t="n"/>
      <c r="F195" s="48" t="n"/>
      <c r="G195" s="49" t="n"/>
      <c r="H195" s="73" t="n"/>
      <c r="I195" s="73" t="n"/>
      <c r="J195" s="73" t="n"/>
      <c r="K195" s="73" t="n"/>
      <c r="L195" s="73" t="n"/>
      <c r="M195" s="73" t="n"/>
      <c r="N195" s="73" t="n"/>
      <c r="O195" s="50" t="n"/>
      <c r="P195" s="73" t="n"/>
      <c r="Q195" s="50" t="n"/>
      <c r="R195" s="67" t="n"/>
      <c r="S195" s="50" t="n"/>
      <c r="T195" s="73" t="n"/>
      <c r="U195" s="50" t="n"/>
      <c r="V195" s="73" t="n"/>
      <c r="W195" s="50" t="n"/>
      <c r="X195" s="73" t="n"/>
      <c r="Y195" s="50" t="n"/>
      <c r="Z195" s="73" t="n"/>
      <c r="AA195" s="50" t="n"/>
      <c r="AB195" s="73" t="n"/>
      <c r="AC195" s="73" t="n"/>
      <c r="AD195" s="73" t="n"/>
      <c r="AE195" s="73" t="n"/>
      <c r="AF195" s="73" t="n"/>
      <c r="AG195" s="73" t="n"/>
      <c r="AH195" s="73" t="n"/>
      <c r="AI195" s="73" t="n"/>
      <c r="AJ195" s="73" t="n"/>
      <c r="AK195" s="73" t="n"/>
      <c r="AL195" s="73" t="n"/>
      <c r="AM195" s="49" t="n"/>
      <c r="AN195" s="73" t="n"/>
      <c r="AO195" s="67" t="n"/>
      <c r="AP195" s="73" t="n"/>
      <c r="AQ195" s="73" t="n"/>
      <c r="AR195" s="73" t="n"/>
      <c r="AS195" s="73" t="n"/>
      <c r="AT195" s="73" t="n"/>
      <c r="AU195" s="73" t="n"/>
      <c r="AV195" s="73" t="n"/>
      <c r="AW195" s="73" t="n"/>
      <c r="AX195" s="73" t="n"/>
      <c r="AY195" s="50" t="n"/>
      <c r="AZ195" s="73" t="n"/>
      <c r="BA195" s="67" t="n"/>
      <c r="BB195" s="73" t="n"/>
      <c r="BC195" s="67" t="n"/>
      <c r="BD195" s="73" t="n"/>
      <c r="BE195" s="73" t="n"/>
      <c r="BF195" s="73" t="n"/>
      <c r="BG195" s="73" t="n"/>
      <c r="BH195" s="73" t="n"/>
      <c r="BI195" s="73" t="n"/>
      <c r="BJ195" s="73" t="n"/>
      <c r="BK195" s="73" t="n"/>
      <c r="BL195" s="73" t="n"/>
      <c r="BM195" s="73" t="n"/>
      <c r="BN195" s="73" t="n"/>
      <c r="BO195" s="73" t="n"/>
      <c r="BP195" s="73" t="n"/>
      <c r="BQ195" s="195">
        <f>COUNTIF($G195:$BP195,"a")+COUNTIF($G195:$BP195,"r0,a5")/2+COUNTIF($G195:$BP195,"p5,a5")/2</f>
        <v/>
      </c>
      <c r="BR195" s="195">
        <f>COUNTIF($G195:$BP195,"d")+COUNTIF($G195:$BP195,"r0,d5")/2+COUNTIF($G195:$BP195,"p5,d5")/2</f>
        <v/>
      </c>
      <c r="BS195" s="195">
        <f>COUNTIF($G195:$BP195,"b")+COUNTIF($G195:$BP195,"r0,b5")/2+COUNTIF($G195:$BP195,"p5,b5")/2</f>
        <v/>
      </c>
      <c r="BT195" s="195">
        <f>COUNTIF($G195:$BP195,"c")+COUNTIF($G195:$BP195,"r0,c5")/2+COUNTIF($G195:$BP195,"p5,c5")/2</f>
        <v/>
      </c>
      <c r="BU195" s="195">
        <f>COUNTIF($G195:$BP195,"KH")+COUNTIF($G195:$BP195,"TL")+COUNTIF($G195:$BP195,"L")</f>
        <v/>
      </c>
      <c r="BV195" s="202" t="n"/>
      <c r="BW195" s="195">
        <f>COUNTIF($G195:$BP195,"hh")</f>
        <v/>
      </c>
      <c r="BX195" s="195">
        <f>COUNTIF($G195:$BP195,"nt7")</f>
        <v/>
      </c>
      <c r="BY195" s="195">
        <f>COUNTIF($G195:$BP195,"P")+COUNTIF($G195:$BP195,"p5,a5")/2+COUNTIF($G195:$BP195,"p5,b5")/2+COUNTIF($G195:$BP195,"p5,c5")/2+COUNTIF($G195:$BP195,"p5,d5")/2</f>
        <v/>
      </c>
      <c r="BZ195" s="203">
        <f>SUBTOTAL(9,BQ195:BY195)</f>
        <v/>
      </c>
      <c r="CA195" s="54">
        <f>SUM(J195,L195,N195,P195,R195,T195,X195,Z195,AB195,AD195,AF195,AH195,AL195,AN195,AP195,AR195,AT195,AV195,AZ195,BB195,BD195,BF195,BH195,BP195)</f>
        <v/>
      </c>
      <c r="CB195" s="55">
        <f>SUM(H195,V195,AJ195,AX195,BL195)</f>
        <v/>
      </c>
      <c r="CC195" s="56">
        <f>SUM(BJ195,BN195)</f>
        <v/>
      </c>
      <c r="CD195" s="197">
        <f>IF(BZ195&gt;25,4,IF(BZ195&gt;18,3,IF(BZ195&gt;12,2,IF(BZ195&gt;4,1,0))))-BX195-2+1</f>
        <v/>
      </c>
      <c r="CE195" s="49" t="n"/>
      <c r="CF195" s="197">
        <f>CD195*CI195</f>
        <v/>
      </c>
      <c r="CG195" s="198">
        <f>F195-BY195+1</f>
        <v/>
      </c>
      <c r="CH195" s="197">
        <f>CE195*16</f>
        <v/>
      </c>
      <c r="CI195" s="199">
        <f>VLOOKUP(A195,[1]DATA!$A$6:$AI$331,34,0)</f>
        <v/>
      </c>
      <c r="CJ195" s="200">
        <f>VLOOKUP(A195,[2]CHAMCONG!A$7:CI$333,79,0)</f>
        <v/>
      </c>
      <c r="CK195" s="201">
        <f>CJ195-CA195</f>
        <v/>
      </c>
    </row>
    <row r="196" ht="15.75" customFormat="1" customHeight="1" s="68">
      <c r="A196" s="139" t="n"/>
      <c r="B196" s="64" t="n"/>
      <c r="C196" s="115" t="n"/>
      <c r="D196" s="46" t="n"/>
      <c r="E196" s="47" t="n"/>
      <c r="F196" s="48" t="n"/>
      <c r="G196" s="49" t="n"/>
      <c r="H196" s="73" t="n"/>
      <c r="I196" s="49" t="n"/>
      <c r="J196" s="73" t="n"/>
      <c r="K196" s="73" t="n"/>
      <c r="L196" s="73" t="n"/>
      <c r="M196" s="73" t="n"/>
      <c r="N196" s="73" t="n"/>
      <c r="O196" s="49" t="n"/>
      <c r="P196" s="73" t="n"/>
      <c r="Q196" s="50" t="n"/>
      <c r="R196" s="67" t="n"/>
      <c r="S196" s="50" t="n"/>
      <c r="T196" s="73" t="n"/>
      <c r="U196" s="49" t="n"/>
      <c r="V196" s="73" t="n"/>
      <c r="W196" s="50" t="n"/>
      <c r="X196" s="73" t="n"/>
      <c r="Y196" s="50" t="n"/>
      <c r="Z196" s="73" t="n"/>
      <c r="AA196" s="50" t="n"/>
      <c r="AB196" s="73" t="n"/>
      <c r="AC196" s="73" t="n"/>
      <c r="AD196" s="73" t="n"/>
      <c r="AE196" s="50" t="n"/>
      <c r="AF196" s="67" t="n"/>
      <c r="AG196" s="73" t="n"/>
      <c r="AH196" s="73" t="n"/>
      <c r="AI196" s="73" t="n"/>
      <c r="AJ196" s="73" t="n"/>
      <c r="AK196" s="50" t="n"/>
      <c r="AL196" s="73" t="n"/>
      <c r="AM196" s="50" t="n"/>
      <c r="AN196" s="73" t="n"/>
      <c r="AO196" s="73" t="n"/>
      <c r="AP196" s="73" t="n"/>
      <c r="AQ196" s="50" t="n"/>
      <c r="AR196" s="73" t="n"/>
      <c r="AS196" s="50" t="n"/>
      <c r="AT196" s="67" t="n"/>
      <c r="AU196" s="50" t="n"/>
      <c r="AV196" s="73" t="n"/>
      <c r="AW196" s="73" t="n"/>
      <c r="AX196" s="73" t="n"/>
      <c r="AY196" s="50" t="n"/>
      <c r="AZ196" s="73" t="n"/>
      <c r="BA196" s="50" t="n"/>
      <c r="BB196" s="73" t="n"/>
      <c r="BC196" s="50" t="n"/>
      <c r="BD196" s="73" t="n"/>
      <c r="BE196" s="50" t="n"/>
      <c r="BF196" s="73" t="n"/>
      <c r="BG196" s="50" t="n"/>
      <c r="BH196" s="67" t="n"/>
      <c r="BI196" s="73" t="n"/>
      <c r="BJ196" s="73" t="n"/>
      <c r="BK196" s="73" t="n"/>
      <c r="BL196" s="73" t="n"/>
      <c r="BM196" s="73" t="n"/>
      <c r="BN196" s="73" t="n"/>
      <c r="BO196" s="73" t="n"/>
      <c r="BP196" s="73" t="n"/>
      <c r="BQ196" s="195">
        <f>COUNTIF($G196:$BP196,"a")+COUNTIF($G196:$BP196,"r0,a5")/2+COUNTIF($G196:$BP196,"p5,a5")/2</f>
        <v/>
      </c>
      <c r="BR196" s="195">
        <f>COUNTIF($G196:$BP196,"d")+COUNTIF($G196:$BP196,"r0,d5")/2+COUNTIF($G196:$BP196,"p5,d5")/2</f>
        <v/>
      </c>
      <c r="BS196" s="195">
        <f>COUNTIF($G196:$BP196,"b")+COUNTIF($G196:$BP196,"r0,b5")/2+COUNTIF($G196:$BP196,"p5,b5")/2</f>
        <v/>
      </c>
      <c r="BT196" s="195">
        <f>COUNTIF($G196:$BP196,"c")+COUNTIF($G196:$BP196,"r0,c5")/2+COUNTIF($G196:$BP196,"p5,c5")/2</f>
        <v/>
      </c>
      <c r="BU196" s="195">
        <f>COUNTIF($G196:$BP196,"KH")+COUNTIF($G196:$BP196,"TL")+COUNTIF($G196:$BP196,"L")</f>
        <v/>
      </c>
      <c r="BV196" s="202" t="n"/>
      <c r="BW196" s="195">
        <f>COUNTIF($G196:$BP196,"hh")</f>
        <v/>
      </c>
      <c r="BX196" s="195">
        <f>COUNTIF($G196:$BP196,"nt7")</f>
        <v/>
      </c>
      <c r="BY196" s="195">
        <f>COUNTIF($G196:$BP196,"P")+COUNTIF($G196:$BP196,"p5,a5")/2+COUNTIF($G196:$BP196,"p5,b5")/2+COUNTIF($G196:$BP196,"p5,c5")/2+COUNTIF($G196:$BP196,"p5,d5")/2</f>
        <v/>
      </c>
      <c r="BZ196" s="203">
        <f>SUBTOTAL(9,BQ196:BY196)</f>
        <v/>
      </c>
      <c r="CA196" s="54">
        <f>SUM(J196,L196,N196,P196,R196,T196,X196,Z196,AB196,AD196,AF196,AH196,AL196,AN196,AP196,AR196,AT196,AV196,AZ196,BB196,BD196,BF196,BH196,BP196)</f>
        <v/>
      </c>
      <c r="CB196" s="55">
        <f>SUM(H196,V196,AJ196,AX196,BL196)</f>
        <v/>
      </c>
      <c r="CC196" s="56">
        <f>SUM(BJ196,BN196)</f>
        <v/>
      </c>
      <c r="CD196" s="197">
        <f>IF(BZ196&gt;25,4,IF(BZ196&gt;18,3,IF(BZ196&gt;12,2,IF(BZ196&gt;4,1,0))))-BX196-2+1</f>
        <v/>
      </c>
      <c r="CE196" s="49" t="n"/>
      <c r="CF196" s="197">
        <f>CD196*CI196</f>
        <v/>
      </c>
      <c r="CG196" s="198">
        <f>F196-BY196+1</f>
        <v/>
      </c>
      <c r="CH196" s="197">
        <f>CE196*16</f>
        <v/>
      </c>
      <c r="CI196" s="199">
        <f>VLOOKUP(A196,[1]DATA!$A$6:$AI$331,34,0)</f>
        <v/>
      </c>
      <c r="CJ196" s="200">
        <f>VLOOKUP(A196,[2]CHAMCONG!A$7:CI$333,79,0)</f>
        <v/>
      </c>
      <c r="CK196" s="201">
        <f>CJ196-CA196</f>
        <v/>
      </c>
    </row>
    <row r="197" ht="15.75" customFormat="1" customHeight="1" s="68">
      <c r="A197" s="69" t="n"/>
      <c r="B197" s="64" t="n"/>
      <c r="C197" s="115" t="n"/>
      <c r="D197" s="46" t="n"/>
      <c r="E197" s="47" t="n"/>
      <c r="F197" s="48" t="n"/>
      <c r="G197" s="49" t="n"/>
      <c r="H197" s="73" t="n"/>
      <c r="I197" s="50" t="n"/>
      <c r="J197" s="73" t="n"/>
      <c r="K197" s="73" t="n"/>
      <c r="L197" s="73" t="n"/>
      <c r="M197" s="73" t="n"/>
      <c r="N197" s="73" t="n"/>
      <c r="O197" s="50" t="n"/>
      <c r="P197" s="73" t="n"/>
      <c r="Q197" s="49" t="n"/>
      <c r="R197" s="73" t="n"/>
      <c r="S197" s="50" t="n"/>
      <c r="T197" s="73" t="n"/>
      <c r="U197" s="50" t="n"/>
      <c r="V197" s="73" t="n"/>
      <c r="W197" s="50" t="n"/>
      <c r="X197" s="73" t="n"/>
      <c r="Y197" s="50" t="n"/>
      <c r="Z197" s="73" t="n"/>
      <c r="AA197" s="50" t="n"/>
      <c r="AB197" s="73" t="n"/>
      <c r="AC197" s="50" t="n"/>
      <c r="AD197" s="73" t="n"/>
      <c r="AE197" s="50" t="n"/>
      <c r="AF197" s="67" t="n"/>
      <c r="AG197" s="50" t="n"/>
      <c r="AH197" s="73" t="n"/>
      <c r="AI197" s="50" t="n"/>
      <c r="AJ197" s="73" t="n"/>
      <c r="AK197" s="50" t="n"/>
      <c r="AL197" s="73" t="n"/>
      <c r="AM197" s="50" t="n"/>
      <c r="AN197" s="73" t="n"/>
      <c r="AO197" s="73" t="n"/>
      <c r="AP197" s="73" t="n"/>
      <c r="AQ197" s="73" t="n"/>
      <c r="AR197" s="73" t="n"/>
      <c r="AS197" s="73" t="n"/>
      <c r="AT197" s="73" t="n"/>
      <c r="AU197" s="73" t="n"/>
      <c r="AV197" s="73" t="n"/>
      <c r="AW197" s="73" t="n"/>
      <c r="AX197" s="73" t="n"/>
      <c r="AY197" s="73" t="n"/>
      <c r="AZ197" s="73" t="n"/>
      <c r="BA197" s="73" t="n"/>
      <c r="BB197" s="73" t="n"/>
      <c r="BC197" s="73" t="n"/>
      <c r="BD197" s="73" t="n"/>
      <c r="BE197" s="73" t="n"/>
      <c r="BF197" s="73" t="n"/>
      <c r="BG197" s="73" t="n"/>
      <c r="BH197" s="73" t="n"/>
      <c r="BI197" s="49" t="n"/>
      <c r="BJ197" s="73" t="n"/>
      <c r="BK197" s="49" t="n"/>
      <c r="BL197" s="73" t="n"/>
      <c r="BM197" s="49" t="n"/>
      <c r="BN197" s="73" t="n"/>
      <c r="BO197" s="73" t="n"/>
      <c r="BP197" s="73" t="n"/>
      <c r="BQ197" s="195">
        <f>COUNTIF($G197:$BP197,"a")+COUNTIF($G197:$BP197,"r0,a5")/2+COUNTIF($G197:$BP197,"p5,a5")/2</f>
        <v/>
      </c>
      <c r="BR197" s="195">
        <f>COUNTIF($G197:$BP197,"d")+COUNTIF($G197:$BP197,"r0,d5")/2+COUNTIF($G197:$BP197,"p5,d5")/2</f>
        <v/>
      </c>
      <c r="BS197" s="195">
        <f>COUNTIF($G197:$BP197,"b")+COUNTIF($G197:$BP197,"r0,b5")/2+COUNTIF($G197:$BP197,"p5,b5")/2</f>
        <v/>
      </c>
      <c r="BT197" s="195">
        <f>COUNTIF($G197:$BP197,"c")+COUNTIF($G197:$BP197,"r0,c5")/2+COUNTIF($G197:$BP197,"p5,c5")/2</f>
        <v/>
      </c>
      <c r="BU197" s="195">
        <f>COUNTIF($G197:$BP197,"KH")+COUNTIF($G197:$BP197,"TL")+COUNTIF($G197:$BP197,"L")</f>
        <v/>
      </c>
      <c r="BV197" s="202" t="n"/>
      <c r="BW197" s="195">
        <f>COUNTIF($G197:$BP197,"hh")</f>
        <v/>
      </c>
      <c r="BX197" s="195">
        <f>COUNTIF($G197:$BP197,"nt7")</f>
        <v/>
      </c>
      <c r="BY197" s="195">
        <f>COUNTIF($G197:$BP197,"P")+COUNTIF($G197:$BP197,"p5,a5")/2+COUNTIF($G197:$BP197,"p5,b5")/2+COUNTIF($G197:$BP197,"p5,c5")/2+COUNTIF($G197:$BP197,"p5,d5")/2</f>
        <v/>
      </c>
      <c r="BZ197" s="203">
        <f>SUBTOTAL(9,BQ197:BY197)</f>
        <v/>
      </c>
      <c r="CA197" s="54">
        <f>SUM(J197,L197,N197,P197,R197,T197,X197,Z197,AB197,AD197,AF197,AH197,AL197,AN197,AP197,AR197,AT197,AV197,AZ197,BB197,BD197,BF197,BH197,BP197)</f>
        <v/>
      </c>
      <c r="CB197" s="55">
        <f>SUM(H197,V197,AJ197,AX197,BL197)</f>
        <v/>
      </c>
      <c r="CC197" s="56">
        <f>SUM(BJ197,BN197)</f>
        <v/>
      </c>
      <c r="CD197" s="197">
        <f>IF(BZ197&gt;25,4,IF(BZ197&gt;18,3,IF(BZ197&gt;12,2,IF(BZ197&gt;4,1,0))))-BX197-2+1</f>
        <v/>
      </c>
      <c r="CE197" s="49" t="n">
        <v>2</v>
      </c>
      <c r="CF197" s="197">
        <f>CD197*CI197</f>
        <v/>
      </c>
      <c r="CG197" s="198">
        <f>F197-BY197+1</f>
        <v/>
      </c>
      <c r="CH197" s="197">
        <f>CE197*16</f>
        <v/>
      </c>
      <c r="CI197" s="199">
        <f>VLOOKUP(A197,[1]DATA!$A$6:$AI$331,34,0)</f>
        <v/>
      </c>
      <c r="CJ197" s="200">
        <f>VLOOKUP(A197,[2]CHAMCONG!A$7:CI$333,79,0)</f>
        <v/>
      </c>
      <c r="CK197" s="201">
        <f>CJ197-CA197</f>
        <v/>
      </c>
    </row>
    <row r="198" ht="15.75" customFormat="1" customHeight="1" s="68">
      <c r="A198" s="139" t="n"/>
      <c r="B198" s="64" t="n"/>
      <c r="C198" s="115" t="n"/>
      <c r="D198" s="46" t="n"/>
      <c r="E198" s="47" t="n"/>
      <c r="F198" s="48" t="n"/>
      <c r="G198" s="49" t="n"/>
      <c r="H198" s="73" t="n"/>
      <c r="I198" s="49" t="n"/>
      <c r="J198" s="73" t="n"/>
      <c r="K198" s="50" t="n"/>
      <c r="L198" s="73" t="n"/>
      <c r="M198" s="49" t="n"/>
      <c r="N198" s="73" t="n"/>
      <c r="O198" s="49" t="n"/>
      <c r="P198" s="73" t="n"/>
      <c r="Q198" s="49" t="n"/>
      <c r="R198" s="73" t="n"/>
      <c r="S198" s="49" t="n"/>
      <c r="T198" s="73" t="n"/>
      <c r="U198" s="49" t="n"/>
      <c r="V198" s="73" t="n"/>
      <c r="W198" s="49" t="n"/>
      <c r="X198" s="73" t="n"/>
      <c r="Y198" s="73" t="n"/>
      <c r="Z198" s="73" t="n"/>
      <c r="AA198" s="49" t="n"/>
      <c r="AB198" s="73" t="n"/>
      <c r="AC198" s="73" t="n"/>
      <c r="AD198" s="73" t="n"/>
      <c r="AE198" s="73" t="n"/>
      <c r="AF198" s="73" t="n"/>
      <c r="AG198" s="49" t="n"/>
      <c r="AH198" s="73" t="n"/>
      <c r="AI198" s="49" t="n"/>
      <c r="AJ198" s="73" t="n"/>
      <c r="AK198" s="67" t="n"/>
      <c r="AL198" s="73" t="n"/>
      <c r="AM198" s="67" t="n"/>
      <c r="AN198" s="73" t="n"/>
      <c r="AO198" s="73" t="n"/>
      <c r="AP198" s="73" t="n"/>
      <c r="AQ198" s="67" t="n"/>
      <c r="AR198" s="73" t="n"/>
      <c r="AS198" s="49" t="n"/>
      <c r="AT198" s="73" t="n"/>
      <c r="AU198" s="67" t="n"/>
      <c r="AV198" s="73" t="n"/>
      <c r="AW198" s="67" t="n"/>
      <c r="AX198" s="73" t="n"/>
      <c r="AY198" s="67" t="n"/>
      <c r="AZ198" s="73" t="n"/>
      <c r="BA198" s="67" t="n"/>
      <c r="BB198" s="73" t="n"/>
      <c r="BC198" s="73" t="n"/>
      <c r="BD198" s="73" t="n"/>
      <c r="BE198" s="67" t="n"/>
      <c r="BF198" s="73" t="n"/>
      <c r="BG198" s="73" t="n"/>
      <c r="BH198" s="73" t="n"/>
      <c r="BI198" s="73" t="n"/>
      <c r="BJ198" s="73" t="n"/>
      <c r="BK198" s="73" t="n"/>
      <c r="BL198" s="73" t="n"/>
      <c r="BM198" s="73" t="n"/>
      <c r="BN198" s="73" t="n"/>
      <c r="BO198" s="73" t="n"/>
      <c r="BP198" s="73" t="n"/>
      <c r="BQ198" s="195">
        <f>COUNTIF($G198:$BP198,"a")+COUNTIF($G198:$BP198,"r0,a5")/2+COUNTIF($G198:$BP198,"p5,a5")/2</f>
        <v/>
      </c>
      <c r="BR198" s="195">
        <f>COUNTIF($G198:$BP198,"d")+COUNTIF($G198:$BP198,"r0,d5")/2+COUNTIF($G198:$BP198,"p5,d5")/2</f>
        <v/>
      </c>
      <c r="BS198" s="195">
        <f>COUNTIF($G198:$BP198,"b")+COUNTIF($G198:$BP198,"r0,b5")/2+COUNTIF($G198:$BP198,"p5,b5")/2</f>
        <v/>
      </c>
      <c r="BT198" s="195">
        <f>COUNTIF($G198:$BP198,"c")+COUNTIF($G198:$BP198,"r0,c5")/2+COUNTIF($G198:$BP198,"p5,c5")/2</f>
        <v/>
      </c>
      <c r="BU198" s="195">
        <f>COUNTIF($G198:$BP198,"KH")+COUNTIF($G198:$BP198,"TL")+COUNTIF($G198:$BP198,"L")</f>
        <v/>
      </c>
      <c r="BV198" s="202" t="n"/>
      <c r="BW198" s="195">
        <f>COUNTIF($G198:$BP198,"hh")</f>
        <v/>
      </c>
      <c r="BX198" s="195">
        <f>COUNTIF($G198:$BP198,"nt7")</f>
        <v/>
      </c>
      <c r="BY198" s="195">
        <f>COUNTIF($G198:$BP198,"P")+COUNTIF($G198:$BP198,"p5,a5")/2+COUNTIF($G198:$BP198,"p5,b5")/2+COUNTIF($G198:$BP198,"p5,c5")/2+COUNTIF($G198:$BP198,"p5,d5")/2</f>
        <v/>
      </c>
      <c r="BZ198" s="203">
        <f>SUBTOTAL(9,BQ198:BY198)</f>
        <v/>
      </c>
      <c r="CA198" s="54">
        <f>SUM(J198,L198,N198,P198,R198,T198,X198,Z198,AB198,AD198,AF198,AH198,AL198,AN198,AP198,AR198,AT198,AV198,AZ198,BB198,BD198,BF198,BH198,BP198)</f>
        <v/>
      </c>
      <c r="CB198" s="55">
        <f>SUM(H198,V198,AJ198,AX198,BL198)</f>
        <v/>
      </c>
      <c r="CC198" s="56">
        <f>SUM(BJ198,BN198)</f>
        <v/>
      </c>
      <c r="CD198" s="197">
        <f>IF(BZ198&gt;25,4,IF(BZ198&gt;18,3,IF(BZ198&gt;12,2,IF(BZ198&gt;4,1,0))))-BX198-2+1</f>
        <v/>
      </c>
      <c r="CE198" s="49" t="n">
        <v>1</v>
      </c>
      <c r="CF198" s="197">
        <f>CD198*CI198</f>
        <v/>
      </c>
      <c r="CG198" s="198">
        <f>F198-BY198+1</f>
        <v/>
      </c>
      <c r="CH198" s="197">
        <f>CE198*16</f>
        <v/>
      </c>
      <c r="CI198" s="199">
        <f>VLOOKUP(A198,[1]DATA!$A$6:$AI$331,34,0)</f>
        <v/>
      </c>
      <c r="CJ198" s="200">
        <f>VLOOKUP(A198,[2]CHAMCONG!A$7:CI$333,79,0)</f>
        <v/>
      </c>
      <c r="CK198" s="201">
        <f>CJ198-CA198</f>
        <v/>
      </c>
    </row>
    <row r="199" ht="15.75" customFormat="1" customHeight="1" s="68">
      <c r="A199" s="139" t="n"/>
      <c r="B199" s="64" t="n"/>
      <c r="C199" s="115" t="n"/>
      <c r="D199" s="46" t="n"/>
      <c r="E199" s="47" t="n"/>
      <c r="F199" s="48" t="n"/>
      <c r="G199" s="49" t="n"/>
      <c r="H199" s="73" t="n"/>
      <c r="I199" s="49" t="n"/>
      <c r="J199" s="73" t="n"/>
      <c r="K199" s="73" t="n"/>
      <c r="L199" s="73" t="n"/>
      <c r="M199" s="73" t="n"/>
      <c r="N199" s="73" t="n"/>
      <c r="O199" s="50" t="n"/>
      <c r="P199" s="73" t="n"/>
      <c r="Q199" s="50" t="n"/>
      <c r="R199" s="67" t="n"/>
      <c r="S199" s="50" t="n"/>
      <c r="T199" s="73" t="n"/>
      <c r="U199" s="49" t="n"/>
      <c r="V199" s="73" t="n"/>
      <c r="W199" s="50" t="n"/>
      <c r="X199" s="73" t="n"/>
      <c r="Y199" s="50" t="n"/>
      <c r="Z199" s="73" t="n"/>
      <c r="AA199" s="73" t="n"/>
      <c r="AB199" s="73" t="n"/>
      <c r="AC199" s="73" t="n"/>
      <c r="AD199" s="73" t="n"/>
      <c r="AE199" s="73" t="n"/>
      <c r="AF199" s="73" t="n"/>
      <c r="AG199" s="73" t="n"/>
      <c r="AH199" s="73" t="n"/>
      <c r="AI199" s="73" t="n"/>
      <c r="AJ199" s="73" t="n"/>
      <c r="AK199" s="73" t="n"/>
      <c r="AL199" s="73" t="n"/>
      <c r="AM199" s="73" t="n"/>
      <c r="AN199" s="73" t="n"/>
      <c r="AO199" s="73" t="n"/>
      <c r="AP199" s="73" t="n"/>
      <c r="AQ199" s="73" t="n"/>
      <c r="AR199" s="73" t="n"/>
      <c r="AS199" s="49" t="n"/>
      <c r="AT199" s="73" t="n"/>
      <c r="AU199" s="73" t="n"/>
      <c r="AV199" s="73" t="n"/>
      <c r="AW199" s="73" t="n"/>
      <c r="AX199" s="73" t="n"/>
      <c r="AY199" s="73" t="n"/>
      <c r="AZ199" s="73" t="n"/>
      <c r="BA199" s="73" t="n"/>
      <c r="BB199" s="73" t="n"/>
      <c r="BC199" s="73" t="n"/>
      <c r="BD199" s="73" t="n"/>
      <c r="BE199" s="73" t="n"/>
      <c r="BF199" s="73" t="n"/>
      <c r="BG199" s="73" t="n"/>
      <c r="BH199" s="73" t="n"/>
      <c r="BI199" s="73" t="n"/>
      <c r="BJ199" s="73" t="n"/>
      <c r="BK199" s="73" t="n"/>
      <c r="BL199" s="73" t="n"/>
      <c r="BM199" s="73" t="n"/>
      <c r="BN199" s="73" t="n"/>
      <c r="BO199" s="73" t="n"/>
      <c r="BP199" s="73" t="n"/>
      <c r="BQ199" s="195">
        <f>COUNTIF($G199:$BP199,"a")+COUNTIF($G199:$BP199,"r0,a5")/2+COUNTIF($G199:$BP199,"p5,a5")/2</f>
        <v/>
      </c>
      <c r="BR199" s="195">
        <f>COUNTIF($G199:$BP199,"d")+COUNTIF($G199:$BP199,"r0,d5")/2+COUNTIF($G199:$BP199,"p5,d5")/2</f>
        <v/>
      </c>
      <c r="BS199" s="195">
        <f>COUNTIF($G199:$BP199,"b")+COUNTIF($G199:$BP199,"r0,b5")/2+COUNTIF($G199:$BP199,"p5,b5")/2</f>
        <v/>
      </c>
      <c r="BT199" s="195">
        <f>COUNTIF($G199:$BP199,"c")+COUNTIF($G199:$BP199,"r0,c5")/2+COUNTIF($G199:$BP199,"p5,c5")/2</f>
        <v/>
      </c>
      <c r="BU199" s="195">
        <f>COUNTIF($G199:$BP199,"KH")+COUNTIF($G199:$BP199,"TL")+COUNTIF($G199:$BP199,"L")</f>
        <v/>
      </c>
      <c r="BV199" s="202" t="n"/>
      <c r="BW199" s="195">
        <f>COUNTIF($G199:$BP199,"hh")</f>
        <v/>
      </c>
      <c r="BX199" s="195">
        <f>COUNTIF($G199:$BP199,"nt7")</f>
        <v/>
      </c>
      <c r="BY199" s="195">
        <f>COUNTIF($G199:$BP199,"P")+COUNTIF($G199:$BP199,"p5,a5")/2+COUNTIF($G199:$BP199,"p5,b5")/2+COUNTIF($G199:$BP199,"p5,c5")/2+COUNTIF($G199:$BP199,"p5,d5")/2</f>
        <v/>
      </c>
      <c r="BZ199" s="203">
        <f>SUBTOTAL(9,BQ199:BY199)</f>
        <v/>
      </c>
      <c r="CA199" s="54">
        <f>SUM(J199,L199,N199,P199,R199,T199,X199,Z199,AB199,AD199,AF199,AH199,AL199,AN199,AP199,AR199,AT199,AV199,AZ199,BB199,BD199,BF199,BH199,BP199)</f>
        <v/>
      </c>
      <c r="CB199" s="55">
        <f>SUM(H199,V199,AJ199,AX199,BL199)</f>
        <v/>
      </c>
      <c r="CC199" s="56">
        <f>SUM(BJ199,BN199)</f>
        <v/>
      </c>
      <c r="CD199" s="197">
        <f>IF(BZ199&gt;25,4,IF(BZ199&gt;18,3,IF(BZ199&gt;12,2,IF(BZ199&gt;4,1,0))))-BX199-2+1</f>
        <v/>
      </c>
      <c r="CE199" s="49" t="n"/>
      <c r="CF199" s="197">
        <f>CD199*CI199</f>
        <v/>
      </c>
      <c r="CG199" s="198">
        <f>F199-BY199+1</f>
        <v/>
      </c>
      <c r="CH199" s="197">
        <f>CE199*16</f>
        <v/>
      </c>
      <c r="CI199" s="199">
        <f>VLOOKUP(A199,[1]DATA!$A$6:$AI$331,34,0)</f>
        <v/>
      </c>
      <c r="CJ199" s="200">
        <f>VLOOKUP(A199,[2]CHAMCONG!A$7:CI$333,79,0)</f>
        <v/>
      </c>
      <c r="CK199" s="201">
        <f>CJ199-CA199</f>
        <v/>
      </c>
    </row>
    <row r="200" ht="15.75" customFormat="1" customHeight="1" s="68">
      <c r="A200" s="139" t="n"/>
      <c r="B200" s="64" t="n"/>
      <c r="C200" s="115" t="n"/>
      <c r="D200" s="46" t="n"/>
      <c r="E200" s="47" t="n"/>
      <c r="F200" s="48" t="n"/>
      <c r="G200" s="49" t="n"/>
      <c r="H200" s="73" t="n"/>
      <c r="I200" s="49" t="n"/>
      <c r="J200" s="73" t="n"/>
      <c r="K200" s="49" t="n"/>
      <c r="L200" s="73" t="n"/>
      <c r="M200" s="49" t="n"/>
      <c r="N200" s="73" t="n"/>
      <c r="O200" s="49" t="n"/>
      <c r="P200" s="73" t="n"/>
      <c r="Q200" s="49" t="n"/>
      <c r="R200" s="73" t="n"/>
      <c r="S200" s="49" t="n"/>
      <c r="T200" s="73" t="n"/>
      <c r="U200" s="49" t="n"/>
      <c r="V200" s="73" t="n"/>
      <c r="W200" s="49" t="n"/>
      <c r="X200" s="73" t="n"/>
      <c r="Y200" s="49" t="n"/>
      <c r="Z200" s="73" t="n"/>
      <c r="AA200" s="49" t="n"/>
      <c r="AB200" s="73" t="n"/>
      <c r="AC200" s="49" t="n"/>
      <c r="AD200" s="73" t="n"/>
      <c r="AE200" s="49" t="n"/>
      <c r="AF200" s="73" t="n"/>
      <c r="AG200" s="49" t="n"/>
      <c r="AH200" s="73" t="n"/>
      <c r="AI200" s="49" t="n"/>
      <c r="AJ200" s="73" t="n"/>
      <c r="AK200" s="49" t="n"/>
      <c r="AL200" s="73" t="n"/>
      <c r="AM200" s="49" t="n"/>
      <c r="AN200" s="73" t="n"/>
      <c r="AO200" s="73" t="n"/>
      <c r="AP200" s="73" t="n"/>
      <c r="AQ200" s="49" t="n"/>
      <c r="AR200" s="73" t="n"/>
      <c r="AS200" s="49" t="n"/>
      <c r="AT200" s="73" t="n"/>
      <c r="AU200" s="49" t="n"/>
      <c r="AV200" s="73" t="n"/>
      <c r="AW200" s="73" t="n"/>
      <c r="AX200" s="73" t="n"/>
      <c r="AY200" s="49" t="n"/>
      <c r="AZ200" s="73" t="n"/>
      <c r="BA200" s="49" t="n"/>
      <c r="BB200" s="73" t="n"/>
      <c r="BC200" s="73" t="n"/>
      <c r="BD200" s="73" t="n"/>
      <c r="BE200" s="49" t="n"/>
      <c r="BF200" s="73" t="n"/>
      <c r="BG200" s="49" t="n"/>
      <c r="BH200" s="73" t="n"/>
      <c r="BI200" s="73" t="n"/>
      <c r="BJ200" s="73" t="n"/>
      <c r="BK200" s="73" t="n"/>
      <c r="BL200" s="73" t="n"/>
      <c r="BM200" s="73" t="n"/>
      <c r="BN200" s="73" t="n"/>
      <c r="BO200" s="73" t="n"/>
      <c r="BP200" s="73" t="n"/>
      <c r="BQ200" s="195">
        <f>COUNTIF($G200:$BP200,"a")+COUNTIF($G200:$BP200,"r0,a5")/2+COUNTIF($G200:$BP200,"p5,a5")/2</f>
        <v/>
      </c>
      <c r="BR200" s="195">
        <f>COUNTIF($G200:$BP200,"d")+COUNTIF($G200:$BP200,"r0,d5")/2+COUNTIF($G200:$BP200,"p5,d5")/2</f>
        <v/>
      </c>
      <c r="BS200" s="195">
        <f>COUNTIF($G200:$BP200,"b")+COUNTIF($G200:$BP200,"r0,b5")/2+COUNTIF($G200:$BP200,"p5,b5")/2</f>
        <v/>
      </c>
      <c r="BT200" s="195">
        <f>COUNTIF($G200:$BP200,"c")+COUNTIF($G200:$BP200,"r0,c5")/2+COUNTIF($G200:$BP200,"p5,c5")/2</f>
        <v/>
      </c>
      <c r="BU200" s="195">
        <f>COUNTIF($G200:$BP200,"KH")+COUNTIF($G200:$BP200,"TL")+COUNTIF($G200:$BP200,"L")</f>
        <v/>
      </c>
      <c r="BV200" s="202" t="n"/>
      <c r="BW200" s="195">
        <f>COUNTIF($G200:$BP200,"hh")</f>
        <v/>
      </c>
      <c r="BX200" s="195">
        <f>COUNTIF($G200:$BP200,"nt7")</f>
        <v/>
      </c>
      <c r="BY200" s="195">
        <f>COUNTIF($G200:$BP200,"P")+COUNTIF($G200:$BP200,"p5,a5")/2+COUNTIF($G200:$BP200,"p5,b5")/2+COUNTIF($G200:$BP200,"p5,c5")/2+COUNTIF($G200:$BP200,"p5,d5")/2</f>
        <v/>
      </c>
      <c r="BZ200" s="203">
        <f>SUBTOTAL(9,BQ200:BY200)</f>
        <v/>
      </c>
      <c r="CA200" s="54">
        <f>SUM(J200,L200,N200,P200,R200,T200,X200,Z200,AB200,AD200,AF200,AH200,AL200,AN200,AP200,AR200,AT200,AV200,AZ200,BB200,BD200,BF200,BH200,BP200)</f>
        <v/>
      </c>
      <c r="CB200" s="55">
        <f>SUM(H200,V200,AJ200,AX200,BL200)</f>
        <v/>
      </c>
      <c r="CC200" s="56">
        <f>SUM(BJ200,BN200)</f>
        <v/>
      </c>
      <c r="CD200" s="197">
        <f>IF(BZ200&gt;25,4,IF(BZ200&gt;18,3,IF(BZ200&gt;12,2,IF(BZ200&gt;4,1,0))))-BX200-2+1</f>
        <v/>
      </c>
      <c r="CE200" s="49" t="n"/>
      <c r="CF200" s="197">
        <f>CD200*CI200</f>
        <v/>
      </c>
      <c r="CG200" s="198">
        <f>F200-BY200+1</f>
        <v/>
      </c>
      <c r="CH200" s="197">
        <f>CE200*16</f>
        <v/>
      </c>
      <c r="CI200" s="199">
        <f>VLOOKUP(A200,[1]DATA!$A$6:$AI$331,34,0)</f>
        <v/>
      </c>
      <c r="CJ200" s="200">
        <f>VLOOKUP(A200,[2]CHAMCONG!A$7:CI$333,79,0)</f>
        <v/>
      </c>
      <c r="CK200" s="201">
        <f>CJ200-CA200</f>
        <v/>
      </c>
      <c r="CL200" s="68" t="n"/>
      <c r="CM200" s="68" t="n"/>
    </row>
    <row r="201" ht="15.75" customFormat="1" customHeight="1" s="68">
      <c r="A201" s="139" t="n"/>
      <c r="B201" s="64" t="n"/>
      <c r="C201" s="115" t="n"/>
      <c r="D201" s="46" t="n"/>
      <c r="E201" s="47" t="n"/>
      <c r="F201" s="48" t="n"/>
      <c r="G201" s="49" t="n"/>
      <c r="H201" s="73" t="n"/>
      <c r="I201" s="49" t="n"/>
      <c r="J201" s="73" t="n"/>
      <c r="K201" s="49" t="n"/>
      <c r="L201" s="73" t="n"/>
      <c r="M201" s="49" t="n"/>
      <c r="N201" s="73" t="n"/>
      <c r="O201" s="49" t="n"/>
      <c r="P201" s="73" t="n"/>
      <c r="Q201" s="50" t="n"/>
      <c r="R201" s="67" t="n"/>
      <c r="S201" s="50" t="n"/>
      <c r="T201" s="73" t="n"/>
      <c r="U201" s="50" t="n"/>
      <c r="V201" s="73" t="n"/>
      <c r="W201" s="50" t="n"/>
      <c r="X201" s="73" t="n"/>
      <c r="Y201" s="50" t="n"/>
      <c r="Z201" s="73" t="n"/>
      <c r="AA201" s="50" t="n"/>
      <c r="AB201" s="73" t="n"/>
      <c r="AC201" s="50" t="n"/>
      <c r="AD201" s="73" t="n"/>
      <c r="AE201" s="73" t="n"/>
      <c r="AF201" s="73" t="n"/>
      <c r="AG201" s="73" t="n"/>
      <c r="AH201" s="73" t="n"/>
      <c r="AI201" s="73" t="n"/>
      <c r="AJ201" s="73" t="n"/>
      <c r="AK201" s="73" t="n"/>
      <c r="AL201" s="73" t="n"/>
      <c r="AM201" s="73" t="n"/>
      <c r="AN201" s="73" t="n"/>
      <c r="AO201" s="73" t="n"/>
      <c r="AP201" s="73" t="n"/>
      <c r="AQ201" s="73" t="n"/>
      <c r="AR201" s="73" t="n"/>
      <c r="AS201" s="73" t="n"/>
      <c r="AT201" s="73" t="n"/>
      <c r="AU201" s="73" t="n"/>
      <c r="AV201" s="73" t="n"/>
      <c r="AW201" s="73" t="n"/>
      <c r="AX201" s="73" t="n"/>
      <c r="AY201" s="73" t="n"/>
      <c r="AZ201" s="73" t="n"/>
      <c r="BA201" s="73" t="n"/>
      <c r="BB201" s="73" t="n"/>
      <c r="BC201" s="73" t="n"/>
      <c r="BD201" s="73" t="n"/>
      <c r="BE201" s="73" t="n"/>
      <c r="BF201" s="73" t="n"/>
      <c r="BG201" s="73" t="n"/>
      <c r="BH201" s="73" t="n"/>
      <c r="BI201" s="73" t="n"/>
      <c r="BJ201" s="73" t="n"/>
      <c r="BK201" s="73" t="n"/>
      <c r="BL201" s="73" t="n"/>
      <c r="BM201" s="73" t="n"/>
      <c r="BN201" s="73" t="n"/>
      <c r="BO201" s="73" t="n"/>
      <c r="BP201" s="73" t="n"/>
      <c r="BQ201" s="195">
        <f>COUNTIF($G201:$BP201,"a")+COUNTIF($G201:$BP201,"r0,a5")/2+COUNTIF($G201:$BP201,"p5,a5")/2</f>
        <v/>
      </c>
      <c r="BR201" s="195">
        <f>COUNTIF($G201:$BP201,"d")+COUNTIF($G201:$BP201,"r0,d5")/2+COUNTIF($G201:$BP201,"p5,d5")/2</f>
        <v/>
      </c>
      <c r="BS201" s="195">
        <f>COUNTIF($G201:$BP201,"b")+COUNTIF($G201:$BP201,"r0,b5")/2+COUNTIF($G201:$BP201,"p5,b5")/2</f>
        <v/>
      </c>
      <c r="BT201" s="195">
        <f>COUNTIF($G201:$BP201,"c")+COUNTIF($G201:$BP201,"r0,c5")/2+COUNTIF($G201:$BP201,"p5,c5")/2</f>
        <v/>
      </c>
      <c r="BU201" s="195">
        <f>COUNTIF($G201:$BP201,"KH")+COUNTIF($G201:$BP201,"TL")+COUNTIF($G201:$BP201,"L")</f>
        <v/>
      </c>
      <c r="BV201" s="202" t="n"/>
      <c r="BW201" s="195">
        <f>COUNTIF($G201:$BP201,"hh")</f>
        <v/>
      </c>
      <c r="BX201" s="195">
        <f>COUNTIF($G201:$BP201,"nt7")</f>
        <v/>
      </c>
      <c r="BY201" s="195">
        <f>COUNTIF($G201:$BP201,"P")+COUNTIF($G201:$BP201,"p5,a5")/2+COUNTIF($G201:$BP201,"p5,b5")/2+COUNTIF($G201:$BP201,"p5,c5")/2+COUNTIF($G201:$BP201,"p5,d5")/2</f>
        <v/>
      </c>
      <c r="BZ201" s="203">
        <f>SUBTOTAL(9,BQ201:BY201)</f>
        <v/>
      </c>
      <c r="CA201" s="54">
        <f>SUM(J201,L201,N201,P201,R201,T201,X201,Z201,AB201,AD201,AF201,AH201,AL201,AN201,AP201,AR201,AT201,AV201,AZ201,BB201,BD201,BF201,BH201,BP201)</f>
        <v/>
      </c>
      <c r="CB201" s="55">
        <f>SUM(H201,V201,AJ201,AX201,BL201)</f>
        <v/>
      </c>
      <c r="CC201" s="56">
        <f>SUM(BJ201,BN201)</f>
        <v/>
      </c>
      <c r="CD201" s="197">
        <f>IF(BZ201&gt;25,4,IF(BZ201&gt;18,3,IF(BZ201&gt;12,2,IF(BZ201&gt;4,1,0))))-BX201-2+1</f>
        <v/>
      </c>
      <c r="CE201" s="49" t="n"/>
      <c r="CF201" s="197">
        <f>CD201*CI201</f>
        <v/>
      </c>
      <c r="CG201" s="198">
        <f>F201-BY201+1</f>
        <v/>
      </c>
      <c r="CH201" s="197">
        <f>CE201*16</f>
        <v/>
      </c>
      <c r="CI201" s="199">
        <f>VLOOKUP(A201,[1]DATA!$A$6:$AI$331,34,0)</f>
        <v/>
      </c>
      <c r="CJ201" s="200">
        <f>VLOOKUP(A201,[2]CHAMCONG!A$7:CI$333,79,0)</f>
        <v/>
      </c>
      <c r="CK201" s="201">
        <f>CJ201-CA201</f>
        <v/>
      </c>
    </row>
    <row r="202" ht="15.75" customFormat="1" customHeight="1" s="68">
      <c r="A202" s="139" t="n"/>
      <c r="B202" s="64" t="n"/>
      <c r="C202" s="115" t="n"/>
      <c r="D202" s="46" t="n"/>
      <c r="E202" s="47" t="n"/>
      <c r="F202" s="48" t="n"/>
      <c r="G202" s="49" t="n"/>
      <c r="H202" s="73" t="n"/>
      <c r="I202" s="49" t="n"/>
      <c r="J202" s="73" t="n"/>
      <c r="K202" s="49" t="n"/>
      <c r="L202" s="73" t="n"/>
      <c r="M202" s="73" t="n"/>
      <c r="N202" s="73" t="n"/>
      <c r="O202" s="49" t="n"/>
      <c r="P202" s="73" t="n"/>
      <c r="Q202" s="49" t="n"/>
      <c r="R202" s="73" t="n"/>
      <c r="S202" s="49" t="n"/>
      <c r="T202" s="73" t="n"/>
      <c r="U202" s="49" t="n"/>
      <c r="V202" s="73" t="n"/>
      <c r="W202" s="49" t="n"/>
      <c r="X202" s="73" t="n"/>
      <c r="Y202" s="49" t="n"/>
      <c r="Z202" s="73" t="n"/>
      <c r="AA202" s="73" t="n"/>
      <c r="AB202" s="73" t="n"/>
      <c r="AC202" s="49" t="n"/>
      <c r="AD202" s="73" t="n"/>
      <c r="AE202" s="49" t="n"/>
      <c r="AF202" s="73" t="n"/>
      <c r="AG202" s="49" t="n"/>
      <c r="AH202" s="73" t="n"/>
      <c r="AI202" s="49" t="n"/>
      <c r="AJ202" s="73" t="n"/>
      <c r="AK202" s="49" t="n"/>
      <c r="AL202" s="73" t="n"/>
      <c r="AM202" s="49" t="n"/>
      <c r="AN202" s="73" t="n"/>
      <c r="AO202" s="73" t="n"/>
      <c r="AP202" s="73" t="n"/>
      <c r="AQ202" s="49" t="n"/>
      <c r="AR202" s="73" t="n"/>
      <c r="AS202" s="49" t="n"/>
      <c r="AT202" s="73" t="n"/>
      <c r="AU202" s="49" t="n"/>
      <c r="AV202" s="73" t="n"/>
      <c r="AW202" s="73" t="n"/>
      <c r="AX202" s="73" t="n"/>
      <c r="AY202" s="50" t="n"/>
      <c r="AZ202" s="73" t="n"/>
      <c r="BA202" s="50" t="n"/>
      <c r="BB202" s="73" t="n"/>
      <c r="BC202" s="73" t="n"/>
      <c r="BD202" s="73" t="n"/>
      <c r="BE202" s="50" t="n"/>
      <c r="BF202" s="73" t="n"/>
      <c r="BG202" s="50" t="n"/>
      <c r="BH202" s="73" t="n"/>
      <c r="BI202" s="50" t="n"/>
      <c r="BJ202" s="73" t="n"/>
      <c r="BK202" s="50" t="n"/>
      <c r="BL202" s="73" t="n"/>
      <c r="BM202" s="50" t="n"/>
      <c r="BN202" s="73" t="n"/>
      <c r="BO202" s="50" t="n"/>
      <c r="BP202" s="73" t="n"/>
      <c r="BQ202" s="195">
        <f>COUNTIF($G202:$BP202,"a")+COUNTIF($G202:$BP202,"r0,a5")/2+COUNTIF($G202:$BP202,"p5,a5")/2</f>
        <v/>
      </c>
      <c r="BR202" s="195">
        <f>COUNTIF($G202:$BP202,"d")+COUNTIF($G202:$BP202,"r0,d5")/2+COUNTIF($G202:$BP202,"p5,d5")/2</f>
        <v/>
      </c>
      <c r="BS202" s="195">
        <f>COUNTIF($G202:$BP202,"b")+COUNTIF($G202:$BP202,"r0,b5")/2+COUNTIF($G202:$BP202,"p5,b5")/2</f>
        <v/>
      </c>
      <c r="BT202" s="195">
        <f>COUNTIF($G202:$BP202,"c")+COUNTIF($G202:$BP202,"r0,c5")/2+COUNTIF($G202:$BP202,"p5,c5")/2</f>
        <v/>
      </c>
      <c r="BU202" s="195">
        <f>COUNTIF($G202:$BP202,"KH")+COUNTIF($G202:$BP202,"TL")+COUNTIF($G202:$BP202,"L")</f>
        <v/>
      </c>
      <c r="BV202" s="202" t="n"/>
      <c r="BW202" s="195">
        <f>COUNTIF($G202:$BP202,"hh")</f>
        <v/>
      </c>
      <c r="BX202" s="195">
        <f>COUNTIF($G202:$BP202,"nt7")</f>
        <v/>
      </c>
      <c r="BY202" s="195">
        <f>COUNTIF($G202:$BP202,"P")+COUNTIF($G202:$BP202,"p5,a5")/2+COUNTIF($G202:$BP202,"p5,b5")/2+COUNTIF($G202:$BP202,"p5,c5")/2+COUNTIF($G202:$BP202,"p5,d5")/2</f>
        <v/>
      </c>
      <c r="BZ202" s="203">
        <f>SUBTOTAL(9,BQ202:BY202)</f>
        <v/>
      </c>
      <c r="CA202" s="54">
        <f>SUM(J202,L202,N202,P202,R202,T202,X202,Z202,AB202,AD202,AF202,AH202,AL202,AN202,AP202,AR202,AT202,AV202,AZ202,BB202,BD202,BF202,BH202,BP202)</f>
        <v/>
      </c>
      <c r="CB202" s="55">
        <f>SUM(H202,V202,AJ202,AX202,BL202)</f>
        <v/>
      </c>
      <c r="CC202" s="56">
        <f>SUM(BJ202,BN202)</f>
        <v/>
      </c>
      <c r="CD202" s="197">
        <f>IF(BZ202&gt;25,4,IF(BZ202&gt;18,3,IF(BZ202&gt;12,2,IF(BZ202&gt;4,1,0))))-BX202-2+1</f>
        <v/>
      </c>
      <c r="CE202" s="49" t="n">
        <v>2</v>
      </c>
      <c r="CF202" s="197">
        <f>CD202*CI202</f>
        <v/>
      </c>
      <c r="CG202" s="198">
        <f>F202-BY202+1</f>
        <v/>
      </c>
      <c r="CH202" s="197">
        <f>CE202*16</f>
        <v/>
      </c>
      <c r="CI202" s="199">
        <f>VLOOKUP(A202,[1]DATA!$A$6:$AI$331,34,0)</f>
        <v/>
      </c>
      <c r="CJ202" s="200">
        <f>VLOOKUP(A202,[2]CHAMCONG!A$7:CI$333,79,0)</f>
        <v/>
      </c>
      <c r="CK202" s="201">
        <f>CJ202-CA202</f>
        <v/>
      </c>
    </row>
    <row r="203" ht="15.75" customFormat="1" customHeight="1" s="68">
      <c r="A203" s="139" t="n"/>
      <c r="B203" s="64" t="n"/>
      <c r="C203" s="115" t="n"/>
      <c r="D203" s="46" t="n"/>
      <c r="E203" s="47" t="n"/>
      <c r="F203" s="48" t="n"/>
      <c r="G203" s="49" t="n"/>
      <c r="H203" s="73" t="n"/>
      <c r="I203" s="50" t="n"/>
      <c r="J203" s="73" t="n"/>
      <c r="K203" s="50" t="n"/>
      <c r="L203" s="73" t="n"/>
      <c r="M203" s="73" t="n"/>
      <c r="N203" s="73" t="n"/>
      <c r="O203" s="73" t="n"/>
      <c r="P203" s="73" t="n"/>
      <c r="Q203" s="73" t="n"/>
      <c r="R203" s="73" t="n"/>
      <c r="S203" s="73" t="n"/>
      <c r="T203" s="73" t="n"/>
      <c r="U203" s="49" t="n"/>
      <c r="V203" s="73" t="n"/>
      <c r="W203" s="50" t="n"/>
      <c r="X203" s="73" t="n"/>
      <c r="Y203" s="73" t="n"/>
      <c r="Z203" s="73" t="n"/>
      <c r="AA203" s="73" t="n"/>
      <c r="AB203" s="73" t="n"/>
      <c r="AC203" s="73" t="n"/>
      <c r="AD203" s="73" t="n"/>
      <c r="AE203" s="73" t="n"/>
      <c r="AF203" s="73" t="n"/>
      <c r="AG203" s="73" t="n"/>
      <c r="AH203" s="73" t="n"/>
      <c r="AI203" s="73" t="n"/>
      <c r="AJ203" s="73" t="n"/>
      <c r="AK203" s="73" t="n"/>
      <c r="AL203" s="73" t="n"/>
      <c r="AM203" s="73" t="n"/>
      <c r="AN203" s="73" t="n"/>
      <c r="AO203" s="73" t="n"/>
      <c r="AP203" s="73" t="n"/>
      <c r="AQ203" s="73" t="n"/>
      <c r="AR203" s="73" t="n"/>
      <c r="AS203" s="73" t="n"/>
      <c r="AT203" s="73" t="n"/>
      <c r="AU203" s="73" t="n"/>
      <c r="AV203" s="73" t="n"/>
      <c r="AW203" s="73" t="n"/>
      <c r="AX203" s="73" t="n"/>
      <c r="AY203" s="73" t="n"/>
      <c r="AZ203" s="73" t="n"/>
      <c r="BA203" s="73" t="n"/>
      <c r="BB203" s="73" t="n"/>
      <c r="BC203" s="73" t="n"/>
      <c r="BD203" s="73" t="n"/>
      <c r="BE203" s="73" t="n"/>
      <c r="BF203" s="73" t="n"/>
      <c r="BG203" s="73" t="n"/>
      <c r="BH203" s="73" t="n"/>
      <c r="BI203" s="73" t="n"/>
      <c r="BJ203" s="73" t="n"/>
      <c r="BK203" s="73" t="n"/>
      <c r="BL203" s="73" t="n"/>
      <c r="BM203" s="73" t="n"/>
      <c r="BN203" s="73" t="n"/>
      <c r="BO203" s="73" t="n"/>
      <c r="BP203" s="73" t="n"/>
      <c r="BQ203" s="195">
        <f>COUNTIF($G203:$BP203,"a")+COUNTIF($G203:$BP203,"r0,a5")/2+COUNTIF($G203:$BP203,"p5,a5")/2</f>
        <v/>
      </c>
      <c r="BR203" s="195">
        <f>COUNTIF($G203:$BP203,"d")+COUNTIF($G203:$BP203,"r0,d5")/2+COUNTIF($G203:$BP203,"p5,d5")/2</f>
        <v/>
      </c>
      <c r="BS203" s="195">
        <f>COUNTIF($G203:$BP203,"b")+COUNTIF($G203:$BP203,"r0,b5")/2+COUNTIF($G203:$BP203,"p5,b5")/2</f>
        <v/>
      </c>
      <c r="BT203" s="195">
        <f>COUNTIF($G203:$BP203,"c")+COUNTIF($G203:$BP203,"r0,c5")/2+COUNTIF($G203:$BP203,"p5,c5")/2</f>
        <v/>
      </c>
      <c r="BU203" s="195">
        <f>COUNTIF($G203:$BP203,"KH")+COUNTIF($G203:$BP203,"TL")+COUNTIF($G203:$BP203,"L")</f>
        <v/>
      </c>
      <c r="BV203" s="202" t="n"/>
      <c r="BW203" s="195">
        <f>COUNTIF($G203:$BP203,"hh")</f>
        <v/>
      </c>
      <c r="BX203" s="195">
        <f>COUNTIF($G203:$BP203,"nt7")</f>
        <v/>
      </c>
      <c r="BY203" s="195">
        <f>COUNTIF($G203:$BP203,"P")+COUNTIF($G203:$BP203,"p5,a5")/2+COUNTIF($G203:$BP203,"p5,b5")/2+COUNTIF($G203:$BP203,"p5,c5")/2+COUNTIF($G203:$BP203,"p5,d5")/2</f>
        <v/>
      </c>
      <c r="BZ203" s="203">
        <f>SUBTOTAL(9,BQ203:BY203)</f>
        <v/>
      </c>
      <c r="CA203" s="54">
        <f>SUM(J203,L203,N203,P203,R203,T203,X203,Z203,AB203,AD203,AF203,AH203,AL203,AN203,AP203,AR203,AT203,AV203,AZ203,BB203,BD203,BF203,BH203,BP203)</f>
        <v/>
      </c>
      <c r="CB203" s="55">
        <f>SUM(H203,V203,AJ203,AX203,BL203)</f>
        <v/>
      </c>
      <c r="CC203" s="56">
        <f>SUM(BJ203,BN203)</f>
        <v/>
      </c>
      <c r="CD203" s="197">
        <f>IF(BZ203&gt;25,4,IF(BZ203&gt;18,3,IF(BZ203&gt;12,2,IF(BZ203&gt;4,1,0))))-BX203-2+1</f>
        <v/>
      </c>
      <c r="CE203" s="49" t="n"/>
      <c r="CF203" s="197">
        <f>CD203*CI203</f>
        <v/>
      </c>
      <c r="CG203" s="198">
        <f>F203-BY203+1</f>
        <v/>
      </c>
      <c r="CH203" s="197">
        <f>CE203*16</f>
        <v/>
      </c>
      <c r="CI203" s="199">
        <f>VLOOKUP(A203,[1]DATA!$A$6:$AI$331,34,0)</f>
        <v/>
      </c>
      <c r="CJ203" s="200">
        <f>VLOOKUP(A203,[2]CHAMCONG!A$7:CI$333,79,0)</f>
        <v/>
      </c>
      <c r="CK203" s="201">
        <f>CJ203-CA203</f>
        <v/>
      </c>
    </row>
    <row r="204" ht="15.75" customFormat="1" customHeight="1" s="68">
      <c r="A204" s="139" t="n"/>
      <c r="B204" s="64" t="n"/>
      <c r="C204" s="115" t="n"/>
      <c r="D204" s="46" t="n"/>
      <c r="E204" s="47" t="n"/>
      <c r="F204" s="48" t="n"/>
      <c r="G204" s="49" t="n"/>
      <c r="H204" s="73" t="n"/>
      <c r="I204" s="49" t="n"/>
      <c r="J204" s="73" t="n"/>
      <c r="K204" s="49" t="n"/>
      <c r="L204" s="73" t="n"/>
      <c r="M204" s="49" t="n"/>
      <c r="N204" s="73" t="n"/>
      <c r="O204" s="49" t="n"/>
      <c r="P204" s="73" t="n"/>
      <c r="Q204" s="49" t="n"/>
      <c r="R204" s="73" t="n"/>
      <c r="S204" s="49" t="n"/>
      <c r="T204" s="73" t="n"/>
      <c r="U204" s="49" t="n"/>
      <c r="V204" s="73" t="n"/>
      <c r="W204" s="49" t="n"/>
      <c r="X204" s="73" t="n"/>
      <c r="Y204" s="49" t="n"/>
      <c r="Z204" s="73" t="n"/>
      <c r="AA204" s="49" t="n"/>
      <c r="AB204" s="73" t="n"/>
      <c r="AC204" s="49" t="n"/>
      <c r="AD204" s="73" t="n"/>
      <c r="AE204" s="49" t="n"/>
      <c r="AF204" s="73" t="n"/>
      <c r="AG204" s="49" t="n"/>
      <c r="AH204" s="73" t="n"/>
      <c r="AI204" s="49" t="n"/>
      <c r="AJ204" s="73" t="n"/>
      <c r="AK204" s="49" t="n"/>
      <c r="AL204" s="73" t="n"/>
      <c r="AM204" s="49" t="n"/>
      <c r="AN204" s="73" t="n"/>
      <c r="AO204" s="49" t="n"/>
      <c r="AP204" s="73" t="n"/>
      <c r="AQ204" s="73" t="n"/>
      <c r="AR204" s="73" t="n"/>
      <c r="AS204" s="73" t="n"/>
      <c r="AT204" s="73" t="n"/>
      <c r="AU204" s="73" t="n"/>
      <c r="AV204" s="73" t="n"/>
      <c r="AW204" s="73" t="n"/>
      <c r="AX204" s="73" t="n"/>
      <c r="AY204" s="73" t="n"/>
      <c r="AZ204" s="73" t="n"/>
      <c r="BA204" s="73" t="n"/>
      <c r="BB204" s="73" t="n"/>
      <c r="BC204" s="73" t="n"/>
      <c r="BD204" s="73" t="n"/>
      <c r="BE204" s="73" t="n"/>
      <c r="BF204" s="73" t="n"/>
      <c r="BG204" s="73" t="n"/>
      <c r="BH204" s="73" t="n"/>
      <c r="BI204" s="73" t="n"/>
      <c r="BJ204" s="73" t="n"/>
      <c r="BK204" s="73" t="n"/>
      <c r="BL204" s="73" t="n"/>
      <c r="BM204" s="73" t="n"/>
      <c r="BN204" s="73" t="n"/>
      <c r="BO204" s="73" t="n"/>
      <c r="BP204" s="73" t="n"/>
      <c r="BQ204" s="195">
        <f>COUNTIF($G204:$BP204,"a")+COUNTIF($G204:$BP204,"r0,a5")/2+COUNTIF($G204:$BP204,"p5,a5")/2</f>
        <v/>
      </c>
      <c r="BR204" s="195">
        <f>COUNTIF($G204:$BP204,"d")+COUNTIF($G204:$BP204,"r0,d5")/2+COUNTIF($G204:$BP204,"p5,d5")/2</f>
        <v/>
      </c>
      <c r="BS204" s="195">
        <f>COUNTIF($G204:$BP204,"b")+COUNTIF($G204:$BP204,"r0,b5")/2+COUNTIF($G204:$BP204,"p5,b5")/2</f>
        <v/>
      </c>
      <c r="BT204" s="195">
        <f>COUNTIF($G204:$BP204,"c")+COUNTIF($G204:$BP204,"r0,c5")/2+COUNTIF($G204:$BP204,"p5,c5")/2</f>
        <v/>
      </c>
      <c r="BU204" s="195">
        <f>COUNTIF($G204:$BP204,"KH")+COUNTIF($G204:$BP204,"TL")+COUNTIF($G204:$BP204,"L")</f>
        <v/>
      </c>
      <c r="BV204" s="202" t="n"/>
      <c r="BW204" s="195">
        <f>COUNTIF($G204:$BP204,"hh")</f>
        <v/>
      </c>
      <c r="BX204" s="195">
        <f>COUNTIF($G204:$BP204,"nt7")</f>
        <v/>
      </c>
      <c r="BY204" s="195">
        <f>COUNTIF($G204:$BP204,"P")+COUNTIF($G204:$BP204,"p5,a5")/2+COUNTIF($G204:$BP204,"p5,b5")/2+COUNTIF($G204:$BP204,"p5,c5")/2+COUNTIF($G204:$BP204,"p5,d5")/2</f>
        <v/>
      </c>
      <c r="BZ204" s="203">
        <f>SUBTOTAL(9,BQ204:BY204)</f>
        <v/>
      </c>
      <c r="CA204" s="54">
        <f>SUM(J204,L204,N204,P204,R204,T204,X204,Z204,AB204,AD204,AF204,AH204,AL204,AN204,AP204,AR204,AT204,AV204,AZ204,BB204,BD204,BF204,BH204,BP204)</f>
        <v/>
      </c>
      <c r="CB204" s="55">
        <f>SUM(H204,V204,AJ204,AX204,BL204)</f>
        <v/>
      </c>
      <c r="CC204" s="56">
        <f>SUM(BJ204,BN204)</f>
        <v/>
      </c>
      <c r="CD204" s="197">
        <f>IF(BZ204&gt;25,4,IF(BZ204&gt;18,3,IF(BZ204&gt;12,2,IF(BZ204&gt;4,1,0))))-BX204-2+1</f>
        <v/>
      </c>
      <c r="CE204" s="49" t="n"/>
      <c r="CF204" s="197">
        <f>CD204*CI204</f>
        <v/>
      </c>
      <c r="CG204" s="198">
        <f>F204-BY204+1</f>
        <v/>
      </c>
      <c r="CH204" s="197">
        <f>CE204*16</f>
        <v/>
      </c>
      <c r="CI204" s="199">
        <f>VLOOKUP(A204,[1]DATA!$A$6:$AI$331,34,0)</f>
        <v/>
      </c>
      <c r="CJ204" s="200">
        <f>VLOOKUP(A204,[2]CHAMCONG!A$7:CI$333,79,0)</f>
        <v/>
      </c>
      <c r="CK204" s="201">
        <f>CJ204-CA204</f>
        <v/>
      </c>
    </row>
    <row r="205" ht="15.75" customFormat="1" customHeight="1" s="68">
      <c r="A205" s="139" t="n"/>
      <c r="B205" s="64" t="n"/>
      <c r="C205" s="115" t="n"/>
      <c r="D205" s="46" t="n"/>
      <c r="E205" s="47" t="n"/>
      <c r="F205" s="48" t="n"/>
      <c r="G205" s="49" t="n"/>
      <c r="H205" s="73" t="n"/>
      <c r="I205" s="49" t="n"/>
      <c r="J205" s="73" t="n"/>
      <c r="K205" s="49" t="n"/>
      <c r="L205" s="73" t="n"/>
      <c r="M205" s="49" t="n"/>
      <c r="N205" s="73" t="n"/>
      <c r="O205" s="49" t="n"/>
      <c r="P205" s="73" t="n"/>
      <c r="Q205" s="49" t="n"/>
      <c r="R205" s="73" t="n"/>
      <c r="S205" s="49" t="n"/>
      <c r="T205" s="73" t="n"/>
      <c r="U205" s="49" t="n"/>
      <c r="V205" s="73" t="n"/>
      <c r="W205" s="49" t="n"/>
      <c r="X205" s="73" t="n"/>
      <c r="Y205" s="49" t="n"/>
      <c r="Z205" s="73" t="n"/>
      <c r="AA205" s="73" t="n"/>
      <c r="AB205" s="73" t="n"/>
      <c r="AC205" s="50" t="n"/>
      <c r="AD205" s="73" t="n"/>
      <c r="AE205" s="50" t="n"/>
      <c r="AF205" s="67" t="n"/>
      <c r="AG205" s="49" t="n"/>
      <c r="AH205" s="73" t="n"/>
      <c r="AI205" s="49" t="n"/>
      <c r="AJ205" s="73" t="n"/>
      <c r="AK205" s="49" t="n"/>
      <c r="AL205" s="73" t="n"/>
      <c r="AM205" s="49" t="n"/>
      <c r="AN205" s="73" t="n"/>
      <c r="AO205" s="49" t="n"/>
      <c r="AP205" s="73" t="n"/>
      <c r="AQ205" s="73" t="n"/>
      <c r="AR205" s="73" t="n"/>
      <c r="AS205" s="73" t="n"/>
      <c r="AT205" s="73" t="n"/>
      <c r="AU205" s="73" t="n"/>
      <c r="AV205" s="73" t="n"/>
      <c r="AW205" s="73" t="n"/>
      <c r="AX205" s="73" t="n"/>
      <c r="AY205" s="73" t="n"/>
      <c r="AZ205" s="73" t="n"/>
      <c r="BA205" s="73" t="n"/>
      <c r="BB205" s="73" t="n"/>
      <c r="BC205" s="73" t="n"/>
      <c r="BD205" s="73" t="n"/>
      <c r="BE205" s="73" t="n"/>
      <c r="BF205" s="73" t="n"/>
      <c r="BG205" s="73" t="n"/>
      <c r="BH205" s="73" t="n"/>
      <c r="BI205" s="73" t="n"/>
      <c r="BJ205" s="73" t="n"/>
      <c r="BK205" s="73" t="n"/>
      <c r="BL205" s="73" t="n"/>
      <c r="BM205" s="73" t="n"/>
      <c r="BN205" s="73" t="n"/>
      <c r="BO205" s="73" t="n"/>
      <c r="BP205" s="73" t="n"/>
      <c r="BQ205" s="195">
        <f>COUNTIF($G205:$BP205,"a")+COUNTIF($G205:$BP205,"r0,a5")/2+COUNTIF($G205:$BP205,"p5,a5")/2</f>
        <v/>
      </c>
      <c r="BR205" s="195">
        <f>COUNTIF($G205:$BP205,"d")+COUNTIF($G205:$BP205,"r0,d5")/2+COUNTIF($G205:$BP205,"p5,d5")/2</f>
        <v/>
      </c>
      <c r="BS205" s="195">
        <f>COUNTIF($G205:$BP205,"b")+COUNTIF($G205:$BP205,"r0,b5")/2+COUNTIF($G205:$BP205,"p5,b5")/2</f>
        <v/>
      </c>
      <c r="BT205" s="195">
        <f>COUNTIF($G205:$BP205,"c")+COUNTIF($G205:$BP205,"r0,c5")/2+COUNTIF($G205:$BP205,"p5,c5")/2</f>
        <v/>
      </c>
      <c r="BU205" s="195">
        <f>COUNTIF($G205:$BP205,"KH")+COUNTIF($G205:$BP205,"TL")+COUNTIF($G205:$BP205,"L")</f>
        <v/>
      </c>
      <c r="BV205" s="202" t="n"/>
      <c r="BW205" s="195">
        <f>COUNTIF($G205:$BP205,"hh")</f>
        <v/>
      </c>
      <c r="BX205" s="195">
        <f>COUNTIF($G205:$BP205,"nt7")</f>
        <v/>
      </c>
      <c r="BY205" s="195">
        <f>COUNTIF($G205:$BP205,"P")+COUNTIF($G205:$BP205,"p5,a5")/2+COUNTIF($G205:$BP205,"p5,b5")/2+COUNTIF($G205:$BP205,"p5,c5")/2+COUNTIF($G205:$BP205,"p5,d5")/2</f>
        <v/>
      </c>
      <c r="BZ205" s="203">
        <f>SUBTOTAL(9,BQ205:BY205)</f>
        <v/>
      </c>
      <c r="CA205" s="54">
        <f>SUM(J205,L205,N205,P205,R205,T205,X205,Z205,AB205,AD205,AF205,AH205,AL205,AN205,AP205,AR205,AT205,AV205,AZ205,BB205,BD205,BF205,BH205,BP205)</f>
        <v/>
      </c>
      <c r="CB205" s="55">
        <f>SUM(H205,V205,AJ205,AX205,BL205)</f>
        <v/>
      </c>
      <c r="CC205" s="56">
        <f>SUM(BJ205,BN205)</f>
        <v/>
      </c>
      <c r="CD205" s="197">
        <f>IF(BZ205&gt;25,4,IF(BZ205&gt;18,3,IF(BZ205&gt;12,2,IF(BZ205&gt;4,1,0))))-BX205-2+1</f>
        <v/>
      </c>
      <c r="CE205" s="49" t="n">
        <v>1</v>
      </c>
      <c r="CF205" s="197">
        <f>CD205*CI205</f>
        <v/>
      </c>
      <c r="CG205" s="198">
        <f>F205-BY205+1</f>
        <v/>
      </c>
      <c r="CH205" s="197">
        <f>CE205*16</f>
        <v/>
      </c>
      <c r="CI205" s="199">
        <f>VLOOKUP(A205,[1]DATA!$A$6:$AI$331,34,0)</f>
        <v/>
      </c>
      <c r="CJ205" s="200">
        <f>VLOOKUP(A205,[2]CHAMCONG!A$7:CI$333,79,0)</f>
        <v/>
      </c>
      <c r="CK205" s="201">
        <f>CJ205-CA205</f>
        <v/>
      </c>
    </row>
    <row r="206" ht="15.75" customFormat="1" customHeight="1" s="68">
      <c r="A206" s="69" t="n"/>
      <c r="B206" s="64" t="n"/>
      <c r="C206" s="115" t="n"/>
      <c r="D206" s="46" t="n"/>
      <c r="E206" s="47" t="n"/>
      <c r="F206" s="48" t="n"/>
      <c r="G206" s="49" t="n"/>
      <c r="H206" s="73" t="n"/>
      <c r="I206" s="50" t="n"/>
      <c r="J206" s="73" t="n"/>
      <c r="K206" s="50" t="n"/>
      <c r="L206" s="73" t="n"/>
      <c r="M206" s="50" t="n"/>
      <c r="N206" s="73" t="n"/>
      <c r="O206" s="50" t="n"/>
      <c r="P206" s="73" t="n"/>
      <c r="Q206" s="50" t="n"/>
      <c r="R206" s="67" t="n"/>
      <c r="S206" s="50" t="n"/>
      <c r="T206" s="73" t="n"/>
      <c r="U206" s="49" t="n"/>
      <c r="V206" s="73" t="n"/>
      <c r="W206" s="49" t="n"/>
      <c r="X206" s="73" t="n"/>
      <c r="Y206" s="49" t="n"/>
      <c r="Z206" s="73" t="n"/>
      <c r="AA206" s="49" t="n"/>
      <c r="AB206" s="73" t="n"/>
      <c r="AC206" s="49" t="n"/>
      <c r="AD206" s="73" t="n"/>
      <c r="AE206" s="49" t="n"/>
      <c r="AF206" s="73" t="n"/>
      <c r="AG206" s="49" t="n"/>
      <c r="AH206" s="73" t="n"/>
      <c r="AI206" s="49" t="n"/>
      <c r="AJ206" s="73" t="n"/>
      <c r="AK206" s="73" t="n"/>
      <c r="AL206" s="73" t="n"/>
      <c r="AM206" s="73" t="n"/>
      <c r="AN206" s="73" t="n"/>
      <c r="AO206" s="73" t="n"/>
      <c r="AP206" s="73" t="n"/>
      <c r="AQ206" s="73" t="n"/>
      <c r="AR206" s="73" t="n"/>
      <c r="AS206" s="73" t="n"/>
      <c r="AT206" s="73" t="n"/>
      <c r="AU206" s="73" t="n"/>
      <c r="AV206" s="73" t="n"/>
      <c r="AW206" s="49" t="n"/>
      <c r="AX206" s="73" t="n"/>
      <c r="AY206" s="73" t="n"/>
      <c r="AZ206" s="73" t="n"/>
      <c r="BA206" s="73" t="n"/>
      <c r="BB206" s="73" t="n"/>
      <c r="BC206" s="73" t="n"/>
      <c r="BD206" s="73" t="n"/>
      <c r="BE206" s="73" t="n"/>
      <c r="BF206" s="73" t="n"/>
      <c r="BG206" s="73" t="n"/>
      <c r="BH206" s="73" t="n"/>
      <c r="BI206" s="73" t="n"/>
      <c r="BJ206" s="73" t="n"/>
      <c r="BK206" s="73" t="n"/>
      <c r="BL206" s="73" t="n"/>
      <c r="BM206" s="73" t="n"/>
      <c r="BN206" s="73" t="n"/>
      <c r="BO206" s="73" t="n"/>
      <c r="BP206" s="73" t="n"/>
      <c r="BQ206" s="195">
        <f>COUNTIF($G206:$BP206,"a")+COUNTIF($G206:$BP206,"r0,a5")/2+COUNTIF($G206:$BP206,"p5,a5")/2</f>
        <v/>
      </c>
      <c r="BR206" s="195">
        <f>COUNTIF($G206:$BP206,"d")+COUNTIF($G206:$BP206,"r0,d5")/2+COUNTIF($G206:$BP206,"p5,d5")/2</f>
        <v/>
      </c>
      <c r="BS206" s="195">
        <f>COUNTIF($G206:$BP206,"b")+COUNTIF($G206:$BP206,"r0,b5")/2+COUNTIF($G206:$BP206,"p5,b5")/2</f>
        <v/>
      </c>
      <c r="BT206" s="195">
        <f>COUNTIF($G206:$BP206,"c")+COUNTIF($G206:$BP206,"r0,c5")/2+COUNTIF($G206:$BP206,"p5,c5")/2</f>
        <v/>
      </c>
      <c r="BU206" s="195">
        <f>COUNTIF($G206:$BP206,"KH")+COUNTIF($G206:$BP206,"TL")+COUNTIF($G206:$BP206,"L")</f>
        <v/>
      </c>
      <c r="BV206" s="202" t="n"/>
      <c r="BW206" s="195">
        <f>COUNTIF($G206:$BP206,"hh")</f>
        <v/>
      </c>
      <c r="BX206" s="195">
        <f>COUNTIF($G206:$BP206,"nt7")</f>
        <v/>
      </c>
      <c r="BY206" s="195">
        <f>COUNTIF($G206:$BP206,"P")+COUNTIF($G206:$BP206,"p5,a5")/2+COUNTIF($G206:$BP206,"p5,b5")/2+COUNTIF($G206:$BP206,"p5,c5")/2+COUNTIF($G206:$BP206,"p5,d5")/2</f>
        <v/>
      </c>
      <c r="BZ206" s="203">
        <f>SUBTOTAL(9,BQ206:BY206)</f>
        <v/>
      </c>
      <c r="CA206" s="54">
        <f>SUM(J206,L206,N206,P206,R206,T206,X206,Z206,AB206,AD206,AF206,AH206,AL206,AN206,AP206,AR206,AT206,AV206,AZ206,BB206,BD206,BF206,BH206,BP206)</f>
        <v/>
      </c>
      <c r="CB206" s="55">
        <f>SUM(H206,V206,AJ206,AX206,BL206)</f>
        <v/>
      </c>
      <c r="CC206" s="56">
        <f>SUM(BJ206,BN206)</f>
        <v/>
      </c>
      <c r="CD206" s="197">
        <f>IF(BZ206&gt;25,4,IF(BZ206&gt;18,3,IF(BZ206&gt;12,2,IF(BZ206&gt;4,1,0))))-BX206-2+1</f>
        <v/>
      </c>
      <c r="CE206" s="49" t="n">
        <v>1</v>
      </c>
      <c r="CF206" s="197">
        <f>CD206*CI206</f>
        <v/>
      </c>
      <c r="CG206" s="198">
        <f>F206-BY206+1</f>
        <v/>
      </c>
      <c r="CH206" s="197">
        <f>CE206*16</f>
        <v/>
      </c>
      <c r="CI206" s="199">
        <f>VLOOKUP(A206,[1]DATA!$A$6:$AI$331,34,0)</f>
        <v/>
      </c>
      <c r="CJ206" s="200">
        <f>VLOOKUP(A206,[2]CHAMCONG!A$7:CI$333,79,0)</f>
        <v/>
      </c>
      <c r="CK206" s="201">
        <f>CJ206-CA206</f>
        <v/>
      </c>
    </row>
    <row r="207" ht="15.75" customFormat="1" customHeight="1" s="68">
      <c r="A207" s="69" t="n"/>
      <c r="B207" s="64" t="n"/>
      <c r="C207" s="115" t="n"/>
      <c r="D207" s="46" t="n"/>
      <c r="E207" s="47" t="n"/>
      <c r="F207" s="48" t="n"/>
      <c r="G207" s="49" t="n"/>
      <c r="H207" s="73" t="n"/>
      <c r="I207" s="49" t="n"/>
      <c r="J207" s="73" t="n"/>
      <c r="K207" s="49" t="n"/>
      <c r="L207" s="73" t="n"/>
      <c r="M207" s="49" t="n"/>
      <c r="N207" s="73" t="n"/>
      <c r="O207" s="49" t="n"/>
      <c r="P207" s="73" t="n"/>
      <c r="Q207" s="50" t="n"/>
      <c r="R207" s="67" t="n"/>
      <c r="S207" s="50" t="n"/>
      <c r="T207" s="73" t="n"/>
      <c r="U207" s="50" t="n"/>
      <c r="V207" s="73" t="n"/>
      <c r="W207" s="50" t="n"/>
      <c r="X207" s="73" t="n"/>
      <c r="Y207" s="50" t="n"/>
      <c r="Z207" s="73" t="n"/>
      <c r="AA207" s="50" t="n"/>
      <c r="AB207" s="73" t="n"/>
      <c r="AC207" s="50" t="n"/>
      <c r="AD207" s="73" t="n"/>
      <c r="AE207" s="73" t="n"/>
      <c r="AF207" s="73" t="n"/>
      <c r="AG207" s="73" t="n"/>
      <c r="AH207" s="73" t="n"/>
      <c r="AI207" s="73" t="n"/>
      <c r="AJ207" s="73" t="n"/>
      <c r="AK207" s="73" t="n"/>
      <c r="AL207" s="73" t="n"/>
      <c r="AM207" s="73" t="n"/>
      <c r="AN207" s="73" t="n"/>
      <c r="AO207" s="73" t="n"/>
      <c r="AP207" s="73" t="n"/>
      <c r="AQ207" s="73" t="n"/>
      <c r="AR207" s="73" t="n"/>
      <c r="AS207" s="73" t="n"/>
      <c r="AT207" s="73" t="n"/>
      <c r="AU207" s="73" t="n"/>
      <c r="AV207" s="73" t="n"/>
      <c r="AW207" s="73" t="n"/>
      <c r="AX207" s="73" t="n"/>
      <c r="AY207" s="73" t="n"/>
      <c r="AZ207" s="73" t="n"/>
      <c r="BA207" s="73" t="n"/>
      <c r="BB207" s="73" t="n"/>
      <c r="BC207" s="73" t="n"/>
      <c r="BD207" s="73" t="n"/>
      <c r="BE207" s="73" t="n"/>
      <c r="BF207" s="73" t="n"/>
      <c r="BG207" s="73" t="n"/>
      <c r="BH207" s="73" t="n"/>
      <c r="BI207" s="73" t="n"/>
      <c r="BJ207" s="73" t="n"/>
      <c r="BK207" s="73" t="n"/>
      <c r="BL207" s="73" t="n"/>
      <c r="BM207" s="73" t="n"/>
      <c r="BN207" s="73" t="n"/>
      <c r="BO207" s="73" t="n"/>
      <c r="BP207" s="73" t="n"/>
      <c r="BQ207" s="195">
        <f>COUNTIF($G207:$BP207,"a")+COUNTIF($G207:$BP207,"r0,a5")/2+COUNTIF($G207:$BP207,"p5,a5")/2</f>
        <v/>
      </c>
      <c r="BR207" s="195">
        <f>COUNTIF($G207:$BP207,"d")+COUNTIF($G207:$BP207,"r0,d5")/2+COUNTIF($G207:$BP207,"p5,d5")/2</f>
        <v/>
      </c>
      <c r="BS207" s="195">
        <f>COUNTIF($G207:$BP207,"b")+COUNTIF($G207:$BP207,"r0,b5")/2+COUNTIF($G207:$BP207,"p5,b5")/2</f>
        <v/>
      </c>
      <c r="BT207" s="195">
        <f>COUNTIF($G207:$BP207,"c")+COUNTIF($G207:$BP207,"r0,c5")/2+COUNTIF($G207:$BP207,"p5,c5")/2</f>
        <v/>
      </c>
      <c r="BU207" s="195">
        <f>COUNTIF($G207:$BP207,"KH")+COUNTIF($G207:$BP207,"TL")+COUNTIF($G207:$BP207,"L")</f>
        <v/>
      </c>
      <c r="BV207" s="202" t="n"/>
      <c r="BW207" s="195">
        <f>COUNTIF($G207:$BP207,"hh")</f>
        <v/>
      </c>
      <c r="BX207" s="195">
        <f>COUNTIF($G207:$BP207,"nt7")</f>
        <v/>
      </c>
      <c r="BY207" s="195">
        <f>COUNTIF($G207:$BP207,"P")+COUNTIF($G207:$BP207,"p5,a5")/2+COUNTIF($G207:$BP207,"p5,b5")/2+COUNTIF($G207:$BP207,"p5,c5")/2+COUNTIF($G207:$BP207,"p5,d5")/2</f>
        <v/>
      </c>
      <c r="BZ207" s="203">
        <f>SUBTOTAL(9,BQ207:BY207)</f>
        <v/>
      </c>
      <c r="CA207" s="54">
        <f>SUM(J207,L207,N207,P207,R207,T207,X207,Z207,AB207,AD207,AF207,AH207,AL207,AN207,AP207,AR207,AT207,AV207,AZ207,BB207,BD207,BF207,BH207,BP207)</f>
        <v/>
      </c>
      <c r="CB207" s="55">
        <f>SUM(H207,V207,AJ207,AX207,BL207)</f>
        <v/>
      </c>
      <c r="CC207" s="56">
        <f>SUM(BJ207,BN207)</f>
        <v/>
      </c>
      <c r="CD207" s="197">
        <f>IF(BZ207&gt;25,4,IF(BZ207&gt;18,3,IF(BZ207&gt;12,2,IF(BZ207&gt;4,1,0))))-BX207-2+1</f>
        <v/>
      </c>
      <c r="CE207" s="49" t="n">
        <v>1</v>
      </c>
      <c r="CF207" s="197">
        <f>CD207*CI207</f>
        <v/>
      </c>
      <c r="CG207" s="198">
        <f>F207-BY207+1</f>
        <v/>
      </c>
      <c r="CH207" s="197">
        <f>CE207*16</f>
        <v/>
      </c>
      <c r="CI207" s="199">
        <f>VLOOKUP(A207,[1]DATA!$A$6:$AI$331,34,0)</f>
        <v/>
      </c>
      <c r="CJ207" s="200">
        <f>VLOOKUP(A207,[2]CHAMCONG!A$7:CI$333,79,0)</f>
        <v/>
      </c>
      <c r="CK207" s="201">
        <f>CJ207-CA207</f>
        <v/>
      </c>
    </row>
    <row r="208" ht="15.75" customFormat="1" customHeight="1" s="68">
      <c r="A208" s="69" t="n"/>
      <c r="B208" s="64" t="n"/>
      <c r="C208" s="115" t="n"/>
      <c r="D208" s="46" t="n"/>
      <c r="E208" s="47" t="n"/>
      <c r="F208" s="48" t="n"/>
      <c r="G208" s="49" t="n"/>
      <c r="H208" s="73" t="n"/>
      <c r="I208" s="49" t="n"/>
      <c r="J208" s="73" t="n"/>
      <c r="K208" s="49" t="n"/>
      <c r="L208" s="73" t="n"/>
      <c r="M208" s="49" t="n"/>
      <c r="N208" s="73" t="n"/>
      <c r="O208" s="50" t="n"/>
      <c r="P208" s="73" t="n"/>
      <c r="Q208" s="50" t="n"/>
      <c r="R208" s="67" t="n"/>
      <c r="S208" s="50" t="n"/>
      <c r="T208" s="73" t="n"/>
      <c r="U208" s="50" t="n"/>
      <c r="V208" s="73" t="n"/>
      <c r="W208" s="50" t="n"/>
      <c r="X208" s="73" t="n"/>
      <c r="Y208" s="50" t="n"/>
      <c r="Z208" s="73" t="n"/>
      <c r="AA208" s="50" t="n"/>
      <c r="AB208" s="73" t="n"/>
      <c r="AC208" s="50" t="n"/>
      <c r="AD208" s="73" t="n"/>
      <c r="AE208" s="73" t="n"/>
      <c r="AF208" s="73" t="n"/>
      <c r="AG208" s="73" t="n"/>
      <c r="AH208" s="73" t="n"/>
      <c r="AI208" s="73" t="n"/>
      <c r="AJ208" s="73" t="n"/>
      <c r="AK208" s="73" t="n"/>
      <c r="AL208" s="73" t="n"/>
      <c r="AM208" s="73" t="n"/>
      <c r="AN208" s="73" t="n"/>
      <c r="AO208" s="73" t="n"/>
      <c r="AP208" s="73" t="n"/>
      <c r="AQ208" s="73" t="n"/>
      <c r="AR208" s="73" t="n"/>
      <c r="AS208" s="73" t="n"/>
      <c r="AT208" s="73" t="n"/>
      <c r="AU208" s="73" t="n"/>
      <c r="AV208" s="73" t="n"/>
      <c r="AW208" s="73" t="n"/>
      <c r="AX208" s="73" t="n"/>
      <c r="AY208" s="73" t="n"/>
      <c r="AZ208" s="73" t="n"/>
      <c r="BA208" s="73" t="n"/>
      <c r="BB208" s="73" t="n"/>
      <c r="BC208" s="73" t="n"/>
      <c r="BD208" s="73" t="n"/>
      <c r="BE208" s="73" t="n"/>
      <c r="BF208" s="73" t="n"/>
      <c r="BG208" s="73" t="n"/>
      <c r="BH208" s="73" t="n"/>
      <c r="BI208" s="73" t="n"/>
      <c r="BJ208" s="73" t="n"/>
      <c r="BK208" s="73" t="n"/>
      <c r="BL208" s="73" t="n"/>
      <c r="BM208" s="73" t="n"/>
      <c r="BN208" s="73" t="n"/>
      <c r="BO208" s="73" t="n"/>
      <c r="BP208" s="73" t="n"/>
      <c r="BQ208" s="195">
        <f>COUNTIF($G208:$BP208,"a")+COUNTIF($G208:$BP208,"r0,a5")/2+COUNTIF($G208:$BP208,"p5,a5")/2</f>
        <v/>
      </c>
      <c r="BR208" s="195">
        <f>COUNTIF($G208:$BP208,"d")+COUNTIF($G208:$BP208,"r0,d5")/2+COUNTIF($G208:$BP208,"p5,d5")/2</f>
        <v/>
      </c>
      <c r="BS208" s="195">
        <f>COUNTIF($G208:$BP208,"b")+COUNTIF($G208:$BP208,"r0,b5")/2+COUNTIF($G208:$BP208,"p5,b5")/2</f>
        <v/>
      </c>
      <c r="BT208" s="195">
        <f>COUNTIF($G208:$BP208,"c")+COUNTIF($G208:$BP208,"r0,c5")/2+COUNTIF($G208:$BP208,"p5,c5")/2</f>
        <v/>
      </c>
      <c r="BU208" s="195">
        <f>COUNTIF($G208:$BP208,"KH")+COUNTIF($G208:$BP208,"TL")+COUNTIF($G208:$BP208,"L")</f>
        <v/>
      </c>
      <c r="BV208" s="202" t="n"/>
      <c r="BW208" s="195">
        <f>COUNTIF($G208:$BP208,"hh")</f>
        <v/>
      </c>
      <c r="BX208" s="195">
        <f>COUNTIF($G208:$BP208,"nt7")</f>
        <v/>
      </c>
      <c r="BY208" s="195">
        <f>COUNTIF($G208:$BP208,"P")+COUNTIF($G208:$BP208,"p5,a5")/2+COUNTIF($G208:$BP208,"p5,b5")/2+COUNTIF($G208:$BP208,"p5,c5")/2+COUNTIF($G208:$BP208,"p5,d5")/2</f>
        <v/>
      </c>
      <c r="BZ208" s="203">
        <f>SUBTOTAL(9,BQ208:BY208)</f>
        <v/>
      </c>
      <c r="CA208" s="54">
        <f>SUM(J208,L208,N208,P208,R208,T208,X208,Z208,AB208,AD208,AF208,AH208,AL208,AN208,AP208,AR208,AT208,AV208,AZ208,BB208,BD208,BF208,BH208,BP208)</f>
        <v/>
      </c>
      <c r="CB208" s="55">
        <f>SUM(H208,V208,AJ208,AX208,BL208)</f>
        <v/>
      </c>
      <c r="CC208" s="56">
        <f>SUM(BJ208,BN208)</f>
        <v/>
      </c>
      <c r="CD208" s="197">
        <f>IF(BZ208&gt;25,4,IF(BZ208&gt;18,3,IF(BZ208&gt;12,2,IF(BZ208&gt;4,1,0))))-BX208-2+1</f>
        <v/>
      </c>
      <c r="CE208" s="49" t="n">
        <v>1</v>
      </c>
      <c r="CF208" s="197">
        <f>CD208*CI208</f>
        <v/>
      </c>
      <c r="CG208" s="198">
        <f>F208-BY208+1</f>
        <v/>
      </c>
      <c r="CH208" s="197">
        <f>CE208*16</f>
        <v/>
      </c>
      <c r="CI208" s="199">
        <f>VLOOKUP(A208,[1]DATA!$A$6:$AI$331,34,0)</f>
        <v/>
      </c>
      <c r="CJ208" s="200">
        <f>VLOOKUP(A208,[2]CHAMCONG!A$7:CI$333,79,0)</f>
        <v/>
      </c>
      <c r="CK208" s="201">
        <f>CJ208-CA208</f>
        <v/>
      </c>
    </row>
    <row r="209" ht="15.75" customFormat="1" customHeight="1" s="68">
      <c r="A209" s="139" t="n"/>
      <c r="B209" s="64" t="n"/>
      <c r="C209" s="115" t="n"/>
      <c r="D209" s="46" t="n"/>
      <c r="E209" s="47" t="n"/>
      <c r="F209" s="48" t="n"/>
      <c r="G209" s="49" t="n"/>
      <c r="H209" s="73" t="n"/>
      <c r="I209" s="73" t="n"/>
      <c r="J209" s="73" t="n"/>
      <c r="K209" s="73" t="n"/>
      <c r="L209" s="73" t="n"/>
      <c r="M209" s="73" t="n"/>
      <c r="N209" s="73" t="n"/>
      <c r="O209" s="73" t="n"/>
      <c r="P209" s="73" t="n"/>
      <c r="Q209" s="50" t="n"/>
      <c r="R209" s="67" t="n"/>
      <c r="S209" s="50" t="n"/>
      <c r="T209" s="73" t="n"/>
      <c r="U209" s="50" t="n"/>
      <c r="V209" s="73" t="n"/>
      <c r="W209" s="50" t="n"/>
      <c r="X209" s="73" t="n"/>
      <c r="Y209" s="50" t="n"/>
      <c r="Z209" s="73" t="n"/>
      <c r="AA209" s="50" t="n"/>
      <c r="AB209" s="73" t="n"/>
      <c r="AC209" s="50" t="n"/>
      <c r="AD209" s="73" t="n"/>
      <c r="AE209" s="49" t="n"/>
      <c r="AF209" s="73" t="n"/>
      <c r="AG209" s="73" t="n"/>
      <c r="AH209" s="73" t="n"/>
      <c r="AI209" s="73" t="n"/>
      <c r="AJ209" s="73" t="n"/>
      <c r="AK209" s="73" t="n"/>
      <c r="AL209" s="73" t="n"/>
      <c r="AM209" s="73" t="n"/>
      <c r="AN209" s="73" t="n"/>
      <c r="AO209" s="73" t="n"/>
      <c r="AP209" s="73" t="n"/>
      <c r="AQ209" s="73" t="n"/>
      <c r="AR209" s="73" t="n"/>
      <c r="AS209" s="73" t="n"/>
      <c r="AT209" s="73" t="n"/>
      <c r="AU209" s="73" t="n"/>
      <c r="AV209" s="73" t="n"/>
      <c r="AW209" s="73" t="n"/>
      <c r="AX209" s="73" t="n"/>
      <c r="AY209" s="73" t="n"/>
      <c r="AZ209" s="73" t="n"/>
      <c r="BA209" s="73" t="n"/>
      <c r="BB209" s="73" t="n"/>
      <c r="BC209" s="73" t="n"/>
      <c r="BD209" s="73" t="n"/>
      <c r="BE209" s="73" t="n"/>
      <c r="BF209" s="73" t="n"/>
      <c r="BG209" s="73" t="n"/>
      <c r="BH209" s="73" t="n"/>
      <c r="BI209" s="73" t="n"/>
      <c r="BJ209" s="73" t="n"/>
      <c r="BK209" s="73" t="n"/>
      <c r="BL209" s="73" t="n"/>
      <c r="BM209" s="73" t="n"/>
      <c r="BN209" s="73" t="n"/>
      <c r="BO209" s="73" t="n"/>
      <c r="BP209" s="73" t="n"/>
      <c r="BQ209" s="195">
        <f>COUNTIF($G209:$BP209,"a")+COUNTIF($G209:$BP209,"r0,a5")/2+COUNTIF($G209:$BP209,"p5,a5")/2</f>
        <v/>
      </c>
      <c r="BR209" s="195">
        <f>COUNTIF($G209:$BP209,"d")+COUNTIF($G209:$BP209,"r0,d5")/2+COUNTIF($G209:$BP209,"p5,d5")/2</f>
        <v/>
      </c>
      <c r="BS209" s="195">
        <f>COUNTIF($G209:$BP209,"b")+COUNTIF($G209:$BP209,"r0,b5")/2+COUNTIF($G209:$BP209,"p5,b5")/2</f>
        <v/>
      </c>
      <c r="BT209" s="195">
        <f>COUNTIF($G209:$BP209,"c")+COUNTIF($G209:$BP209,"r0,c5")/2+COUNTIF($G209:$BP209,"p5,c5")/2</f>
        <v/>
      </c>
      <c r="BU209" s="195">
        <f>COUNTIF($G209:$BP209,"KH")+COUNTIF($G209:$BP209,"TL")+COUNTIF($G209:$BP209,"L")</f>
        <v/>
      </c>
      <c r="BV209" s="202" t="n"/>
      <c r="BW209" s="195">
        <f>COUNTIF($G209:$BP209,"hh")</f>
        <v/>
      </c>
      <c r="BX209" s="195">
        <f>COUNTIF($G209:$BP209,"nt7")</f>
        <v/>
      </c>
      <c r="BY209" s="195">
        <f>COUNTIF($G209:$BP209,"P")+COUNTIF($G209:$BP209,"p5,a5")/2+COUNTIF($G209:$BP209,"p5,b5")/2+COUNTIF($G209:$BP209,"p5,c5")/2+COUNTIF($G209:$BP209,"p5,d5")/2</f>
        <v/>
      </c>
      <c r="BZ209" s="203">
        <f>SUBTOTAL(9,BQ209:BY209)</f>
        <v/>
      </c>
      <c r="CA209" s="54">
        <f>SUM(J209,L209,N209,P209,R209,T209,X209,Z209,AB209,AD209,AF209,AH209,AL209,AN209,AP209,AR209,AT209,AV209,AZ209,BB209,BD209,BF209,BH209,BP209)</f>
        <v/>
      </c>
      <c r="CB209" s="55">
        <f>SUM(H209,V209,AJ209,AX209,BL209)</f>
        <v/>
      </c>
      <c r="CC209" s="56">
        <f>SUM(BJ209,BN209)</f>
        <v/>
      </c>
      <c r="CD209" s="197">
        <f>IF(BZ209&gt;25,4,IF(BZ209&gt;18,3,IF(BZ209&gt;12,2,IF(BZ209&gt;4,1,0))))-BX209-2+1</f>
        <v/>
      </c>
      <c r="CE209" s="49" t="n"/>
      <c r="CF209" s="197">
        <f>CD209*CI209</f>
        <v/>
      </c>
      <c r="CG209" s="198">
        <f>F209-BY209+1</f>
        <v/>
      </c>
      <c r="CH209" s="197">
        <f>CE209*16</f>
        <v/>
      </c>
      <c r="CI209" s="199">
        <f>VLOOKUP(A209,[1]DATA!$A$6:$AI$331,34,0)</f>
        <v/>
      </c>
      <c r="CJ209" s="200">
        <f>VLOOKUP(A209,[2]CHAMCONG!A$7:CI$333,79,0)</f>
        <v/>
      </c>
      <c r="CK209" s="201">
        <f>CJ209-CA209</f>
        <v/>
      </c>
    </row>
    <row r="210" ht="15.75" customFormat="1" customHeight="1" s="68">
      <c r="A210" s="69" t="n"/>
      <c r="B210" s="64" t="n"/>
      <c r="C210" s="115" t="n"/>
      <c r="D210" s="46" t="n"/>
      <c r="E210" s="47" t="n"/>
      <c r="F210" s="48" t="n"/>
      <c r="G210" s="49" t="n"/>
      <c r="H210" s="73" t="n"/>
      <c r="I210" s="50" t="n"/>
      <c r="J210" s="73" t="n"/>
      <c r="K210" s="73" t="n"/>
      <c r="L210" s="73" t="n"/>
      <c r="M210" s="73" t="n"/>
      <c r="N210" s="73" t="n"/>
      <c r="O210" s="73" t="n"/>
      <c r="P210" s="73" t="n"/>
      <c r="Q210" s="49" t="n"/>
      <c r="R210" s="73" t="n"/>
      <c r="S210" s="49" t="n"/>
      <c r="T210" s="73" t="n"/>
      <c r="U210" s="49" t="n"/>
      <c r="V210" s="73" t="n"/>
      <c r="W210" s="49" t="n"/>
      <c r="X210" s="73" t="n"/>
      <c r="Y210" s="49" t="n"/>
      <c r="Z210" s="73" t="n"/>
      <c r="AA210" s="49" t="n"/>
      <c r="AB210" s="73" t="n"/>
      <c r="AC210" s="49" t="n"/>
      <c r="AD210" s="73" t="n"/>
      <c r="AE210" s="73" t="n"/>
      <c r="AF210" s="73" t="n"/>
      <c r="AG210" s="73" t="n"/>
      <c r="AH210" s="73" t="n"/>
      <c r="AI210" s="73" t="n"/>
      <c r="AJ210" s="73" t="n"/>
      <c r="AK210" s="73" t="n"/>
      <c r="AL210" s="73" t="n"/>
      <c r="AM210" s="73" t="n"/>
      <c r="AN210" s="73" t="n"/>
      <c r="AO210" s="73" t="n"/>
      <c r="AP210" s="73" t="n"/>
      <c r="AQ210" s="73" t="n"/>
      <c r="AR210" s="73" t="n"/>
      <c r="AS210" s="73" t="n"/>
      <c r="AT210" s="73" t="n"/>
      <c r="AU210" s="73" t="n"/>
      <c r="AV210" s="73" t="n"/>
      <c r="AW210" s="73" t="n"/>
      <c r="AX210" s="73" t="n"/>
      <c r="AY210" s="73" t="n"/>
      <c r="AZ210" s="73" t="n"/>
      <c r="BA210" s="73" t="n"/>
      <c r="BB210" s="73" t="n"/>
      <c r="BC210" s="73" t="n"/>
      <c r="BD210" s="73" t="n"/>
      <c r="BE210" s="73" t="n"/>
      <c r="BF210" s="73" t="n"/>
      <c r="BG210" s="73" t="n"/>
      <c r="BH210" s="73" t="n"/>
      <c r="BI210" s="73" t="n"/>
      <c r="BJ210" s="73" t="n"/>
      <c r="BK210" s="73" t="n"/>
      <c r="BL210" s="73" t="n"/>
      <c r="BM210" s="73" t="n"/>
      <c r="BN210" s="73" t="n"/>
      <c r="BO210" s="73" t="n"/>
      <c r="BP210" s="73" t="n"/>
      <c r="BQ210" s="195">
        <f>COUNTIF($G210:$BP210,"a")+COUNTIF($G210:$BP210,"r0,a5")/2+COUNTIF($G210:$BP210,"p5,a5")/2</f>
        <v/>
      </c>
      <c r="BR210" s="195">
        <f>COUNTIF($G210:$BP210,"d")+COUNTIF($G210:$BP210,"r0,d5")/2+COUNTIF($G210:$BP210,"p5,d5")/2</f>
        <v/>
      </c>
      <c r="BS210" s="195">
        <f>COUNTIF($G210:$BP210,"b")+COUNTIF($G210:$BP210,"r0,b5")/2+COUNTIF($G210:$BP210,"p5,b5")/2</f>
        <v/>
      </c>
      <c r="BT210" s="195">
        <f>COUNTIF($G210:$BP210,"c")+COUNTIF($G210:$BP210,"r0,c5")/2+COUNTIF($G210:$BP210,"p5,c5")/2</f>
        <v/>
      </c>
      <c r="BU210" s="195">
        <f>COUNTIF($G210:$BP210,"KH")+COUNTIF($G210:$BP210,"TL")+COUNTIF($G210:$BP210,"L")</f>
        <v/>
      </c>
      <c r="BV210" s="202" t="n"/>
      <c r="BW210" s="195">
        <f>COUNTIF($G210:$BP210,"hh")</f>
        <v/>
      </c>
      <c r="BX210" s="195">
        <f>COUNTIF($G210:$BP210,"nt7")</f>
        <v/>
      </c>
      <c r="BY210" s="195">
        <f>COUNTIF($G210:$BP210,"P")+COUNTIF($G210:$BP210,"p5,a5")/2+COUNTIF($G210:$BP210,"p5,b5")/2+COUNTIF($G210:$BP210,"p5,c5")/2+COUNTIF($G210:$BP210,"p5,d5")/2</f>
        <v/>
      </c>
      <c r="BZ210" s="203">
        <f>SUBTOTAL(9,BQ210:BY210)</f>
        <v/>
      </c>
      <c r="CA210" s="54">
        <f>SUM(J210,L210,N210,P210,R210,T210,X210,Z210,AB210,AD210,AF210,AH210,AL210,AN210,AP210,AR210,AT210,AV210,AZ210,BB210,BD210,BF210,BH210,BP210)</f>
        <v/>
      </c>
      <c r="CB210" s="55">
        <f>SUM(H210,V210,AJ210,AX210,BL210)</f>
        <v/>
      </c>
      <c r="CC210" s="56">
        <f>SUM(BJ210,BN210)</f>
        <v/>
      </c>
      <c r="CD210" s="197">
        <f>IF(BZ210&gt;25,4,IF(BZ210&gt;18,3,IF(BZ210&gt;12,2,IF(BZ210&gt;4,1,0))))-BX210-2+1</f>
        <v/>
      </c>
      <c r="CE210" s="49" t="n">
        <v>1</v>
      </c>
      <c r="CF210" s="197">
        <f>CD210*CI210</f>
        <v/>
      </c>
      <c r="CG210" s="198">
        <f>F210-BY210+1</f>
        <v/>
      </c>
      <c r="CH210" s="197">
        <f>CE210*16</f>
        <v/>
      </c>
      <c r="CI210" s="199">
        <f>VLOOKUP(A210,[1]DATA!$A$6:$AI$331,34,0)</f>
        <v/>
      </c>
      <c r="CJ210" s="200">
        <f>VLOOKUP(A210,[2]CHAMCONG!A$7:CI$333,79,0)</f>
        <v/>
      </c>
      <c r="CK210" s="201">
        <f>CJ210-CA210</f>
        <v/>
      </c>
    </row>
    <row r="211" ht="15" customFormat="1" customHeight="1" s="68">
      <c r="A211" s="69" t="n"/>
      <c r="B211" s="64" t="n"/>
      <c r="C211" s="115" t="n"/>
      <c r="D211" s="46" t="n"/>
      <c r="E211" s="47" t="n"/>
      <c r="F211" s="48" t="n"/>
      <c r="G211" s="49" t="n"/>
      <c r="H211" s="73" t="n"/>
      <c r="I211" s="67" t="n"/>
      <c r="J211" s="73" t="n"/>
      <c r="K211" s="73" t="n"/>
      <c r="L211" s="73" t="n"/>
      <c r="M211" s="73" t="n"/>
      <c r="N211" s="73" t="n"/>
      <c r="O211" s="49" t="n"/>
      <c r="P211" s="73" t="n"/>
      <c r="Q211" s="49" t="n"/>
      <c r="R211" s="73" t="n"/>
      <c r="S211" s="49" t="n"/>
      <c r="T211" s="73" t="n"/>
      <c r="U211" s="49" t="n"/>
      <c r="V211" s="73" t="n"/>
      <c r="W211" s="49" t="n"/>
      <c r="X211" s="73" t="n"/>
      <c r="Y211" s="49" t="n"/>
      <c r="Z211" s="73" t="n"/>
      <c r="AA211" s="73" t="n"/>
      <c r="AB211" s="73" t="n"/>
      <c r="AC211" s="73" t="n"/>
      <c r="AD211" s="73" t="n"/>
      <c r="AE211" s="73" t="n"/>
      <c r="AF211" s="73" t="n"/>
      <c r="AG211" s="73" t="n"/>
      <c r="AH211" s="73" t="n"/>
      <c r="AI211" s="73" t="n"/>
      <c r="AJ211" s="73" t="n"/>
      <c r="AK211" s="73" t="n"/>
      <c r="AL211" s="73" t="n"/>
      <c r="AM211" s="73" t="n"/>
      <c r="AN211" s="73" t="n"/>
      <c r="AO211" s="73" t="n"/>
      <c r="AP211" s="73" t="n"/>
      <c r="AQ211" s="73" t="n"/>
      <c r="AR211" s="73" t="n"/>
      <c r="AS211" s="73" t="n"/>
      <c r="AT211" s="73" t="n"/>
      <c r="AU211" s="73" t="n"/>
      <c r="AV211" s="73" t="n"/>
      <c r="AW211" s="73" t="n"/>
      <c r="AX211" s="73" t="n"/>
      <c r="AY211" s="73" t="n"/>
      <c r="AZ211" s="73" t="n"/>
      <c r="BA211" s="73" t="n"/>
      <c r="BB211" s="73" t="n"/>
      <c r="BC211" s="73" t="n"/>
      <c r="BD211" s="73" t="n"/>
      <c r="BE211" s="73" t="n"/>
      <c r="BF211" s="73" t="n"/>
      <c r="BG211" s="73" t="n"/>
      <c r="BH211" s="73" t="n"/>
      <c r="BI211" s="73" t="n"/>
      <c r="BJ211" s="73" t="n"/>
      <c r="BK211" s="73" t="n"/>
      <c r="BL211" s="73" t="n"/>
      <c r="BM211" s="73" t="n"/>
      <c r="BN211" s="73" t="n"/>
      <c r="BO211" s="73" t="n"/>
      <c r="BP211" s="73" t="n"/>
      <c r="BQ211" s="195">
        <f>COUNTIF($G211:$BP211,"a")+COUNTIF($G211:$BP211,"r0,a5")/2+COUNTIF($G211:$BP211,"p5,a5")/2</f>
        <v/>
      </c>
      <c r="BR211" s="195">
        <f>COUNTIF($G211:$BP211,"d")+COUNTIF($G211:$BP211,"r0,d5")/2+COUNTIF($G211:$BP211,"p5,d5")/2</f>
        <v/>
      </c>
      <c r="BS211" s="195">
        <f>COUNTIF($G211:$BP211,"b")+COUNTIF($G211:$BP211,"r0,b5")/2+COUNTIF($G211:$BP211,"p5,b5")/2</f>
        <v/>
      </c>
      <c r="BT211" s="195">
        <f>COUNTIF($G211:$BP211,"c")+COUNTIF($G211:$BP211,"r0,c5")/2+COUNTIF($G211:$BP211,"p5,c5")/2</f>
        <v/>
      </c>
      <c r="BU211" s="195">
        <f>COUNTIF($G211:$BP211,"KH")+COUNTIF($G211:$BP211,"TL")+COUNTIF($G211:$BP211,"L")</f>
        <v/>
      </c>
      <c r="BV211" s="202" t="n"/>
      <c r="BW211" s="195">
        <f>COUNTIF($G211:$BP211,"hh")</f>
        <v/>
      </c>
      <c r="BX211" s="195">
        <f>COUNTIF($G211:$BP211,"nt7")</f>
        <v/>
      </c>
      <c r="BY211" s="195">
        <f>COUNTIF($G211:$BP211,"P")+COUNTIF($G211:$BP211,"p5,a5")/2+COUNTIF($G211:$BP211,"p5,b5")/2+COUNTIF($G211:$BP211,"p5,c5")/2+COUNTIF($G211:$BP211,"p5,d5")/2</f>
        <v/>
      </c>
      <c r="BZ211" s="203">
        <f>SUBTOTAL(9,BQ211:BY211)</f>
        <v/>
      </c>
      <c r="CA211" s="54">
        <f>SUM(J211,L211,N211,P211,R211,T211,X211,Z211,AB211,AD211,AF211,AH211,AL211,AN211,AP211,AR211,AT211,AV211,AZ211,BB211,BD211,BF211,BH211,BP211)</f>
        <v/>
      </c>
      <c r="CB211" s="55">
        <f>SUM(H211,V211,AJ211,AX211,BL211)</f>
        <v/>
      </c>
      <c r="CC211" s="56">
        <f>SUM(BJ211,BN211)</f>
        <v/>
      </c>
      <c r="CD211" s="197">
        <f>IF(BZ211&gt;25,4,IF(BZ211&gt;18,3,IF(BZ211&gt;12,2,IF(BZ211&gt;4,1,0))))-BX211-2+1</f>
        <v/>
      </c>
      <c r="CE211" s="49" t="n"/>
      <c r="CF211" s="197">
        <f>CD211*CI211</f>
        <v/>
      </c>
      <c r="CG211" s="198">
        <f>F211-BY211+1</f>
        <v/>
      </c>
      <c r="CH211" s="197">
        <f>CE211*16</f>
        <v/>
      </c>
      <c r="CI211" s="199">
        <f>VLOOKUP(A211,[1]DATA!$A$6:$AI$331,34,0)</f>
        <v/>
      </c>
      <c r="CJ211" s="200">
        <f>VLOOKUP(A211,[2]CHAMCONG!A$7:CI$333,79,0)</f>
        <v/>
      </c>
      <c r="CK211" s="201">
        <f>CJ211-CA211</f>
        <v/>
      </c>
    </row>
    <row r="212" ht="15.75" customFormat="1" customHeight="1" s="68">
      <c r="A212" s="69" t="n"/>
      <c r="B212" s="64" t="n"/>
      <c r="C212" s="115" t="n"/>
      <c r="D212" s="46" t="n"/>
      <c r="E212" s="47" t="n"/>
      <c r="F212" s="48" t="n"/>
      <c r="G212" s="49" t="n"/>
      <c r="H212" s="73" t="n"/>
      <c r="I212" s="49" t="n"/>
      <c r="J212" s="73" t="n"/>
      <c r="K212" s="49" t="n"/>
      <c r="L212" s="73" t="n"/>
      <c r="M212" s="49" t="n"/>
      <c r="N212" s="73" t="n"/>
      <c r="O212" s="49" t="n"/>
      <c r="P212" s="73" t="n"/>
      <c r="Q212" s="50" t="n"/>
      <c r="R212" s="67" t="n"/>
      <c r="S212" s="50" t="n"/>
      <c r="T212" s="73" t="n"/>
      <c r="U212" s="50" t="n"/>
      <c r="V212" s="73" t="n"/>
      <c r="W212" s="50" t="n"/>
      <c r="X212" s="73" t="n"/>
      <c r="Y212" s="50" t="n"/>
      <c r="Z212" s="73" t="n"/>
      <c r="AA212" s="50" t="n"/>
      <c r="AB212" s="73" t="n"/>
      <c r="AC212" s="50" t="n"/>
      <c r="AD212" s="73" t="n"/>
      <c r="AE212" s="73" t="n"/>
      <c r="AF212" s="73" t="n"/>
      <c r="AG212" s="73" t="n"/>
      <c r="AH212" s="73" t="n"/>
      <c r="AI212" s="73" t="n"/>
      <c r="AJ212" s="73" t="n"/>
      <c r="AK212" s="73" t="n"/>
      <c r="AL212" s="73" t="n"/>
      <c r="AM212" s="73" t="n"/>
      <c r="AN212" s="73" t="n"/>
      <c r="AO212" s="73" t="n"/>
      <c r="AP212" s="73" t="n"/>
      <c r="AQ212" s="73" t="n"/>
      <c r="AR212" s="73" t="n"/>
      <c r="AS212" s="73" t="n"/>
      <c r="AT212" s="73" t="n"/>
      <c r="AU212" s="73" t="n"/>
      <c r="AV212" s="73" t="n"/>
      <c r="AW212" s="73" t="n"/>
      <c r="AX212" s="73" t="n"/>
      <c r="AY212" s="73" t="n"/>
      <c r="AZ212" s="73" t="n"/>
      <c r="BA212" s="73" t="n"/>
      <c r="BB212" s="73" t="n"/>
      <c r="BC212" s="73" t="n"/>
      <c r="BD212" s="73" t="n"/>
      <c r="BE212" s="73" t="n"/>
      <c r="BF212" s="73" t="n"/>
      <c r="BG212" s="73" t="n"/>
      <c r="BH212" s="73" t="n"/>
      <c r="BI212" s="73" t="n"/>
      <c r="BJ212" s="73" t="n"/>
      <c r="BK212" s="73" t="n"/>
      <c r="BL212" s="73" t="n"/>
      <c r="BM212" s="73" t="n"/>
      <c r="BN212" s="73" t="n"/>
      <c r="BO212" s="73" t="n"/>
      <c r="BP212" s="73" t="n"/>
      <c r="BQ212" s="195">
        <f>COUNTIF($G212:$BP212,"a")+COUNTIF($G212:$BP212,"r0,a5")/2+COUNTIF($G212:$BP212,"p5,a5")/2</f>
        <v/>
      </c>
      <c r="BR212" s="195">
        <f>COUNTIF($G212:$BP212,"d")+COUNTIF($G212:$BP212,"r0,d5")/2+COUNTIF($G212:$BP212,"p5,d5")/2</f>
        <v/>
      </c>
      <c r="BS212" s="195">
        <f>COUNTIF($G212:$BP212,"b")+COUNTIF($G212:$BP212,"r0,b5")/2+COUNTIF($G212:$BP212,"p5,b5")/2</f>
        <v/>
      </c>
      <c r="BT212" s="195">
        <f>COUNTIF($G212:$BP212,"c")+COUNTIF($G212:$BP212,"r0,c5")/2+COUNTIF($G212:$BP212,"p5,c5")/2</f>
        <v/>
      </c>
      <c r="BU212" s="195">
        <f>COUNTIF($G212:$BP212,"KH")+COUNTIF($G212:$BP212,"TL")+COUNTIF($G212:$BP212,"L")</f>
        <v/>
      </c>
      <c r="BV212" s="202" t="n"/>
      <c r="BW212" s="195">
        <f>COUNTIF($G212:$BP212,"hh")</f>
        <v/>
      </c>
      <c r="BX212" s="195">
        <f>COUNTIF($G212:$BP212,"nt7")</f>
        <v/>
      </c>
      <c r="BY212" s="195">
        <f>COUNTIF($G212:$BP212,"P")+COUNTIF($G212:$BP212,"p5,a5")/2+COUNTIF($G212:$BP212,"p5,b5")/2+COUNTIF($G212:$BP212,"p5,c5")/2+COUNTIF($G212:$BP212,"p5,d5")/2</f>
        <v/>
      </c>
      <c r="BZ212" s="203">
        <f>SUBTOTAL(9,BQ212:BY212)</f>
        <v/>
      </c>
      <c r="CA212" s="54">
        <f>SUM(J212,L212,N212,P212,R212,T212,X212,Z212,AB212,AD212,AF212,AH212,AL212,AN212,AP212,AR212,AT212,AV212,AZ212,BB212,BD212,BF212,BH212,BP212)</f>
        <v/>
      </c>
      <c r="CB212" s="55">
        <f>SUM(H212,V212,AJ212,AX212,BL212)</f>
        <v/>
      </c>
      <c r="CC212" s="56">
        <f>SUM(BJ212,BN212)</f>
        <v/>
      </c>
      <c r="CD212" s="197">
        <f>IF(BZ212&gt;25,4,IF(BZ212&gt;18,3,IF(BZ212&gt;12,2,IF(BZ212&gt;4,1,0))))-BX212-2+1</f>
        <v/>
      </c>
      <c r="CE212" s="49" t="n">
        <v>1</v>
      </c>
      <c r="CF212" s="197">
        <f>CD212*CI212</f>
        <v/>
      </c>
      <c r="CG212" s="198">
        <f>F212-BY212+1</f>
        <v/>
      </c>
      <c r="CH212" s="197">
        <f>CE212*16</f>
        <v/>
      </c>
      <c r="CI212" s="199">
        <f>VLOOKUP(A212,[1]DATA!$A$6:$AI$331,34,0)</f>
        <v/>
      </c>
      <c r="CJ212" s="200">
        <f>VLOOKUP(A212,[2]CHAMCONG!A$7:CI$333,79,0)</f>
        <v/>
      </c>
      <c r="CK212" s="201">
        <f>CJ212-CA212</f>
        <v/>
      </c>
    </row>
    <row r="213" ht="15.75" customFormat="1" customHeight="1" s="68">
      <c r="A213" s="69" t="n"/>
      <c r="B213" s="64" t="n"/>
      <c r="C213" s="115" t="n"/>
      <c r="D213" s="46" t="n"/>
      <c r="E213" s="47" t="n"/>
      <c r="F213" s="48" t="n"/>
      <c r="G213" s="49" t="n"/>
      <c r="H213" s="73" t="n"/>
      <c r="I213" s="73" t="n"/>
      <c r="J213" s="73" t="n"/>
      <c r="K213" s="73" t="n"/>
      <c r="L213" s="73" t="n"/>
      <c r="M213" s="73" t="n"/>
      <c r="N213" s="73" t="n"/>
      <c r="O213" s="73" t="n"/>
      <c r="P213" s="73" t="n"/>
      <c r="Q213" s="50" t="n"/>
      <c r="R213" s="67" t="n"/>
      <c r="S213" s="50" t="n"/>
      <c r="T213" s="73" t="n"/>
      <c r="U213" s="50" t="n"/>
      <c r="V213" s="73" t="n"/>
      <c r="W213" s="50" t="n"/>
      <c r="X213" s="73" t="n"/>
      <c r="Y213" s="50" t="n"/>
      <c r="Z213" s="73" t="n"/>
      <c r="AA213" s="50" t="n"/>
      <c r="AB213" s="73" t="n"/>
      <c r="AC213" s="73" t="n"/>
      <c r="AD213" s="73" t="n"/>
      <c r="AE213" s="73" t="n"/>
      <c r="AF213" s="73" t="n"/>
      <c r="AG213" s="73" t="n"/>
      <c r="AH213" s="73" t="n"/>
      <c r="AI213" s="73" t="n"/>
      <c r="AJ213" s="73" t="n"/>
      <c r="AK213" s="73" t="n"/>
      <c r="AL213" s="73" t="n"/>
      <c r="AM213" s="49" t="n"/>
      <c r="AN213" s="73" t="n"/>
      <c r="AO213" s="67" t="n"/>
      <c r="AP213" s="73" t="n"/>
      <c r="AQ213" s="73" t="n"/>
      <c r="AR213" s="73" t="n"/>
      <c r="AS213" s="73" t="n"/>
      <c r="AT213" s="73" t="n"/>
      <c r="AU213" s="73" t="n"/>
      <c r="AV213" s="73" t="n"/>
      <c r="AW213" s="73" t="n"/>
      <c r="AX213" s="73" t="n"/>
      <c r="AY213" s="50" t="n"/>
      <c r="AZ213" s="73" t="n"/>
      <c r="BA213" s="67" t="n"/>
      <c r="BB213" s="73" t="n"/>
      <c r="BC213" s="67" t="n"/>
      <c r="BD213" s="73" t="n"/>
      <c r="BE213" s="73" t="n"/>
      <c r="BF213" s="73" t="n"/>
      <c r="BG213" s="73" t="n"/>
      <c r="BH213" s="73" t="n"/>
      <c r="BI213" s="73" t="n"/>
      <c r="BJ213" s="73" t="n"/>
      <c r="BK213" s="73" t="n"/>
      <c r="BL213" s="73" t="n"/>
      <c r="BM213" s="73" t="n"/>
      <c r="BN213" s="73" t="n"/>
      <c r="BO213" s="73" t="n"/>
      <c r="BP213" s="73" t="n"/>
      <c r="BQ213" s="195">
        <f>COUNTIF($G213:$BP213,"a")+COUNTIF($G213:$BP213,"r0,a5")/2+COUNTIF($G213:$BP213,"p5,a5")/2</f>
        <v/>
      </c>
      <c r="BR213" s="195">
        <f>COUNTIF($G213:$BP213,"d")+COUNTIF($G213:$BP213,"r0,d5")/2+COUNTIF($G213:$BP213,"p5,d5")/2</f>
        <v/>
      </c>
      <c r="BS213" s="195">
        <f>COUNTIF($G213:$BP213,"b")+COUNTIF($G213:$BP213,"r0,b5")/2+COUNTIF($G213:$BP213,"p5,b5")/2</f>
        <v/>
      </c>
      <c r="BT213" s="195">
        <f>COUNTIF($G213:$BP213,"c")+COUNTIF($G213:$BP213,"r0,c5")/2+COUNTIF($G213:$BP213,"p5,c5")/2</f>
        <v/>
      </c>
      <c r="BU213" s="195">
        <f>COUNTIF($G213:$BP213,"KH")+COUNTIF($G213:$BP213,"TL")+COUNTIF($G213:$BP213,"L")</f>
        <v/>
      </c>
      <c r="BV213" s="202" t="n"/>
      <c r="BW213" s="195">
        <f>COUNTIF($G213:$BP213,"hh")</f>
        <v/>
      </c>
      <c r="BX213" s="195">
        <f>COUNTIF($G213:$BP213,"nt7")</f>
        <v/>
      </c>
      <c r="BY213" s="195">
        <f>COUNTIF($G213:$BP213,"P")+COUNTIF($G213:$BP213,"p5,a5")/2+COUNTIF($G213:$BP213,"p5,b5")/2+COUNTIF($G213:$BP213,"p5,c5")/2+COUNTIF($G213:$BP213,"p5,d5")/2</f>
        <v/>
      </c>
      <c r="BZ213" s="203">
        <f>SUBTOTAL(9,BQ213:BY213)</f>
        <v/>
      </c>
      <c r="CA213" s="54">
        <f>SUM(J213,L213,N213,P213,R213,T213,X213,Z213,AB213,AD213,AF213,AH213,AL213,AN213,AP213,AR213,AT213,AV213,AZ213,BB213,BD213,BF213,BH213,BP213)</f>
        <v/>
      </c>
      <c r="CB213" s="55">
        <f>SUM(H213,V213,AJ213,AX213,BL213)</f>
        <v/>
      </c>
      <c r="CC213" s="56">
        <f>SUM(BJ213,BN213)</f>
        <v/>
      </c>
      <c r="CD213" s="197">
        <f>IF(BZ213&gt;25,4,IF(BZ213&gt;18,3,IF(BZ213&gt;12,2,IF(BZ213&gt;4,1,0))))-BX213-2+1</f>
        <v/>
      </c>
      <c r="CE213" s="49" t="n"/>
      <c r="CF213" s="197">
        <f>CD213*CI213</f>
        <v/>
      </c>
      <c r="CG213" s="198">
        <f>F213-BY213+1</f>
        <v/>
      </c>
      <c r="CH213" s="197">
        <f>CE213*16</f>
        <v/>
      </c>
      <c r="CI213" s="199">
        <f>VLOOKUP(A213,[1]DATA!$A$6:$AI$331,34,0)</f>
        <v/>
      </c>
      <c r="CJ213" s="200">
        <f>VLOOKUP(A213,[2]CHAMCONG!A$7:CI$333,79,0)</f>
        <v/>
      </c>
      <c r="CK213" s="201">
        <f>CJ213-CA213</f>
        <v/>
      </c>
    </row>
    <row r="214" ht="15.75" customFormat="1" customHeight="1" s="68">
      <c r="A214" s="69" t="n"/>
      <c r="B214" s="64" t="n"/>
      <c r="C214" s="115" t="n"/>
      <c r="D214" s="46" t="n"/>
      <c r="E214" s="47" t="n"/>
      <c r="F214" s="48" t="n"/>
      <c r="G214" s="49" t="n"/>
      <c r="H214" s="73" t="n"/>
      <c r="I214" s="50" t="n"/>
      <c r="J214" s="73" t="n"/>
      <c r="K214" s="50" t="n"/>
      <c r="L214" s="73" t="n"/>
      <c r="M214" s="50" t="n"/>
      <c r="N214" s="73" t="n"/>
      <c r="O214" s="50" t="n"/>
      <c r="P214" s="73" t="n"/>
      <c r="Q214" s="50" t="n"/>
      <c r="R214" s="67" t="n"/>
      <c r="S214" s="50" t="n"/>
      <c r="T214" s="73" t="n"/>
      <c r="U214" s="49" t="n"/>
      <c r="V214" s="73" t="n"/>
      <c r="W214" s="50" t="n"/>
      <c r="X214" s="73" t="n"/>
      <c r="Y214" s="50" t="n"/>
      <c r="Z214" s="73" t="n"/>
      <c r="AA214" s="50" t="n"/>
      <c r="AB214" s="73" t="n"/>
      <c r="AC214" s="50" t="n"/>
      <c r="AD214" s="73" t="n"/>
      <c r="AE214" s="50" t="n"/>
      <c r="AF214" s="67" t="n"/>
      <c r="AG214" s="50" t="n"/>
      <c r="AH214" s="73" t="n"/>
      <c r="AI214" s="73" t="n"/>
      <c r="AJ214" s="73" t="n"/>
      <c r="AK214" s="50" t="n"/>
      <c r="AL214" s="73" t="n"/>
      <c r="AM214" s="50" t="n"/>
      <c r="AN214" s="73" t="n"/>
      <c r="AO214" s="50" t="n"/>
      <c r="AP214" s="73" t="n"/>
      <c r="AQ214" s="50" t="n"/>
      <c r="AR214" s="73" t="n"/>
      <c r="AS214" s="50" t="n"/>
      <c r="AT214" s="67" t="n"/>
      <c r="AU214" s="50" t="n"/>
      <c r="AV214" s="73" t="n"/>
      <c r="AW214" s="73" t="n"/>
      <c r="AX214" s="73" t="n"/>
      <c r="AY214" s="73" t="n"/>
      <c r="AZ214" s="73" t="n"/>
      <c r="BA214" s="73" t="n"/>
      <c r="BB214" s="73" t="n"/>
      <c r="BC214" s="73" t="n"/>
      <c r="BD214" s="73" t="n"/>
      <c r="BE214" s="73" t="n"/>
      <c r="BF214" s="73" t="n"/>
      <c r="BG214" s="73" t="n"/>
      <c r="BH214" s="73" t="n"/>
      <c r="BI214" s="73" t="n"/>
      <c r="BJ214" s="73" t="n"/>
      <c r="BK214" s="73" t="n"/>
      <c r="BL214" s="73" t="n"/>
      <c r="BM214" s="73" t="n"/>
      <c r="BN214" s="73" t="n"/>
      <c r="BO214" s="73" t="n"/>
      <c r="BP214" s="73" t="n"/>
      <c r="BQ214" s="195">
        <f>COUNTIF($G214:$BP214,"a")+COUNTIF($G214:$BP214,"r0,a5")/2+COUNTIF($G214:$BP214,"p5,a5")/2</f>
        <v/>
      </c>
      <c r="BR214" s="195">
        <f>COUNTIF($G214:$BP214,"d")+COUNTIF($G214:$BP214,"r0,d5")/2+COUNTIF($G214:$BP214,"p5,d5")/2</f>
        <v/>
      </c>
      <c r="BS214" s="195">
        <f>COUNTIF($G214:$BP214,"b")+COUNTIF($G214:$BP214,"r0,b5")/2+COUNTIF($G214:$BP214,"p5,b5")/2</f>
        <v/>
      </c>
      <c r="BT214" s="195">
        <f>COUNTIF($G214:$BP214,"c")+COUNTIF($G214:$BP214,"r0,c5")/2+COUNTIF($G214:$BP214,"p5,c5")/2</f>
        <v/>
      </c>
      <c r="BU214" s="195">
        <f>COUNTIF($G214:$BP214,"KH")+COUNTIF($G214:$BP214,"TL")+COUNTIF($G214:$BP214,"L")</f>
        <v/>
      </c>
      <c r="BV214" s="202" t="n"/>
      <c r="BW214" s="195">
        <f>COUNTIF($G214:$BP214,"hh")</f>
        <v/>
      </c>
      <c r="BX214" s="195">
        <f>COUNTIF($G214:$BP214,"nt7")</f>
        <v/>
      </c>
      <c r="BY214" s="195">
        <f>COUNTIF($G214:$BP214,"P")+COUNTIF($G214:$BP214,"p5,a5")/2+COUNTIF($G214:$BP214,"p5,b5")/2+COUNTIF($G214:$BP214,"p5,c5")/2+COUNTIF($G214:$BP214,"p5,d5")/2</f>
        <v/>
      </c>
      <c r="BZ214" s="203">
        <f>SUBTOTAL(9,BQ214:BY214)</f>
        <v/>
      </c>
      <c r="CA214" s="54">
        <f>SUM(J214,L214,N214,P214,R214,T214,X214,Z214,AB214,AD214,AF214,AH214,AL214,AN214,AP214,AR214,AT214,AV214,AZ214,BB214,BD214,BF214,BH214,BP214)</f>
        <v/>
      </c>
      <c r="CB214" s="55">
        <f>SUM(H214,V214,AJ214,AX214,BL214)</f>
        <v/>
      </c>
      <c r="CC214" s="56">
        <f>SUM(BJ214,BN214)</f>
        <v/>
      </c>
      <c r="CD214" s="197">
        <f>IF(BZ214&gt;25,4,IF(BZ214&gt;18,3,IF(BZ214&gt;12,2,IF(BZ214&gt;4,1,0))))-BX214-2+1</f>
        <v/>
      </c>
      <c r="CE214" s="49" t="n">
        <v>3</v>
      </c>
      <c r="CF214" s="197">
        <f>CD214*CI214</f>
        <v/>
      </c>
      <c r="CG214" s="198">
        <f>F214-BY214+1</f>
        <v/>
      </c>
      <c r="CH214" s="197">
        <f>CE214*16</f>
        <v/>
      </c>
      <c r="CI214" s="199">
        <f>VLOOKUP(A214,[1]DATA!$A$6:$AI$331,34,0)</f>
        <v/>
      </c>
      <c r="CJ214" s="200">
        <f>VLOOKUP(A214,[2]CHAMCONG!A$7:CI$333,79,0)</f>
        <v/>
      </c>
      <c r="CK214" s="201">
        <f>CJ214-CA214</f>
        <v/>
      </c>
    </row>
    <row r="215" ht="15.75" customFormat="1" customHeight="1" s="68">
      <c r="A215" s="69" t="n"/>
      <c r="B215" s="64" t="n"/>
      <c r="C215" s="115" t="n"/>
      <c r="D215" s="46" t="n"/>
      <c r="E215" s="47" t="n"/>
      <c r="F215" s="48" t="n"/>
      <c r="G215" s="49" t="n"/>
      <c r="H215" s="73" t="n"/>
      <c r="I215" s="50" t="n"/>
      <c r="J215" s="73" t="n"/>
      <c r="K215" s="50" t="n"/>
      <c r="L215" s="73" t="n"/>
      <c r="M215" s="50" t="n"/>
      <c r="N215" s="73" t="n"/>
      <c r="O215" s="50" t="n"/>
      <c r="P215" s="73" t="n"/>
      <c r="Q215" s="49" t="n"/>
      <c r="R215" s="73" t="n"/>
      <c r="S215" s="50" t="n"/>
      <c r="T215" s="73" t="n"/>
      <c r="U215" s="50" t="n"/>
      <c r="V215" s="73" t="n"/>
      <c r="W215" s="50" t="n"/>
      <c r="X215" s="73" t="n"/>
      <c r="Y215" s="50" t="n"/>
      <c r="Z215" s="73" t="n"/>
      <c r="AA215" s="50" t="n"/>
      <c r="AB215" s="73" t="n"/>
      <c r="AC215" s="50" t="n"/>
      <c r="AD215" s="73" t="n"/>
      <c r="AE215" s="50" t="n"/>
      <c r="AF215" s="67" t="n"/>
      <c r="AG215" s="50" t="n"/>
      <c r="AH215" s="73" t="n"/>
      <c r="AI215" s="50" t="n"/>
      <c r="AJ215" s="73" t="n"/>
      <c r="AK215" s="50" t="n"/>
      <c r="AL215" s="73" t="n"/>
      <c r="AM215" s="50" t="n"/>
      <c r="AN215" s="73" t="n"/>
      <c r="AO215" s="50" t="n"/>
      <c r="AP215" s="73" t="n"/>
      <c r="AQ215" s="49" t="n"/>
      <c r="AR215" s="73" t="n"/>
      <c r="AS215" s="49" t="n"/>
      <c r="AT215" s="73" t="n"/>
      <c r="AU215" s="49" t="n"/>
      <c r="AV215" s="73" t="n"/>
      <c r="AW215" s="49" t="n"/>
      <c r="AX215" s="73" t="n"/>
      <c r="AY215" s="49" t="n"/>
      <c r="AZ215" s="73" t="n"/>
      <c r="BA215" s="49" t="n"/>
      <c r="BB215" s="73" t="n"/>
      <c r="BC215" s="73" t="n"/>
      <c r="BD215" s="73" t="n"/>
      <c r="BE215" s="49" t="n"/>
      <c r="BF215" s="73" t="n"/>
      <c r="BG215" s="49" t="n"/>
      <c r="BH215" s="73" t="n"/>
      <c r="BI215" s="73" t="n"/>
      <c r="BJ215" s="73" t="n"/>
      <c r="BK215" s="73" t="n"/>
      <c r="BL215" s="73" t="n"/>
      <c r="BM215" s="73" t="n"/>
      <c r="BN215" s="73" t="n"/>
      <c r="BO215" s="73" t="n"/>
      <c r="BP215" s="73" t="n"/>
      <c r="BQ215" s="195">
        <f>COUNTIF($G215:$BP215,"a")+COUNTIF($G215:$BP215,"r0,a5")/2+COUNTIF($G215:$BP215,"p5,a5")/2</f>
        <v/>
      </c>
      <c r="BR215" s="195">
        <f>COUNTIF($G215:$BP215,"d")+COUNTIF($G215:$BP215,"r0,d5")/2+COUNTIF($G215:$BP215,"p5,d5")/2</f>
        <v/>
      </c>
      <c r="BS215" s="195">
        <f>COUNTIF($G215:$BP215,"b")+COUNTIF($G215:$BP215,"r0,b5")/2+COUNTIF($G215:$BP215,"p5,b5")/2</f>
        <v/>
      </c>
      <c r="BT215" s="195">
        <f>COUNTIF($G215:$BP215,"c")+COUNTIF($G215:$BP215,"r0,c5")/2+COUNTIF($G215:$BP215,"p5,c5")/2</f>
        <v/>
      </c>
      <c r="BU215" s="195">
        <f>COUNTIF($G215:$BP215,"KH")+COUNTIF($G215:$BP215,"TL")+COUNTIF($G215:$BP215,"L")</f>
        <v/>
      </c>
      <c r="BV215" s="202" t="n"/>
      <c r="BW215" s="195">
        <f>COUNTIF($G215:$BP215,"hh")</f>
        <v/>
      </c>
      <c r="BX215" s="195">
        <f>COUNTIF($G215:$BP215,"nt7")</f>
        <v/>
      </c>
      <c r="BY215" s="195">
        <f>COUNTIF($G215:$BP215,"P")+COUNTIF($G215:$BP215,"p5,a5")/2+COUNTIF($G215:$BP215,"p5,b5")/2+COUNTIF($G215:$BP215,"p5,c5")/2+COUNTIF($G215:$BP215,"p5,d5")/2</f>
        <v/>
      </c>
      <c r="BZ215" s="203">
        <f>SUBTOTAL(9,BQ215:BY215)</f>
        <v/>
      </c>
      <c r="CA215" s="54">
        <f>SUM(J215,L215,N215,P215,R215,T215,X215,Z215,AB215,AD215,AF215,AH215,AL215,AN215,AP215,AR215,AT215,AV215,AZ215,BB215,BD215,BF215,BH215,BP215)</f>
        <v/>
      </c>
      <c r="CB215" s="55">
        <f>SUM(H215,V215,AJ215,AX215,BL215)</f>
        <v/>
      </c>
      <c r="CC215" s="56">
        <f>SUM(BJ215,BN215)</f>
        <v/>
      </c>
      <c r="CD215" s="197">
        <f>IF(BZ215&gt;25,4,IF(BZ215&gt;18,3,IF(BZ215&gt;12,2,IF(BZ215&gt;4,1,0))))-BX215-2+1</f>
        <v/>
      </c>
      <c r="CE215" s="49" t="n">
        <v>1</v>
      </c>
      <c r="CF215" s="197">
        <f>CD215*CI215</f>
        <v/>
      </c>
      <c r="CG215" s="198">
        <f>F215-BY215+1</f>
        <v/>
      </c>
      <c r="CH215" s="197">
        <f>CE215*16</f>
        <v/>
      </c>
      <c r="CI215" s="199">
        <f>VLOOKUP(A215,[1]DATA!$A$6:$AI$331,34,0)</f>
        <v/>
      </c>
      <c r="CJ215" s="200">
        <f>VLOOKUP(A215,[2]CHAMCONG!A$7:CI$333,79,0)</f>
        <v/>
      </c>
      <c r="CK215" s="201">
        <f>CJ215-CA215</f>
        <v/>
      </c>
    </row>
    <row r="216" ht="15.75" customFormat="1" customHeight="1" s="68">
      <c r="A216" s="69" t="n"/>
      <c r="B216" s="64" t="n"/>
      <c r="C216" s="115" t="n"/>
      <c r="D216" s="46" t="n"/>
      <c r="E216" s="47" t="n"/>
      <c r="F216" s="48" t="n"/>
      <c r="G216" s="49" t="n"/>
      <c r="H216" s="73" t="n"/>
      <c r="I216" s="50" t="n"/>
      <c r="J216" s="73" t="n"/>
      <c r="K216" s="50" t="n"/>
      <c r="L216" s="73" t="n"/>
      <c r="M216" s="50" t="n"/>
      <c r="N216" s="73" t="n"/>
      <c r="O216" s="50" t="n"/>
      <c r="P216" s="73" t="n"/>
      <c r="Q216" s="49" t="n"/>
      <c r="R216" s="73" t="n"/>
      <c r="S216" s="50" t="n"/>
      <c r="T216" s="73" t="n"/>
      <c r="U216" s="50" t="n"/>
      <c r="V216" s="73" t="n"/>
      <c r="W216" s="50" t="n"/>
      <c r="X216" s="73" t="n"/>
      <c r="Y216" s="50" t="n"/>
      <c r="Z216" s="73" t="n"/>
      <c r="AA216" s="50" t="n"/>
      <c r="AB216" s="73" t="n"/>
      <c r="AC216" s="50" t="n"/>
      <c r="AD216" s="73" t="n"/>
      <c r="AE216" s="50" t="n"/>
      <c r="AF216" s="67" t="n"/>
      <c r="AG216" s="50" t="n"/>
      <c r="AH216" s="73" t="n"/>
      <c r="AI216" s="50" t="n"/>
      <c r="AJ216" s="73" t="n"/>
      <c r="AK216" s="50" t="n"/>
      <c r="AL216" s="73" t="n"/>
      <c r="AM216" s="50" t="n"/>
      <c r="AN216" s="73" t="n"/>
      <c r="AO216" s="50" t="n"/>
      <c r="AP216" s="73" t="n"/>
      <c r="AQ216" s="49" t="n"/>
      <c r="AR216" s="73" t="n"/>
      <c r="AS216" s="49" t="n"/>
      <c r="AT216" s="73" t="n"/>
      <c r="AU216" s="49" t="n"/>
      <c r="AV216" s="73" t="n"/>
      <c r="AW216" s="49" t="n"/>
      <c r="AX216" s="73" t="n"/>
      <c r="AY216" s="49" t="n"/>
      <c r="AZ216" s="73" t="n"/>
      <c r="BA216" s="49" t="n"/>
      <c r="BB216" s="73" t="n"/>
      <c r="BC216" s="73" t="n"/>
      <c r="BD216" s="73" t="n"/>
      <c r="BE216" s="49" t="n"/>
      <c r="BF216" s="73" t="n"/>
      <c r="BG216" s="49" t="n"/>
      <c r="BH216" s="73" t="n"/>
      <c r="BI216" s="73" t="n"/>
      <c r="BJ216" s="73" t="n"/>
      <c r="BK216" s="73" t="n"/>
      <c r="BL216" s="73" t="n"/>
      <c r="BM216" s="73" t="n"/>
      <c r="BN216" s="73" t="n"/>
      <c r="BO216" s="73" t="n"/>
      <c r="BP216" s="73" t="n"/>
      <c r="BQ216" s="195">
        <f>COUNTIF($G216:$BP216,"a")+COUNTIF($G216:$BP216,"r0,a5")/2+COUNTIF($G216:$BP216,"p5,a5")/2</f>
        <v/>
      </c>
      <c r="BR216" s="195">
        <f>COUNTIF($G216:$BP216,"d")+COUNTIF($G216:$BP216,"r0,d5")/2+COUNTIF($G216:$BP216,"p5,d5")/2</f>
        <v/>
      </c>
      <c r="BS216" s="195">
        <f>COUNTIF($G216:$BP216,"b")+COUNTIF($G216:$BP216,"r0,b5")/2+COUNTIF($G216:$BP216,"p5,b5")/2</f>
        <v/>
      </c>
      <c r="BT216" s="195">
        <f>COUNTIF($G216:$BP216,"c")+COUNTIF($G216:$BP216,"r0,c5")/2+COUNTIF($G216:$BP216,"p5,c5")/2</f>
        <v/>
      </c>
      <c r="BU216" s="195">
        <f>COUNTIF($G216:$BP216,"KH")+COUNTIF($G216:$BP216,"TL")+COUNTIF($G216:$BP216,"L")</f>
        <v/>
      </c>
      <c r="BV216" s="202" t="n"/>
      <c r="BW216" s="195">
        <f>COUNTIF($G216:$BP216,"hh")</f>
        <v/>
      </c>
      <c r="BX216" s="195">
        <f>COUNTIF($G216:$BP216,"nt7")</f>
        <v/>
      </c>
      <c r="BY216" s="195">
        <f>COUNTIF($G216:$BP216,"P")+COUNTIF($G216:$BP216,"p5,a5")/2+COUNTIF($G216:$BP216,"p5,b5")/2+COUNTIF($G216:$BP216,"p5,c5")/2+COUNTIF($G216:$BP216,"p5,d5")/2</f>
        <v/>
      </c>
      <c r="BZ216" s="203">
        <f>SUBTOTAL(9,BQ216:BY216)</f>
        <v/>
      </c>
      <c r="CA216" s="54">
        <f>SUM(J216,L216,N216,P216,R216,T216,X216,Z216,AB216,AD216,AF216,AH216,AL216,AN216,AP216,AR216,AT216,AV216,AZ216,BB216,BD216,BF216,BH216,BP216)</f>
        <v/>
      </c>
      <c r="CB216" s="55">
        <f>SUM(H216,V216,AJ216,AX216,BL216)</f>
        <v/>
      </c>
      <c r="CC216" s="56">
        <f>SUM(BJ216,BN216)</f>
        <v/>
      </c>
      <c r="CD216" s="197">
        <f>IF(BZ216&gt;25,4,IF(BZ216&gt;18,3,IF(BZ216&gt;12,2,IF(BZ216&gt;4,1,0))))-BX216-2+1</f>
        <v/>
      </c>
      <c r="CE216" s="49" t="n">
        <v>1</v>
      </c>
      <c r="CF216" s="197">
        <f>CD216*CI216</f>
        <v/>
      </c>
      <c r="CG216" s="198">
        <f>F216-BY216+1</f>
        <v/>
      </c>
      <c r="CH216" s="197">
        <f>CE216*16</f>
        <v/>
      </c>
      <c r="CI216" s="199">
        <f>VLOOKUP(A216,[1]DATA!$A$6:$AI$331,34,0)</f>
        <v/>
      </c>
      <c r="CJ216" s="200">
        <f>VLOOKUP(A216,[2]CHAMCONG!A$7:CI$333,79,0)</f>
        <v/>
      </c>
      <c r="CK216" s="201">
        <f>CJ216-CA216</f>
        <v/>
      </c>
    </row>
    <row r="217" ht="15.75" customFormat="1" customHeight="1" s="68">
      <c r="A217" s="69" t="n"/>
      <c r="B217" s="64" t="n"/>
      <c r="C217" s="115" t="n"/>
      <c r="D217" s="46" t="n"/>
      <c r="E217" s="47" t="n"/>
      <c r="F217" s="48" t="n"/>
      <c r="G217" s="49" t="n"/>
      <c r="H217" s="73" t="n"/>
      <c r="I217" s="50" t="n"/>
      <c r="J217" s="73" t="n"/>
      <c r="K217" s="50" t="n"/>
      <c r="L217" s="73" t="n"/>
      <c r="M217" s="50" t="n"/>
      <c r="N217" s="73" t="n"/>
      <c r="O217" s="49" t="n"/>
      <c r="P217" s="73" t="n"/>
      <c r="Q217" s="49" t="n"/>
      <c r="R217" s="73" t="n"/>
      <c r="S217" s="50" t="n"/>
      <c r="T217" s="73" t="n"/>
      <c r="U217" s="49" t="n"/>
      <c r="V217" s="73" t="n"/>
      <c r="W217" s="50" t="n"/>
      <c r="X217" s="73" t="n"/>
      <c r="Y217" s="50" t="n"/>
      <c r="Z217" s="73" t="n"/>
      <c r="AA217" s="73" t="n"/>
      <c r="AB217" s="73" t="n"/>
      <c r="AC217" s="49" t="n"/>
      <c r="AD217" s="73" t="n"/>
      <c r="AE217" s="49" t="n"/>
      <c r="AF217" s="73" t="n"/>
      <c r="AG217" s="49" t="n"/>
      <c r="AH217" s="73" t="n"/>
      <c r="AI217" s="49" t="n"/>
      <c r="AJ217" s="73" t="n"/>
      <c r="AK217" s="49" t="n"/>
      <c r="AL217" s="73" t="n"/>
      <c r="AM217" s="49" t="n"/>
      <c r="AN217" s="73" t="n"/>
      <c r="AO217" s="73" t="n"/>
      <c r="AP217" s="73" t="n"/>
      <c r="AQ217" s="49" t="n"/>
      <c r="AR217" s="73" t="n"/>
      <c r="AS217" s="49" t="n"/>
      <c r="AT217" s="73" t="n"/>
      <c r="AU217" s="49" t="n"/>
      <c r="AV217" s="73" t="n"/>
      <c r="AW217" s="73" t="n"/>
      <c r="AX217" s="73" t="n"/>
      <c r="AY217" s="49" t="n"/>
      <c r="AZ217" s="73" t="n"/>
      <c r="BA217" s="49" t="n"/>
      <c r="BB217" s="73" t="n"/>
      <c r="BC217" s="73" t="n"/>
      <c r="BD217" s="73" t="n"/>
      <c r="BE217" s="49" t="n"/>
      <c r="BF217" s="73" t="n"/>
      <c r="BG217" s="49" t="n"/>
      <c r="BH217" s="73" t="n"/>
      <c r="BI217" s="73" t="n"/>
      <c r="BJ217" s="73" t="n"/>
      <c r="BK217" s="73" t="n"/>
      <c r="BL217" s="73" t="n"/>
      <c r="BM217" s="73" t="n"/>
      <c r="BN217" s="73" t="n"/>
      <c r="BO217" s="73" t="n"/>
      <c r="BP217" s="73" t="n"/>
      <c r="BQ217" s="195">
        <f>COUNTIF($G217:$BP217,"a")+COUNTIF($G217:$BP217,"r0,a5")/2+COUNTIF($G217:$BP217,"p5,a5")/2</f>
        <v/>
      </c>
      <c r="BR217" s="195">
        <f>COUNTIF($G217:$BP217,"d")+COUNTIF($G217:$BP217,"r0,d5")/2+COUNTIF($G217:$BP217,"p5,d5")/2</f>
        <v/>
      </c>
      <c r="BS217" s="195">
        <f>COUNTIF($G217:$BP217,"b")+COUNTIF($G217:$BP217,"r0,b5")/2+COUNTIF($G217:$BP217,"p5,b5")/2</f>
        <v/>
      </c>
      <c r="BT217" s="195">
        <f>COUNTIF($G217:$BP217,"c")+COUNTIF($G217:$BP217,"r0,c5")/2+COUNTIF($G217:$BP217,"p5,c5")/2</f>
        <v/>
      </c>
      <c r="BU217" s="195">
        <f>COUNTIF($G217:$BP217,"KH")+COUNTIF($G217:$BP217,"TL")+COUNTIF($G217:$BP217,"L")</f>
        <v/>
      </c>
      <c r="BV217" s="202" t="n"/>
      <c r="BW217" s="195">
        <f>COUNTIF($G217:$BP217,"hh")</f>
        <v/>
      </c>
      <c r="BX217" s="195">
        <f>COUNTIF($G217:$BP217,"nt7")</f>
        <v/>
      </c>
      <c r="BY217" s="195">
        <f>COUNTIF($G217:$BP217,"P")+COUNTIF($G217:$BP217,"p5,a5")/2+COUNTIF($G217:$BP217,"p5,b5")/2+COUNTIF($G217:$BP217,"p5,c5")/2+COUNTIF($G217:$BP217,"p5,d5")/2</f>
        <v/>
      </c>
      <c r="BZ217" s="203">
        <f>SUBTOTAL(9,BQ217:BY217)</f>
        <v/>
      </c>
      <c r="CA217" s="54">
        <f>SUM(J217,L217,N217,P217,R217,T217,X217,Z217,AB217,AD217,AF217,AH217,AL217,AN217,AP217,AR217,AT217,AV217,AZ217,BB217,BD217,BF217,BH217,BP217)</f>
        <v/>
      </c>
      <c r="CB217" s="55">
        <f>SUM(H217,V217,AJ217,AX217,BL217)</f>
        <v/>
      </c>
      <c r="CC217" s="56">
        <f>SUM(BJ217,BN217)</f>
        <v/>
      </c>
      <c r="CD217" s="197">
        <f>IF(BZ217&gt;25,4,IF(BZ217&gt;18,3,IF(BZ217&gt;12,2,IF(BZ217&gt;4,1,0))))-BX217-2+1</f>
        <v/>
      </c>
      <c r="CE217" s="49" t="n">
        <v>4</v>
      </c>
      <c r="CF217" s="197">
        <f>CD217*CI217</f>
        <v/>
      </c>
      <c r="CG217" s="198">
        <f>F217-BY217+1</f>
        <v/>
      </c>
      <c r="CH217" s="197">
        <f>CE217*16</f>
        <v/>
      </c>
      <c r="CI217" s="199">
        <f>VLOOKUP(A217,[1]DATA!$A$6:$AI$331,34,0)</f>
        <v/>
      </c>
      <c r="CJ217" s="200">
        <f>VLOOKUP(A217,[2]CHAMCONG!A$7:CI$333,79,0)</f>
        <v/>
      </c>
      <c r="CK217" s="201">
        <f>CJ217-CA217</f>
        <v/>
      </c>
    </row>
    <row r="218" ht="15.75" customFormat="1" customHeight="1" s="68">
      <c r="A218" s="69" t="n"/>
      <c r="B218" s="64" t="n"/>
      <c r="C218" s="115" t="n"/>
      <c r="D218" s="46" t="n"/>
      <c r="E218" s="47" t="n"/>
      <c r="F218" s="48" t="n"/>
      <c r="G218" s="49" t="n"/>
      <c r="H218" s="73" t="n"/>
      <c r="I218" s="49" t="n"/>
      <c r="J218" s="73" t="n"/>
      <c r="K218" s="50" t="n"/>
      <c r="L218" s="73" t="n"/>
      <c r="M218" s="50" t="n"/>
      <c r="N218" s="73" t="n"/>
      <c r="O218" s="50" t="n"/>
      <c r="P218" s="73" t="n"/>
      <c r="Q218" s="49" t="n"/>
      <c r="R218" s="73" t="n"/>
      <c r="S218" s="50" t="n"/>
      <c r="T218" s="73" t="n"/>
      <c r="U218" s="50" t="n"/>
      <c r="V218" s="73" t="n"/>
      <c r="W218" s="50" t="n"/>
      <c r="X218" s="73" t="n"/>
      <c r="Y218" s="49" t="n"/>
      <c r="Z218" s="73" t="n"/>
      <c r="AA218" s="50" t="n"/>
      <c r="AB218" s="73" t="n"/>
      <c r="AC218" s="50" t="n"/>
      <c r="AD218" s="73" t="n"/>
      <c r="AE218" s="49" t="n"/>
      <c r="AF218" s="73" t="n"/>
      <c r="AG218" s="50" t="n"/>
      <c r="AH218" s="73" t="n"/>
      <c r="AI218" s="50" t="n"/>
      <c r="AJ218" s="73" t="n"/>
      <c r="AK218" s="50" t="n"/>
      <c r="AL218" s="73" t="n"/>
      <c r="AM218" s="49" t="n"/>
      <c r="AN218" s="73" t="n"/>
      <c r="AO218" s="73" t="n"/>
      <c r="AP218" s="73" t="n"/>
      <c r="AQ218" s="49" t="n"/>
      <c r="AR218" s="73" t="n"/>
      <c r="AS218" s="49" t="n"/>
      <c r="AT218" s="73" t="n"/>
      <c r="AU218" s="49" t="n"/>
      <c r="AV218" s="73" t="n"/>
      <c r="AW218" s="73" t="n"/>
      <c r="AX218" s="73" t="n"/>
      <c r="AY218" s="49" t="n"/>
      <c r="AZ218" s="73" t="n"/>
      <c r="BA218" s="49" t="n"/>
      <c r="BB218" s="73" t="n"/>
      <c r="BC218" s="73" t="n"/>
      <c r="BD218" s="73" t="n"/>
      <c r="BE218" s="49" t="n"/>
      <c r="BF218" s="73" t="n"/>
      <c r="BG218" s="49" t="n"/>
      <c r="BH218" s="73" t="n"/>
      <c r="BI218" s="73" t="n"/>
      <c r="BJ218" s="73" t="n"/>
      <c r="BK218" s="73" t="n"/>
      <c r="BL218" s="73" t="n"/>
      <c r="BM218" s="73" t="n"/>
      <c r="BN218" s="73" t="n"/>
      <c r="BO218" s="73" t="n"/>
      <c r="BP218" s="73" t="n"/>
      <c r="BQ218" s="195">
        <f>COUNTIF($G218:$BP218,"a")+COUNTIF($G218:$BP218,"r0,a5")/2+COUNTIF($G218:$BP218,"p5,a5")/2</f>
        <v/>
      </c>
      <c r="BR218" s="195">
        <f>COUNTIF($G218:$BP218,"d")+COUNTIF($G218:$BP218,"r0,d5")/2+COUNTIF($G218:$BP218,"p5,d5")/2</f>
        <v/>
      </c>
      <c r="BS218" s="195">
        <f>COUNTIF($G218:$BP218,"b")+COUNTIF($G218:$BP218,"r0,b5")/2+COUNTIF($G218:$BP218,"p5,b5")/2</f>
        <v/>
      </c>
      <c r="BT218" s="195">
        <f>COUNTIF($G218:$BP218,"c")+COUNTIF($G218:$BP218,"r0,c5")/2+COUNTIF($G218:$BP218,"p5,c5")/2</f>
        <v/>
      </c>
      <c r="BU218" s="195">
        <f>COUNTIF($G218:$BP218,"KH")+COUNTIF($G218:$BP218,"TL")+COUNTIF($G218:$BP218,"L")</f>
        <v/>
      </c>
      <c r="BV218" s="202" t="n"/>
      <c r="BW218" s="195">
        <f>COUNTIF($G218:$BP218,"hh")</f>
        <v/>
      </c>
      <c r="BX218" s="195">
        <f>COUNTIF($G218:$BP218,"nt7")</f>
        <v/>
      </c>
      <c r="BY218" s="195">
        <f>COUNTIF($G218:$BP218,"P")+COUNTIF($G218:$BP218,"p5,a5")/2+COUNTIF($G218:$BP218,"p5,b5")/2+COUNTIF($G218:$BP218,"p5,c5")/2+COUNTIF($G218:$BP218,"p5,d5")/2</f>
        <v/>
      </c>
      <c r="BZ218" s="203">
        <f>SUBTOTAL(9,BQ218:BY218)</f>
        <v/>
      </c>
      <c r="CA218" s="54">
        <f>SUM(J218,L218,N218,P218,R218,T218,X218,Z218,AB218,AD218,AF218,AH218,AL218,AN218,AP218,AR218,AT218,AV218,AZ218,BB218,BD218,BF218,BH218,BP218)</f>
        <v/>
      </c>
      <c r="CB218" s="55">
        <f>SUM(H218,V218,AJ218,AX218,BL218)</f>
        <v/>
      </c>
      <c r="CC218" s="56">
        <f>SUM(BJ218,BN218)</f>
        <v/>
      </c>
      <c r="CD218" s="197">
        <f>IF(BZ218&gt;25,4,IF(BZ218&gt;18,3,IF(BZ218&gt;12,2,IF(BZ218&gt;4,1,0))))-BX218-2+1</f>
        <v/>
      </c>
      <c r="CE218" s="49" t="n">
        <v>3</v>
      </c>
      <c r="CF218" s="197">
        <f>CD218*CI218</f>
        <v/>
      </c>
      <c r="CG218" s="198">
        <f>F218-BY218+1</f>
        <v/>
      </c>
      <c r="CH218" s="197">
        <f>CE218*16</f>
        <v/>
      </c>
      <c r="CI218" s="199">
        <f>VLOOKUP(A218,[1]DATA!$A$6:$AI$331,34,0)</f>
        <v/>
      </c>
      <c r="CJ218" s="200">
        <f>VLOOKUP(A218,[2]CHAMCONG!A$7:CI$333,79,0)</f>
        <v/>
      </c>
      <c r="CK218" s="201">
        <f>CJ218-CA218</f>
        <v/>
      </c>
    </row>
    <row r="219" ht="15.75" customFormat="1" customHeight="1" s="68">
      <c r="A219" s="69" t="n"/>
      <c r="B219" s="64" t="n"/>
      <c r="C219" s="115" t="n"/>
      <c r="D219" s="46" t="n"/>
      <c r="E219" s="47" t="n"/>
      <c r="F219" s="48" t="n"/>
      <c r="G219" s="49" t="n"/>
      <c r="H219" s="73" t="n"/>
      <c r="I219" s="67" t="n"/>
      <c r="J219" s="73" t="n"/>
      <c r="K219" s="67" t="n"/>
      <c r="L219" s="73" t="n"/>
      <c r="M219" s="67" t="n"/>
      <c r="N219" s="73" t="n"/>
      <c r="O219" s="67" t="n"/>
      <c r="P219" s="73" t="n"/>
      <c r="Q219" s="73" t="n"/>
      <c r="R219" s="73" t="n"/>
      <c r="S219" s="73" t="n"/>
      <c r="T219" s="73" t="n"/>
      <c r="U219" s="73" t="n"/>
      <c r="V219" s="73" t="n"/>
      <c r="W219" s="73" t="n"/>
      <c r="X219" s="73" t="n"/>
      <c r="Y219" s="49" t="n"/>
      <c r="Z219" s="73" t="n"/>
      <c r="AA219" s="67" t="n"/>
      <c r="AB219" s="73" t="n"/>
      <c r="AC219" s="73" t="n"/>
      <c r="AD219" s="73" t="n"/>
      <c r="AE219" s="73" t="n"/>
      <c r="AF219" s="73" t="n"/>
      <c r="AG219" s="73" t="n"/>
      <c r="AH219" s="73" t="n"/>
      <c r="AI219" s="73" t="n"/>
      <c r="AJ219" s="73" t="n"/>
      <c r="AK219" s="73" t="n"/>
      <c r="AL219" s="73" t="n"/>
      <c r="AM219" s="73" t="n"/>
      <c r="AN219" s="73" t="n"/>
      <c r="AO219" s="73" t="n"/>
      <c r="AP219" s="73" t="n"/>
      <c r="AQ219" s="73" t="n"/>
      <c r="AR219" s="73" t="n"/>
      <c r="AS219" s="73" t="n"/>
      <c r="AT219" s="73" t="n"/>
      <c r="AU219" s="73" t="n"/>
      <c r="AV219" s="73" t="n"/>
      <c r="AW219" s="73" t="n"/>
      <c r="AX219" s="73" t="n"/>
      <c r="AY219" s="73" t="n"/>
      <c r="AZ219" s="73" t="n"/>
      <c r="BA219" s="73" t="n"/>
      <c r="BB219" s="73" t="n"/>
      <c r="BC219" s="73" t="n"/>
      <c r="BD219" s="73" t="n"/>
      <c r="BE219" s="73" t="n"/>
      <c r="BF219" s="73" t="n"/>
      <c r="BG219" s="73" t="n"/>
      <c r="BH219" s="73" t="n"/>
      <c r="BI219" s="73" t="n"/>
      <c r="BJ219" s="73" t="n"/>
      <c r="BK219" s="73" t="n"/>
      <c r="BL219" s="73" t="n"/>
      <c r="BM219" s="73" t="n"/>
      <c r="BN219" s="73" t="n"/>
      <c r="BO219" s="73" t="n"/>
      <c r="BP219" s="73" t="n"/>
      <c r="BQ219" s="195">
        <f>COUNTIF($G219:$BP219,"a")+COUNTIF($G219:$BP219,"r0,a5")/2+COUNTIF($G219:$BP219,"p5,a5")/2</f>
        <v/>
      </c>
      <c r="BR219" s="195">
        <f>COUNTIF($G219:$BP219,"d")+COUNTIF($G219:$BP219,"r0,d5")/2+COUNTIF($G219:$BP219,"p5,d5")/2</f>
        <v/>
      </c>
      <c r="BS219" s="195">
        <f>COUNTIF($G219:$BP219,"b")+COUNTIF($G219:$BP219,"r0,b5")/2+COUNTIF($G219:$BP219,"p5,b5")/2</f>
        <v/>
      </c>
      <c r="BT219" s="195">
        <f>COUNTIF($G219:$BP219,"c")+COUNTIF($G219:$BP219,"r0,c5")/2+COUNTIF($G219:$BP219,"p5,c5")/2</f>
        <v/>
      </c>
      <c r="BU219" s="195">
        <f>COUNTIF($G219:$BP219,"KH")+COUNTIF($G219:$BP219,"TL")+COUNTIF($G219:$BP219,"L")</f>
        <v/>
      </c>
      <c r="BV219" s="202" t="n"/>
      <c r="BW219" s="195">
        <f>COUNTIF($G219:$BP219,"hh")</f>
        <v/>
      </c>
      <c r="BX219" s="195">
        <f>COUNTIF($G219:$BP219,"nt7")</f>
        <v/>
      </c>
      <c r="BY219" s="195">
        <f>COUNTIF($G219:$BP219,"P")+COUNTIF($G219:$BP219,"p5,a5")/2+COUNTIF($G219:$BP219,"p5,b5")/2+COUNTIF($G219:$BP219,"p5,c5")/2+COUNTIF($G219:$BP219,"p5,d5")/2</f>
        <v/>
      </c>
      <c r="BZ219" s="203">
        <f>SUBTOTAL(9,BQ219:BY219)</f>
        <v/>
      </c>
      <c r="CA219" s="54">
        <f>SUM(J219,L219,N219,P219,R219,T219,X219,Z219,AB219,AD219,AF219,AH219,AL219,AN219,AP219,AR219,AT219,AV219,AZ219,BB219,BD219,BF219,BH219,BP219)</f>
        <v/>
      </c>
      <c r="CB219" s="55">
        <f>SUM(H219,V219,AJ219,AX219,BL219)</f>
        <v/>
      </c>
      <c r="CC219" s="56">
        <f>SUM(BJ219,BN219)</f>
        <v/>
      </c>
      <c r="CD219" s="197">
        <f>IF(BZ219&gt;25,4,IF(BZ219&gt;18,3,IF(BZ219&gt;12,2,IF(BZ219&gt;4,1,0))))-BX219-2+1</f>
        <v/>
      </c>
      <c r="CE219" s="49" t="n">
        <v>2</v>
      </c>
      <c r="CF219" s="197">
        <f>CD219*CI219</f>
        <v/>
      </c>
      <c r="CG219" s="198">
        <f>F219-BY219+1</f>
        <v/>
      </c>
      <c r="CH219" s="197">
        <f>CE219*16</f>
        <v/>
      </c>
      <c r="CI219" s="199">
        <f>VLOOKUP(A219,[1]DATA!$A$6:$AI$331,34,0)</f>
        <v/>
      </c>
      <c r="CJ219" s="200">
        <f>VLOOKUP(A219,[2]CHAMCONG!A$7:CI$333,79,0)</f>
        <v/>
      </c>
      <c r="CK219" s="201">
        <f>CJ219-CA219</f>
        <v/>
      </c>
    </row>
    <row r="220" ht="15.75" customFormat="1" customHeight="1" s="68">
      <c r="A220" s="69" t="n"/>
      <c r="B220" s="64" t="n"/>
      <c r="C220" s="115" t="n"/>
      <c r="D220" s="46" t="n"/>
      <c r="E220" s="47" t="n"/>
      <c r="F220" s="48" t="n"/>
      <c r="G220" s="49" t="n"/>
      <c r="H220" s="73" t="n"/>
      <c r="I220" s="67" t="n"/>
      <c r="J220" s="73" t="n"/>
      <c r="K220" s="67" t="n"/>
      <c r="L220" s="73" t="n"/>
      <c r="M220" s="67" t="n"/>
      <c r="N220" s="73" t="n"/>
      <c r="O220" s="67" t="n"/>
      <c r="P220" s="73" t="n"/>
      <c r="Q220" s="67" t="n"/>
      <c r="R220" s="67" t="n"/>
      <c r="S220" s="73" t="n"/>
      <c r="T220" s="73" t="n"/>
      <c r="U220" s="73" t="n"/>
      <c r="V220" s="73" t="n"/>
      <c r="W220" s="73" t="n"/>
      <c r="X220" s="73" t="n"/>
      <c r="Y220" s="73" t="n"/>
      <c r="Z220" s="73" t="n"/>
      <c r="AA220" s="73" t="n"/>
      <c r="AB220" s="73" t="n"/>
      <c r="AC220" s="73" t="n"/>
      <c r="AD220" s="73" t="n"/>
      <c r="AE220" s="73" t="n"/>
      <c r="AF220" s="73" t="n"/>
      <c r="AG220" s="73" t="n"/>
      <c r="AH220" s="73" t="n"/>
      <c r="AI220" s="73" t="n"/>
      <c r="AJ220" s="73" t="n"/>
      <c r="AK220" s="73" t="n"/>
      <c r="AL220" s="73" t="n"/>
      <c r="AM220" s="73" t="n"/>
      <c r="AN220" s="73" t="n"/>
      <c r="AO220" s="73" t="n"/>
      <c r="AP220" s="73" t="n"/>
      <c r="AQ220" s="73" t="n"/>
      <c r="AR220" s="73" t="n"/>
      <c r="AS220" s="73" t="n"/>
      <c r="AT220" s="73" t="n"/>
      <c r="AU220" s="73" t="n"/>
      <c r="AV220" s="73" t="n"/>
      <c r="AW220" s="73" t="n"/>
      <c r="AX220" s="73" t="n"/>
      <c r="AY220" s="73" t="n"/>
      <c r="AZ220" s="73" t="n"/>
      <c r="BA220" s="73" t="n"/>
      <c r="BB220" s="73" t="n"/>
      <c r="BC220" s="73" t="n"/>
      <c r="BD220" s="73" t="n"/>
      <c r="BE220" s="73" t="n"/>
      <c r="BF220" s="73" t="n"/>
      <c r="BG220" s="73" t="n"/>
      <c r="BH220" s="73" t="n"/>
      <c r="BI220" s="73" t="n"/>
      <c r="BJ220" s="73" t="n"/>
      <c r="BK220" s="73" t="n"/>
      <c r="BL220" s="73" t="n"/>
      <c r="BM220" s="73" t="n"/>
      <c r="BN220" s="73" t="n"/>
      <c r="BO220" s="73" t="n"/>
      <c r="BP220" s="73" t="n"/>
      <c r="BQ220" s="195">
        <f>COUNTIF($G220:$BP220,"a")+COUNTIF($G220:$BP220,"r0,a5")/2+COUNTIF($G220:$BP220,"p5,a5")/2</f>
        <v/>
      </c>
      <c r="BR220" s="195">
        <f>COUNTIF($G220:$BP220,"d")+COUNTIF($G220:$BP220,"r0,d5")/2+COUNTIF($G220:$BP220,"p5,d5")/2</f>
        <v/>
      </c>
      <c r="BS220" s="195">
        <f>COUNTIF($G220:$BP220,"b")+COUNTIF($G220:$BP220,"r0,b5")/2+COUNTIF($G220:$BP220,"p5,b5")/2</f>
        <v/>
      </c>
      <c r="BT220" s="195">
        <f>COUNTIF($G220:$BP220,"c")+COUNTIF($G220:$BP220,"r0,c5")/2+COUNTIF($G220:$BP220,"p5,c5")/2</f>
        <v/>
      </c>
      <c r="BU220" s="195">
        <f>COUNTIF($G220:$BP220,"KH")+COUNTIF($G220:$BP220,"TL")+COUNTIF($G220:$BP220,"L")</f>
        <v/>
      </c>
      <c r="BV220" s="202" t="n"/>
      <c r="BW220" s="195">
        <f>COUNTIF($G220:$BP220,"hh")</f>
        <v/>
      </c>
      <c r="BX220" s="195">
        <f>COUNTIF($G220:$BP220,"nt7")</f>
        <v/>
      </c>
      <c r="BY220" s="195">
        <f>COUNTIF($G220:$BP220,"P")+COUNTIF($G220:$BP220,"p5,a5")/2+COUNTIF($G220:$BP220,"p5,b5")/2+COUNTIF($G220:$BP220,"p5,c5")/2+COUNTIF($G220:$BP220,"p5,d5")/2</f>
        <v/>
      </c>
      <c r="BZ220" s="203">
        <f>SUBTOTAL(9,BQ220:BY220)</f>
        <v/>
      </c>
      <c r="CA220" s="54">
        <f>SUM(J220,L220,N220,P220,R220,T220,X220,Z220,AB220,AD220,AF220,AH220,AL220,AN220,AP220,AR220,AT220,AV220,AZ220,BB220,BD220,BF220,BH220,BP220)</f>
        <v/>
      </c>
      <c r="CB220" s="55">
        <f>SUM(H220,V220,AJ220,AX220,BL220)</f>
        <v/>
      </c>
      <c r="CC220" s="56">
        <f>SUM(BJ220,BN220)</f>
        <v/>
      </c>
      <c r="CD220" s="197">
        <f>IF(BZ220&gt;25,4,IF(BZ220&gt;18,3,IF(BZ220&gt;12,2,IF(BZ220&gt;4,1,0))))-BX220-2+1</f>
        <v/>
      </c>
      <c r="CE220" s="49" t="n"/>
      <c r="CF220" s="197">
        <f>CD220*CI220</f>
        <v/>
      </c>
      <c r="CG220" s="198">
        <f>F220-BY220+1</f>
        <v/>
      </c>
      <c r="CH220" s="197">
        <f>CE220*16</f>
        <v/>
      </c>
      <c r="CI220" s="199">
        <f>VLOOKUP(A220,[1]DATA!$A$6:$AI$331,34,0)</f>
        <v/>
      </c>
      <c r="CJ220" s="200">
        <f>VLOOKUP(A220,[2]CHAMCONG!A$7:CI$333,79,0)</f>
        <v/>
      </c>
      <c r="CK220" s="201">
        <f>CJ220-CA220</f>
        <v/>
      </c>
    </row>
    <row r="221" ht="15.75" customFormat="1" customHeight="1" s="68">
      <c r="A221" s="69" t="n"/>
      <c r="B221" s="64" t="n"/>
      <c r="C221" s="115" t="n"/>
      <c r="D221" s="46" t="n"/>
      <c r="E221" s="47" t="n"/>
      <c r="F221" s="48" t="n"/>
      <c r="G221" s="49" t="n"/>
      <c r="H221" s="73" t="n"/>
      <c r="I221" s="50" t="n"/>
      <c r="J221" s="73" t="n"/>
      <c r="K221" s="73" t="n"/>
      <c r="L221" s="73" t="n"/>
      <c r="M221" s="73" t="n"/>
      <c r="N221" s="73" t="n"/>
      <c r="O221" s="73" t="n"/>
      <c r="P221" s="73" t="n"/>
      <c r="Q221" s="73" t="n"/>
      <c r="R221" s="73" t="n"/>
      <c r="S221" s="73" t="n"/>
      <c r="T221" s="73" t="n"/>
      <c r="U221" s="49" t="n"/>
      <c r="V221" s="73" t="n"/>
      <c r="W221" s="49" t="n"/>
      <c r="X221" s="73" t="n"/>
      <c r="Y221" s="49" t="n"/>
      <c r="Z221" s="73" t="n"/>
      <c r="AA221" s="49" t="n"/>
      <c r="AB221" s="73" t="n"/>
      <c r="AC221" s="49" t="n"/>
      <c r="AD221" s="73" t="n"/>
      <c r="AE221" s="73" t="n"/>
      <c r="AF221" s="73" t="n"/>
      <c r="AG221" s="73" t="n"/>
      <c r="AH221" s="73" t="n"/>
      <c r="AI221" s="73" t="n"/>
      <c r="AJ221" s="73" t="n"/>
      <c r="AK221" s="73" t="n"/>
      <c r="AL221" s="73" t="n"/>
      <c r="AM221" s="73" t="n"/>
      <c r="AN221" s="73" t="n"/>
      <c r="AO221" s="73" t="n"/>
      <c r="AP221" s="73" t="n"/>
      <c r="AQ221" s="73" t="n"/>
      <c r="AR221" s="73" t="n"/>
      <c r="AS221" s="73" t="n"/>
      <c r="AT221" s="73" t="n"/>
      <c r="AU221" s="73" t="n"/>
      <c r="AV221" s="73" t="n"/>
      <c r="AW221" s="73" t="n"/>
      <c r="AX221" s="73" t="n"/>
      <c r="AY221" s="73" t="n"/>
      <c r="AZ221" s="73" t="n"/>
      <c r="BA221" s="73" t="n"/>
      <c r="BB221" s="73" t="n"/>
      <c r="BC221" s="73" t="n"/>
      <c r="BD221" s="73" t="n"/>
      <c r="BE221" s="73" t="n"/>
      <c r="BF221" s="73" t="n"/>
      <c r="BG221" s="73" t="n"/>
      <c r="BH221" s="73" t="n"/>
      <c r="BI221" s="72" t="n"/>
      <c r="BJ221" s="73" t="n"/>
      <c r="BK221" s="72" t="n"/>
      <c r="BL221" s="73" t="n"/>
      <c r="BM221" s="72" t="n"/>
      <c r="BN221" s="73" t="n"/>
      <c r="BO221" s="72" t="n"/>
      <c r="BP221" s="73" t="n"/>
      <c r="BQ221" s="195">
        <f>COUNTIF($G221:$BP221,"a")+COUNTIF($G221:$BP221,"r0,a5")/2+COUNTIF($G221:$BP221,"p5,a5")/2</f>
        <v/>
      </c>
      <c r="BR221" s="195">
        <f>COUNTIF($G221:$BP221,"d")+COUNTIF($G221:$BP221,"r0,d5")/2+COUNTIF($G221:$BP221,"p5,d5")/2</f>
        <v/>
      </c>
      <c r="BS221" s="195">
        <f>COUNTIF($G221:$BP221,"b")+COUNTIF($G221:$BP221,"r0,b5")/2+COUNTIF($G221:$BP221,"p5,b5")/2</f>
        <v/>
      </c>
      <c r="BT221" s="195">
        <f>COUNTIF($G221:$BP221,"c")+COUNTIF($G221:$BP221,"r0,c5")/2+COUNTIF($G221:$BP221,"p5,c5")/2</f>
        <v/>
      </c>
      <c r="BU221" s="195">
        <f>COUNTIF($G221:$BP221,"KH")+COUNTIF($G221:$BP221,"TL")+COUNTIF($G221:$BP221,"L")</f>
        <v/>
      </c>
      <c r="BV221" s="202" t="n"/>
      <c r="BW221" s="195">
        <f>COUNTIF($G221:$BP221,"hh")</f>
        <v/>
      </c>
      <c r="BX221" s="195">
        <f>COUNTIF($G221:$BP221,"nt7")</f>
        <v/>
      </c>
      <c r="BY221" s="195">
        <f>COUNTIF($G221:$BP221,"P")+COUNTIF($G221:$BP221,"p5,a5")/2+COUNTIF($G221:$BP221,"p5,b5")/2+COUNTIF($G221:$BP221,"p5,c5")/2+COUNTIF($G221:$BP221,"p5,d5")/2</f>
        <v/>
      </c>
      <c r="BZ221" s="203">
        <f>SUBTOTAL(9,BQ221:BY221)</f>
        <v/>
      </c>
      <c r="CA221" s="54">
        <f>SUM(J221,L221,N221,P221,R221,T221,X221,Z221,AB221,AD221,AF221,AH221,AL221,AN221,AP221,AR221,AT221,AV221,AZ221,BB221,BD221,BF221,BH221,BP221)</f>
        <v/>
      </c>
      <c r="CB221" s="55">
        <f>SUM(H221,V221,AJ221,AX221,BL221)</f>
        <v/>
      </c>
      <c r="CC221" s="56">
        <f>SUM(BJ221,BN221)</f>
        <v/>
      </c>
      <c r="CD221" s="197">
        <f>IF(BZ221&gt;25,4,IF(BZ221&gt;18,3,IF(BZ221&gt;12,2,IF(BZ221&gt;4,1,0))))-BX221-2+1</f>
        <v/>
      </c>
      <c r="CE221" s="49" t="n">
        <v>3</v>
      </c>
      <c r="CF221" s="197">
        <f>CD221*CI221</f>
        <v/>
      </c>
      <c r="CG221" s="198">
        <f>F221-BY221+1</f>
        <v/>
      </c>
      <c r="CH221" s="197">
        <f>CE221*16</f>
        <v/>
      </c>
      <c r="CI221" s="199">
        <f>VLOOKUP(A221,[1]DATA!$A$6:$AI$331,34,0)</f>
        <v/>
      </c>
      <c r="CJ221" s="200">
        <f>VLOOKUP(A221,[2]CHAMCONG!A$7:CI$333,79,0)</f>
        <v/>
      </c>
      <c r="CK221" s="201">
        <f>CJ221-CA221</f>
        <v/>
      </c>
    </row>
    <row r="222" ht="15.75" customFormat="1" customHeight="1" s="68">
      <c r="A222" s="69" t="n"/>
      <c r="B222" s="64" t="n"/>
      <c r="C222" s="115" t="n"/>
      <c r="D222" s="46" t="n"/>
      <c r="E222" s="47" t="n"/>
      <c r="F222" s="48" t="n"/>
      <c r="G222" s="49" t="n"/>
      <c r="H222" s="73" t="n"/>
      <c r="I222" s="50" t="n"/>
      <c r="J222" s="73" t="n"/>
      <c r="K222" s="50" t="n"/>
      <c r="L222" s="73" t="n"/>
      <c r="M222" s="73" t="n"/>
      <c r="N222" s="73" t="n"/>
      <c r="O222" s="73" t="n"/>
      <c r="P222" s="73" t="n"/>
      <c r="Q222" s="73" t="n"/>
      <c r="R222" s="73" t="n"/>
      <c r="S222" s="73" t="n"/>
      <c r="T222" s="73" t="n"/>
      <c r="U222" s="73" t="n"/>
      <c r="V222" s="73" t="n"/>
      <c r="W222" s="73" t="n"/>
      <c r="X222" s="73" t="n"/>
      <c r="Y222" s="73" t="n"/>
      <c r="Z222" s="73" t="n"/>
      <c r="AA222" s="73" t="n"/>
      <c r="AB222" s="73" t="n"/>
      <c r="AC222" s="73" t="n"/>
      <c r="AD222" s="73" t="n"/>
      <c r="AE222" s="73" t="n"/>
      <c r="AF222" s="73" t="n"/>
      <c r="AG222" s="73" t="n"/>
      <c r="AH222" s="73" t="n"/>
      <c r="AI222" s="73" t="n"/>
      <c r="AJ222" s="73" t="n"/>
      <c r="AK222" s="50" t="n"/>
      <c r="AL222" s="73" t="n"/>
      <c r="AM222" s="50" t="n"/>
      <c r="AN222" s="73" t="n"/>
      <c r="AO222" s="50" t="n"/>
      <c r="AP222" s="73" t="n"/>
      <c r="AQ222" s="50" t="n"/>
      <c r="AR222" s="73" t="n"/>
      <c r="AS222" s="50" t="n"/>
      <c r="AT222" s="50" t="n"/>
      <c r="AU222" s="50" t="n"/>
      <c r="AV222" s="73" t="n"/>
      <c r="AW222" s="73" t="n"/>
      <c r="AX222" s="73" t="n"/>
      <c r="AY222" s="73" t="n"/>
      <c r="AZ222" s="73" t="n"/>
      <c r="BA222" s="73" t="n"/>
      <c r="BB222" s="73" t="n"/>
      <c r="BC222" s="73" t="n"/>
      <c r="BD222" s="73" t="n"/>
      <c r="BE222" s="73" t="n"/>
      <c r="BF222" s="73" t="n"/>
      <c r="BG222" s="73" t="n"/>
      <c r="BH222" s="73" t="n"/>
      <c r="BI222" s="73" t="n"/>
      <c r="BJ222" s="73" t="n"/>
      <c r="BK222" s="73" t="n"/>
      <c r="BL222" s="73" t="n"/>
      <c r="BM222" s="73" t="n"/>
      <c r="BN222" s="73" t="n"/>
      <c r="BO222" s="73" t="n"/>
      <c r="BP222" s="73" t="n"/>
      <c r="BQ222" s="195">
        <f>COUNTIF($G222:$BP222,"a")+COUNTIF($G222:$BP222,"r0,a5")/2+COUNTIF($G222:$BP222,"p5,a5")/2</f>
        <v/>
      </c>
      <c r="BR222" s="195">
        <f>COUNTIF($G222:$BP222,"d")+COUNTIF($G222:$BP222,"r0,d5")/2+COUNTIF($G222:$BP222,"p5,d5")/2</f>
        <v/>
      </c>
      <c r="BS222" s="195">
        <f>COUNTIF($G222:$BP222,"b")+COUNTIF($G222:$BP222,"r0,b5")/2+COUNTIF($G222:$BP222,"p5,b5")/2</f>
        <v/>
      </c>
      <c r="BT222" s="195">
        <f>COUNTIF($G222:$BP222,"c")+COUNTIF($G222:$BP222,"r0,c5")/2+COUNTIF($G222:$BP222,"p5,c5")/2</f>
        <v/>
      </c>
      <c r="BU222" s="195">
        <f>COUNTIF($G222:$BP222,"KH")+COUNTIF($G222:$BP222,"TL")+COUNTIF($G222:$BP222,"L")</f>
        <v/>
      </c>
      <c r="BV222" s="202" t="n"/>
      <c r="BW222" s="195">
        <f>COUNTIF($G222:$BP222,"hh")</f>
        <v/>
      </c>
      <c r="BX222" s="195">
        <f>COUNTIF($G222:$BP222,"nt7")</f>
        <v/>
      </c>
      <c r="BY222" s="195">
        <f>COUNTIF($G222:$BP222,"P")+COUNTIF($G222:$BP222,"p5,a5")/2+COUNTIF($G222:$BP222,"p5,b5")/2+COUNTIF($G222:$BP222,"p5,c5")/2+COUNTIF($G222:$BP222,"p5,d5")/2</f>
        <v/>
      </c>
      <c r="BZ222" s="203">
        <f>SUBTOTAL(9,BQ222:BY222)</f>
        <v/>
      </c>
      <c r="CA222" s="54">
        <f>SUM(J222,L222,N222,P222,R222,T222,X222,Z222,AB222,AD222,AF222,AH222,AL222,AN222,AP222,AR222,AT222,AV222,AZ222,BB222,BD222,BF222,BH222,BP222)</f>
        <v/>
      </c>
      <c r="CB222" s="55">
        <f>SUM(H222,V222,AJ222,AX222,BL222)</f>
        <v/>
      </c>
      <c r="CC222" s="56">
        <f>SUM(BJ222,BN222)</f>
        <v/>
      </c>
      <c r="CD222" s="197">
        <f>IF(BZ222&gt;25,4,IF(BZ222&gt;18,3,IF(BZ222&gt;12,2,IF(BZ222&gt;4,1,0))))-BX222-2+1</f>
        <v/>
      </c>
      <c r="CE222" s="49" t="n"/>
      <c r="CF222" s="197">
        <f>CD222*CI222</f>
        <v/>
      </c>
      <c r="CG222" s="198">
        <f>F222-BY222+1</f>
        <v/>
      </c>
      <c r="CH222" s="197">
        <f>CE222*16</f>
        <v/>
      </c>
      <c r="CI222" s="199">
        <f>VLOOKUP(A222,[1]DATA!$A$6:$AI$331,34,0)</f>
        <v/>
      </c>
      <c r="CJ222" s="200">
        <f>VLOOKUP(A222,[2]CHAMCONG!A$7:CI$333,79,0)</f>
        <v/>
      </c>
      <c r="CK222" s="201">
        <f>CJ222-CA222</f>
        <v/>
      </c>
    </row>
    <row r="223" ht="15.75" customFormat="1" customHeight="1" s="68">
      <c r="A223" s="69" t="n"/>
      <c r="B223" s="64" t="n"/>
      <c r="C223" s="115" t="n"/>
      <c r="D223" s="46" t="n"/>
      <c r="E223" s="47" t="n"/>
      <c r="F223" s="48" t="n"/>
      <c r="G223" s="49" t="n"/>
      <c r="H223" s="73" t="n"/>
      <c r="I223" s="73" t="n"/>
      <c r="J223" s="73" t="n"/>
      <c r="K223" s="73" t="n"/>
      <c r="L223" s="73" t="n"/>
      <c r="M223" s="73" t="n"/>
      <c r="N223" s="73" t="n"/>
      <c r="O223" s="73" t="n"/>
      <c r="P223" s="73" t="n"/>
      <c r="Q223" s="73" t="n"/>
      <c r="R223" s="73" t="n"/>
      <c r="S223" s="73" t="n"/>
      <c r="T223" s="73" t="n"/>
      <c r="U223" s="49" t="n"/>
      <c r="V223" s="73" t="n"/>
      <c r="W223" s="49" t="n"/>
      <c r="X223" s="73" t="n"/>
      <c r="Y223" s="49" t="n"/>
      <c r="Z223" s="73" t="n"/>
      <c r="AA223" s="50" t="n"/>
      <c r="AB223" s="73" t="n"/>
      <c r="AC223" s="50" t="n"/>
      <c r="AD223" s="73" t="n"/>
      <c r="AE223" s="50" t="n"/>
      <c r="AF223" s="67" t="n"/>
      <c r="AG223" s="73" t="n"/>
      <c r="AH223" s="73" t="n"/>
      <c r="AI223" s="73" t="n"/>
      <c r="AJ223" s="73" t="n"/>
      <c r="AK223" s="73" t="n"/>
      <c r="AL223" s="73" t="n"/>
      <c r="AM223" s="73" t="n"/>
      <c r="AN223" s="73" t="n"/>
      <c r="AO223" s="73" t="n"/>
      <c r="AP223" s="73" t="n"/>
      <c r="AQ223" s="73" t="n"/>
      <c r="AR223" s="73" t="n"/>
      <c r="AS223" s="73" t="n"/>
      <c r="AT223" s="73" t="n"/>
      <c r="AU223" s="73" t="n"/>
      <c r="AV223" s="73" t="n"/>
      <c r="AW223" s="73" t="n"/>
      <c r="AX223" s="73" t="n"/>
      <c r="AY223" s="73" t="n"/>
      <c r="AZ223" s="73" t="n"/>
      <c r="BA223" s="50" t="n"/>
      <c r="BB223" s="73" t="n"/>
      <c r="BC223" s="50" t="n"/>
      <c r="BD223" s="73" t="n"/>
      <c r="BE223" s="50" t="n"/>
      <c r="BF223" s="73" t="n"/>
      <c r="BG223" s="50" t="n"/>
      <c r="BH223" s="67" t="n"/>
      <c r="BI223" s="73" t="n"/>
      <c r="BJ223" s="73" t="n"/>
      <c r="BK223" s="73" t="n"/>
      <c r="BL223" s="73" t="n"/>
      <c r="BM223" s="73" t="n"/>
      <c r="BN223" s="73" t="n"/>
      <c r="BO223" s="73" t="n"/>
      <c r="BP223" s="73" t="n"/>
      <c r="BQ223" s="195">
        <f>COUNTIF($G223:$BP223,"a")+COUNTIF($G223:$BP223,"r0,a5")/2+COUNTIF($G223:$BP223,"p5,a5")/2</f>
        <v/>
      </c>
      <c r="BR223" s="195">
        <f>COUNTIF($G223:$BP223,"d")+COUNTIF($G223:$BP223,"r0,d5")/2+COUNTIF($G223:$BP223,"p5,d5")/2</f>
        <v/>
      </c>
      <c r="BS223" s="195">
        <f>COUNTIF($G223:$BP223,"b")+COUNTIF($G223:$BP223,"r0,b5")/2+COUNTIF($G223:$BP223,"p5,b5")/2</f>
        <v/>
      </c>
      <c r="BT223" s="195">
        <f>COUNTIF($G223:$BP223,"c")+COUNTIF($G223:$BP223,"r0,c5")/2+COUNTIF($G223:$BP223,"p5,c5")/2</f>
        <v/>
      </c>
      <c r="BU223" s="195">
        <f>COUNTIF($G223:$BP223,"KH")+COUNTIF($G223:$BP223,"TL")+COUNTIF($G223:$BP223,"L")</f>
        <v/>
      </c>
      <c r="BV223" s="202" t="n"/>
      <c r="BW223" s="195">
        <f>COUNTIF($G223:$BP223,"hh")</f>
        <v/>
      </c>
      <c r="BX223" s="195">
        <f>COUNTIF($G223:$BP223,"nt7")</f>
        <v/>
      </c>
      <c r="BY223" s="195">
        <f>COUNTIF($G223:$BP223,"P")+COUNTIF($G223:$BP223,"p5,a5")/2+COUNTIF($G223:$BP223,"p5,b5")/2+COUNTIF($G223:$BP223,"p5,c5")/2+COUNTIF($G223:$BP223,"p5,d5")/2</f>
        <v/>
      </c>
      <c r="BZ223" s="203">
        <f>SUBTOTAL(9,BQ223:BY223)</f>
        <v/>
      </c>
      <c r="CA223" s="54">
        <f>SUM(J223,L223,N223,P223,R223,T223,X223,Z223,AB223,AD223,AF223,AH223,AL223,AN223,AP223,AR223,AT223,AV223,AZ223,BB223,BD223,BF223,BH223,BP223)</f>
        <v/>
      </c>
      <c r="CB223" s="55">
        <f>SUM(H223,V223,AJ223,AX223,BL223)</f>
        <v/>
      </c>
      <c r="CC223" s="56">
        <f>SUM(BJ223,BN223)</f>
        <v/>
      </c>
      <c r="CD223" s="197">
        <f>IF(BZ223&gt;25,4,IF(BZ223&gt;18,3,IF(BZ223&gt;12,2,IF(BZ223&gt;4,1,0))))-BX223-2+1</f>
        <v/>
      </c>
      <c r="CE223" s="49" t="n"/>
      <c r="CF223" s="197">
        <f>CD223*CI223</f>
        <v/>
      </c>
      <c r="CG223" s="198">
        <f>F223-BY223+1</f>
        <v/>
      </c>
      <c r="CH223" s="197">
        <f>CE223*16</f>
        <v/>
      </c>
      <c r="CI223" s="199">
        <f>VLOOKUP(A223,[1]DATA!$A$6:$AI$331,34,0)</f>
        <v/>
      </c>
      <c r="CJ223" s="200">
        <f>VLOOKUP(A223,[2]CHAMCONG!A$7:CI$333,79,0)</f>
        <v/>
      </c>
      <c r="CK223" s="201">
        <f>CJ223-CA223</f>
        <v/>
      </c>
    </row>
    <row r="224" ht="15.75" customFormat="1" customHeight="1" s="68">
      <c r="A224" s="69" t="n"/>
      <c r="B224" s="64" t="n"/>
      <c r="C224" s="115" t="n"/>
      <c r="D224" s="46" t="n"/>
      <c r="E224" s="47" t="n"/>
      <c r="F224" s="48" t="n"/>
      <c r="G224" s="49" t="n"/>
      <c r="H224" s="73" t="n"/>
      <c r="I224" s="50" t="n"/>
      <c r="J224" s="73" t="n"/>
      <c r="K224" s="49" t="n"/>
      <c r="L224" s="73" t="n"/>
      <c r="M224" s="50" t="n"/>
      <c r="N224" s="73" t="n"/>
      <c r="O224" s="50" t="n"/>
      <c r="P224" s="73" t="n"/>
      <c r="Q224" s="49" t="n"/>
      <c r="R224" s="73" t="n"/>
      <c r="S224" s="50" t="n"/>
      <c r="T224" s="73" t="n"/>
      <c r="U224" s="50" t="n"/>
      <c r="V224" s="73" t="n"/>
      <c r="W224" s="50" t="n"/>
      <c r="X224" s="73" t="n"/>
      <c r="Y224" s="73" t="n"/>
      <c r="Z224" s="73" t="n"/>
      <c r="AA224" s="50" t="n"/>
      <c r="AB224" s="73" t="n"/>
      <c r="AC224" s="49" t="n"/>
      <c r="AD224" s="73" t="n"/>
      <c r="AE224" s="73" t="n"/>
      <c r="AF224" s="49" t="n"/>
      <c r="AG224" s="50" t="n"/>
      <c r="AH224" s="73" t="n"/>
      <c r="AI224" s="73" t="n"/>
      <c r="AJ224" s="73" t="n"/>
      <c r="AK224" s="73" t="n"/>
      <c r="AL224" s="73" t="n"/>
      <c r="AM224" s="73" t="n"/>
      <c r="AN224" s="73" t="n"/>
      <c r="AO224" s="73" t="n"/>
      <c r="AP224" s="73" t="n"/>
      <c r="AQ224" s="73" t="n"/>
      <c r="AR224" s="73" t="n"/>
      <c r="AS224" s="73" t="n"/>
      <c r="AT224" s="49" t="n"/>
      <c r="AU224" s="73" t="n"/>
      <c r="AV224" s="73" t="n"/>
      <c r="AW224" s="73" t="n"/>
      <c r="AX224" s="73" t="n"/>
      <c r="AY224" s="73" t="n"/>
      <c r="AZ224" s="73" t="n"/>
      <c r="BA224" s="73" t="n"/>
      <c r="BB224" s="73" t="n"/>
      <c r="BC224" s="73" t="n"/>
      <c r="BD224" s="73" t="n"/>
      <c r="BE224" s="73" t="n"/>
      <c r="BF224" s="73" t="n"/>
      <c r="BG224" s="73" t="n"/>
      <c r="BH224" s="73" t="n"/>
      <c r="BI224" s="73" t="n"/>
      <c r="BJ224" s="73" t="n"/>
      <c r="BK224" s="73" t="n"/>
      <c r="BL224" s="73" t="n"/>
      <c r="BM224" s="73" t="n"/>
      <c r="BN224" s="73" t="n"/>
      <c r="BO224" s="73" t="n"/>
      <c r="BP224" s="73" t="n"/>
      <c r="BQ224" s="195">
        <f>COUNTIF($G224:$BP224,"a")+COUNTIF($G224:$BP224,"r0,a5")/2+COUNTIF($G224:$BP224,"p5,a5")/2</f>
        <v/>
      </c>
      <c r="BR224" s="195">
        <f>COUNTIF($G224:$BP224,"d")+COUNTIF($G224:$BP224,"r0,d5")/2+COUNTIF($G224:$BP224,"p5,d5")/2</f>
        <v/>
      </c>
      <c r="BS224" s="195">
        <f>COUNTIF($G224:$BP224,"b")+COUNTIF($G224:$BP224,"r0,b5")/2+COUNTIF($G224:$BP224,"p5,b5")/2</f>
        <v/>
      </c>
      <c r="BT224" s="195">
        <f>COUNTIF($G224:$BP224,"c")+COUNTIF($G224:$BP224,"r0,c5")/2+COUNTIF($G224:$BP224,"p5,c5")/2</f>
        <v/>
      </c>
      <c r="BU224" s="195">
        <f>COUNTIF($G224:$BP224,"KH")+COUNTIF($G224:$BP224,"TL")+COUNTIF($G224:$BP224,"L")</f>
        <v/>
      </c>
      <c r="BV224" s="202" t="n"/>
      <c r="BW224" s="195">
        <f>COUNTIF($G224:$BP224,"hh")</f>
        <v/>
      </c>
      <c r="BX224" s="195">
        <f>COUNTIF($G224:$BP224,"nt7")</f>
        <v/>
      </c>
      <c r="BY224" s="195">
        <f>COUNTIF($G224:$BP224,"P")+COUNTIF($G224:$BP224,"p5,a5")/2+COUNTIF($G224:$BP224,"p5,b5")/2+COUNTIF($G224:$BP224,"p5,c5")/2+COUNTIF($G224:$BP224,"p5,d5")/2</f>
        <v/>
      </c>
      <c r="BZ224" s="203">
        <f>SUBTOTAL(9,BQ224:BY224)</f>
        <v/>
      </c>
      <c r="CA224" s="54">
        <f>SUM(J224,L224,N224,P224,R224,T224,X224,Z224,AB224,AD224,AF224,AH224,AL224,AN224,AP224,AR224,AT224,AV224,AZ224,BB224,BD224,BF224,BH224,BP224)</f>
        <v/>
      </c>
      <c r="CB224" s="55">
        <f>SUM(H224,V224,AJ224,AX224,BL224)</f>
        <v/>
      </c>
      <c r="CC224" s="56">
        <f>SUM(BJ224,BN224)</f>
        <v/>
      </c>
      <c r="CD224" s="197">
        <f>IF(BZ224&gt;25,4,IF(BZ224&gt;18,3,IF(BZ224&gt;12,2,IF(BZ224&gt;4,1,0))))-BX224-2+1</f>
        <v/>
      </c>
      <c r="CE224" s="49" t="n"/>
      <c r="CF224" s="197">
        <f>CD224*CI224</f>
        <v/>
      </c>
      <c r="CG224" s="198">
        <f>F224-BY224+1</f>
        <v/>
      </c>
      <c r="CH224" s="197">
        <f>CE224*16</f>
        <v/>
      </c>
      <c r="CI224" s="199">
        <f>VLOOKUP(A224,[1]DATA!$A$6:$AI$331,34,0)</f>
        <v/>
      </c>
      <c r="CJ224" s="200">
        <f>VLOOKUP(A224,[2]CHAMCONG!A$7:CI$333,79,0)</f>
        <v/>
      </c>
      <c r="CK224" s="201">
        <f>CJ224-CA224</f>
        <v/>
      </c>
    </row>
    <row r="225" ht="15.75" customFormat="1" customHeight="1" s="68">
      <c r="A225" s="139" t="n"/>
      <c r="B225" s="64" t="n"/>
      <c r="C225" s="115" t="n"/>
      <c r="D225" s="46" t="n"/>
      <c r="E225" s="47" t="n"/>
      <c r="F225" s="48" t="n"/>
      <c r="G225" s="49" t="n"/>
      <c r="H225" s="73" t="n"/>
      <c r="I225" s="49" t="n"/>
      <c r="J225" s="73" t="n"/>
      <c r="K225" s="49" t="n"/>
      <c r="L225" s="73" t="n"/>
      <c r="M225" s="49" t="n"/>
      <c r="N225" s="73" t="n"/>
      <c r="O225" s="49" t="n"/>
      <c r="P225" s="73" t="n"/>
      <c r="Q225" s="49" t="n"/>
      <c r="R225" s="49" t="n"/>
      <c r="S225" s="49" t="n"/>
      <c r="T225" s="73" t="n"/>
      <c r="U225" s="49" t="n"/>
      <c r="V225" s="73" t="n"/>
      <c r="W225" s="49" t="n"/>
      <c r="X225" s="73" t="n"/>
      <c r="Y225" s="49" t="n"/>
      <c r="Z225" s="73" t="n"/>
      <c r="AA225" s="49" t="n"/>
      <c r="AB225" s="73" t="n"/>
      <c r="AC225" s="73" t="n"/>
      <c r="AD225" s="73" t="n"/>
      <c r="AE225" s="73" t="n"/>
      <c r="AF225" s="73" t="n"/>
      <c r="AG225" s="73" t="n"/>
      <c r="AH225" s="73" t="n"/>
      <c r="AI225" s="49" t="n"/>
      <c r="AJ225" s="73" t="n"/>
      <c r="AK225" s="49" t="n"/>
      <c r="AL225" s="73" t="n"/>
      <c r="AM225" s="49" t="n"/>
      <c r="AN225" s="73" t="n"/>
      <c r="AO225" s="49" t="n"/>
      <c r="AP225" s="73" t="n"/>
      <c r="AQ225" s="49" t="n"/>
      <c r="AR225" s="73" t="n"/>
      <c r="AS225" s="49" t="n"/>
      <c r="AT225" s="49" t="n"/>
      <c r="AU225" s="49" t="n"/>
      <c r="AV225" s="73" t="n"/>
      <c r="AW225" s="50" t="n"/>
      <c r="AX225" s="73" t="n"/>
      <c r="AY225" s="49" t="n"/>
      <c r="AZ225" s="73" t="n"/>
      <c r="BA225" s="49" t="n"/>
      <c r="BB225" s="73" t="n"/>
      <c r="BC225" s="49" t="n"/>
      <c r="BD225" s="73" t="n"/>
      <c r="BE225" s="73" t="n"/>
      <c r="BF225" s="73" t="n"/>
      <c r="BG225" s="73" t="n"/>
      <c r="BH225" s="73" t="n"/>
      <c r="BI225" s="73" t="n"/>
      <c r="BJ225" s="73" t="n"/>
      <c r="BK225" s="73" t="n"/>
      <c r="BL225" s="73" t="n"/>
      <c r="BM225" s="73" t="n"/>
      <c r="BN225" s="73" t="n"/>
      <c r="BO225" s="73" t="n"/>
      <c r="BP225" s="73" t="n"/>
      <c r="BQ225" s="195">
        <f>COUNTIF($G225:$BP225,"a")+COUNTIF($G225:$BP225,"r0,a5")/2+COUNTIF($G225:$BP225,"p5,a5")/2</f>
        <v/>
      </c>
      <c r="BR225" s="195">
        <f>COUNTIF($G225:$BP225,"d")+COUNTIF($G225:$BP225,"r0,d5")/2+COUNTIF($G225:$BP225,"p5,d5")/2</f>
        <v/>
      </c>
      <c r="BS225" s="195">
        <f>COUNTIF($G225:$BP225,"b")+COUNTIF($G225:$BP225,"r0,b5")/2+COUNTIF($G225:$BP225,"p5,b5")/2</f>
        <v/>
      </c>
      <c r="BT225" s="195">
        <f>COUNTIF($G225:$BP225,"c")+COUNTIF($G225:$BP225,"r0,c5")/2+COUNTIF($G225:$BP225,"p5,c5")/2</f>
        <v/>
      </c>
      <c r="BU225" s="195">
        <f>COUNTIF($G225:$BP225,"KH")+COUNTIF($G225:$BP225,"TL")+COUNTIF($G225:$BP225,"L")</f>
        <v/>
      </c>
      <c r="BV225" s="202" t="n"/>
      <c r="BW225" s="195">
        <f>COUNTIF($G225:$BP225,"hh")</f>
        <v/>
      </c>
      <c r="BX225" s="195">
        <f>COUNTIF($G225:$BP225,"nt7")</f>
        <v/>
      </c>
      <c r="BY225" s="195">
        <f>COUNTIF($G225:$BP225,"P")+COUNTIF($G225:$BP225,"p5,a5")/2+COUNTIF($G225:$BP225,"p5,b5")/2+COUNTIF($G225:$BP225,"p5,c5")/2+COUNTIF($G225:$BP225,"p5,d5")/2</f>
        <v/>
      </c>
      <c r="BZ225" s="203">
        <f>SUBTOTAL(9,BQ225:BY225)</f>
        <v/>
      </c>
      <c r="CA225" s="54">
        <f>SUM(J225,L225,N225,P225,R225,T225,X225,Z225,AB225,AD225,AF225,AH225,AL225,AN225,AP225,AR225,AT225,AV225,AZ225,BB225,BD225,BF225,BH225,BP225)</f>
        <v/>
      </c>
      <c r="CB225" s="55">
        <f>SUM(H225,V225,AJ225,AX225,BL225)</f>
        <v/>
      </c>
      <c r="CC225" s="56">
        <f>SUM(BJ225,BN225)</f>
        <v/>
      </c>
      <c r="CD225" s="197">
        <f>IF(BZ225&gt;25,4,IF(BZ225&gt;18,3,IF(BZ225&gt;12,2,IF(BZ225&gt;4,1,0))))-BX225-2+1</f>
        <v/>
      </c>
      <c r="CE225" s="49" t="n">
        <v>2</v>
      </c>
      <c r="CF225" s="197">
        <f>CD225*CI225</f>
        <v/>
      </c>
      <c r="CG225" s="198">
        <f>F225-BY225+1</f>
        <v/>
      </c>
      <c r="CH225" s="197">
        <f>CE225*16</f>
        <v/>
      </c>
      <c r="CI225" s="199">
        <f>VLOOKUP(A225,[1]DATA!$A$6:$AI$331,34,0)</f>
        <v/>
      </c>
      <c r="CJ225" s="200">
        <f>VLOOKUP(A225,[2]CHAMCONG!A$7:CI$333,79,0)</f>
        <v/>
      </c>
      <c r="CK225" s="201">
        <f>CJ225-CA225</f>
        <v/>
      </c>
    </row>
    <row r="226" ht="15.75" customFormat="1" customHeight="1" s="68">
      <c r="A226" s="139" t="n"/>
      <c r="B226" s="64" t="n"/>
      <c r="C226" s="115" t="n"/>
      <c r="D226" s="46" t="n"/>
      <c r="E226" s="47" t="n"/>
      <c r="F226" s="48" t="n"/>
      <c r="G226" s="49" t="n"/>
      <c r="H226" s="73" t="n"/>
      <c r="I226" s="73" t="n"/>
      <c r="J226" s="73" t="n"/>
      <c r="K226" s="73" t="n"/>
      <c r="L226" s="73" t="n"/>
      <c r="M226" s="73" t="n"/>
      <c r="N226" s="73" t="n"/>
      <c r="O226" s="73" t="n"/>
      <c r="P226" s="73" t="n"/>
      <c r="Q226" s="50" t="n"/>
      <c r="R226" s="67" t="n"/>
      <c r="S226" s="73" t="n"/>
      <c r="T226" s="73" t="n"/>
      <c r="U226" s="73" t="n"/>
      <c r="V226" s="73" t="n"/>
      <c r="W226" s="73" t="n"/>
      <c r="X226" s="73" t="n"/>
      <c r="Y226" s="73" t="n"/>
      <c r="Z226" s="73" t="n"/>
      <c r="AA226" s="73" t="n"/>
      <c r="AB226" s="73" t="n"/>
      <c r="AC226" s="73" t="n"/>
      <c r="AD226" s="73" t="n"/>
      <c r="AE226" s="73" t="n"/>
      <c r="AF226" s="73" t="n"/>
      <c r="AG226" s="73" t="n"/>
      <c r="AH226" s="73" t="n"/>
      <c r="AI226" s="73" t="n"/>
      <c r="AJ226" s="73" t="n"/>
      <c r="AK226" s="73" t="n"/>
      <c r="AL226" s="73" t="n"/>
      <c r="AM226" s="73" t="n"/>
      <c r="AN226" s="73" t="n"/>
      <c r="AO226" s="73" t="n"/>
      <c r="AP226" s="73" t="n"/>
      <c r="AQ226" s="73" t="n"/>
      <c r="AR226" s="73" t="n"/>
      <c r="AS226" s="73" t="n"/>
      <c r="AT226" s="73" t="n"/>
      <c r="AU226" s="73" t="n"/>
      <c r="AV226" s="73" t="n"/>
      <c r="AW226" s="73" t="n"/>
      <c r="AX226" s="73" t="n"/>
      <c r="AY226" s="50" t="n"/>
      <c r="AZ226" s="73" t="n"/>
      <c r="BA226" s="67" t="n"/>
      <c r="BB226" s="73" t="n"/>
      <c r="BC226" s="67" t="n"/>
      <c r="BD226" s="73" t="n"/>
      <c r="BE226" s="73" t="n"/>
      <c r="BF226" s="73" t="n"/>
      <c r="BG226" s="73" t="n"/>
      <c r="BH226" s="73" t="n"/>
      <c r="BI226" s="73" t="n"/>
      <c r="BJ226" s="73" t="n"/>
      <c r="BK226" s="73" t="n"/>
      <c r="BL226" s="73" t="n"/>
      <c r="BM226" s="73" t="n"/>
      <c r="BN226" s="73" t="n"/>
      <c r="BO226" s="73" t="n"/>
      <c r="BP226" s="73" t="n"/>
      <c r="BQ226" s="195">
        <f>COUNTIF($G226:$BP226,"a")+COUNTIF($G226:$BP226,"r0,a5")/2+COUNTIF($G226:$BP226,"p5,a5")/2</f>
        <v/>
      </c>
      <c r="BR226" s="195">
        <f>COUNTIF($G226:$BP226,"d")+COUNTIF($G226:$BP226,"r0,d5")/2+COUNTIF($G226:$BP226,"p5,d5")/2</f>
        <v/>
      </c>
      <c r="BS226" s="195">
        <f>COUNTIF($G226:$BP226,"b")+COUNTIF($G226:$BP226,"r0,b5")/2+COUNTIF($G226:$BP226,"p5,b5")/2</f>
        <v/>
      </c>
      <c r="BT226" s="195">
        <f>COUNTIF($G226:$BP226,"c")+COUNTIF($G226:$BP226,"r0,c5")/2+COUNTIF($G226:$BP226,"p5,c5")/2</f>
        <v/>
      </c>
      <c r="BU226" s="195">
        <f>COUNTIF($G226:$BP226,"KH")+COUNTIF($G226:$BP226,"TL")+COUNTIF($G226:$BP226,"L")</f>
        <v/>
      </c>
      <c r="BV226" s="202" t="n"/>
      <c r="BW226" s="195">
        <f>COUNTIF($G226:$BP226,"hh")</f>
        <v/>
      </c>
      <c r="BX226" s="195">
        <f>COUNTIF($G226:$BP226,"nt7")</f>
        <v/>
      </c>
      <c r="BY226" s="195">
        <f>COUNTIF($G226:$BP226,"P")+COUNTIF($G226:$BP226,"p5,a5")/2+COUNTIF($G226:$BP226,"p5,b5")/2+COUNTIF($G226:$BP226,"p5,c5")/2+COUNTIF($G226:$BP226,"p5,d5")/2</f>
        <v/>
      </c>
      <c r="BZ226" s="203">
        <f>SUBTOTAL(9,BQ226:BY226)</f>
        <v/>
      </c>
      <c r="CA226" s="54">
        <f>SUM(J226,L226,N226,P226,R226,T226,X226,Z226,AB226,AD226,AF226,AH226,AL226,AN226,AP226,AR226,AT226,AV226,AZ226,BB226,BD226,BF226,BH226,BP226)</f>
        <v/>
      </c>
      <c r="CB226" s="55">
        <f>SUM(H226,V226,AJ226,AX226,BL226)</f>
        <v/>
      </c>
      <c r="CC226" s="56">
        <f>SUM(BJ226,BN226)</f>
        <v/>
      </c>
      <c r="CD226" s="197">
        <f>IF(BZ226&gt;25,4,IF(BZ226&gt;18,3,IF(BZ226&gt;12,2,IF(BZ226&gt;4,1,0))))-BX226-2+1</f>
        <v/>
      </c>
      <c r="CE226" s="49" t="n">
        <v>1</v>
      </c>
      <c r="CF226" s="197">
        <f>CD226*CI226</f>
        <v/>
      </c>
      <c r="CG226" s="198">
        <f>F226-BY226+1</f>
        <v/>
      </c>
      <c r="CH226" s="197">
        <f>CE226*16</f>
        <v/>
      </c>
      <c r="CI226" s="199">
        <f>VLOOKUP(A226,[1]DATA!$A$6:$AI$331,34,0)</f>
        <v/>
      </c>
      <c r="CJ226" s="200">
        <f>VLOOKUP(A226,[2]CHAMCONG!A$7:CI$333,79,0)</f>
        <v/>
      </c>
      <c r="CK226" s="201">
        <f>CJ226-CA226</f>
        <v/>
      </c>
    </row>
    <row r="227" ht="15.75" customFormat="1" customHeight="1" s="68">
      <c r="A227" s="139" t="n"/>
      <c r="B227" s="64" t="n"/>
      <c r="C227" s="115" t="n"/>
      <c r="D227" s="46" t="n"/>
      <c r="E227" s="47" t="n"/>
      <c r="F227" s="48" t="n"/>
      <c r="G227" s="49" t="n"/>
      <c r="H227" s="73" t="n"/>
      <c r="I227" s="49" t="n"/>
      <c r="J227" s="73" t="n"/>
      <c r="K227" s="49" t="n"/>
      <c r="L227" s="73" t="n"/>
      <c r="M227" s="49" t="n"/>
      <c r="N227" s="73" t="n"/>
      <c r="O227" s="49" t="n"/>
      <c r="P227" s="73" t="n"/>
      <c r="Q227" s="49" t="n"/>
      <c r="R227" s="73" t="n"/>
      <c r="S227" s="73" t="n"/>
      <c r="T227" s="73" t="n"/>
      <c r="U227" s="73" t="n"/>
      <c r="V227" s="73" t="n"/>
      <c r="W227" s="73" t="n"/>
      <c r="X227" s="73" t="n"/>
      <c r="Y227" s="73" t="n"/>
      <c r="Z227" s="73" t="n"/>
      <c r="AA227" s="73" t="n"/>
      <c r="AB227" s="73" t="n"/>
      <c r="AC227" s="73" t="n"/>
      <c r="AD227" s="73" t="n"/>
      <c r="AE227" s="73" t="n"/>
      <c r="AF227" s="73" t="n"/>
      <c r="AG227" s="73" t="n"/>
      <c r="AH227" s="73" t="n"/>
      <c r="AI227" s="73" t="n"/>
      <c r="AJ227" s="73" t="n"/>
      <c r="AK227" s="73" t="n"/>
      <c r="AL227" s="73" t="n"/>
      <c r="AM227" s="73" t="n"/>
      <c r="AN227" s="73" t="n"/>
      <c r="AO227" s="49" t="n"/>
      <c r="AP227" s="73" t="n"/>
      <c r="AQ227" s="49" t="n"/>
      <c r="AR227" s="73" t="n"/>
      <c r="AS227" s="49" t="n"/>
      <c r="AT227" s="49" t="n"/>
      <c r="AU227" s="49" t="n"/>
      <c r="AV227" s="73" t="n"/>
      <c r="AW227" s="73" t="n"/>
      <c r="AX227" s="73" t="n"/>
      <c r="AY227" s="73" t="n"/>
      <c r="AZ227" s="73" t="n"/>
      <c r="BA227" s="73" t="n"/>
      <c r="BB227" s="73" t="n"/>
      <c r="BC227" s="73" t="n"/>
      <c r="BD227" s="73" t="n"/>
      <c r="BE227" s="73" t="n"/>
      <c r="BF227" s="73" t="n"/>
      <c r="BG227" s="73" t="n"/>
      <c r="BH227" s="73" t="n"/>
      <c r="BI227" s="73" t="n"/>
      <c r="BJ227" s="73" t="n"/>
      <c r="BK227" s="73" t="n"/>
      <c r="BL227" s="73" t="n"/>
      <c r="BM227" s="73" t="n"/>
      <c r="BN227" s="73" t="n"/>
      <c r="BO227" s="73" t="n"/>
      <c r="BP227" s="73" t="n"/>
      <c r="BQ227" s="195">
        <f>COUNTIF($G227:$BP227,"a")+COUNTIF($G227:$BP227,"r0,a5")/2+COUNTIF($G227:$BP227,"p5,a5")/2</f>
        <v/>
      </c>
      <c r="BR227" s="195">
        <f>COUNTIF($G227:$BP227,"d")+COUNTIF($G227:$BP227,"r0,d5")/2+COUNTIF($G227:$BP227,"p5,d5")/2</f>
        <v/>
      </c>
      <c r="BS227" s="195">
        <f>COUNTIF($G227:$BP227,"b")+COUNTIF($G227:$BP227,"r0,b5")/2+COUNTIF($G227:$BP227,"p5,b5")/2</f>
        <v/>
      </c>
      <c r="BT227" s="195">
        <f>COUNTIF($G227:$BP227,"c")+COUNTIF($G227:$BP227,"r0,c5")/2+COUNTIF($G227:$BP227,"p5,c5")/2</f>
        <v/>
      </c>
      <c r="BU227" s="195">
        <f>COUNTIF($G227:$BP227,"KH")+COUNTIF($G227:$BP227,"TL")+COUNTIF($G227:$BP227,"L")</f>
        <v/>
      </c>
      <c r="BV227" s="202" t="n"/>
      <c r="BW227" s="195">
        <f>COUNTIF($G227:$BP227,"hh")</f>
        <v/>
      </c>
      <c r="BX227" s="195">
        <f>COUNTIF($G227:$BP227,"nt7")</f>
        <v/>
      </c>
      <c r="BY227" s="195">
        <f>COUNTIF($G227:$BP227,"P")+COUNTIF($G227:$BP227,"p5,a5")/2+COUNTIF($G227:$BP227,"p5,b5")/2+COUNTIF($G227:$BP227,"p5,c5")/2+COUNTIF($G227:$BP227,"p5,d5")/2</f>
        <v/>
      </c>
      <c r="BZ227" s="203">
        <f>SUBTOTAL(9,BQ227:BY227)</f>
        <v/>
      </c>
      <c r="CA227" s="54">
        <f>SUM(J227,L227,N227,P227,R227,T227,X227,Z227,AB227,AD227,AF227,AH227,AL227,AN227,AP227,AR227,AT227,AV227,AZ227,BB227,BD227,BF227,BH227,BP227)</f>
        <v/>
      </c>
      <c r="CB227" s="55">
        <f>SUM(H227,V227,AJ227,AX227,BL227)</f>
        <v/>
      </c>
      <c r="CC227" s="56">
        <f>SUM(BJ227,BN227)</f>
        <v/>
      </c>
      <c r="CD227" s="197">
        <f>IF(BZ227&gt;25,4,IF(BZ227&gt;18,3,IF(BZ227&gt;12,2,IF(BZ227&gt;4,1,0))))-BX227-2+1</f>
        <v/>
      </c>
      <c r="CE227" s="49" t="n"/>
      <c r="CF227" s="197">
        <f>CD227*CI227</f>
        <v/>
      </c>
      <c r="CG227" s="198">
        <f>F227-BY227+1</f>
        <v/>
      </c>
      <c r="CH227" s="197">
        <f>CE227*16</f>
        <v/>
      </c>
      <c r="CI227" s="199">
        <f>VLOOKUP(A227,[1]DATA!$A$6:$AI$331,34,0)</f>
        <v/>
      </c>
      <c r="CJ227" s="200">
        <f>VLOOKUP(A227,[2]CHAMCONG!A$7:CI$333,79,0)</f>
        <v/>
      </c>
      <c r="CK227" s="201">
        <f>CJ227-CA227</f>
        <v/>
      </c>
    </row>
    <row r="228" ht="16.5" customFormat="1" customHeight="1" s="68">
      <c r="A228" s="69" t="n"/>
      <c r="B228" s="64" t="n"/>
      <c r="C228" s="115" t="n"/>
      <c r="D228" s="46" t="n"/>
      <c r="E228" s="47" t="n"/>
      <c r="F228" s="48" t="n"/>
      <c r="G228" s="49" t="n"/>
      <c r="H228" s="73" t="n"/>
      <c r="I228" s="49" t="n"/>
      <c r="J228" s="73" t="n"/>
      <c r="K228" s="49" t="n"/>
      <c r="L228" s="73" t="n"/>
      <c r="M228" s="49" t="n"/>
      <c r="N228" s="73" t="n"/>
      <c r="O228" s="49" t="n"/>
      <c r="P228" s="73" t="n"/>
      <c r="Q228" s="67" t="n"/>
      <c r="R228" s="67" t="n"/>
      <c r="S228" s="50" t="n"/>
      <c r="T228" s="73" t="n"/>
      <c r="U228" s="49" t="n"/>
      <c r="V228" s="73" t="n"/>
      <c r="W228" s="49" t="n"/>
      <c r="X228" s="73" t="n"/>
      <c r="Y228" s="49" t="n"/>
      <c r="Z228" s="73" t="n"/>
      <c r="AA228" s="49" t="n"/>
      <c r="AB228" s="73" t="n"/>
      <c r="AC228" s="73" t="n"/>
      <c r="AD228" s="73" t="n"/>
      <c r="AE228" s="73" t="n"/>
      <c r="AF228" s="73" t="n"/>
      <c r="AG228" s="73" t="n"/>
      <c r="AH228" s="73" t="n"/>
      <c r="AI228" s="73" t="n"/>
      <c r="AJ228" s="73" t="n"/>
      <c r="AK228" s="73" t="n"/>
      <c r="AL228" s="73" t="n"/>
      <c r="AM228" s="73" t="n"/>
      <c r="AN228" s="73" t="n"/>
      <c r="AO228" s="73" t="n"/>
      <c r="AP228" s="73" t="n"/>
      <c r="AQ228" s="73" t="n"/>
      <c r="AR228" s="73" t="n"/>
      <c r="AS228" s="73" t="n"/>
      <c r="AT228" s="73" t="n"/>
      <c r="AU228" s="73" t="n"/>
      <c r="AV228" s="73" t="n"/>
      <c r="AW228" s="73" t="n"/>
      <c r="AX228" s="73" t="n"/>
      <c r="AY228" s="73" t="n"/>
      <c r="AZ228" s="73" t="n"/>
      <c r="BA228" s="73" t="n"/>
      <c r="BB228" s="73" t="n"/>
      <c r="BC228" s="73" t="n"/>
      <c r="BD228" s="73" t="n"/>
      <c r="BE228" s="73" t="n"/>
      <c r="BF228" s="73" t="n"/>
      <c r="BG228" s="73" t="n"/>
      <c r="BH228" s="73" t="n"/>
      <c r="BI228" s="73" t="n"/>
      <c r="BJ228" s="73" t="n"/>
      <c r="BK228" s="73" t="n"/>
      <c r="BL228" s="73" t="n"/>
      <c r="BM228" s="73" t="n"/>
      <c r="BN228" s="73" t="n"/>
      <c r="BO228" s="73" t="n"/>
      <c r="BP228" s="73" t="n"/>
      <c r="BQ228" s="195">
        <f>COUNTIF($G228:$BP228,"a")+COUNTIF($G228:$BP228,"r0,a5")/2+COUNTIF($G228:$BP228,"p5,a5")/2</f>
        <v/>
      </c>
      <c r="BR228" s="195">
        <f>COUNTIF($G228:$BP228,"d")+COUNTIF($G228:$BP228,"r0,d5")/2+COUNTIF($G228:$BP228,"p5,d5")/2</f>
        <v/>
      </c>
      <c r="BS228" s="195">
        <f>COUNTIF($G228:$BP228,"b")+COUNTIF($G228:$BP228,"r0,b5")/2+COUNTIF($G228:$BP228,"p5,b5")/2</f>
        <v/>
      </c>
      <c r="BT228" s="195">
        <f>COUNTIF($G228:$BP228,"c")+COUNTIF($G228:$BP228,"r0,c5")/2+COUNTIF($G228:$BP228,"p5,c5")/2</f>
        <v/>
      </c>
      <c r="BU228" s="195">
        <f>COUNTIF($G228:$BP228,"KH")+COUNTIF($G228:$BP228,"TL")+COUNTIF($G228:$BP228,"L")</f>
        <v/>
      </c>
      <c r="BV228" s="202" t="n"/>
      <c r="BW228" s="195">
        <f>COUNTIF($G228:$BP228,"hh")</f>
        <v/>
      </c>
      <c r="BX228" s="195">
        <f>COUNTIF($G228:$BP228,"nt7")</f>
        <v/>
      </c>
      <c r="BY228" s="195">
        <f>COUNTIF($G228:$BP228,"P")+COUNTIF($G228:$BP228,"p5,a5")/2+COUNTIF($G228:$BP228,"p5,b5")/2+COUNTIF($G228:$BP228,"p5,c5")/2+COUNTIF($G228:$BP228,"p5,d5")/2</f>
        <v/>
      </c>
      <c r="BZ228" s="203">
        <f>SUBTOTAL(9,BQ228:BY228)</f>
        <v/>
      </c>
      <c r="CA228" s="54">
        <f>SUM(J228,L228,N228,P228,R228,T228,X228,Z228,AB228,AD228,AF228,AH228,AL228,AN228,AP228,AR228,AT228,AV228,AZ228,BB228,BD228,BF228,BH228,BP228)</f>
        <v/>
      </c>
      <c r="CB228" s="55">
        <f>SUM(H228,V228,AJ228,AX228,BL228)</f>
        <v/>
      </c>
      <c r="CC228" s="56">
        <f>SUM(BJ228,BN228)</f>
        <v/>
      </c>
      <c r="CD228" s="197">
        <f>IF(BZ228&gt;25,4,IF(BZ228&gt;18,3,IF(BZ228&gt;12,2,IF(BZ228&gt;4,1,0))))-BX228-2+1</f>
        <v/>
      </c>
      <c r="CE228" s="49" t="n"/>
      <c r="CF228" s="197">
        <f>CD228*CI228</f>
        <v/>
      </c>
      <c r="CG228" s="198">
        <f>F228-BY228+1</f>
        <v/>
      </c>
      <c r="CH228" s="197">
        <f>CE228*16</f>
        <v/>
      </c>
      <c r="CI228" s="199">
        <f>VLOOKUP(A228,[1]DATA!$A$6:$AI$331,34,0)</f>
        <v/>
      </c>
      <c r="CJ228" s="200">
        <f>VLOOKUP(A228,[2]CHAMCONG!A$7:CI$333,79,0)</f>
        <v/>
      </c>
      <c r="CK228" s="201">
        <f>CJ228-CA228</f>
        <v/>
      </c>
    </row>
    <row r="229" ht="15.75" customFormat="1" customHeight="1" s="68">
      <c r="A229" s="139" t="n"/>
      <c r="B229" s="64" t="n"/>
      <c r="C229" s="115" t="n"/>
      <c r="D229" s="46" t="n"/>
      <c r="E229" s="47" t="n"/>
      <c r="F229" s="48" t="n"/>
      <c r="G229" s="49" t="n"/>
      <c r="H229" s="73" t="n"/>
      <c r="I229" s="49" t="n"/>
      <c r="J229" s="73" t="n"/>
      <c r="K229" s="49" t="n"/>
      <c r="L229" s="73" t="n"/>
      <c r="M229" s="49" t="n"/>
      <c r="N229" s="73" t="n"/>
      <c r="O229" s="49" t="n"/>
      <c r="P229" s="73" t="n"/>
      <c r="Q229" s="49" t="n"/>
      <c r="R229" s="73" t="n"/>
      <c r="S229" s="49" t="n"/>
      <c r="T229" s="73" t="n"/>
      <c r="U229" s="49" t="n"/>
      <c r="V229" s="73" t="n"/>
      <c r="W229" s="50" t="n"/>
      <c r="X229" s="73" t="n"/>
      <c r="Y229" s="50" t="n"/>
      <c r="Z229" s="73" t="n"/>
      <c r="AA229" s="49" t="n"/>
      <c r="AB229" s="73" t="n"/>
      <c r="AC229" s="49" t="n"/>
      <c r="AD229" s="73" t="n"/>
      <c r="AE229" s="73" t="n"/>
      <c r="AF229" s="73" t="n"/>
      <c r="AG229" s="73" t="n"/>
      <c r="AH229" s="73" t="n"/>
      <c r="AI229" s="73" t="n"/>
      <c r="AJ229" s="73" t="n"/>
      <c r="AK229" s="73" t="n"/>
      <c r="AL229" s="73" t="n"/>
      <c r="AM229" s="73" t="n"/>
      <c r="AN229" s="73" t="n"/>
      <c r="AO229" s="72" t="n"/>
      <c r="AP229" s="73" t="n"/>
      <c r="AQ229" s="73" t="n"/>
      <c r="AR229" s="73" t="n"/>
      <c r="AS229" s="49" t="n"/>
      <c r="AT229" s="73" t="n"/>
      <c r="AU229" s="73" t="n"/>
      <c r="AV229" s="73" t="n"/>
      <c r="AW229" s="73" t="n"/>
      <c r="AX229" s="73" t="n"/>
      <c r="AY229" s="73" t="n"/>
      <c r="AZ229" s="73" t="n"/>
      <c r="BA229" s="73" t="n"/>
      <c r="BB229" s="73" t="n"/>
      <c r="BC229" s="72" t="n"/>
      <c r="BD229" s="73" t="n"/>
      <c r="BE229" s="73" t="n"/>
      <c r="BF229" s="73" t="n"/>
      <c r="BG229" s="73" t="n"/>
      <c r="BH229" s="73" t="n"/>
      <c r="BI229" s="73" t="n"/>
      <c r="BJ229" s="73" t="n"/>
      <c r="BK229" s="73" t="n"/>
      <c r="BL229" s="73" t="n"/>
      <c r="BM229" s="73" t="n"/>
      <c r="BN229" s="73" t="n"/>
      <c r="BO229" s="73" t="n"/>
      <c r="BP229" s="73" t="n"/>
      <c r="BQ229" s="195">
        <f>COUNTIF($G229:$BP229,"a")+COUNTIF($G229:$BP229,"r0,a5")/2+COUNTIF($G229:$BP229,"p5,a5")/2</f>
        <v/>
      </c>
      <c r="BR229" s="195">
        <f>COUNTIF($G229:$BP229,"d")+COUNTIF($G229:$BP229,"r0,d5")/2+COUNTIF($G229:$BP229,"p5,d5")/2</f>
        <v/>
      </c>
      <c r="BS229" s="195">
        <f>COUNTIF($G229:$BP229,"b")+COUNTIF($G229:$BP229,"r0,b5")/2+COUNTIF($G229:$BP229,"p5,b5")/2</f>
        <v/>
      </c>
      <c r="BT229" s="195">
        <f>COUNTIF($G229:$BP229,"c")+COUNTIF($G229:$BP229,"r0,c5")/2+COUNTIF($G229:$BP229,"p5,c5")/2</f>
        <v/>
      </c>
      <c r="BU229" s="195">
        <f>COUNTIF($G229:$BP229,"KH")+COUNTIF($G229:$BP229,"TL")+COUNTIF($G229:$BP229,"L")</f>
        <v/>
      </c>
      <c r="BV229" s="202" t="n"/>
      <c r="BW229" s="195">
        <f>COUNTIF($G229:$BP229,"hh")</f>
        <v/>
      </c>
      <c r="BX229" s="195">
        <f>COUNTIF($G229:$BP229,"nt7")</f>
        <v/>
      </c>
      <c r="BY229" s="195">
        <f>COUNTIF($G229:$BP229,"P")+COUNTIF($G229:$BP229,"p5,a5")/2+COUNTIF($G229:$BP229,"p5,b5")/2+COUNTIF($G229:$BP229,"p5,c5")/2+COUNTIF($G229:$BP229,"p5,d5")/2</f>
        <v/>
      </c>
      <c r="BZ229" s="203">
        <f>SUBTOTAL(9,BQ229:BY229)</f>
        <v/>
      </c>
      <c r="CA229" s="54">
        <f>SUM(J229,L229,N229,P229,R229,T229,X229,Z229,AB229,AD229,AF229,AH229,AL229,AN229,AP229,AR229,AT229,AV229,AZ229,BB229,BD229,BF229,BH229,BP229)</f>
        <v/>
      </c>
      <c r="CB229" s="55">
        <f>SUM(H229,V229,AJ229,AX229,BL229)</f>
        <v/>
      </c>
      <c r="CC229" s="56">
        <f>SUM(BJ229,BN229)</f>
        <v/>
      </c>
      <c r="CD229" s="197">
        <f>IF(BZ229&gt;25,4,IF(BZ229&gt;18,3,IF(BZ229&gt;12,2,IF(BZ229&gt;4,1,0))))-BX229-2+1</f>
        <v/>
      </c>
      <c r="CE229" s="49" t="n"/>
      <c r="CF229" s="197">
        <f>CD229*CI229</f>
        <v/>
      </c>
      <c r="CG229" s="198">
        <f>F229-BY229+1</f>
        <v/>
      </c>
      <c r="CH229" s="197">
        <f>CE229*16</f>
        <v/>
      </c>
      <c r="CI229" s="199">
        <f>VLOOKUP(A229,[1]DATA!$A$6:$AI$331,34,0)</f>
        <v/>
      </c>
      <c r="CJ229" s="200">
        <f>VLOOKUP(A229,[2]CHAMCONG!A$7:CI$333,79,0)</f>
        <v/>
      </c>
      <c r="CK229" s="201">
        <f>CJ229-CA229</f>
        <v/>
      </c>
    </row>
    <row r="230" ht="15.75" customFormat="1" customHeight="1" s="68">
      <c r="A230" s="139" t="n"/>
      <c r="B230" s="64" t="n"/>
      <c r="C230" s="115" t="n"/>
      <c r="D230" s="46" t="n"/>
      <c r="E230" s="47" t="n"/>
      <c r="F230" s="48" t="n"/>
      <c r="G230" s="49" t="n"/>
      <c r="H230" s="73" t="n"/>
      <c r="I230" s="49" t="n"/>
      <c r="J230" s="73" t="n"/>
      <c r="K230" s="49" t="n"/>
      <c r="L230" s="73" t="n"/>
      <c r="M230" s="49" t="n"/>
      <c r="N230" s="73" t="n"/>
      <c r="O230" s="49" t="n"/>
      <c r="P230" s="73" t="n"/>
      <c r="Q230" s="49" t="n"/>
      <c r="R230" s="73" t="n"/>
      <c r="S230" s="73" t="n"/>
      <c r="T230" s="73" t="n"/>
      <c r="U230" s="73" t="n"/>
      <c r="V230" s="73" t="n"/>
      <c r="W230" s="50" t="n"/>
      <c r="X230" s="73" t="n"/>
      <c r="Y230" s="50" t="n"/>
      <c r="Z230" s="73" t="n"/>
      <c r="AA230" s="50" t="n"/>
      <c r="AB230" s="73" t="n"/>
      <c r="AC230" s="50" t="n"/>
      <c r="AD230" s="73" t="n"/>
      <c r="AE230" s="73" t="n"/>
      <c r="AF230" s="73" t="n"/>
      <c r="AG230" s="50" t="n"/>
      <c r="AH230" s="73" t="n"/>
      <c r="AI230" s="73" t="n"/>
      <c r="AJ230" s="73" t="n"/>
      <c r="AK230" s="73" t="n"/>
      <c r="AL230" s="73" t="n"/>
      <c r="AM230" s="73" t="n"/>
      <c r="AN230" s="73" t="n"/>
      <c r="AO230" s="49" t="n"/>
      <c r="AP230" s="73" t="n"/>
      <c r="AQ230" s="49" t="n"/>
      <c r="AR230" s="73" t="n"/>
      <c r="AS230" s="49" t="n"/>
      <c r="AT230" s="49" t="n"/>
      <c r="AU230" s="49" t="n"/>
      <c r="AV230" s="73" t="n"/>
      <c r="AW230" s="73" t="n"/>
      <c r="AX230" s="73" t="n"/>
      <c r="AY230" s="73" t="n"/>
      <c r="AZ230" s="73" t="n"/>
      <c r="BA230" s="73" t="n"/>
      <c r="BB230" s="73" t="n"/>
      <c r="BC230" s="73" t="n"/>
      <c r="BD230" s="73" t="n"/>
      <c r="BE230" s="73" t="n"/>
      <c r="BF230" s="73" t="n"/>
      <c r="BG230" s="73" t="n"/>
      <c r="BH230" s="73" t="n"/>
      <c r="BI230" s="73" t="n"/>
      <c r="BJ230" s="73" t="n"/>
      <c r="BK230" s="73" t="n"/>
      <c r="BL230" s="73" t="n"/>
      <c r="BM230" s="73" t="n"/>
      <c r="BN230" s="73" t="n"/>
      <c r="BO230" s="73" t="n"/>
      <c r="BP230" s="73" t="n"/>
      <c r="BQ230" s="195">
        <f>COUNTIF($G230:$BP230,"a")+COUNTIF($G230:$BP230,"r0,a5")/2+COUNTIF($G230:$BP230,"p5,a5")/2</f>
        <v/>
      </c>
      <c r="BR230" s="195">
        <f>COUNTIF($G230:$BP230,"d")+COUNTIF($G230:$BP230,"r0,d5")/2+COUNTIF($G230:$BP230,"p5,d5")/2</f>
        <v/>
      </c>
      <c r="BS230" s="195">
        <f>COUNTIF($G230:$BP230,"b")+COUNTIF($G230:$BP230,"r0,b5")/2+COUNTIF($G230:$BP230,"p5,b5")/2</f>
        <v/>
      </c>
      <c r="BT230" s="195">
        <f>COUNTIF($G230:$BP230,"c")+COUNTIF($G230:$BP230,"r0,c5")/2+COUNTIF($G230:$BP230,"p5,c5")/2</f>
        <v/>
      </c>
      <c r="BU230" s="195">
        <f>COUNTIF($G230:$BP230,"KH")+COUNTIF($G230:$BP230,"TL")+COUNTIF($G230:$BP230,"L")</f>
        <v/>
      </c>
      <c r="BV230" s="202" t="n"/>
      <c r="BW230" s="195">
        <f>COUNTIF($G230:$BP230,"hh")</f>
        <v/>
      </c>
      <c r="BX230" s="195">
        <f>COUNTIF($G230:$BP230,"nt7")</f>
        <v/>
      </c>
      <c r="BY230" s="195">
        <f>COUNTIF($G230:$BP230,"P")+COUNTIF($G230:$BP230,"p5,a5")/2+COUNTIF($G230:$BP230,"p5,b5")/2+COUNTIF($G230:$BP230,"p5,c5")/2+COUNTIF($G230:$BP230,"p5,d5")/2</f>
        <v/>
      </c>
      <c r="BZ230" s="203">
        <f>SUBTOTAL(9,BQ230:BY230)</f>
        <v/>
      </c>
      <c r="CA230" s="54">
        <f>SUM(J230,L230,N230,P230,R230,T230,X230,Z230,AB230,AD230,AF230,AH230,AL230,AN230,AP230,AR230,AT230,AV230,AZ230,BB230,BD230,BF230,BH230,BP230)</f>
        <v/>
      </c>
      <c r="CB230" s="55">
        <f>SUM(H230,V230,AJ230,AX230,BL230)</f>
        <v/>
      </c>
      <c r="CC230" s="56">
        <f>SUM(BJ230,BN230)</f>
        <v/>
      </c>
      <c r="CD230" s="197">
        <f>IF(BZ230&gt;25,4,IF(BZ230&gt;18,3,IF(BZ230&gt;12,2,IF(BZ230&gt;4,1,0))))-BX230-2+1</f>
        <v/>
      </c>
      <c r="CE230" s="49" t="n"/>
      <c r="CF230" s="197">
        <f>CD230*CI230</f>
        <v/>
      </c>
      <c r="CG230" s="198">
        <f>F230-BY230+1</f>
        <v/>
      </c>
      <c r="CH230" s="197">
        <f>CE230*16</f>
        <v/>
      </c>
      <c r="CI230" s="199">
        <f>VLOOKUP(A230,[1]DATA!$A$6:$AI$331,34,0)</f>
        <v/>
      </c>
      <c r="CJ230" s="200">
        <f>VLOOKUP(A230,[2]CHAMCONG!A$7:CI$333,79,0)</f>
        <v/>
      </c>
      <c r="CK230" s="201">
        <f>CJ230-CA230</f>
        <v/>
      </c>
    </row>
    <row r="231" ht="15.75" customFormat="1" customHeight="1" s="68">
      <c r="A231" s="139" t="n"/>
      <c r="B231" s="64" t="n"/>
      <c r="C231" s="115" t="n"/>
      <c r="D231" s="46" t="n"/>
      <c r="E231" s="47" t="n"/>
      <c r="F231" s="48" t="n"/>
      <c r="G231" s="49" t="n"/>
      <c r="H231" s="73" t="n"/>
      <c r="I231" s="49" t="n"/>
      <c r="J231" s="73" t="n"/>
      <c r="K231" s="49" t="n"/>
      <c r="L231" s="73" t="n"/>
      <c r="M231" s="49" t="n"/>
      <c r="N231" s="73" t="n"/>
      <c r="O231" s="49" t="n"/>
      <c r="P231" s="73" t="n"/>
      <c r="Q231" s="67" t="n"/>
      <c r="R231" s="67" t="n"/>
      <c r="S231" s="49" t="n"/>
      <c r="T231" s="73" t="n"/>
      <c r="U231" s="49" t="n"/>
      <c r="V231" s="73" t="n"/>
      <c r="W231" s="49" t="n"/>
      <c r="X231" s="73" t="n"/>
      <c r="Y231" s="49" t="n"/>
      <c r="Z231" s="73" t="n"/>
      <c r="AA231" s="49" t="n"/>
      <c r="AB231" s="73" t="n"/>
      <c r="AC231" s="49" t="n"/>
      <c r="AD231" s="73" t="n"/>
      <c r="AE231" s="73" t="n"/>
      <c r="AF231" s="73" t="n"/>
      <c r="AG231" s="73" t="n"/>
      <c r="AH231" s="73" t="n"/>
      <c r="AI231" s="73" t="n"/>
      <c r="AJ231" s="73" t="n"/>
      <c r="AK231" s="73" t="n"/>
      <c r="AL231" s="73" t="n"/>
      <c r="AM231" s="73" t="n"/>
      <c r="AN231" s="73" t="n"/>
      <c r="AO231" s="73" t="n"/>
      <c r="AP231" s="73" t="n"/>
      <c r="AQ231" s="73" t="n"/>
      <c r="AR231" s="73" t="n"/>
      <c r="AS231" s="73" t="n"/>
      <c r="AT231" s="73" t="n"/>
      <c r="AU231" s="73" t="n"/>
      <c r="AV231" s="73" t="n"/>
      <c r="AW231" s="73" t="n"/>
      <c r="AX231" s="73" t="n"/>
      <c r="AY231" s="73" t="n"/>
      <c r="AZ231" s="73" t="n"/>
      <c r="BA231" s="73" t="n"/>
      <c r="BB231" s="73" t="n"/>
      <c r="BC231" s="73" t="n"/>
      <c r="BD231" s="73" t="n"/>
      <c r="BE231" s="73" t="n"/>
      <c r="BF231" s="73" t="n"/>
      <c r="BG231" s="73" t="n"/>
      <c r="BH231" s="73" t="n"/>
      <c r="BI231" s="73" t="n"/>
      <c r="BJ231" s="73" t="n"/>
      <c r="BK231" s="73" t="n"/>
      <c r="BL231" s="73" t="n"/>
      <c r="BM231" s="73" t="n"/>
      <c r="BN231" s="73" t="n"/>
      <c r="BO231" s="73" t="n"/>
      <c r="BP231" s="73" t="n"/>
      <c r="BQ231" s="195">
        <f>COUNTIF($G231:$BP231,"a")+COUNTIF($G231:$BP231,"r0,a5")/2+COUNTIF($G231:$BP231,"p5,a5")/2</f>
        <v/>
      </c>
      <c r="BR231" s="195">
        <f>COUNTIF($G231:$BP231,"d")+COUNTIF($G231:$BP231,"r0,d5")/2+COUNTIF($G231:$BP231,"p5,d5")/2</f>
        <v/>
      </c>
      <c r="BS231" s="195">
        <f>COUNTIF($G231:$BP231,"b")+COUNTIF($G231:$BP231,"r0,b5")/2+COUNTIF($G231:$BP231,"p5,b5")/2</f>
        <v/>
      </c>
      <c r="BT231" s="195">
        <f>COUNTIF($G231:$BP231,"c")+COUNTIF($G231:$BP231,"r0,c5")/2+COUNTIF($G231:$BP231,"p5,c5")/2</f>
        <v/>
      </c>
      <c r="BU231" s="195">
        <f>COUNTIF($G231:$BP231,"KH")+COUNTIF($G231:$BP231,"TL")+COUNTIF($G231:$BP231,"L")</f>
        <v/>
      </c>
      <c r="BV231" s="202" t="n"/>
      <c r="BW231" s="195">
        <f>COUNTIF($G231:$BP231,"hh")</f>
        <v/>
      </c>
      <c r="BX231" s="195">
        <f>COUNTIF($G231:$BP231,"nt7")</f>
        <v/>
      </c>
      <c r="BY231" s="195">
        <f>COUNTIF($G231:$BP231,"P")+COUNTIF($G231:$BP231,"p5,a5")/2+COUNTIF($G231:$BP231,"p5,b5")/2+COUNTIF($G231:$BP231,"p5,c5")/2+COUNTIF($G231:$BP231,"p5,d5")/2</f>
        <v/>
      </c>
      <c r="BZ231" s="203">
        <f>SUBTOTAL(9,BQ231:BY231)</f>
        <v/>
      </c>
      <c r="CA231" s="54">
        <f>SUM(J231,L231,N231,P231,R231,T231,X231,Z231,AB231,AD231,AF231,AH231,AL231,AN231,AP231,AR231,AT231,AV231,AZ231,BB231,BD231,BF231,BH231,BP231)</f>
        <v/>
      </c>
      <c r="CB231" s="55">
        <f>SUM(H231,V231,AJ231,AX231,BL231)</f>
        <v/>
      </c>
      <c r="CC231" s="56">
        <f>SUM(BJ231,BN231)</f>
        <v/>
      </c>
      <c r="CD231" s="197">
        <f>IF(BZ231&gt;25,4,IF(BZ231&gt;18,3,IF(BZ231&gt;12,2,IF(BZ231&gt;4,1,0))))-BX231-2+1</f>
        <v/>
      </c>
      <c r="CE231" s="49" t="n"/>
      <c r="CF231" s="197">
        <f>CD231*CI231</f>
        <v/>
      </c>
      <c r="CG231" s="198">
        <f>F231-BY231+1</f>
        <v/>
      </c>
      <c r="CH231" s="197">
        <f>CE231*16</f>
        <v/>
      </c>
      <c r="CI231" s="199">
        <f>VLOOKUP(A231,[1]DATA!$A$6:$AI$331,34,0)</f>
        <v/>
      </c>
      <c r="CJ231" s="200">
        <f>VLOOKUP(A231,[2]CHAMCONG!A$7:CI$333,79,0)</f>
        <v/>
      </c>
      <c r="CK231" s="201">
        <f>CJ231-CA231</f>
        <v/>
      </c>
      <c r="CL231" s="68" t="n"/>
      <c r="CM231" s="68" t="n"/>
    </row>
    <row r="232" ht="15.75" customFormat="1" customHeight="1" s="68">
      <c r="A232" s="69" t="n"/>
      <c r="B232" s="64" t="n"/>
      <c r="C232" s="115" t="n"/>
      <c r="D232" s="46" t="n"/>
      <c r="E232" s="47" t="n"/>
      <c r="F232" s="48" t="n"/>
      <c r="G232" s="49" t="n"/>
      <c r="H232" s="73" t="n"/>
      <c r="I232" s="49" t="n"/>
      <c r="J232" s="73" t="n"/>
      <c r="K232" s="49" t="n"/>
      <c r="L232" s="73" t="n"/>
      <c r="M232" s="49" t="n"/>
      <c r="N232" s="73" t="n"/>
      <c r="O232" s="49" t="n"/>
      <c r="P232" s="73" t="n"/>
      <c r="Q232" s="50" t="n"/>
      <c r="R232" s="73" t="n"/>
      <c r="S232" s="50" t="n"/>
      <c r="T232" s="73" t="n"/>
      <c r="U232" s="49" t="n"/>
      <c r="V232" s="73" t="n"/>
      <c r="W232" s="50" t="n"/>
      <c r="X232" s="73" t="n"/>
      <c r="Y232" s="50" t="n"/>
      <c r="Z232" s="73" t="n"/>
      <c r="AA232" s="73" t="n"/>
      <c r="AB232" s="73" t="n"/>
      <c r="AC232" s="73" t="n"/>
      <c r="AD232" s="73" t="n"/>
      <c r="AE232" s="73" t="n"/>
      <c r="AF232" s="73" t="n"/>
      <c r="AG232" s="73" t="n"/>
      <c r="AH232" s="73" t="n"/>
      <c r="AI232" s="73" t="n"/>
      <c r="AJ232" s="73" t="n"/>
      <c r="AK232" s="73" t="n"/>
      <c r="AL232" s="73" t="n"/>
      <c r="AM232" s="73" t="n"/>
      <c r="AN232" s="73" t="n"/>
      <c r="AO232" s="73" t="n"/>
      <c r="AP232" s="73" t="n"/>
      <c r="AQ232" s="73" t="n"/>
      <c r="AR232" s="73" t="n"/>
      <c r="AS232" s="73" t="n"/>
      <c r="AT232" s="73" t="n"/>
      <c r="AU232" s="73" t="n"/>
      <c r="AV232" s="73" t="n"/>
      <c r="AW232" s="73" t="n"/>
      <c r="AX232" s="73" t="n"/>
      <c r="AY232" s="73" t="n"/>
      <c r="AZ232" s="73" t="n"/>
      <c r="BA232" s="73" t="n"/>
      <c r="BB232" s="73" t="n"/>
      <c r="BC232" s="73" t="n"/>
      <c r="BD232" s="73" t="n"/>
      <c r="BE232" s="73" t="n"/>
      <c r="BF232" s="73" t="n"/>
      <c r="BG232" s="73" t="n"/>
      <c r="BH232" s="73" t="n"/>
      <c r="BI232" s="73" t="n"/>
      <c r="BJ232" s="73" t="n"/>
      <c r="BK232" s="73" t="n"/>
      <c r="BL232" s="73" t="n"/>
      <c r="BM232" s="73" t="n"/>
      <c r="BN232" s="73" t="n"/>
      <c r="BO232" s="73" t="n"/>
      <c r="BP232" s="73" t="n"/>
      <c r="BQ232" s="195">
        <f>COUNTIF($G232:$BP232,"a")+COUNTIF($G232:$BP232,"r0,a5")/2+COUNTIF($G232:$BP232,"p5,a5")/2</f>
        <v/>
      </c>
      <c r="BR232" s="195">
        <f>COUNTIF($G232:$BP232,"d")+COUNTIF($G232:$BP232,"r0,d5")/2+COUNTIF($G232:$BP232,"p5,d5")/2</f>
        <v/>
      </c>
      <c r="BS232" s="195">
        <f>COUNTIF($G232:$BP232,"b")+COUNTIF($G232:$BP232,"r0,b5")/2+COUNTIF($G232:$BP232,"p5,b5")/2</f>
        <v/>
      </c>
      <c r="BT232" s="195">
        <f>COUNTIF($G232:$BP232,"c")+COUNTIF($G232:$BP232,"r0,c5")/2+COUNTIF($G232:$BP232,"p5,c5")/2</f>
        <v/>
      </c>
      <c r="BU232" s="195">
        <f>COUNTIF($G232:$BP232,"KH")+COUNTIF($G232:$BP232,"TL")+COUNTIF($G232:$BP232,"L")</f>
        <v/>
      </c>
      <c r="BV232" s="202" t="n"/>
      <c r="BW232" s="195">
        <f>COUNTIF($G232:$BP232,"hh")</f>
        <v/>
      </c>
      <c r="BX232" s="195">
        <f>COUNTIF($G232:$BP232,"nt7")</f>
        <v/>
      </c>
      <c r="BY232" s="195">
        <f>COUNTIF($G232:$BP232,"P")+COUNTIF($G232:$BP232,"p5,a5")/2+COUNTIF($G232:$BP232,"p5,b5")/2+COUNTIF($G232:$BP232,"p5,c5")/2+COUNTIF($G232:$BP232,"p5,d5")/2</f>
        <v/>
      </c>
      <c r="BZ232" s="203">
        <f>SUBTOTAL(9,BQ232:BY232)</f>
        <v/>
      </c>
      <c r="CA232" s="54">
        <f>SUM(J232,L232,N232,P232,R232,T232,X232,Z232,AB232,AD232,AF232,AH232,AL232,AN232,AP232,AR232,AT232,AV232,AZ232,BB232,BD232,BF232,BH232,BP232)</f>
        <v/>
      </c>
      <c r="CB232" s="55">
        <f>SUM(H232,V232,AJ232,AX232,BL232)</f>
        <v/>
      </c>
      <c r="CC232" s="56">
        <f>SUM(BJ232,BN232)</f>
        <v/>
      </c>
      <c r="CD232" s="197">
        <f>IF(BZ232&gt;25,4,IF(BZ232&gt;18,3,IF(BZ232&gt;12,2,IF(BZ232&gt;4,1,0))))-BX232-2+1</f>
        <v/>
      </c>
      <c r="CE232" s="49" t="n"/>
      <c r="CF232" s="197">
        <f>CD232*CI232</f>
        <v/>
      </c>
      <c r="CG232" s="198">
        <f>F232-BY232+1</f>
        <v/>
      </c>
      <c r="CH232" s="197">
        <f>CE232*16</f>
        <v/>
      </c>
      <c r="CI232" s="199">
        <f>VLOOKUP(A232,[1]DATA!$A$6:$AI$331,34,0)</f>
        <v/>
      </c>
      <c r="CJ232" s="200">
        <f>VLOOKUP(A232,[2]CHAMCONG!A$7:CI$333,79,0)</f>
        <v/>
      </c>
      <c r="CK232" s="201">
        <f>CJ232-CA232</f>
        <v/>
      </c>
      <c r="CL232" s="68" t="n"/>
      <c r="CM232" s="68" t="n"/>
    </row>
    <row r="233" ht="15.75" customFormat="1" customHeight="1" s="68">
      <c r="A233" s="139" t="n"/>
      <c r="B233" s="64" t="n"/>
      <c r="C233" s="115" t="n"/>
      <c r="D233" s="46" t="n"/>
      <c r="E233" s="47" t="n"/>
      <c r="F233" s="48" t="n"/>
      <c r="G233" s="49" t="n"/>
      <c r="H233" s="73" t="n"/>
      <c r="I233" s="50" t="n"/>
      <c r="J233" s="73" t="n"/>
      <c r="K233" s="73" t="n"/>
      <c r="L233" s="73" t="n"/>
      <c r="M233" s="73" t="n"/>
      <c r="N233" s="73" t="n"/>
      <c r="O233" s="73" t="n"/>
      <c r="P233" s="73" t="n"/>
      <c r="Q233" s="73" t="n"/>
      <c r="R233" s="72" t="n"/>
      <c r="S233" s="73" t="n"/>
      <c r="T233" s="73" t="n"/>
      <c r="U233" s="49" t="n"/>
      <c r="V233" s="73" t="n"/>
      <c r="W233" s="49" t="n"/>
      <c r="X233" s="73" t="n"/>
      <c r="Y233" s="49" t="n"/>
      <c r="Z233" s="73" t="n"/>
      <c r="AA233" s="73" t="n"/>
      <c r="AB233" s="73" t="n"/>
      <c r="AC233" s="73" t="n"/>
      <c r="AD233" s="73" t="n"/>
      <c r="AE233" s="73" t="n"/>
      <c r="AF233" s="73" t="n"/>
      <c r="AG233" s="73" t="n"/>
      <c r="AH233" s="73" t="n"/>
      <c r="AI233" s="73" t="n"/>
      <c r="AJ233" s="73" t="n"/>
      <c r="AK233" s="73" t="n"/>
      <c r="AL233" s="73" t="n"/>
      <c r="AM233" s="73" t="n"/>
      <c r="AN233" s="73" t="n"/>
      <c r="AO233" s="72" t="n"/>
      <c r="AP233" s="73" t="n"/>
      <c r="AQ233" s="73" t="n"/>
      <c r="AR233" s="73" t="n"/>
      <c r="AS233" s="73" t="n"/>
      <c r="AT233" s="73" t="n"/>
      <c r="AU233" s="73" t="n"/>
      <c r="AV233" s="73" t="n"/>
      <c r="AW233" s="73" t="n"/>
      <c r="AX233" s="73" t="n"/>
      <c r="AY233" s="73" t="n"/>
      <c r="AZ233" s="73" t="n"/>
      <c r="BA233" s="73" t="n"/>
      <c r="BB233" s="73" t="n"/>
      <c r="BC233" s="73" t="n"/>
      <c r="BD233" s="73" t="n"/>
      <c r="BE233" s="73" t="n"/>
      <c r="BF233" s="73" t="n"/>
      <c r="BG233" s="73" t="n"/>
      <c r="BH233" s="72" t="n"/>
      <c r="BI233" s="73" t="n"/>
      <c r="BJ233" s="73" t="n"/>
      <c r="BK233" s="73" t="n"/>
      <c r="BL233" s="73" t="n"/>
      <c r="BM233" s="73" t="n"/>
      <c r="BN233" s="73" t="n"/>
      <c r="BO233" s="73" t="n"/>
      <c r="BP233" s="73" t="n"/>
      <c r="BQ233" s="195">
        <f>COUNTIF($G233:$BP233,"a")+COUNTIF($G233:$BP233,"r0,a5")/2+COUNTIF($G233:$BP233,"p5,a5")/2</f>
        <v/>
      </c>
      <c r="BR233" s="195">
        <f>COUNTIF($G233:$BP233,"d")+COUNTIF($G233:$BP233,"r0,d5")/2+COUNTIF($G233:$BP233,"p5,d5")/2</f>
        <v/>
      </c>
      <c r="BS233" s="195">
        <f>COUNTIF($G233:$BP233,"b")+COUNTIF($G233:$BP233,"r0,b5")/2+COUNTIF($G233:$BP233,"p5,b5")/2</f>
        <v/>
      </c>
      <c r="BT233" s="195">
        <f>COUNTIF($G233:$BP233,"c")+COUNTIF($G233:$BP233,"r0,c5")/2+COUNTIF($G233:$BP233,"p5,c5")/2</f>
        <v/>
      </c>
      <c r="BU233" s="195">
        <f>COUNTIF($G233:$BP233,"KH")+COUNTIF($G233:$BP233,"TL")+COUNTIF($G233:$BP233,"L")</f>
        <v/>
      </c>
      <c r="BV233" s="202" t="n"/>
      <c r="BW233" s="195">
        <f>COUNTIF($G233:$BP233,"hh")</f>
        <v/>
      </c>
      <c r="BX233" s="195">
        <f>COUNTIF($G233:$BP233,"nt7")</f>
        <v/>
      </c>
      <c r="BY233" s="195">
        <f>COUNTIF($G233:$BP233,"P")+COUNTIF($G233:$BP233,"p5,a5")/2+COUNTIF($G233:$BP233,"p5,b5")/2+COUNTIF($G233:$BP233,"p5,c5")/2+COUNTIF($G233:$BP233,"p5,d5")/2</f>
        <v/>
      </c>
      <c r="BZ233" s="203">
        <f>SUBTOTAL(9,BQ233:BY233)</f>
        <v/>
      </c>
      <c r="CA233" s="54">
        <f>SUM(J233,L233,N233,P233,R233,T233,X233,Z233,AB233,AD233,AF233,AH233,AL233,AN233,AP233,AR233,AT233,AV233,AZ233,BB233,BD233,BF233,BH233,BP233)</f>
        <v/>
      </c>
      <c r="CB233" s="55">
        <f>SUM(H233,V233,AJ233,AX233,BL233)</f>
        <v/>
      </c>
      <c r="CC233" s="56">
        <f>SUM(BJ233,BN233)</f>
        <v/>
      </c>
      <c r="CD233" s="197">
        <f>IF(BZ233&gt;25,4,IF(BZ233&gt;18,3,IF(BZ233&gt;12,2,IF(BZ233&gt;4,1,0))))-BX233-2+1</f>
        <v/>
      </c>
      <c r="CE233" s="49" t="n"/>
      <c r="CF233" s="197">
        <f>CD233*CI233</f>
        <v/>
      </c>
      <c r="CG233" s="198">
        <f>F233-BY233+1</f>
        <v/>
      </c>
      <c r="CH233" s="197">
        <f>CE233*16</f>
        <v/>
      </c>
      <c r="CI233" s="199">
        <f>VLOOKUP(A233,[1]DATA!$A$6:$AI$331,34,0)</f>
        <v/>
      </c>
      <c r="CJ233" s="200">
        <f>VLOOKUP(A233,[2]CHAMCONG!A$7:CI$333,79,0)</f>
        <v/>
      </c>
      <c r="CK233" s="201">
        <f>CJ233-CA233</f>
        <v/>
      </c>
      <c r="CL233" s="68" t="n"/>
      <c r="CM233" s="68" t="n"/>
    </row>
    <row r="234" ht="15.75" customFormat="1" customHeight="1" s="68">
      <c r="A234" s="139" t="n"/>
      <c r="B234" s="64" t="n"/>
      <c r="C234" s="115" t="n"/>
      <c r="D234" s="46" t="n"/>
      <c r="E234" s="47" t="n"/>
      <c r="F234" s="48" t="n"/>
      <c r="G234" s="49" t="n"/>
      <c r="H234" s="73" t="n"/>
      <c r="I234" s="49" t="n"/>
      <c r="J234" s="73" t="n"/>
      <c r="K234" s="49" t="n"/>
      <c r="L234" s="73" t="n"/>
      <c r="M234" s="49" t="n"/>
      <c r="N234" s="73" t="n"/>
      <c r="O234" s="49" t="n"/>
      <c r="P234" s="73" t="n"/>
      <c r="Q234" s="49" t="n"/>
      <c r="R234" s="73" t="n"/>
      <c r="S234" s="49" t="n"/>
      <c r="T234" s="73" t="n"/>
      <c r="U234" s="49" t="n"/>
      <c r="V234" s="73" t="n"/>
      <c r="W234" s="49" t="n"/>
      <c r="X234" s="73" t="n"/>
      <c r="Y234" s="49" t="n"/>
      <c r="Z234" s="73" t="n"/>
      <c r="AA234" s="67" t="n"/>
      <c r="AB234" s="73" t="n"/>
      <c r="AC234" s="73" t="n"/>
      <c r="AD234" s="73" t="n"/>
      <c r="AE234" s="73" t="n"/>
      <c r="AF234" s="67" t="n"/>
      <c r="AG234" s="73" t="n"/>
      <c r="AH234" s="73" t="n"/>
      <c r="AI234" s="50" t="n"/>
      <c r="AJ234" s="73" t="n"/>
      <c r="AK234" s="50" t="n"/>
      <c r="AL234" s="73" t="n"/>
      <c r="AM234" s="50" t="n"/>
      <c r="AN234" s="73" t="n"/>
      <c r="AO234" s="73" t="n"/>
      <c r="AP234" s="73" t="n"/>
      <c r="AQ234" s="49" t="n"/>
      <c r="AR234" s="73" t="n"/>
      <c r="AS234" s="49" t="n"/>
      <c r="AT234" s="73" t="n"/>
      <c r="AU234" s="49" t="n"/>
      <c r="AV234" s="73" t="n"/>
      <c r="AW234" s="73" t="n"/>
      <c r="AX234" s="73" t="n"/>
      <c r="AY234" s="49" t="n"/>
      <c r="AZ234" s="73" t="n"/>
      <c r="BA234" s="73" t="n"/>
      <c r="BB234" s="73" t="n"/>
      <c r="BC234" s="73" t="n"/>
      <c r="BD234" s="73" t="n"/>
      <c r="BE234" s="73" t="n"/>
      <c r="BF234" s="73" t="n"/>
      <c r="BG234" s="73" t="n"/>
      <c r="BH234" s="73" t="n"/>
      <c r="BI234" s="73" t="n"/>
      <c r="BJ234" s="73" t="n"/>
      <c r="BK234" s="73" t="n"/>
      <c r="BL234" s="73" t="n"/>
      <c r="BM234" s="73" t="n"/>
      <c r="BN234" s="73" t="n"/>
      <c r="BO234" s="73" t="n"/>
      <c r="BP234" s="73" t="n"/>
      <c r="BQ234" s="195">
        <f>COUNTIF($G234:$BP234,"a")+COUNTIF($G234:$BP234,"r0,a5")/2+COUNTIF($G234:$BP234,"p5,a5")/2</f>
        <v/>
      </c>
      <c r="BR234" s="195">
        <f>COUNTIF($G234:$BP234,"d")+COUNTIF($G234:$BP234,"r0,d5")/2+COUNTIF($G234:$BP234,"p5,d5")/2</f>
        <v/>
      </c>
      <c r="BS234" s="195">
        <f>COUNTIF($G234:$BP234,"b")+COUNTIF($G234:$BP234,"r0,b5")/2+COUNTIF($G234:$BP234,"p5,b5")/2</f>
        <v/>
      </c>
      <c r="BT234" s="195">
        <f>COUNTIF($G234:$BP234,"c")+COUNTIF($G234:$BP234,"r0,c5")/2+COUNTIF($G234:$BP234,"p5,c5")/2</f>
        <v/>
      </c>
      <c r="BU234" s="195">
        <f>COUNTIF($G234:$BP234,"KH")+COUNTIF($G234:$BP234,"TL")+COUNTIF($G234:$BP234,"L")</f>
        <v/>
      </c>
      <c r="BV234" s="202" t="n"/>
      <c r="BW234" s="195">
        <f>COUNTIF($G234:$BP234,"hh")</f>
        <v/>
      </c>
      <c r="BX234" s="195">
        <f>COUNTIF($G234:$BP234,"nt7")</f>
        <v/>
      </c>
      <c r="BY234" s="195">
        <f>COUNTIF($G234:$BP234,"P")+COUNTIF($G234:$BP234,"p5,a5")/2+COUNTIF($G234:$BP234,"p5,b5")/2+COUNTIF($G234:$BP234,"p5,c5")/2+COUNTIF($G234:$BP234,"p5,d5")/2</f>
        <v/>
      </c>
      <c r="BZ234" s="203">
        <f>SUBTOTAL(9,BQ234:BY234)</f>
        <v/>
      </c>
      <c r="CA234" s="54">
        <f>SUM(J234,L234,N234,P234,R234,T234,X234,Z234,AB234,AD234,AF234,AH234,AL234,AN234,AP234,AR234,AT234,AV234,AZ234,BB234,BD234,BF234,BH234,BP234)</f>
        <v/>
      </c>
      <c r="CB234" s="55">
        <f>SUM(H234,V234,AJ234,AX234,BL234)</f>
        <v/>
      </c>
      <c r="CC234" s="56">
        <f>SUM(BJ234,BN234)</f>
        <v/>
      </c>
      <c r="CD234" s="197">
        <f>IF(BZ234&gt;25,4,IF(BZ234&gt;18,3,IF(BZ234&gt;12,2,IF(BZ234&gt;4,1,0))))-BX234-2+1</f>
        <v/>
      </c>
      <c r="CE234" s="49" t="n"/>
      <c r="CF234" s="197">
        <f>CD234*CI234</f>
        <v/>
      </c>
      <c r="CG234" s="198">
        <f>F234-BY234+1</f>
        <v/>
      </c>
      <c r="CH234" s="197">
        <f>CE234*16</f>
        <v/>
      </c>
      <c r="CI234" s="199">
        <f>VLOOKUP(A234,[1]DATA!$A$6:$AI$331,34,0)</f>
        <v/>
      </c>
      <c r="CJ234" s="200">
        <f>VLOOKUP(A234,[2]CHAMCONG!A$7:CI$333,79,0)</f>
        <v/>
      </c>
      <c r="CK234" s="201">
        <f>CJ234-CA234</f>
        <v/>
      </c>
    </row>
    <row r="235" customFormat="1" s="68">
      <c r="A235" s="139" t="n"/>
      <c r="B235" s="64" t="n"/>
      <c r="C235" s="115" t="n"/>
      <c r="D235" s="46" t="n"/>
      <c r="E235" s="47" t="n"/>
      <c r="F235" s="48" t="n"/>
      <c r="G235" s="49" t="n"/>
      <c r="H235" s="73" t="n"/>
      <c r="I235" s="73" t="n"/>
      <c r="J235" s="73" t="n"/>
      <c r="K235" s="73" t="n"/>
      <c r="L235" s="73" t="n"/>
      <c r="M235" s="73" t="n"/>
      <c r="N235" s="73" t="n"/>
      <c r="O235" s="73" t="n"/>
      <c r="P235" s="73" t="n"/>
      <c r="Q235" s="49" t="n"/>
      <c r="R235" s="73" t="n"/>
      <c r="S235" s="50" t="n"/>
      <c r="T235" s="73" t="n"/>
      <c r="U235" s="50" t="n"/>
      <c r="V235" s="73" t="n"/>
      <c r="W235" s="50" t="n"/>
      <c r="X235" s="73" t="n"/>
      <c r="Y235" s="50" t="n"/>
      <c r="Z235" s="73" t="n"/>
      <c r="AA235" s="50" t="n"/>
      <c r="AB235" s="73" t="n"/>
      <c r="AC235" s="50" t="n"/>
      <c r="AD235" s="73" t="n"/>
      <c r="AE235" s="67" t="n"/>
      <c r="AF235" s="67" t="n"/>
      <c r="AG235" s="67" t="n"/>
      <c r="AH235" s="73" t="n"/>
      <c r="AI235" s="73" t="n"/>
      <c r="AJ235" s="73" t="n"/>
      <c r="AK235" s="73" t="n"/>
      <c r="AL235" s="73" t="n"/>
      <c r="AM235" s="73" t="n"/>
      <c r="AN235" s="73" t="n"/>
      <c r="AO235" s="73" t="n"/>
      <c r="AP235" s="73" t="n"/>
      <c r="AQ235" s="73" t="n"/>
      <c r="AR235" s="73" t="n"/>
      <c r="AS235" s="73" t="n"/>
      <c r="AT235" s="73" t="n"/>
      <c r="AU235" s="73" t="n"/>
      <c r="AV235" s="73" t="n"/>
      <c r="AW235" s="73" t="n"/>
      <c r="AX235" s="73" t="n"/>
      <c r="AY235" s="73" t="n"/>
      <c r="AZ235" s="73" t="n"/>
      <c r="BA235" s="73" t="n"/>
      <c r="BB235" s="73" t="n"/>
      <c r="BC235" s="73" t="n"/>
      <c r="BD235" s="73" t="n"/>
      <c r="BE235" s="73" t="n"/>
      <c r="BF235" s="73" t="n"/>
      <c r="BG235" s="73" t="n"/>
      <c r="BH235" s="73" t="n"/>
      <c r="BI235" s="73" t="n"/>
      <c r="BJ235" s="73" t="n"/>
      <c r="BK235" s="73" t="n"/>
      <c r="BL235" s="73" t="n"/>
      <c r="BM235" s="73" t="n"/>
      <c r="BN235" s="73" t="n"/>
      <c r="BO235" s="73" t="n"/>
      <c r="BP235" s="73" t="n"/>
      <c r="BQ235" s="195">
        <f>COUNTIF($G235:$BP235,"a")+COUNTIF($G235:$BP235,"r0,a5")/2+COUNTIF($G235:$BP235,"p5,a5")/2</f>
        <v/>
      </c>
      <c r="BR235" s="195">
        <f>COUNTIF($G235:$BP235,"d")+COUNTIF($G235:$BP235,"r0,d5")/2+COUNTIF($G235:$BP235,"p5,d5")/2</f>
        <v/>
      </c>
      <c r="BS235" s="195">
        <f>COUNTIF($G235:$BP235,"b")+COUNTIF($G235:$BP235,"r0,b5")/2+COUNTIF($G235:$BP235,"p5,b5")/2</f>
        <v/>
      </c>
      <c r="BT235" s="195">
        <f>COUNTIF($G235:$BP235,"c")+COUNTIF($G235:$BP235,"r0,c5")/2+COUNTIF($G235:$BP235,"p5,c5")/2</f>
        <v/>
      </c>
      <c r="BU235" s="195">
        <f>COUNTIF($G235:$BP235,"KH")+COUNTIF($G235:$BP235,"TL")+COUNTIF($G235:$BP235,"L")</f>
        <v/>
      </c>
      <c r="BV235" s="202" t="n"/>
      <c r="BW235" s="195">
        <f>COUNTIF($G235:$BP235,"hh")</f>
        <v/>
      </c>
      <c r="BX235" s="195">
        <f>COUNTIF($G235:$BP235,"nt7")</f>
        <v/>
      </c>
      <c r="BY235" s="195">
        <f>COUNTIF($G235:$BP235,"P")+COUNTIF($G235:$BP235,"p5,a5")/2+COUNTIF($G235:$BP235,"p5,b5")/2+COUNTIF($G235:$BP235,"p5,c5")/2+COUNTIF($G235:$BP235,"p5,d5")/2</f>
        <v/>
      </c>
      <c r="BZ235" s="203">
        <f>SUBTOTAL(9,BQ235:BY235)</f>
        <v/>
      </c>
      <c r="CA235" s="54">
        <f>SUM(J235,L235,N235,P235,R235,T235,X235,Z235,AB235,AD235,AF235,AH235,AL235,AN235,AP235,AR235,AT235,AV235,AZ235,BB235,BD235,BF235,BH235,BP235)</f>
        <v/>
      </c>
      <c r="CB235" s="55">
        <f>SUM(H235,V235,AJ235,AX235,BL235)</f>
        <v/>
      </c>
      <c r="CC235" s="56">
        <f>SUM(BJ235,BN235)</f>
        <v/>
      </c>
      <c r="CD235" s="197">
        <f>IF(BZ235&gt;25,4,IF(BZ235&gt;18,3,IF(BZ235&gt;12,2,IF(BZ235&gt;4,1,0))))-BX235-2+1</f>
        <v/>
      </c>
      <c r="CE235" s="49" t="n"/>
      <c r="CF235" s="197">
        <f>CD235*CI235</f>
        <v/>
      </c>
      <c r="CG235" s="198">
        <f>F235-BY235+1</f>
        <v/>
      </c>
      <c r="CH235" s="197">
        <f>CE235*16</f>
        <v/>
      </c>
      <c r="CI235" s="199">
        <f>VLOOKUP(A235,[1]DATA!$A$6:$AI$331,34,0)</f>
        <v/>
      </c>
      <c r="CJ235" s="200">
        <f>VLOOKUP(A235,[2]CHAMCONG!A$7:CI$333,79,0)</f>
        <v/>
      </c>
      <c r="CK235" s="201">
        <f>CJ235-CA235</f>
        <v/>
      </c>
      <c r="CL235" s="68" t="n"/>
      <c r="CM235" s="68" t="n"/>
    </row>
    <row r="236" ht="15.75" customFormat="1" customHeight="1" s="68">
      <c r="A236" s="139" t="n"/>
      <c r="B236" s="64" t="n"/>
      <c r="C236" s="115" t="n"/>
      <c r="D236" s="46" t="n"/>
      <c r="E236" s="47" t="n"/>
      <c r="F236" s="48" t="n"/>
      <c r="G236" s="49" t="n"/>
      <c r="H236" s="73" t="n"/>
      <c r="I236" s="50" t="n"/>
      <c r="J236" s="73" t="n"/>
      <c r="K236" s="73" t="n"/>
      <c r="L236" s="73" t="n"/>
      <c r="M236" s="73" t="n"/>
      <c r="N236" s="73" t="n"/>
      <c r="O236" s="50" t="n"/>
      <c r="P236" s="73" t="n"/>
      <c r="Q236" s="73" t="n"/>
      <c r="R236" s="73" t="n"/>
      <c r="S236" s="50" t="n"/>
      <c r="T236" s="73" t="n"/>
      <c r="U236" s="49" t="n"/>
      <c r="V236" s="73" t="n"/>
      <c r="W236" s="50" t="n"/>
      <c r="X236" s="73" t="n"/>
      <c r="Y236" s="50" t="n"/>
      <c r="Z236" s="73" t="n"/>
      <c r="AA236" s="73" t="n"/>
      <c r="AB236" s="73" t="n"/>
      <c r="AC236" s="73" t="n"/>
      <c r="AD236" s="73" t="n"/>
      <c r="AE236" s="73" t="n"/>
      <c r="AF236" s="73" t="n"/>
      <c r="AG236" s="73" t="n"/>
      <c r="AH236" s="73" t="n"/>
      <c r="AI236" s="73" t="n"/>
      <c r="AJ236" s="73" t="n"/>
      <c r="AK236" s="73" t="n"/>
      <c r="AL236" s="73" t="n"/>
      <c r="AM236" s="73" t="n"/>
      <c r="AN236" s="73" t="n"/>
      <c r="AO236" s="73" t="n"/>
      <c r="AP236" s="73" t="n"/>
      <c r="AQ236" s="73" t="n"/>
      <c r="AR236" s="73" t="n"/>
      <c r="AS236" s="73" t="n"/>
      <c r="AT236" s="73" t="n"/>
      <c r="AU236" s="73" t="n"/>
      <c r="AV236" s="73" t="n"/>
      <c r="AW236" s="73" t="n"/>
      <c r="AX236" s="73" t="n"/>
      <c r="AY236" s="73" t="n"/>
      <c r="AZ236" s="73" t="n"/>
      <c r="BA236" s="73" t="n"/>
      <c r="BB236" s="73" t="n"/>
      <c r="BC236" s="73" t="n"/>
      <c r="BD236" s="73" t="n"/>
      <c r="BE236" s="73" t="n"/>
      <c r="BF236" s="73" t="n"/>
      <c r="BG236" s="73" t="n"/>
      <c r="BH236" s="73" t="n"/>
      <c r="BI236" s="73" t="n"/>
      <c r="BJ236" s="73" t="n"/>
      <c r="BK236" s="73" t="n"/>
      <c r="BL236" s="73" t="n"/>
      <c r="BM236" s="73" t="n"/>
      <c r="BN236" s="73" t="n"/>
      <c r="BO236" s="73" t="n"/>
      <c r="BP236" s="73" t="n"/>
      <c r="BQ236" s="195">
        <f>COUNTIF($G236:$BP236,"a")+COUNTIF($G236:$BP236,"r0,a5")/2+COUNTIF($G236:$BP236,"p5,a5")/2</f>
        <v/>
      </c>
      <c r="BR236" s="195">
        <f>COUNTIF($G236:$BP236,"d")+COUNTIF($G236:$BP236,"r0,d5")/2+COUNTIF($G236:$BP236,"p5,d5")/2</f>
        <v/>
      </c>
      <c r="BS236" s="195">
        <f>COUNTIF($G236:$BP236,"b")+COUNTIF($G236:$BP236,"r0,b5")/2+COUNTIF($G236:$BP236,"p5,b5")/2</f>
        <v/>
      </c>
      <c r="BT236" s="195">
        <f>COUNTIF($G236:$BP236,"c")+COUNTIF($G236:$BP236,"r0,c5")/2+COUNTIF($G236:$BP236,"p5,c5")/2</f>
        <v/>
      </c>
      <c r="BU236" s="195">
        <f>COUNTIF($G236:$BP236,"KH")+COUNTIF($G236:$BP236,"TL")+COUNTIF($G236:$BP236,"L")</f>
        <v/>
      </c>
      <c r="BV236" s="202" t="n"/>
      <c r="BW236" s="195">
        <f>COUNTIF($G236:$BP236,"hh")</f>
        <v/>
      </c>
      <c r="BX236" s="195">
        <f>COUNTIF($G236:$BP236,"nt7")</f>
        <v/>
      </c>
      <c r="BY236" s="195">
        <f>COUNTIF($G236:$BP236,"P")+COUNTIF($G236:$BP236,"p5,a5")/2+COUNTIF($G236:$BP236,"p5,b5")/2+COUNTIF($G236:$BP236,"p5,c5")/2+COUNTIF($G236:$BP236,"p5,d5")/2</f>
        <v/>
      </c>
      <c r="BZ236" s="203">
        <f>SUBTOTAL(9,BQ236:BY236)</f>
        <v/>
      </c>
      <c r="CA236" s="54">
        <f>SUM(J236,L236,N236,P236,R236,T236,X236,Z236,AB236,AD236,AF236,AH236,AL236,AN236,AP236,AR236,AT236,AV236,AZ236,BB236,BD236,BF236,BH236,BP236)</f>
        <v/>
      </c>
      <c r="CB236" s="55">
        <f>SUM(H236,V236,AJ236,AX236,BL236)</f>
        <v/>
      </c>
      <c r="CC236" s="56">
        <f>SUM(BJ236,BN236)</f>
        <v/>
      </c>
      <c r="CD236" s="197" t="n"/>
      <c r="CE236" s="49" t="n"/>
      <c r="CF236" s="197">
        <f>CD236*CI236</f>
        <v/>
      </c>
      <c r="CG236" s="198">
        <f>F236-BY236+1</f>
        <v/>
      </c>
      <c r="CH236" s="197">
        <f>CE236*16</f>
        <v/>
      </c>
      <c r="CI236" s="199">
        <f>VLOOKUP(A236,[1]DATA!$A$6:$AI$331,34,0)</f>
        <v/>
      </c>
      <c r="CJ236" s="200">
        <f>VLOOKUP(A236,[2]CHAMCONG!A$7:CI$333,79,0)</f>
        <v/>
      </c>
      <c r="CK236" s="201">
        <f>CJ236-CA236</f>
        <v/>
      </c>
      <c r="CL236" s="68" t="n"/>
      <c r="CM236" s="68" t="n"/>
    </row>
    <row r="237" ht="15.75" customFormat="1" customHeight="1" s="68">
      <c r="A237" s="139" t="n"/>
      <c r="B237" s="64" t="n"/>
      <c r="C237" s="115" t="n"/>
      <c r="D237" s="46" t="n"/>
      <c r="E237" s="47" t="n"/>
      <c r="F237" s="48" t="n"/>
      <c r="G237" s="49" t="n"/>
      <c r="H237" s="73" t="n"/>
      <c r="I237" s="49" t="n"/>
      <c r="J237" s="73" t="n"/>
      <c r="K237" s="49" t="n"/>
      <c r="L237" s="73" t="n"/>
      <c r="M237" s="73" t="n"/>
      <c r="N237" s="73" t="n"/>
      <c r="O237" s="49" t="n"/>
      <c r="P237" s="73" t="n"/>
      <c r="Q237" s="49" t="n"/>
      <c r="R237" s="73" t="n"/>
      <c r="S237" s="49" t="n"/>
      <c r="T237" s="73" t="n"/>
      <c r="U237" s="49" t="n"/>
      <c r="V237" s="73" t="n"/>
      <c r="W237" s="49" t="n"/>
      <c r="X237" s="73" t="n"/>
      <c r="Y237" s="49" t="n"/>
      <c r="Z237" s="73" t="n"/>
      <c r="AA237" s="73" t="n"/>
      <c r="AB237" s="73" t="n"/>
      <c r="AC237" s="49" t="n"/>
      <c r="AD237" s="73" t="n"/>
      <c r="AE237" s="49" t="n"/>
      <c r="AF237" s="73" t="n"/>
      <c r="AG237" s="49" t="n"/>
      <c r="AH237" s="73" t="n"/>
      <c r="AI237" s="49" t="n"/>
      <c r="AJ237" s="73" t="n"/>
      <c r="AK237" s="49" t="n"/>
      <c r="AL237" s="73" t="n"/>
      <c r="AM237" s="49" t="n"/>
      <c r="AN237" s="73" t="n"/>
      <c r="AO237" s="73" t="n"/>
      <c r="AP237" s="73" t="n"/>
      <c r="AQ237" s="49" t="n"/>
      <c r="AR237" s="73" t="n"/>
      <c r="AS237" s="49" t="n"/>
      <c r="AT237" s="73" t="n"/>
      <c r="AU237" s="49" t="n"/>
      <c r="AV237" s="73" t="n"/>
      <c r="AW237" s="49" t="n"/>
      <c r="AX237" s="73" t="n"/>
      <c r="AY237" s="49" t="n"/>
      <c r="AZ237" s="73" t="n"/>
      <c r="BA237" s="49" t="n"/>
      <c r="BB237" s="73" t="n"/>
      <c r="BC237" s="73" t="n"/>
      <c r="BD237" s="73" t="n"/>
      <c r="BE237" s="49" t="n"/>
      <c r="BF237" s="73" t="n"/>
      <c r="BG237" s="49" t="n"/>
      <c r="BH237" s="73" t="n"/>
      <c r="BI237" s="49" t="n"/>
      <c r="BJ237" s="73" t="n"/>
      <c r="BK237" s="49" t="n"/>
      <c r="BL237" s="73" t="n"/>
      <c r="BM237" s="49" t="n"/>
      <c r="BN237" s="73" t="n"/>
      <c r="BO237" s="49" t="n"/>
      <c r="BP237" s="73" t="n"/>
      <c r="BQ237" s="195">
        <f>COUNTIF($G237:$BP237,"a")+COUNTIF($G237:$BP237,"r0,a5")/2+COUNTIF($G237:$BP237,"p5,a5")/2</f>
        <v/>
      </c>
      <c r="BR237" s="195">
        <f>COUNTIF($G237:$BP237,"d")+COUNTIF($G237:$BP237,"r0,d5")/2+COUNTIF($G237:$BP237,"p5,d5")/2</f>
        <v/>
      </c>
      <c r="BS237" s="195">
        <f>COUNTIF($G237:$BP237,"b")+COUNTIF($G237:$BP237,"r0,b5")/2+COUNTIF($G237:$BP237,"p5,b5")/2</f>
        <v/>
      </c>
      <c r="BT237" s="195">
        <f>COUNTIF($G237:$BP237,"c")+COUNTIF($G237:$BP237,"r0,c5")/2+COUNTIF($G237:$BP237,"p5,c5")/2</f>
        <v/>
      </c>
      <c r="BU237" s="195">
        <f>COUNTIF($G237:$BP237,"KH")+COUNTIF($G237:$BP237,"TL")+COUNTIF($G237:$BP237,"L")</f>
        <v/>
      </c>
      <c r="BV237" s="202" t="n"/>
      <c r="BW237" s="195">
        <f>COUNTIF($G237:$BP237,"hh")</f>
        <v/>
      </c>
      <c r="BX237" s="195">
        <f>COUNTIF($G237:$BP237,"nt7")</f>
        <v/>
      </c>
      <c r="BY237" s="195">
        <f>COUNTIF($G237:$BP237,"P")+COUNTIF($G237:$BP237,"p5,a5")/2+COUNTIF($G237:$BP237,"p5,b5")/2+COUNTIF($G237:$BP237,"p5,c5")/2+COUNTIF($G237:$BP237,"p5,d5")/2</f>
        <v/>
      </c>
      <c r="BZ237" s="203">
        <f>SUBTOTAL(9,BQ237:BY237)</f>
        <v/>
      </c>
      <c r="CA237" s="54">
        <f>SUM(J237,L237,N237,P237,R237,T237,X237,Z237,AB237,AD237,AF237,AH237,AL237,AN237,AP237,AR237,AT237,AV237,AZ237,BB237,BD237,BF237,BH237,BP237)</f>
        <v/>
      </c>
      <c r="CB237" s="55">
        <f>SUM(H237,V237,AJ237,AX237,BL237)</f>
        <v/>
      </c>
      <c r="CC237" s="56">
        <f>SUM(BJ237,BN237)</f>
        <v/>
      </c>
      <c r="CD237" s="197" t="n"/>
      <c r="CE237" s="49" t="n"/>
      <c r="CF237" s="197">
        <f>CD237*CI237</f>
        <v/>
      </c>
      <c r="CG237" s="198">
        <f>F237-BY237+1</f>
        <v/>
      </c>
      <c r="CH237" s="197">
        <f>CE237*16</f>
        <v/>
      </c>
      <c r="CI237" s="199">
        <f>VLOOKUP(A237,[1]DATA!$A$6:$AI$331,34,0)</f>
        <v/>
      </c>
      <c r="CJ237" s="200">
        <f>VLOOKUP(A237,[2]CHAMCONG!A$7:CI$333,79,0)</f>
        <v/>
      </c>
      <c r="CK237" s="201">
        <f>CJ237-CA237</f>
        <v/>
      </c>
      <c r="CL237" s="68" t="n"/>
      <c r="CM237" s="68" t="n"/>
    </row>
    <row r="238" ht="15.75" customFormat="1" customHeight="1" s="68">
      <c r="A238" s="69" t="n"/>
      <c r="B238" s="64" t="n"/>
      <c r="C238" s="115" t="n"/>
      <c r="D238" s="46" t="n"/>
      <c r="E238" s="47" t="n"/>
      <c r="F238" s="48" t="n"/>
      <c r="G238" s="49" t="n"/>
      <c r="H238" s="74" t="n"/>
      <c r="I238" s="50" t="n"/>
      <c r="J238" s="74" t="n"/>
      <c r="K238" s="73" t="n"/>
      <c r="L238" s="73" t="n"/>
      <c r="M238" s="73" t="n"/>
      <c r="N238" s="73" t="n"/>
      <c r="O238" s="50" t="n"/>
      <c r="P238" s="73" t="n"/>
      <c r="Q238" s="73" t="n"/>
      <c r="R238" s="73" t="n"/>
      <c r="S238" s="73" t="n"/>
      <c r="T238" s="73" t="n"/>
      <c r="U238" s="73" t="n"/>
      <c r="V238" s="73" t="n"/>
      <c r="W238" s="73" t="n"/>
      <c r="X238" s="73" t="n"/>
      <c r="Y238" s="73" t="n"/>
      <c r="Z238" s="73" t="n"/>
      <c r="AA238" s="73" t="n"/>
      <c r="AB238" s="73" t="n"/>
      <c r="AC238" s="73" t="n"/>
      <c r="AD238" s="73" t="n"/>
      <c r="AE238" s="73" t="n"/>
      <c r="AF238" s="73" t="n"/>
      <c r="AG238" s="73" t="n"/>
      <c r="AH238" s="73" t="n"/>
      <c r="AI238" s="73" t="n"/>
      <c r="AJ238" s="73" t="n"/>
      <c r="AK238" s="73" t="n"/>
      <c r="AL238" s="73" t="n"/>
      <c r="AM238" s="73" t="n"/>
      <c r="AN238" s="73" t="n"/>
      <c r="AO238" s="73" t="n"/>
      <c r="AP238" s="73" t="n"/>
      <c r="AQ238" s="50" t="n"/>
      <c r="AR238" s="74" t="n"/>
      <c r="AS238" s="73" t="n"/>
      <c r="AT238" s="73" t="n"/>
      <c r="AU238" s="73" t="n"/>
      <c r="AV238" s="74" t="n"/>
      <c r="AW238" s="73" t="n"/>
      <c r="AX238" s="74" t="n"/>
      <c r="AY238" s="50" t="n"/>
      <c r="AZ238" s="74" t="n"/>
      <c r="BA238" s="73" t="n"/>
      <c r="BB238" s="74" t="n"/>
      <c r="BC238" s="73" t="n"/>
      <c r="BD238" s="74" t="n"/>
      <c r="BE238" s="50" t="n"/>
      <c r="BF238" s="74" t="n"/>
      <c r="BG238" s="73" t="n"/>
      <c r="BH238" s="73" t="n"/>
      <c r="BI238" s="73" t="n"/>
      <c r="BJ238" s="74" t="n"/>
      <c r="BK238" s="73" t="n"/>
      <c r="BL238" s="74" t="n"/>
      <c r="BM238" s="73" t="n"/>
      <c r="BN238" s="74" t="n"/>
      <c r="BO238" s="73" t="n"/>
      <c r="BP238" s="74" t="n"/>
      <c r="BQ238" s="195">
        <f>COUNTIF($G238:$BP238,"a")+COUNTIF($G238:$BP238,"r0,a5")/2+COUNTIF($G238:$BP238,"p5,a5")/2</f>
        <v/>
      </c>
      <c r="BR238" s="195">
        <f>COUNTIF($G238:$BP238,"d")+COUNTIF($G238:$BP238,"r0,d5")/2+COUNTIF($G238:$BP238,"p5,d5")/2</f>
        <v/>
      </c>
      <c r="BS238" s="195">
        <f>COUNTIF($G238:$BP238,"b")+COUNTIF($G238:$BP238,"r0,b5")/2+COUNTIF($G238:$BP238,"p5,b5")/2</f>
        <v/>
      </c>
      <c r="BT238" s="195">
        <f>COUNTIF($G238:$BP238,"c")+COUNTIF($G238:$BP238,"r0,c5")/2+COUNTIF($G238:$BP238,"p5,c5")/2</f>
        <v/>
      </c>
      <c r="BU238" s="195">
        <f>COUNTIF($G238:$BP238,"KH")+COUNTIF($G238:$BP238,"TL")+COUNTIF($G238:$BP238,"L")</f>
        <v/>
      </c>
      <c r="BV238" s="202" t="n"/>
      <c r="BW238" s="195">
        <f>COUNTIF($G238:$BP238,"hh")</f>
        <v/>
      </c>
      <c r="BX238" s="195">
        <f>COUNTIF($G238:$BP238,"nt7")</f>
        <v/>
      </c>
      <c r="BY238" s="195">
        <f>COUNTIF($G238:$BP238,"P")+COUNTIF($G238:$BP238,"p5,a5")/2+COUNTIF($G238:$BP238,"p5,b5")/2+COUNTIF($G238:$BP238,"p5,c5")/2+COUNTIF($G238:$BP238,"p5,d5")/2</f>
        <v/>
      </c>
      <c r="BZ238" s="203">
        <f>SUBTOTAL(9,BQ238:BY238)</f>
        <v/>
      </c>
      <c r="CA238" s="54">
        <f>SUM(J238,L238,N238,P238,R238,T238,X238,Z238,AB238,AD238,AF238,AH238,AL238,AN238,AP238,AR238,AT238,AV238,AZ238,BB238,BD238,BF238,BH238,BP238)</f>
        <v/>
      </c>
      <c r="CB238" s="55">
        <f>SUM(H238,V238,AJ238,AX238,BL238)</f>
        <v/>
      </c>
      <c r="CC238" s="56">
        <f>SUM(BJ238,BN238)</f>
        <v/>
      </c>
      <c r="CD238" s="197">
        <f>IF(BZ238&gt;25,4,IF(BZ238&gt;18,3,IF(BZ238&gt;12,2,IF(BZ238&gt;4,1,0))))-BX238-2+1</f>
        <v/>
      </c>
      <c r="CE238" s="49" t="n"/>
      <c r="CF238" s="197">
        <f>CD238*CI238</f>
        <v/>
      </c>
      <c r="CG238" s="198">
        <f>F238-BY238+1</f>
        <v/>
      </c>
      <c r="CH238" s="197">
        <f>CE238*16</f>
        <v/>
      </c>
      <c r="CI238" s="199">
        <f>VLOOKUP(A238,[1]DATA!$A$6:$AI$331,34,0)</f>
        <v/>
      </c>
      <c r="CJ238" s="200">
        <f>VLOOKUP(A238,[2]CHAMCONG!A$7:CI$333,79,0)</f>
        <v/>
      </c>
      <c r="CK238" s="201">
        <f>CJ238-CA238</f>
        <v/>
      </c>
      <c r="CL238" s="68" t="n"/>
      <c r="CM238" s="68" t="n"/>
    </row>
    <row r="239" ht="15.75" customFormat="1" customHeight="1" s="68">
      <c r="A239" s="69" t="n"/>
      <c r="B239" s="64" t="n"/>
      <c r="C239" s="115" t="n"/>
      <c r="D239" s="46" t="n"/>
      <c r="E239" s="47" t="n"/>
      <c r="F239" s="48" t="n"/>
      <c r="G239" s="49" t="n"/>
      <c r="H239" s="73" t="n"/>
      <c r="I239" s="50" t="n"/>
      <c r="J239" s="73" t="n"/>
      <c r="K239" s="50" t="n"/>
      <c r="L239" s="73" t="n"/>
      <c r="M239" s="50" t="n"/>
      <c r="N239" s="73" t="n"/>
      <c r="O239" s="50" t="n"/>
      <c r="P239" s="73" t="n"/>
      <c r="Q239" s="49" t="n"/>
      <c r="R239" s="73" t="n"/>
      <c r="S239" s="50" t="n"/>
      <c r="T239" s="73" t="n"/>
      <c r="U239" s="50" t="n"/>
      <c r="V239" s="73" t="n"/>
      <c r="W239" s="50" t="n"/>
      <c r="X239" s="73" t="n"/>
      <c r="Y239" s="50" t="n"/>
      <c r="Z239" s="73" t="n"/>
      <c r="AA239" s="50" t="n"/>
      <c r="AB239" s="73" t="n"/>
      <c r="AC239" s="50" t="n"/>
      <c r="AD239" s="73" t="n"/>
      <c r="AE239" s="49" t="n"/>
      <c r="AF239" s="73" t="n"/>
      <c r="AG239" s="49" t="n"/>
      <c r="AH239" s="73" t="n"/>
      <c r="AI239" s="49" t="n"/>
      <c r="AJ239" s="73" t="n"/>
      <c r="AK239" s="49" t="n"/>
      <c r="AL239" s="73" t="n"/>
      <c r="AM239" s="49" t="n"/>
      <c r="AN239" s="73" t="n"/>
      <c r="AO239" s="73" t="n"/>
      <c r="AP239" s="73" t="n"/>
      <c r="AQ239" s="49" t="n"/>
      <c r="AR239" s="73" t="n"/>
      <c r="AS239" s="49" t="n"/>
      <c r="AT239" s="73" t="n"/>
      <c r="AU239" s="49" t="n"/>
      <c r="AV239" s="73" t="n"/>
      <c r="AW239" s="73" t="n"/>
      <c r="AX239" s="73" t="n"/>
      <c r="AY239" s="49" t="n"/>
      <c r="AZ239" s="73" t="n"/>
      <c r="BA239" s="49" t="n"/>
      <c r="BB239" s="73" t="n"/>
      <c r="BC239" s="73" t="n"/>
      <c r="BD239" s="73" t="n"/>
      <c r="BE239" s="49" t="n"/>
      <c r="BF239" s="73" t="n"/>
      <c r="BG239" s="49" t="n"/>
      <c r="BH239" s="73" t="n"/>
      <c r="BI239" s="73" t="n"/>
      <c r="BJ239" s="73" t="n"/>
      <c r="BK239" s="73" t="n"/>
      <c r="BL239" s="73" t="n"/>
      <c r="BM239" s="73" t="n"/>
      <c r="BN239" s="73" t="n"/>
      <c r="BO239" s="73" t="n"/>
      <c r="BP239" s="73" t="n"/>
      <c r="BQ239" s="195">
        <f>COUNTIF($G239:$BP239,"a")+COUNTIF($G239:$BP239,"r0,a5")/2+COUNTIF($G239:$BP239,"p5,a5")/2</f>
        <v/>
      </c>
      <c r="BR239" s="195">
        <f>COUNTIF($G239:$BP239,"d")+COUNTIF($G239:$BP239,"r0,d5")/2+COUNTIF($G239:$BP239,"p5,d5")/2</f>
        <v/>
      </c>
      <c r="BS239" s="195">
        <f>COUNTIF($G239:$BP239,"b")+COUNTIF($G239:$BP239,"r0,b5")/2+COUNTIF($G239:$BP239,"p5,b5")/2</f>
        <v/>
      </c>
      <c r="BT239" s="195">
        <f>COUNTIF($G239:$BP239,"c")+COUNTIF($G239:$BP239,"r0,c5")/2+COUNTIF($G239:$BP239,"p5,c5")/2</f>
        <v/>
      </c>
      <c r="BU239" s="195">
        <f>COUNTIF($G239:$BP239,"KH")+COUNTIF($G239:$BP239,"TL")+COUNTIF($G239:$BP239,"L")</f>
        <v/>
      </c>
      <c r="BV239" s="202" t="n"/>
      <c r="BW239" s="195">
        <f>COUNTIF($G239:$BP239,"hh")</f>
        <v/>
      </c>
      <c r="BX239" s="195">
        <f>COUNTIF($G239:$BP239,"nt7")</f>
        <v/>
      </c>
      <c r="BY239" s="195">
        <f>COUNTIF($G239:$BP239,"P")+COUNTIF($G239:$BP239,"p5,a5")/2+COUNTIF($G239:$BP239,"p5,b5")/2+COUNTIF($G239:$BP239,"p5,c5")/2+COUNTIF($G239:$BP239,"p5,d5")/2</f>
        <v/>
      </c>
      <c r="BZ239" s="203">
        <f>SUBTOTAL(9,BQ239:BY239)</f>
        <v/>
      </c>
      <c r="CA239" s="54">
        <f>SUM(J239,L239,N239,P239,R239,T239,X239,Z239,AB239,AD239,AF239,AH239,AL239,AN239,AP239,AR239,AT239,AV239,AZ239,BB239,BD239,BF239,BH239,BP239)</f>
        <v/>
      </c>
      <c r="CB239" s="55">
        <f>SUM(H239,V239,AJ239,AX239,BL239)</f>
        <v/>
      </c>
      <c r="CC239" s="56">
        <f>SUM(BJ239,BN239)</f>
        <v/>
      </c>
      <c r="CD239" s="197">
        <f>IF(BZ239&gt;25,4,IF(BZ239&gt;18,3,IF(BZ239&gt;12,2,IF(BZ239&gt;4,1,0))))-BX239-2+1</f>
        <v/>
      </c>
      <c r="CE239" s="49" t="n">
        <v>4</v>
      </c>
      <c r="CF239" s="197">
        <f>CD239*CI239</f>
        <v/>
      </c>
      <c r="CG239" s="198">
        <f>F239-BY239+1</f>
        <v/>
      </c>
      <c r="CH239" s="197">
        <f>CE239*16</f>
        <v/>
      </c>
      <c r="CI239" s="199">
        <f>VLOOKUP(A239,[1]DATA!$A$6:$AI$331,34,0)</f>
        <v/>
      </c>
      <c r="CJ239" s="200">
        <f>VLOOKUP(A239,[2]CHAMCONG!A$7:CI$333,79,0)</f>
        <v/>
      </c>
      <c r="CK239" s="201">
        <f>CJ239-CA239</f>
        <v/>
      </c>
      <c r="CL239" s="68" t="n"/>
      <c r="CM239" s="68" t="n"/>
    </row>
    <row r="240" ht="15.75" customFormat="1" customHeight="1" s="75">
      <c r="A240" s="69" t="n"/>
      <c r="B240" s="64" t="n"/>
      <c r="C240" s="115" t="n"/>
      <c r="D240" s="46" t="n"/>
      <c r="E240" s="47" t="n"/>
      <c r="F240" s="48" t="n"/>
      <c r="G240" s="49" t="n"/>
      <c r="H240" s="73" t="n"/>
      <c r="I240" s="73" t="n"/>
      <c r="J240" s="73" t="n"/>
      <c r="K240" s="73" t="n"/>
      <c r="L240" s="73" t="n"/>
      <c r="M240" s="73" t="n"/>
      <c r="N240" s="73" t="n"/>
      <c r="O240" s="73" t="n"/>
      <c r="P240" s="73" t="n"/>
      <c r="Q240" s="50" t="n"/>
      <c r="R240" s="67" t="n"/>
      <c r="S240" s="50" t="n"/>
      <c r="T240" s="73" t="n"/>
      <c r="U240" s="50" t="n"/>
      <c r="V240" s="73" t="n"/>
      <c r="W240" s="50" t="n"/>
      <c r="X240" s="73" t="n"/>
      <c r="Y240" s="50" t="n"/>
      <c r="Z240" s="73" t="n"/>
      <c r="AA240" s="50" t="n"/>
      <c r="AB240" s="73" t="n"/>
      <c r="AC240" s="50" t="n"/>
      <c r="AD240" s="73" t="n"/>
      <c r="AE240" s="49" t="n"/>
      <c r="AF240" s="73" t="n"/>
      <c r="AG240" s="73" t="n"/>
      <c r="AH240" s="73" t="n"/>
      <c r="AI240" s="73" t="n"/>
      <c r="AJ240" s="73" t="n"/>
      <c r="AK240" s="73" t="n"/>
      <c r="AL240" s="73" t="n"/>
      <c r="AM240" s="73" t="n"/>
      <c r="AN240" s="73" t="n"/>
      <c r="AO240" s="73" t="n"/>
      <c r="AP240" s="73" t="n"/>
      <c r="AQ240" s="73" t="n"/>
      <c r="AR240" s="73" t="n"/>
      <c r="AS240" s="73" t="n"/>
      <c r="AT240" s="73" t="n"/>
      <c r="AU240" s="73" t="n"/>
      <c r="AV240" s="73" t="n"/>
      <c r="AW240" s="73" t="n"/>
      <c r="AX240" s="73" t="n"/>
      <c r="AY240" s="73" t="n"/>
      <c r="AZ240" s="73" t="n"/>
      <c r="BA240" s="73" t="n"/>
      <c r="BB240" s="73" t="n"/>
      <c r="BC240" s="73" t="n"/>
      <c r="BD240" s="73" t="n"/>
      <c r="BE240" s="73" t="n"/>
      <c r="BF240" s="73" t="n"/>
      <c r="BG240" s="73" t="n"/>
      <c r="BH240" s="73" t="n"/>
      <c r="BI240" s="73" t="n"/>
      <c r="BJ240" s="73" t="n"/>
      <c r="BK240" s="73" t="n"/>
      <c r="BL240" s="73" t="n"/>
      <c r="BM240" s="73" t="n"/>
      <c r="BN240" s="73" t="n"/>
      <c r="BO240" s="73" t="n"/>
      <c r="BP240" s="73" t="n"/>
      <c r="BQ240" s="195">
        <f>COUNTIF($G240:$BP240,"a")+COUNTIF($G240:$BP240,"r0,a5")/2+COUNTIF($G240:$BP240,"p5,a5")/2</f>
        <v/>
      </c>
      <c r="BR240" s="195">
        <f>COUNTIF($G240:$BP240,"d")+COUNTIF($G240:$BP240,"r0,d5")/2+COUNTIF($G240:$BP240,"p5,d5")/2</f>
        <v/>
      </c>
      <c r="BS240" s="195">
        <f>COUNTIF($G240:$BP240,"b")+COUNTIF($G240:$BP240,"r0,b5")/2+COUNTIF($G240:$BP240,"p5,b5")/2</f>
        <v/>
      </c>
      <c r="BT240" s="195">
        <f>COUNTIF($G240:$BP240,"c")+COUNTIF($G240:$BP240,"r0,c5")/2+COUNTIF($G240:$BP240,"p5,c5")/2</f>
        <v/>
      </c>
      <c r="BU240" s="195">
        <f>COUNTIF($G240:$BP240,"KH")+COUNTIF($G240:$BP240,"TL")+COUNTIF($G240:$BP240,"L")</f>
        <v/>
      </c>
      <c r="BV240" s="202" t="n"/>
      <c r="BW240" s="195">
        <f>COUNTIF($G240:$BP240,"hh")</f>
        <v/>
      </c>
      <c r="BX240" s="195">
        <f>COUNTIF($G240:$BP240,"nt7")</f>
        <v/>
      </c>
      <c r="BY240" s="195">
        <f>COUNTIF($G240:$BP240,"P")+COUNTIF($G240:$BP240,"p5,a5")/2+COUNTIF($G240:$BP240,"p5,b5")/2+COUNTIF($G240:$BP240,"p5,c5")/2+COUNTIF($G240:$BP240,"p5,d5")/2</f>
        <v/>
      </c>
      <c r="BZ240" s="203">
        <f>SUBTOTAL(9,BQ240:BY240)</f>
        <v/>
      </c>
      <c r="CA240" s="54">
        <f>SUM(J240,L240,N240,P240,R240,T240,X240,Z240,AB240,AD240,AF240,AH240,AL240,AN240,AP240,AR240,AT240,AV240,AZ240,BB240,BD240,BF240,BH240,BP240)</f>
        <v/>
      </c>
      <c r="CB240" s="55">
        <f>SUM(H240,V240,AJ240,AX240,BL240)</f>
        <v/>
      </c>
      <c r="CC240" s="56">
        <f>SUM(BJ240,BN240)</f>
        <v/>
      </c>
      <c r="CD240" s="197">
        <f>IF(BZ240&gt;25,4,IF(BZ240&gt;18,3,IF(BZ240&gt;12,2,IF(BZ240&gt;4,1,0))))-BX240-2+1</f>
        <v/>
      </c>
      <c r="CE240" s="49" t="n"/>
      <c r="CF240" s="197">
        <f>CD240*CI240</f>
        <v/>
      </c>
      <c r="CG240" s="198">
        <f>F240-BY240+1</f>
        <v/>
      </c>
      <c r="CH240" s="197">
        <f>CE240*16</f>
        <v/>
      </c>
      <c r="CI240" s="199">
        <f>VLOOKUP(A240,[1]DATA!$A$6:$AI$331,34,0)</f>
        <v/>
      </c>
      <c r="CJ240" s="200">
        <f>VLOOKUP(A240,[2]CHAMCONG!A$7:CI$333,79,0)</f>
        <v/>
      </c>
      <c r="CK240" s="201">
        <f>CJ240-CA240</f>
        <v/>
      </c>
      <c r="CL240" s="68" t="n"/>
      <c r="CM240" s="68" t="n"/>
    </row>
    <row r="241" ht="17.25" customFormat="1" customHeight="1" s="75">
      <c r="A241" s="69" t="n"/>
      <c r="B241" s="64" t="n"/>
      <c r="C241" s="115" t="n"/>
      <c r="D241" s="46" t="n"/>
      <c r="E241" s="47" t="n"/>
      <c r="F241" s="48" t="n"/>
      <c r="G241" s="49" t="n"/>
      <c r="H241" s="73" t="n"/>
      <c r="I241" s="50" t="n"/>
      <c r="J241" s="73" t="n"/>
      <c r="K241" s="49" t="n"/>
      <c r="L241" s="73" t="n"/>
      <c r="M241" s="49" t="n"/>
      <c r="N241" s="73" t="n"/>
      <c r="O241" s="49" t="n"/>
      <c r="P241" s="73" t="n"/>
      <c r="Q241" s="49" t="n"/>
      <c r="R241" s="73" t="n"/>
      <c r="S241" s="49" t="n"/>
      <c r="T241" s="73" t="n"/>
      <c r="U241" s="49" t="n"/>
      <c r="V241" s="73" t="n"/>
      <c r="W241" s="49" t="n"/>
      <c r="X241" s="73" t="n"/>
      <c r="Y241" s="49" t="n"/>
      <c r="Z241" s="73" t="n"/>
      <c r="AA241" s="49" t="n"/>
      <c r="AB241" s="73" t="n"/>
      <c r="AC241" s="49" t="n"/>
      <c r="AD241" s="73" t="n"/>
      <c r="AE241" s="49" t="n"/>
      <c r="AF241" s="73" t="n"/>
      <c r="AG241" s="49" t="n"/>
      <c r="AH241" s="73" t="n"/>
      <c r="AI241" s="73" t="n"/>
      <c r="AJ241" s="73" t="n"/>
      <c r="AK241" s="73" t="n"/>
      <c r="AL241" s="73" t="n"/>
      <c r="AM241" s="73" t="n"/>
      <c r="AN241" s="73" t="n"/>
      <c r="AO241" s="73" t="n"/>
      <c r="AP241" s="73" t="n"/>
      <c r="AQ241" s="49" t="n"/>
      <c r="AR241" s="73" t="n"/>
      <c r="AS241" s="49" t="n"/>
      <c r="AT241" s="73" t="n"/>
      <c r="AU241" s="49" t="n"/>
      <c r="AV241" s="73" t="n"/>
      <c r="AW241" s="73" t="n"/>
      <c r="AX241" s="73" t="n"/>
      <c r="AY241" s="49" t="n"/>
      <c r="AZ241" s="73" t="n"/>
      <c r="BA241" s="49" t="n"/>
      <c r="BB241" s="73" t="n"/>
      <c r="BC241" s="49" t="n"/>
      <c r="BD241" s="73" t="n"/>
      <c r="BE241" s="49" t="n"/>
      <c r="BF241" s="73" t="n"/>
      <c r="BG241" s="49" t="n"/>
      <c r="BH241" s="73" t="n"/>
      <c r="BI241" s="73" t="n"/>
      <c r="BJ241" s="73" t="n"/>
      <c r="BK241" s="73" t="n"/>
      <c r="BL241" s="73" t="n"/>
      <c r="BM241" s="73" t="n"/>
      <c r="BN241" s="73" t="n"/>
      <c r="BO241" s="73" t="n"/>
      <c r="BP241" s="73" t="n"/>
      <c r="BQ241" s="195">
        <f>COUNTIF($G241:$BP241,"a")+COUNTIF($G241:$BP241,"r0,a5")/2+COUNTIF($G241:$BP241,"p5,a5")/2</f>
        <v/>
      </c>
      <c r="BR241" s="195">
        <f>COUNTIF($G241:$BP241,"d")+COUNTIF($G241:$BP241,"r0,d5")/2+COUNTIF($G241:$BP241,"p5,d5")/2</f>
        <v/>
      </c>
      <c r="BS241" s="195">
        <f>COUNTIF($G241:$BP241,"b")+COUNTIF($G241:$BP241,"r0,b5")/2+COUNTIF($G241:$BP241,"p5,b5")/2</f>
        <v/>
      </c>
      <c r="BT241" s="195">
        <f>COUNTIF($G241:$BP241,"c")+COUNTIF($G241:$BP241,"r0,c5")/2+COUNTIF($G241:$BP241,"p5,c5")/2</f>
        <v/>
      </c>
      <c r="BU241" s="195">
        <f>COUNTIF($G241:$BP241,"KH")+COUNTIF($G241:$BP241,"TL")+COUNTIF($G241:$BP241,"L")</f>
        <v/>
      </c>
      <c r="BV241" s="202" t="n"/>
      <c r="BW241" s="195">
        <f>COUNTIF($G241:$BP241,"hh")</f>
        <v/>
      </c>
      <c r="BX241" s="195">
        <f>COUNTIF($G241:$BP241,"nt7")</f>
        <v/>
      </c>
      <c r="BY241" s="195">
        <f>COUNTIF($G241:$BP241,"P")+COUNTIF($G241:$BP241,"p5,a5")/2+COUNTIF($G241:$BP241,"p5,b5")/2+COUNTIF($G241:$BP241,"p5,c5")/2+COUNTIF($G241:$BP241,"p5,d5")/2</f>
        <v/>
      </c>
      <c r="BZ241" s="203">
        <f>SUBTOTAL(9,BQ241:BY241)</f>
        <v/>
      </c>
      <c r="CA241" s="54">
        <f>SUM(J241,L241,N241,P241,R241,T241,X241,Z241,AB241,AD241,AF241,AH241,AL241,AN241,AP241,AR241,AT241,AV241,AZ241,BB241,BD241,BF241,BH241,BP241)</f>
        <v/>
      </c>
      <c r="CB241" s="55">
        <f>SUM(H241,V241,AJ241,AX241,BL241)</f>
        <v/>
      </c>
      <c r="CC241" s="56">
        <f>SUM(BJ241,BN241)</f>
        <v/>
      </c>
      <c r="CD241" s="197">
        <f>IF(BZ241&gt;25,4,IF(BZ241&gt;18,3,IF(BZ241&gt;12,2,IF(BZ241&gt;4,1,0))))-BX241-2+1</f>
        <v/>
      </c>
      <c r="CE241" s="49" t="n">
        <v>2</v>
      </c>
      <c r="CF241" s="197">
        <f>CD241*CI241</f>
        <v/>
      </c>
      <c r="CG241" s="198">
        <f>F241-BY241+1</f>
        <v/>
      </c>
      <c r="CH241" s="197">
        <f>CE241*16</f>
        <v/>
      </c>
      <c r="CI241" s="199">
        <f>VLOOKUP(A241,[1]DATA!$A$6:$AI$331,34,0)</f>
        <v/>
      </c>
      <c r="CJ241" s="200">
        <f>VLOOKUP(A241,[2]CHAMCONG!A$7:CI$333,79,0)</f>
        <v/>
      </c>
      <c r="CK241" s="201">
        <f>CJ241-CA241</f>
        <v/>
      </c>
      <c r="CL241" s="68" t="n"/>
      <c r="CM241" s="68" t="n"/>
    </row>
    <row r="242" ht="15.75" customFormat="1" customHeight="1" s="75">
      <c r="A242" s="69" t="n"/>
      <c r="B242" s="64" t="n"/>
      <c r="C242" s="115" t="n"/>
      <c r="D242" s="46" t="n"/>
      <c r="E242" s="47" t="n"/>
      <c r="F242" s="48" t="n"/>
      <c r="G242" s="49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73" t="n"/>
      <c r="Q242" s="73" t="n"/>
      <c r="R242" s="73" t="n"/>
      <c r="S242" s="73" t="n"/>
      <c r="T242" s="73" t="n"/>
      <c r="U242" s="49" t="n"/>
      <c r="V242" s="73" t="n"/>
      <c r="W242" s="49" t="n"/>
      <c r="X242" s="73" t="n"/>
      <c r="Y242" s="49" t="n"/>
      <c r="Z242" s="73" t="n"/>
      <c r="AA242" s="50" t="n"/>
      <c r="AB242" s="73" t="n"/>
      <c r="AC242" s="50" t="n"/>
      <c r="AD242" s="73" t="n"/>
      <c r="AE242" s="50" t="n"/>
      <c r="AF242" s="67" t="n"/>
      <c r="AG242" s="73" t="n"/>
      <c r="AH242" s="73" t="n"/>
      <c r="AI242" s="73" t="n"/>
      <c r="AJ242" s="73" t="n"/>
      <c r="AK242" s="73" t="n"/>
      <c r="AL242" s="73" t="n"/>
      <c r="AM242" s="73" t="n"/>
      <c r="AN242" s="73" t="n"/>
      <c r="AO242" s="73" t="n"/>
      <c r="AP242" s="73" t="n"/>
      <c r="AQ242" s="73" t="n"/>
      <c r="AR242" s="73" t="n"/>
      <c r="AS242" s="73" t="n"/>
      <c r="AT242" s="73" t="n"/>
      <c r="AU242" s="73" t="n"/>
      <c r="AV242" s="73" t="n"/>
      <c r="AW242" s="73" t="n"/>
      <c r="AX242" s="73" t="n"/>
      <c r="AY242" s="73" t="n"/>
      <c r="AZ242" s="73" t="n"/>
      <c r="BA242" s="50" t="n"/>
      <c r="BB242" s="73" t="n"/>
      <c r="BC242" s="50" t="n"/>
      <c r="BD242" s="73" t="n"/>
      <c r="BE242" s="50" t="n"/>
      <c r="BF242" s="73" t="n"/>
      <c r="BG242" s="50" t="n"/>
      <c r="BH242" s="67" t="n"/>
      <c r="BI242" s="73" t="n"/>
      <c r="BJ242" s="73" t="n"/>
      <c r="BK242" s="73" t="n"/>
      <c r="BL242" s="73" t="n"/>
      <c r="BM242" s="73" t="n"/>
      <c r="BN242" s="73" t="n"/>
      <c r="BO242" s="73" t="n"/>
      <c r="BP242" s="73" t="n"/>
      <c r="BQ242" s="195">
        <f>COUNTIF($G242:$BP242,"a")+COUNTIF($G242:$BP242,"r0,a5")/2+COUNTIF($G242:$BP242,"p5,a5")/2</f>
        <v/>
      </c>
      <c r="BR242" s="195">
        <f>COUNTIF($G242:$BP242,"d")+COUNTIF($G242:$BP242,"r0,d5")/2+COUNTIF($G242:$BP242,"p5,d5")/2</f>
        <v/>
      </c>
      <c r="BS242" s="195">
        <f>COUNTIF($G242:$BP242,"b")+COUNTIF($G242:$BP242,"r0,b5")/2+COUNTIF($G242:$BP242,"p5,b5")/2</f>
        <v/>
      </c>
      <c r="BT242" s="195">
        <f>COUNTIF($G242:$BP242,"c")+COUNTIF($G242:$BP242,"r0,c5")/2+COUNTIF($G242:$BP242,"p5,c5")/2</f>
        <v/>
      </c>
      <c r="BU242" s="195">
        <f>COUNTIF($G242:$BP242,"KH")+COUNTIF($G242:$BP242,"TL")+COUNTIF($G242:$BP242,"L")</f>
        <v/>
      </c>
      <c r="BV242" s="202" t="n"/>
      <c r="BW242" s="195">
        <f>COUNTIF($G242:$BP242,"hh")</f>
        <v/>
      </c>
      <c r="BX242" s="195">
        <f>COUNTIF($G242:$BP242,"nt7")</f>
        <v/>
      </c>
      <c r="BY242" s="195">
        <f>COUNTIF($G242:$BP242,"P")+COUNTIF($G242:$BP242,"p5,a5")/2+COUNTIF($G242:$BP242,"p5,b5")/2+COUNTIF($G242:$BP242,"p5,c5")/2+COUNTIF($G242:$BP242,"p5,d5")/2</f>
        <v/>
      </c>
      <c r="BZ242" s="203">
        <f>SUBTOTAL(9,BQ242:BY242)</f>
        <v/>
      </c>
      <c r="CA242" s="54">
        <f>SUM(J242,L242,N242,P242,R242,T242,X242,Z242,AB242,AD242,AF242,AH242,AL242,AN242,AP242,AR242,AT242,AV242,AZ242,BB242,BD242,BF242,BH242,BP242)</f>
        <v/>
      </c>
      <c r="CB242" s="55">
        <f>SUM(H242,V242,AJ242,AX242,BL242)</f>
        <v/>
      </c>
      <c r="CC242" s="56">
        <f>SUM(BJ242,BN242)</f>
        <v/>
      </c>
      <c r="CD242" s="197">
        <f>IF(BZ242&gt;25,4,IF(BZ242&gt;18,3,IF(BZ242&gt;12,2,IF(BZ242&gt;4,1,0))))-BX242-2+1</f>
        <v/>
      </c>
      <c r="CE242" s="49" t="n"/>
      <c r="CF242" s="197">
        <f>CD242*CI242</f>
        <v/>
      </c>
      <c r="CG242" s="198">
        <f>F242-BY242+1</f>
        <v/>
      </c>
      <c r="CH242" s="197">
        <f>CE242*16</f>
        <v/>
      </c>
      <c r="CI242" s="199">
        <f>VLOOKUP(A242,[1]DATA!$A$6:$AI$331,34,0)</f>
        <v/>
      </c>
      <c r="CJ242" s="200">
        <f>VLOOKUP(A242,[2]CHAMCONG!A$7:CI$333,79,0)</f>
        <v/>
      </c>
      <c r="CK242" s="201">
        <f>CJ242-CA242</f>
        <v/>
      </c>
      <c r="CL242" s="68" t="n"/>
      <c r="CM242" s="68" t="n"/>
    </row>
    <row r="243" ht="15.75" customFormat="1" customHeight="1" s="75">
      <c r="A243" s="69" t="n"/>
      <c r="B243" s="64" t="n"/>
      <c r="C243" s="115" t="n"/>
      <c r="D243" s="46" t="n"/>
      <c r="E243" s="47" t="n"/>
      <c r="F243" s="48" t="n"/>
      <c r="G243" s="49" t="n"/>
      <c r="H243" s="73" t="n"/>
      <c r="I243" s="50" t="n"/>
      <c r="J243" s="73" t="n"/>
      <c r="K243" s="50" t="n"/>
      <c r="L243" s="73" t="n"/>
      <c r="M243" s="50" t="n"/>
      <c r="N243" s="73" t="n"/>
      <c r="O243" s="50" t="n"/>
      <c r="P243" s="73" t="n"/>
      <c r="Q243" s="49" t="n"/>
      <c r="R243" s="73" t="n"/>
      <c r="S243" s="50" t="n"/>
      <c r="T243" s="73" t="n"/>
      <c r="U243" s="50" t="n"/>
      <c r="V243" s="73" t="n"/>
      <c r="W243" s="50" t="n"/>
      <c r="X243" s="73" t="n"/>
      <c r="Y243" s="50" t="n"/>
      <c r="Z243" s="73" t="n"/>
      <c r="AA243" s="50" t="n"/>
      <c r="AB243" s="73" t="n"/>
      <c r="AC243" s="50" t="n"/>
      <c r="AD243" s="73" t="n"/>
      <c r="AE243" s="49" t="n"/>
      <c r="AF243" s="73" t="n"/>
      <c r="AG243" s="49" t="n"/>
      <c r="AH243" s="73" t="n"/>
      <c r="AI243" s="49" t="n"/>
      <c r="AJ243" s="73" t="n"/>
      <c r="AK243" s="49" t="n"/>
      <c r="AL243" s="73" t="n"/>
      <c r="AM243" s="49" t="n"/>
      <c r="AN243" s="73" t="n"/>
      <c r="AO243" s="49" t="n"/>
      <c r="AP243" s="73" t="n"/>
      <c r="AQ243" s="49" t="n"/>
      <c r="AR243" s="73" t="n"/>
      <c r="AS243" s="49" t="n"/>
      <c r="AT243" s="73" t="n"/>
      <c r="AU243" s="49" t="n"/>
      <c r="AV243" s="73" t="n"/>
      <c r="AW243" s="73" t="n"/>
      <c r="AX243" s="73" t="n"/>
      <c r="AY243" s="49" t="n"/>
      <c r="AZ243" s="73" t="n"/>
      <c r="BA243" s="49" t="n"/>
      <c r="BB243" s="73" t="n"/>
      <c r="BC243" s="73" t="n"/>
      <c r="BD243" s="73" t="n"/>
      <c r="BE243" s="49" t="n"/>
      <c r="BF243" s="73" t="n"/>
      <c r="BG243" s="49" t="n"/>
      <c r="BH243" s="73" t="n"/>
      <c r="BI243" s="73" t="n"/>
      <c r="BJ243" s="73" t="n"/>
      <c r="BK243" s="73" t="n"/>
      <c r="BL243" s="73" t="n"/>
      <c r="BM243" s="73" t="n"/>
      <c r="BN243" s="73" t="n"/>
      <c r="BO243" s="73" t="n"/>
      <c r="BP243" s="73" t="n"/>
      <c r="BQ243" s="195">
        <f>COUNTIF($G243:$BP243,"a")+COUNTIF($G243:$BP243,"r0,a5")/2+COUNTIF($G243:$BP243,"p5,a5")/2</f>
        <v/>
      </c>
      <c r="BR243" s="195">
        <f>COUNTIF($G243:$BP243,"d")+COUNTIF($G243:$BP243,"r0,d5")/2+COUNTIF($G243:$BP243,"p5,d5")/2</f>
        <v/>
      </c>
      <c r="BS243" s="195">
        <f>COUNTIF($G243:$BP243,"b")+COUNTIF($G243:$BP243,"r0,b5")/2+COUNTIF($G243:$BP243,"p5,b5")/2</f>
        <v/>
      </c>
      <c r="BT243" s="195">
        <f>COUNTIF($G243:$BP243,"c")+COUNTIF($G243:$BP243,"r0,c5")/2+COUNTIF($G243:$BP243,"p5,c5")/2</f>
        <v/>
      </c>
      <c r="BU243" s="195">
        <f>COUNTIF($G243:$BP243,"KH")+COUNTIF($G243:$BP243,"TL")+COUNTIF($G243:$BP243,"L")</f>
        <v/>
      </c>
      <c r="BV243" s="202" t="n"/>
      <c r="BW243" s="195">
        <f>COUNTIF($G243:$BP243,"hh")</f>
        <v/>
      </c>
      <c r="BX243" s="195">
        <f>COUNTIF($G243:$BP243,"nt7")</f>
        <v/>
      </c>
      <c r="BY243" s="195">
        <f>COUNTIF($G243:$BP243,"P")+COUNTIF($G243:$BP243,"p5,a5")/2+COUNTIF($G243:$BP243,"p5,b5")/2+COUNTIF($G243:$BP243,"p5,c5")/2+COUNTIF($G243:$BP243,"p5,d5")/2</f>
        <v/>
      </c>
      <c r="BZ243" s="203">
        <f>SUBTOTAL(9,BQ243:BY243)</f>
        <v/>
      </c>
      <c r="CA243" s="54">
        <f>SUM(J243,L243,N243,P243,R243,T243,X243,Z243,AB243,AD243,AF243,AH243,AL243,AN243,AP243,AR243,AT243,AV243,AZ243,BB243,BD243,BF243,BH243,BP243)</f>
        <v/>
      </c>
      <c r="CB243" s="55">
        <f>SUM(H243,V243,AJ243,AX243,BL243)</f>
        <v/>
      </c>
      <c r="CC243" s="56">
        <f>SUM(BJ243,BN243)</f>
        <v/>
      </c>
      <c r="CD243" s="197">
        <f>IF(BZ243&gt;25,4,IF(BZ243&gt;18,3,IF(BZ243&gt;12,2,IF(BZ243&gt;4,1,0))))-BX243-2+1</f>
        <v/>
      </c>
      <c r="CE243" s="49" t="n">
        <v>4</v>
      </c>
      <c r="CF243" s="197">
        <f>CD243*CI243</f>
        <v/>
      </c>
      <c r="CG243" s="198">
        <f>F243-BY243+1</f>
        <v/>
      </c>
      <c r="CH243" s="197">
        <f>CE243*16</f>
        <v/>
      </c>
      <c r="CI243" s="199">
        <f>VLOOKUP(A243,[1]DATA!$A$6:$AI$331,34,0)</f>
        <v/>
      </c>
      <c r="CJ243" s="200">
        <f>VLOOKUP(A243,[2]CHAMCONG!A$7:CI$333,79,0)</f>
        <v/>
      </c>
      <c r="CK243" s="201">
        <f>CJ243-CA243</f>
        <v/>
      </c>
      <c r="CL243" s="68" t="n"/>
      <c r="CM243" s="68" t="n"/>
    </row>
    <row r="244" ht="15.75" customFormat="1" customHeight="1" s="75">
      <c r="A244" s="69" t="n"/>
      <c r="B244" s="64" t="n"/>
      <c r="C244" s="115" t="n"/>
      <c r="D244" s="46" t="n"/>
      <c r="E244" s="47" t="n"/>
      <c r="F244" s="48" t="n"/>
      <c r="G244" s="49" t="n"/>
      <c r="H244" s="73" t="n"/>
      <c r="I244" s="50" t="n"/>
      <c r="J244" s="73" t="n"/>
      <c r="K244" s="50" t="n"/>
      <c r="L244" s="73" t="n"/>
      <c r="M244" s="50" t="n"/>
      <c r="N244" s="73" t="n"/>
      <c r="O244" s="50" t="n"/>
      <c r="P244" s="73" t="n"/>
      <c r="Q244" s="49" t="n"/>
      <c r="R244" s="73" t="n"/>
      <c r="S244" s="50" t="n"/>
      <c r="T244" s="73" t="n"/>
      <c r="U244" s="50" t="n"/>
      <c r="V244" s="73" t="n"/>
      <c r="W244" s="50" t="n"/>
      <c r="X244" s="73" t="n"/>
      <c r="Y244" s="49" t="n"/>
      <c r="Z244" s="73" t="n"/>
      <c r="AA244" s="73" t="n"/>
      <c r="AB244" s="73" t="n"/>
      <c r="AC244" s="49" t="n"/>
      <c r="AD244" s="73" t="n"/>
      <c r="AE244" s="49" t="n"/>
      <c r="AF244" s="73" t="n"/>
      <c r="AG244" s="49" t="n"/>
      <c r="AH244" s="73" t="n"/>
      <c r="AI244" s="49" t="n"/>
      <c r="AJ244" s="73" t="n"/>
      <c r="AK244" s="49" t="n"/>
      <c r="AL244" s="73" t="n"/>
      <c r="AM244" s="49" t="n"/>
      <c r="AN244" s="73" t="n"/>
      <c r="AO244" s="49" t="n"/>
      <c r="AP244" s="73" t="n"/>
      <c r="AQ244" s="49" t="n"/>
      <c r="AR244" s="73" t="n"/>
      <c r="AS244" s="49" t="n"/>
      <c r="AT244" s="73" t="n"/>
      <c r="AU244" s="49" t="n"/>
      <c r="AV244" s="73" t="n"/>
      <c r="AW244" s="73" t="n"/>
      <c r="AX244" s="73" t="n"/>
      <c r="AY244" s="49" t="n"/>
      <c r="AZ244" s="73" t="n"/>
      <c r="BA244" s="49" t="n"/>
      <c r="BB244" s="73" t="n"/>
      <c r="BC244" s="73" t="n"/>
      <c r="BD244" s="73" t="n"/>
      <c r="BE244" s="49" t="n"/>
      <c r="BF244" s="73" t="n"/>
      <c r="BG244" s="49" t="n"/>
      <c r="BH244" s="73" t="n"/>
      <c r="BI244" s="73" t="n"/>
      <c r="BJ244" s="73" t="n"/>
      <c r="BK244" s="73" t="n"/>
      <c r="BL244" s="73" t="n"/>
      <c r="BM244" s="73" t="n"/>
      <c r="BN244" s="73" t="n"/>
      <c r="BO244" s="73" t="n"/>
      <c r="BP244" s="73" t="n"/>
      <c r="BQ244" s="195">
        <f>COUNTIF($G244:$BP244,"a")+COUNTIF($G244:$BP244,"r0,a5")/2+COUNTIF($G244:$BP244,"p5,a5")/2</f>
        <v/>
      </c>
      <c r="BR244" s="195">
        <f>COUNTIF($G244:$BP244,"d")+COUNTIF($G244:$BP244,"r0,d5")/2+COUNTIF($G244:$BP244,"p5,d5")/2</f>
        <v/>
      </c>
      <c r="BS244" s="195">
        <f>COUNTIF($G244:$BP244,"b")+COUNTIF($G244:$BP244,"r0,b5")/2+COUNTIF($G244:$BP244,"p5,b5")/2</f>
        <v/>
      </c>
      <c r="BT244" s="195">
        <f>COUNTIF($G244:$BP244,"c")+COUNTIF($G244:$BP244,"r0,c5")/2+COUNTIF($G244:$BP244,"p5,c5")/2</f>
        <v/>
      </c>
      <c r="BU244" s="195">
        <f>COUNTIF($G244:$BP244,"KH")+COUNTIF($G244:$BP244,"TL")+COUNTIF($G244:$BP244,"L")</f>
        <v/>
      </c>
      <c r="BV244" s="202" t="n"/>
      <c r="BW244" s="195">
        <f>COUNTIF($G244:$BP244,"hh")</f>
        <v/>
      </c>
      <c r="BX244" s="195">
        <f>COUNTIF($G244:$BP244,"nt7")</f>
        <v/>
      </c>
      <c r="BY244" s="195">
        <f>COUNTIF($G244:$BP244,"P")+COUNTIF($G244:$BP244,"p5,a5")/2+COUNTIF($G244:$BP244,"p5,b5")/2+COUNTIF($G244:$BP244,"p5,c5")/2+COUNTIF($G244:$BP244,"p5,d5")/2</f>
        <v/>
      </c>
      <c r="BZ244" s="203">
        <f>SUBTOTAL(9,BQ244:BY244)</f>
        <v/>
      </c>
      <c r="CA244" s="54">
        <f>SUM(J244,L244,N244,P244,R244,T244,X244,Z244,AB244,AD244,AF244,AH244,AL244,AN244,AP244,AR244,AT244,AV244,AZ244,BB244,BD244,BF244,BH244,BP244)</f>
        <v/>
      </c>
      <c r="CB244" s="55">
        <f>SUM(H244,V244,AJ244,AX244,BL244)</f>
        <v/>
      </c>
      <c r="CC244" s="56">
        <f>SUM(BJ244,BN244)</f>
        <v/>
      </c>
      <c r="CD244" s="197">
        <f>IF(BZ244&gt;25,4,IF(BZ244&gt;18,3,IF(BZ244&gt;12,2,IF(BZ244&gt;4,1,0))))-BX244-2+1</f>
        <v/>
      </c>
      <c r="CE244" s="49" t="n">
        <v>2</v>
      </c>
      <c r="CF244" s="197">
        <f>CD244*CI244</f>
        <v/>
      </c>
      <c r="CG244" s="198">
        <f>F244-BY244+1</f>
        <v/>
      </c>
      <c r="CH244" s="197">
        <f>CE244*16</f>
        <v/>
      </c>
      <c r="CI244" s="199">
        <f>VLOOKUP(A244,[1]DATA!$A$6:$AI$331,34,0)</f>
        <v/>
      </c>
      <c r="CJ244" s="200">
        <f>VLOOKUP(A244,[2]CHAMCONG!A$7:CI$333,79,0)</f>
        <v/>
      </c>
      <c r="CK244" s="201">
        <f>CJ244-CA244</f>
        <v/>
      </c>
      <c r="CL244" s="68" t="n"/>
      <c r="CM244" s="68" t="n"/>
    </row>
    <row r="245" ht="16.5" customFormat="1" customHeight="1" s="75">
      <c r="A245" s="69" t="n"/>
      <c r="B245" s="64" t="n"/>
      <c r="C245" s="115" t="n"/>
      <c r="D245" s="46" t="n"/>
      <c r="E245" s="47" t="n"/>
      <c r="F245" s="48" t="n"/>
      <c r="G245" s="49" t="n"/>
      <c r="H245" s="73" t="n"/>
      <c r="I245" s="49" t="n"/>
      <c r="J245" s="73" t="n"/>
      <c r="K245" s="49" t="n"/>
      <c r="L245" s="73" t="n"/>
      <c r="M245" s="49" t="n"/>
      <c r="N245" s="73" t="n"/>
      <c r="O245" s="49" t="n"/>
      <c r="P245" s="73" t="n"/>
      <c r="Q245" s="50" t="n"/>
      <c r="R245" s="67" t="n"/>
      <c r="S245" s="49" t="n"/>
      <c r="T245" s="73" t="n"/>
      <c r="U245" s="49" t="n"/>
      <c r="V245" s="73" t="n"/>
      <c r="W245" s="49" t="n"/>
      <c r="X245" s="73" t="n"/>
      <c r="Y245" s="49" t="n"/>
      <c r="Z245" s="73" t="n"/>
      <c r="AA245" s="49" t="n"/>
      <c r="AB245" s="73" t="n"/>
      <c r="AC245" s="49" t="n"/>
      <c r="AD245" s="73" t="n"/>
      <c r="AE245" s="73" t="n"/>
      <c r="AF245" s="73" t="n"/>
      <c r="AG245" s="73" t="n"/>
      <c r="AH245" s="73" t="n"/>
      <c r="AI245" s="73" t="n"/>
      <c r="AJ245" s="73" t="n"/>
      <c r="AK245" s="73" t="n"/>
      <c r="AL245" s="73" t="n"/>
      <c r="AM245" s="73" t="n"/>
      <c r="AN245" s="73" t="n"/>
      <c r="AO245" s="73" t="n"/>
      <c r="AP245" s="73" t="n"/>
      <c r="AQ245" s="73" t="n"/>
      <c r="AR245" s="73" t="n"/>
      <c r="AS245" s="73" t="n"/>
      <c r="AT245" s="73" t="n"/>
      <c r="AU245" s="73" t="n"/>
      <c r="AV245" s="73" t="n"/>
      <c r="AW245" s="73" t="n"/>
      <c r="AX245" s="73" t="n"/>
      <c r="AY245" s="73" t="n"/>
      <c r="AZ245" s="73" t="n"/>
      <c r="BA245" s="73" t="n"/>
      <c r="BB245" s="73" t="n"/>
      <c r="BC245" s="73" t="n"/>
      <c r="BD245" s="73" t="n"/>
      <c r="BE245" s="73" t="n"/>
      <c r="BF245" s="73" t="n"/>
      <c r="BG245" s="73" t="n"/>
      <c r="BH245" s="73" t="n"/>
      <c r="BI245" s="73" t="n"/>
      <c r="BJ245" s="73" t="n"/>
      <c r="BK245" s="73" t="n"/>
      <c r="BL245" s="73" t="n"/>
      <c r="BM245" s="73" t="n"/>
      <c r="BN245" s="73" t="n"/>
      <c r="BO245" s="73" t="n"/>
      <c r="BP245" s="73" t="n"/>
      <c r="BQ245" s="195">
        <f>COUNTIF($G245:$BP245,"a")+COUNTIF($G245:$BP245,"r0,a5")/2+COUNTIF($G245:$BP245,"p5,a5")/2</f>
        <v/>
      </c>
      <c r="BR245" s="195">
        <f>COUNTIF($G245:$BP245,"d")+COUNTIF($G245:$BP245,"r0,d5")/2+COUNTIF($G245:$BP245,"p5,d5")/2</f>
        <v/>
      </c>
      <c r="BS245" s="195">
        <f>COUNTIF($G245:$BP245,"b")+COUNTIF($G245:$BP245,"r0,b5")/2+COUNTIF($G245:$BP245,"p5,b5")/2</f>
        <v/>
      </c>
      <c r="BT245" s="195">
        <f>COUNTIF($G245:$BP245,"c")+COUNTIF($G245:$BP245,"r0,c5")/2+COUNTIF($G245:$BP245,"p5,c5")/2</f>
        <v/>
      </c>
      <c r="BU245" s="195">
        <f>COUNTIF($G245:$BP245,"KH")+COUNTIF($G245:$BP245,"TL")+COUNTIF($G245:$BP245,"L")</f>
        <v/>
      </c>
      <c r="BV245" s="202" t="n"/>
      <c r="BW245" s="195">
        <f>COUNTIF($G245:$BP245,"hh")</f>
        <v/>
      </c>
      <c r="BX245" s="195">
        <f>COUNTIF($G245:$BP245,"nt7")</f>
        <v/>
      </c>
      <c r="BY245" s="195">
        <f>COUNTIF($G245:$BP245,"P")+COUNTIF($G245:$BP245,"p5,a5")/2+COUNTIF($G245:$BP245,"p5,b5")/2+COUNTIF($G245:$BP245,"p5,c5")/2+COUNTIF($G245:$BP245,"p5,d5")/2</f>
        <v/>
      </c>
      <c r="BZ245" s="203">
        <f>SUBTOTAL(9,BQ245:BY245)</f>
        <v/>
      </c>
      <c r="CA245" s="54">
        <f>SUM(J245,L245,N245,P245,R245,T245,X245,Z245,AB245,AD245,AF245,AH245,AL245,AN245,AP245,AR245,AT245,AV245,AZ245,BB245,BD245,BF245,BH245,BP245)</f>
        <v/>
      </c>
      <c r="CB245" s="55">
        <f>SUM(H245,V245,AJ245,AX245,BL245)</f>
        <v/>
      </c>
      <c r="CC245" s="56">
        <f>SUM(BJ245,BN245)</f>
        <v/>
      </c>
      <c r="CD245" s="197">
        <f>IF(BZ245&gt;25,4,IF(BZ245&gt;18,3,IF(BZ245&gt;12,2,IF(BZ245&gt;4,1,0))))-BX245-2+1</f>
        <v/>
      </c>
      <c r="CE245" s="49" t="n">
        <v>1</v>
      </c>
      <c r="CF245" s="204">
        <f>CD245*CI245</f>
        <v/>
      </c>
      <c r="CG245" s="198">
        <f>F245-BY245+1</f>
        <v/>
      </c>
      <c r="CH245" s="197">
        <f>CE245*16</f>
        <v/>
      </c>
      <c r="CI245" s="199">
        <f>VLOOKUP(A245,[1]DATA!$A$6:$AI$331,34,0)</f>
        <v/>
      </c>
      <c r="CJ245" s="200">
        <f>VLOOKUP(A245,[2]CHAMCONG!A$7:CI$333,79,0)</f>
        <v/>
      </c>
      <c r="CK245" s="201">
        <f>CJ245-CA245</f>
        <v/>
      </c>
      <c r="CL245" s="68" t="n"/>
      <c r="CM245" s="68" t="n"/>
    </row>
    <row r="246" ht="18" customFormat="1" customHeight="1" s="75">
      <c r="A246" s="69" t="n"/>
      <c r="B246" s="64" t="n"/>
      <c r="C246" s="115" t="n"/>
      <c r="D246" s="46" t="n"/>
      <c r="E246" s="47" t="n"/>
      <c r="F246" s="48" t="n"/>
      <c r="G246" s="49" t="n"/>
      <c r="H246" s="73" t="n"/>
      <c r="I246" s="49" t="n"/>
      <c r="J246" s="73" t="n"/>
      <c r="K246" s="49" t="n"/>
      <c r="L246" s="73" t="n"/>
      <c r="M246" s="49" t="n"/>
      <c r="N246" s="73" t="n"/>
      <c r="O246" s="49" t="n"/>
      <c r="P246" s="73" t="n"/>
      <c r="Q246" s="49" t="n"/>
      <c r="R246" s="73" t="n"/>
      <c r="S246" s="49" t="n"/>
      <c r="T246" s="73" t="n"/>
      <c r="U246" s="49" t="n"/>
      <c r="V246" s="73" t="n"/>
      <c r="W246" s="49" t="n"/>
      <c r="X246" s="73" t="n"/>
      <c r="Y246" s="73" t="n"/>
      <c r="Z246" s="73" t="n"/>
      <c r="AA246" s="73" t="n"/>
      <c r="AB246" s="73" t="n"/>
      <c r="AC246" s="73" t="n"/>
      <c r="AD246" s="73" t="n"/>
      <c r="AE246" s="50" t="n"/>
      <c r="AF246" s="73" t="n"/>
      <c r="AG246" s="50" t="n"/>
      <c r="AH246" s="73" t="n"/>
      <c r="AI246" s="50" t="n"/>
      <c r="AJ246" s="73" t="n"/>
      <c r="AK246" s="50" t="n"/>
      <c r="AL246" s="73" t="n"/>
      <c r="AM246" s="50" t="n"/>
      <c r="AN246" s="73" t="n"/>
      <c r="AO246" s="50" t="n"/>
      <c r="AP246" s="73" t="n"/>
      <c r="AQ246" s="73" t="n"/>
      <c r="AR246" s="73" t="n"/>
      <c r="AS246" s="73" t="n"/>
      <c r="AT246" s="73" t="n"/>
      <c r="AU246" s="73" t="n"/>
      <c r="AV246" s="73" t="n"/>
      <c r="AW246" s="73" t="n"/>
      <c r="AX246" s="73" t="n"/>
      <c r="AY246" s="73" t="n"/>
      <c r="AZ246" s="73" t="n"/>
      <c r="BA246" s="73" t="n"/>
      <c r="BB246" s="73" t="n"/>
      <c r="BC246" s="73" t="n"/>
      <c r="BD246" s="73" t="n"/>
      <c r="BE246" s="73" t="n"/>
      <c r="BF246" s="73" t="n"/>
      <c r="BG246" s="73" t="n"/>
      <c r="BH246" s="73" t="n"/>
      <c r="BI246" s="73" t="n"/>
      <c r="BJ246" s="73" t="n"/>
      <c r="BK246" s="73" t="n"/>
      <c r="BL246" s="73" t="n"/>
      <c r="BM246" s="73" t="n"/>
      <c r="BN246" s="73" t="n"/>
      <c r="BO246" s="73" t="n"/>
      <c r="BP246" s="73" t="n"/>
      <c r="BQ246" s="195">
        <f>COUNTIF($G246:$BP246,"a")+COUNTIF($G246:$BP246,"r0,a5")/2+COUNTIF($G246:$BP246,"p5,a5")/2</f>
        <v/>
      </c>
      <c r="BR246" s="195">
        <f>COUNTIF($G246:$BP246,"d")+COUNTIF($G246:$BP246,"r0,d5")/2+COUNTIF($G246:$BP246,"p5,d5")/2</f>
        <v/>
      </c>
      <c r="BS246" s="195">
        <f>COUNTIF($G246:$BP246,"b")+COUNTIF($G246:$BP246,"r0,b5")/2+COUNTIF($G246:$BP246,"p5,b5")/2</f>
        <v/>
      </c>
      <c r="BT246" s="195">
        <f>COUNTIF($G246:$BP246,"c")+COUNTIF($G246:$BP246,"r0,c5")/2+COUNTIF($G246:$BP246,"p5,c5")/2</f>
        <v/>
      </c>
      <c r="BU246" s="195">
        <f>COUNTIF($G246:$BP246,"KH")+COUNTIF($G246:$BP246,"TL")+COUNTIF($G246:$BP246,"L")</f>
        <v/>
      </c>
      <c r="BV246" s="202" t="n"/>
      <c r="BW246" s="195">
        <f>COUNTIF($G246:$BP246,"hh")</f>
        <v/>
      </c>
      <c r="BX246" s="195">
        <f>COUNTIF($G246:$BP246,"nt7")</f>
        <v/>
      </c>
      <c r="BY246" s="195">
        <f>COUNTIF($G246:$BP246,"P")+COUNTIF($G246:$BP246,"p5,a5")/2+COUNTIF($G246:$BP246,"p5,b5")/2+COUNTIF($G246:$BP246,"p5,c5")/2+COUNTIF($G246:$BP246,"p5,d5")/2</f>
        <v/>
      </c>
      <c r="BZ246" s="203">
        <f>SUBTOTAL(9,BQ246:BY246)</f>
        <v/>
      </c>
      <c r="CA246" s="54">
        <f>SUM(J246,L246,N246,P246,R246,T246,X246,Z246,AB246,AD246,AF246,AH246,AL246,AN246,AP246,AR246,AT246,AV246,AZ246,BB246,BD246,BF246,BH246,BP246)</f>
        <v/>
      </c>
      <c r="CB246" s="55">
        <f>SUM(H246,V246,AJ246,AX246,BL246)</f>
        <v/>
      </c>
      <c r="CC246" s="56">
        <f>SUM(BJ246,BN246)</f>
        <v/>
      </c>
      <c r="CD246" s="197">
        <f>IF(BZ246&gt;25,4,IF(BZ246&gt;18,3,IF(BZ246&gt;12,2,IF(BZ246&gt;4,1,0))))-BX246-2+1</f>
        <v/>
      </c>
      <c r="CE246" s="49" t="n"/>
      <c r="CF246" s="204">
        <f>CD246*CI246</f>
        <v/>
      </c>
      <c r="CG246" s="198">
        <f>F246-BY246+1</f>
        <v/>
      </c>
      <c r="CH246" s="197">
        <f>CE246*16</f>
        <v/>
      </c>
      <c r="CI246" s="199">
        <f>VLOOKUP(A246,[1]DATA!$A$6:$AI$331,34,0)</f>
        <v/>
      </c>
      <c r="CJ246" s="200">
        <f>VLOOKUP(A246,[2]CHAMCONG!A$7:CI$333,79,0)</f>
        <v/>
      </c>
      <c r="CK246" s="201">
        <f>CJ246-CA246</f>
        <v/>
      </c>
      <c r="CL246" s="68" t="n"/>
      <c r="CM246" s="68" t="n"/>
    </row>
    <row r="247" ht="18" customFormat="1" customHeight="1" s="75">
      <c r="A247" s="69" t="n"/>
      <c r="B247" s="64" t="n"/>
      <c r="C247" s="115" t="n"/>
      <c r="D247" s="46" t="n"/>
      <c r="E247" s="47" t="n"/>
      <c r="F247" s="48" t="n"/>
      <c r="G247" s="49" t="n"/>
      <c r="H247" s="74" t="n"/>
      <c r="I247" s="50" t="n"/>
      <c r="J247" s="73" t="n"/>
      <c r="K247" s="50" t="n"/>
      <c r="L247" s="73" t="n"/>
      <c r="M247" s="50" t="n"/>
      <c r="N247" s="73" t="n"/>
      <c r="O247" s="50" t="n"/>
      <c r="P247" s="73" t="n"/>
      <c r="Q247" s="73" t="n"/>
      <c r="R247" s="73" t="n"/>
      <c r="S247" s="50" t="n"/>
      <c r="T247" s="73" t="n"/>
      <c r="U247" s="50" t="n"/>
      <c r="V247" s="73" t="n"/>
      <c r="W247" s="50" t="n"/>
      <c r="X247" s="73" t="n"/>
      <c r="Y247" s="50" t="n"/>
      <c r="Z247" s="73" t="n"/>
      <c r="AA247" s="50" t="n"/>
      <c r="AB247" s="73" t="n"/>
      <c r="AC247" s="50" t="n"/>
      <c r="AD247" s="73" t="n"/>
      <c r="AE247" s="73" t="n"/>
      <c r="AF247" s="73" t="n"/>
      <c r="AG247" s="50" t="n"/>
      <c r="AH247" s="73" t="n"/>
      <c r="AI247" s="50" t="n"/>
      <c r="AJ247" s="73" t="n"/>
      <c r="AK247" s="50" t="n"/>
      <c r="AL247" s="73" t="n"/>
      <c r="AM247" s="50" t="n"/>
      <c r="AN247" s="73" t="n"/>
      <c r="AO247" s="50" t="n"/>
      <c r="AP247" s="73" t="n"/>
      <c r="AQ247" s="50" t="n"/>
      <c r="AR247" s="74" t="n"/>
      <c r="AS247" s="73" t="n"/>
      <c r="AT247" s="73" t="n"/>
      <c r="AU247" s="73" t="n"/>
      <c r="AV247" s="74" t="n"/>
      <c r="AW247" s="73" t="n"/>
      <c r="AX247" s="74" t="n"/>
      <c r="AY247" s="50" t="n"/>
      <c r="AZ247" s="74" t="n"/>
      <c r="BA247" s="73" t="n"/>
      <c r="BB247" s="74" t="n"/>
      <c r="BC247" s="73" t="n"/>
      <c r="BD247" s="74" t="n"/>
      <c r="BE247" s="50" t="n"/>
      <c r="BF247" s="74" t="n"/>
      <c r="BG247" s="73" t="n"/>
      <c r="BH247" s="73" t="n"/>
      <c r="BI247" s="73" t="n"/>
      <c r="BJ247" s="74" t="n"/>
      <c r="BK247" s="73" t="n"/>
      <c r="BL247" s="74" t="n"/>
      <c r="BM247" s="73" t="n"/>
      <c r="BN247" s="74" t="n"/>
      <c r="BO247" s="73" t="n"/>
      <c r="BP247" s="74" t="n"/>
      <c r="BQ247" s="195">
        <f>COUNTIF($G247:$BP247,"a")+COUNTIF($G247:$BP247,"r0,a5")/2+COUNTIF($G247:$BP247,"p5,a5")/2</f>
        <v/>
      </c>
      <c r="BR247" s="195">
        <f>COUNTIF($G247:$BP247,"d")+COUNTIF($G247:$BP247,"r0,d5")/2+COUNTIF($G247:$BP247,"p5,d5")/2</f>
        <v/>
      </c>
      <c r="BS247" s="195">
        <f>COUNTIF($G247:$BP247,"b")+COUNTIF($G247:$BP247,"r0,b5")/2+COUNTIF($G247:$BP247,"p5,b5")/2</f>
        <v/>
      </c>
      <c r="BT247" s="195">
        <f>COUNTIF($G247:$BP247,"c")+COUNTIF($G247:$BP247,"r0,c5")/2+COUNTIF($G247:$BP247,"p5,c5")/2</f>
        <v/>
      </c>
      <c r="BU247" s="195">
        <f>COUNTIF($G247:$BP247,"KH")+COUNTIF($G247:$BP247,"TL")+COUNTIF($G247:$BP247,"L")</f>
        <v/>
      </c>
      <c r="BV247" s="202" t="n"/>
      <c r="BW247" s="195">
        <f>COUNTIF($G247:$BP247,"hh")</f>
        <v/>
      </c>
      <c r="BX247" s="195">
        <f>COUNTIF($G247:$BP247,"nt7")</f>
        <v/>
      </c>
      <c r="BY247" s="195">
        <f>COUNTIF($G247:$BP247,"P")+COUNTIF($G247:$BP247,"p5,a5")/2+COUNTIF($G247:$BP247,"p5,b5")/2+COUNTIF($G247:$BP247,"p5,c5")/2+COUNTIF($G247:$BP247,"p5,d5")/2</f>
        <v/>
      </c>
      <c r="BZ247" s="203">
        <f>SUBTOTAL(9,BQ247:BY247)</f>
        <v/>
      </c>
      <c r="CA247" s="54">
        <f>SUM(J247,L247,N247,P247,R247,T247,X247,Z247,AB247,AD247,AF247,AH247,AL247,AN247,AP247,AR247,AT247,AV247,AZ247,BB247,BD247,BF247,BH247,BP247)</f>
        <v/>
      </c>
      <c r="CB247" s="55">
        <f>SUM(H247,V247,AJ247,AX247,BL247)</f>
        <v/>
      </c>
      <c r="CC247" s="56">
        <f>SUM(BJ247,BN247)</f>
        <v/>
      </c>
      <c r="CD247" s="197">
        <f>IF(BZ247&gt;25,4,IF(BZ247&gt;18,3,IF(BZ247&gt;12,2,IF(BZ247&gt;4,1,0))))-BX247-2+1</f>
        <v/>
      </c>
      <c r="CE247" s="49" t="n"/>
      <c r="CF247" s="204">
        <f>CD247*CI247</f>
        <v/>
      </c>
      <c r="CG247" s="198">
        <f>F247-BY247+1</f>
        <v/>
      </c>
      <c r="CH247" s="197">
        <f>CE247*16</f>
        <v/>
      </c>
      <c r="CI247" s="199">
        <f>VLOOKUP(A247,[1]DATA!$A$6:$AI$331,34,0)</f>
        <v/>
      </c>
      <c r="CJ247" s="200">
        <f>VLOOKUP(A247,[2]CHAMCONG!A$7:CI$333,79,0)</f>
        <v/>
      </c>
      <c r="CK247" s="201">
        <f>CJ247-CA247</f>
        <v/>
      </c>
      <c r="CL247" s="68" t="n"/>
      <c r="CM247" s="68" t="n"/>
    </row>
    <row r="248" ht="19.5" customFormat="1" customHeight="1" s="75">
      <c r="A248" s="69" t="n"/>
      <c r="B248" s="64" t="n"/>
      <c r="C248" s="115" t="n"/>
      <c r="D248" s="46" t="n"/>
      <c r="E248" s="47" t="n"/>
      <c r="F248" s="48" t="n"/>
      <c r="G248" s="49" t="n"/>
      <c r="H248" s="73" t="n"/>
      <c r="I248" s="50" t="n"/>
      <c r="J248" s="73" t="n"/>
      <c r="K248" s="73" t="n"/>
      <c r="L248" s="73" t="n"/>
      <c r="M248" s="73" t="n"/>
      <c r="N248" s="73" t="n"/>
      <c r="O248" s="50" t="n"/>
      <c r="P248" s="73" t="n"/>
      <c r="Q248" s="73" t="n"/>
      <c r="R248" s="73" t="n"/>
      <c r="S248" s="73" t="n"/>
      <c r="T248" s="73" t="n"/>
      <c r="U248" s="49" t="n"/>
      <c r="V248" s="73" t="n"/>
      <c r="W248" s="50" t="n"/>
      <c r="X248" s="73" t="n"/>
      <c r="Y248" s="73" t="n"/>
      <c r="Z248" s="73" t="n"/>
      <c r="AA248" s="73" t="n"/>
      <c r="AB248" s="73" t="n"/>
      <c r="AC248" s="50" t="n"/>
      <c r="AD248" s="73" t="n"/>
      <c r="AE248" s="73" t="n"/>
      <c r="AF248" s="73" t="n"/>
      <c r="AG248" s="73" t="n"/>
      <c r="AH248" s="73" t="n"/>
      <c r="AI248" s="73" t="n"/>
      <c r="AJ248" s="73" t="n"/>
      <c r="AK248" s="50" t="n"/>
      <c r="AL248" s="73" t="n"/>
      <c r="AM248" s="73" t="n"/>
      <c r="AN248" s="73" t="n"/>
      <c r="AO248" s="73" t="n"/>
      <c r="AP248" s="73" t="n"/>
      <c r="AQ248" s="50" t="n"/>
      <c r="AR248" s="73" t="n"/>
      <c r="AS248" s="73" t="n"/>
      <c r="AT248" s="73" t="n"/>
      <c r="AU248" s="73" t="n"/>
      <c r="AV248" s="73" t="n"/>
      <c r="AW248" s="73" t="n"/>
      <c r="AX248" s="73" t="n"/>
      <c r="AY248" s="50" t="n"/>
      <c r="AZ248" s="73" t="n"/>
      <c r="BA248" s="73" t="n"/>
      <c r="BB248" s="73" t="n"/>
      <c r="BC248" s="73" t="n"/>
      <c r="BD248" s="73" t="n"/>
      <c r="BE248" s="50" t="n"/>
      <c r="BF248" s="73" t="n"/>
      <c r="BG248" s="73" t="n"/>
      <c r="BH248" s="73" t="n"/>
      <c r="BI248" s="73" t="n"/>
      <c r="BJ248" s="73" t="n"/>
      <c r="BK248" s="73" t="n"/>
      <c r="BL248" s="73" t="n"/>
      <c r="BM248" s="73" t="n"/>
      <c r="BN248" s="73" t="n"/>
      <c r="BO248" s="73" t="n"/>
      <c r="BP248" s="73" t="n"/>
      <c r="BQ248" s="195">
        <f>COUNTIF($G248:$BP248,"a")+COUNTIF($G248:$BP248,"r0,a5")/2+COUNTIF($G248:$BP248,"p5,a5")/2</f>
        <v/>
      </c>
      <c r="BR248" s="195">
        <f>COUNTIF($G248:$BP248,"d")+COUNTIF($G248:$BP248,"r0,d5")/2+COUNTIF($G248:$BP248,"p5,d5")/2</f>
        <v/>
      </c>
      <c r="BS248" s="195">
        <f>COUNTIF($G248:$BP248,"b")+COUNTIF($G248:$BP248,"r0,b5")/2+COUNTIF($G248:$BP248,"p5,b5")/2</f>
        <v/>
      </c>
      <c r="BT248" s="195">
        <f>COUNTIF($G248:$BP248,"c")+COUNTIF($G248:$BP248,"r0,c5")/2+COUNTIF($G248:$BP248,"p5,c5")/2</f>
        <v/>
      </c>
      <c r="BU248" s="195">
        <f>COUNTIF($G248:$BP248,"KH")+COUNTIF($G248:$BP248,"TL")+COUNTIF($G248:$BP248,"L")</f>
        <v/>
      </c>
      <c r="BV248" s="202" t="n"/>
      <c r="BW248" s="195">
        <f>COUNTIF($G248:$BP248,"hh")</f>
        <v/>
      </c>
      <c r="BX248" s="195">
        <f>COUNTIF($G248:$BP248,"nt7")</f>
        <v/>
      </c>
      <c r="BY248" s="195">
        <f>COUNTIF($G248:$BP248,"P")+COUNTIF($G248:$BP248,"p5,a5")/2+COUNTIF($G248:$BP248,"p5,b5")/2+COUNTIF($G248:$BP248,"p5,c5")/2+COUNTIF($G248:$BP248,"p5,d5")/2</f>
        <v/>
      </c>
      <c r="BZ248" s="203">
        <f>SUBTOTAL(9,BQ248:BY248)</f>
        <v/>
      </c>
      <c r="CA248" s="54">
        <f>SUM(J248,L248,N248,P248,R248,T248,X248,Z248,AB248,AD248,AF248,AH248,AL248,AN248,AP248,AR248,AT248,AV248,AZ248,BB248,BD248,BF248,BH248,BP248)</f>
        <v/>
      </c>
      <c r="CB248" s="55">
        <f>SUM(H248,V248,AJ248,AX248,BL248)</f>
        <v/>
      </c>
      <c r="CC248" s="56">
        <f>SUM(BJ248,BN248)</f>
        <v/>
      </c>
      <c r="CD248" s="197">
        <f>IF(BZ248&gt;25,4,IF(BZ248&gt;18,3,IF(BZ248&gt;12,2,IF(BZ248&gt;4,1,0))))-BX248-2+1</f>
        <v/>
      </c>
      <c r="CE248" s="49" t="n">
        <v>1</v>
      </c>
      <c r="CF248" s="204">
        <f>CD248*CI248</f>
        <v/>
      </c>
      <c r="CG248" s="198">
        <f>F248-BY248+1</f>
        <v/>
      </c>
      <c r="CH248" s="197">
        <f>CE248*16</f>
        <v/>
      </c>
      <c r="CI248" s="199">
        <f>VLOOKUP(A248,[1]DATA!$A$6:$AI$331,34,0)</f>
        <v/>
      </c>
      <c r="CJ248" s="200">
        <f>VLOOKUP(A248,[2]CHAMCONG!A$7:CI$333,79,0)</f>
        <v/>
      </c>
      <c r="CK248" s="201">
        <f>CJ248-CA248</f>
        <v/>
      </c>
      <c r="CL248" s="68" t="n"/>
      <c r="CM248" s="68" t="n"/>
    </row>
    <row r="249" ht="18" customFormat="1" customHeight="1" s="75">
      <c r="A249" s="69" t="n"/>
      <c r="B249" s="64" t="n"/>
      <c r="C249" s="115" t="n"/>
      <c r="D249" s="46" t="n"/>
      <c r="E249" s="47" t="n"/>
      <c r="F249" s="48" t="n"/>
      <c r="G249" s="49" t="n"/>
      <c r="H249" s="73" t="n"/>
      <c r="I249" s="49" t="n"/>
      <c r="J249" s="73" t="n"/>
      <c r="K249" s="49" t="n"/>
      <c r="L249" s="73" t="n"/>
      <c r="M249" s="73" t="n"/>
      <c r="N249" s="73" t="n"/>
      <c r="O249" s="50" t="n"/>
      <c r="P249" s="73" t="n"/>
      <c r="Q249" s="50" t="n"/>
      <c r="R249" s="67" t="n"/>
      <c r="S249" s="50" t="n"/>
      <c r="T249" s="73" t="n"/>
      <c r="U249" s="50" t="n"/>
      <c r="V249" s="73" t="n"/>
      <c r="W249" s="50" t="n"/>
      <c r="X249" s="73" t="n"/>
      <c r="Y249" s="50" t="n"/>
      <c r="Z249" s="73" t="n"/>
      <c r="AA249" s="50" t="n"/>
      <c r="AB249" s="73" t="n"/>
      <c r="AC249" s="50" t="n"/>
      <c r="AD249" s="73" t="n"/>
      <c r="AE249" s="50" t="n"/>
      <c r="AF249" s="67" t="n"/>
      <c r="AG249" s="50" t="n"/>
      <c r="AH249" s="73" t="n"/>
      <c r="AI249" s="50" t="n"/>
      <c r="AJ249" s="73" t="n"/>
      <c r="AK249" s="50" t="n"/>
      <c r="AL249" s="73" t="n"/>
      <c r="AM249" s="50" t="n"/>
      <c r="AN249" s="73" t="n"/>
      <c r="AO249" s="50" t="n"/>
      <c r="AP249" s="73" t="n"/>
      <c r="AQ249" s="50" t="n"/>
      <c r="AR249" s="73" t="n"/>
      <c r="AS249" s="50" t="n"/>
      <c r="AT249" s="67" t="n"/>
      <c r="AU249" s="50" t="n"/>
      <c r="AV249" s="73" t="n"/>
      <c r="AW249" s="73" t="n"/>
      <c r="AX249" s="73" t="n"/>
      <c r="AY249" s="50" t="n"/>
      <c r="AZ249" s="73" t="n"/>
      <c r="BA249" s="50" t="n"/>
      <c r="BB249" s="73" t="n"/>
      <c r="BC249" s="73" t="n"/>
      <c r="BD249" s="73" t="n"/>
      <c r="BE249" s="73" t="n"/>
      <c r="BF249" s="73" t="n"/>
      <c r="BG249" s="73" t="n"/>
      <c r="BH249" s="73" t="n"/>
      <c r="BI249" s="73" t="n"/>
      <c r="BJ249" s="73" t="n"/>
      <c r="BK249" s="73" t="n"/>
      <c r="BL249" s="73" t="n"/>
      <c r="BM249" s="73" t="n"/>
      <c r="BN249" s="73" t="n"/>
      <c r="BO249" s="73" t="n"/>
      <c r="BP249" s="73" t="n"/>
      <c r="BQ249" s="195">
        <f>COUNTIF($G249:$BP249,"a")+COUNTIF($G249:$BP249,"r0,a5")/2+COUNTIF($G249:$BP249,"p5,a5")/2</f>
        <v/>
      </c>
      <c r="BR249" s="195">
        <f>COUNTIF($G249:$BP249,"d")+COUNTIF($G249:$BP249,"r0,d5")/2+COUNTIF($G249:$BP249,"p5,d5")/2</f>
        <v/>
      </c>
      <c r="BS249" s="195">
        <f>COUNTIF($G249:$BP249,"b")+COUNTIF($G249:$BP249,"r0,b5")/2+COUNTIF($G249:$BP249,"p5,b5")/2</f>
        <v/>
      </c>
      <c r="BT249" s="195">
        <f>COUNTIF($G249:$BP249,"c")+COUNTIF($G249:$BP249,"r0,c5")/2+COUNTIF($G249:$BP249,"p5,c5")/2</f>
        <v/>
      </c>
      <c r="BU249" s="195">
        <f>COUNTIF($G249:$BP249,"KH")+COUNTIF($G249:$BP249,"TL")+COUNTIF($G249:$BP249,"L")</f>
        <v/>
      </c>
      <c r="BV249" s="202" t="n"/>
      <c r="BW249" s="195">
        <f>COUNTIF($G249:$BP249,"hh")</f>
        <v/>
      </c>
      <c r="BX249" s="195">
        <f>COUNTIF($G249:$BP249,"nt7")</f>
        <v/>
      </c>
      <c r="BY249" s="195">
        <f>COUNTIF($G249:$BP249,"P")+COUNTIF($G249:$BP249,"p5,a5")/2+COUNTIF($G249:$BP249,"p5,b5")/2+COUNTIF($G249:$BP249,"p5,c5")/2+COUNTIF($G249:$BP249,"p5,d5")/2</f>
        <v/>
      </c>
      <c r="BZ249" s="203">
        <f>SUBTOTAL(9,BQ249:BY249)</f>
        <v/>
      </c>
      <c r="CA249" s="54">
        <f>SUM(J249,L249,N249,P249,R249,T249,X249,Z249,AB249,AD249,AF249,AH249,AL249,AN249,AP249,AR249,AT249,AV249,AZ249,BB249,BD249,BF249,BH249,BP249)</f>
        <v/>
      </c>
      <c r="CB249" s="55">
        <f>SUM(H249,V249,AJ249,AX249,BL249)</f>
        <v/>
      </c>
      <c r="CC249" s="56">
        <f>SUM(BJ249,BN249)</f>
        <v/>
      </c>
      <c r="CD249" s="197">
        <f>IF(BZ249&gt;25,4,IF(BZ249&gt;18,3,IF(BZ249&gt;12,2,IF(BZ249&gt;4,1,0))))-BX249-2+1</f>
        <v/>
      </c>
      <c r="CE249" s="49" t="n">
        <v>3</v>
      </c>
      <c r="CF249" s="204">
        <f>CD249*CI249</f>
        <v/>
      </c>
      <c r="CG249" s="198">
        <f>F249-BY249+1</f>
        <v/>
      </c>
      <c r="CH249" s="197">
        <f>CE249*16</f>
        <v/>
      </c>
      <c r="CI249" s="199">
        <f>VLOOKUP(A249,[1]DATA!$A$6:$AI$331,34,0)</f>
        <v/>
      </c>
      <c r="CJ249" s="200">
        <f>VLOOKUP(A249,[2]CHAMCONG!A$7:CI$333,79,0)</f>
        <v/>
      </c>
      <c r="CK249" s="201">
        <f>CJ249-CA249</f>
        <v/>
      </c>
      <c r="CL249" s="68" t="n"/>
      <c r="CM249" s="68" t="n"/>
    </row>
    <row r="250" ht="18" customFormat="1" customHeight="1" s="75">
      <c r="A250" s="69" t="n"/>
      <c r="B250" s="64" t="n"/>
      <c r="C250" s="115" t="n"/>
      <c r="D250" s="46" t="n"/>
      <c r="E250" s="47" t="n"/>
      <c r="F250" s="48" t="n"/>
      <c r="G250" s="49" t="n"/>
      <c r="H250" s="73" t="n"/>
      <c r="I250" s="50" t="n"/>
      <c r="J250" s="73" t="n"/>
      <c r="K250" s="50" t="n"/>
      <c r="L250" s="73" t="n"/>
      <c r="M250" s="50" t="n"/>
      <c r="N250" s="73" t="n"/>
      <c r="O250" s="50" t="n"/>
      <c r="P250" s="73" t="n"/>
      <c r="Q250" s="50" t="n"/>
      <c r="R250" s="67" t="n"/>
      <c r="S250" s="50" t="n"/>
      <c r="T250" s="73" t="n"/>
      <c r="U250" s="50" t="n"/>
      <c r="V250" s="73" t="n"/>
      <c r="W250" s="50" t="n"/>
      <c r="X250" s="73" t="n"/>
      <c r="Y250" s="50" t="n"/>
      <c r="Z250" s="73" t="n"/>
      <c r="AA250" s="50" t="n"/>
      <c r="AB250" s="73" t="n"/>
      <c r="AC250" s="49" t="n"/>
      <c r="AD250" s="73" t="n"/>
      <c r="AE250" s="49" t="n"/>
      <c r="AF250" s="73" t="n"/>
      <c r="AG250" s="73" t="n"/>
      <c r="AH250" s="73" t="n"/>
      <c r="AI250" s="73" t="n"/>
      <c r="AJ250" s="73" t="n"/>
      <c r="AK250" s="73" t="n"/>
      <c r="AL250" s="73" t="n"/>
      <c r="AM250" s="73" t="n"/>
      <c r="AN250" s="73" t="n"/>
      <c r="AO250" s="73" t="n"/>
      <c r="AP250" s="73" t="n"/>
      <c r="AQ250" s="73" t="n"/>
      <c r="AR250" s="73" t="n"/>
      <c r="AS250" s="73" t="n"/>
      <c r="AT250" s="73" t="n"/>
      <c r="AU250" s="73" t="n"/>
      <c r="AV250" s="73" t="n"/>
      <c r="AW250" s="73" t="n"/>
      <c r="AX250" s="73" t="n"/>
      <c r="AY250" s="73" t="n"/>
      <c r="AZ250" s="73" t="n"/>
      <c r="BA250" s="73" t="n"/>
      <c r="BB250" s="73" t="n"/>
      <c r="BC250" s="73" t="n"/>
      <c r="BD250" s="73" t="n"/>
      <c r="BE250" s="73" t="n"/>
      <c r="BF250" s="73" t="n"/>
      <c r="BG250" s="73" t="n"/>
      <c r="BH250" s="73" t="n"/>
      <c r="BI250" s="73" t="n"/>
      <c r="BJ250" s="73" t="n"/>
      <c r="BK250" s="73" t="n"/>
      <c r="BL250" s="73" t="n"/>
      <c r="BM250" s="73" t="n"/>
      <c r="BN250" s="73" t="n"/>
      <c r="BO250" s="73" t="n"/>
      <c r="BP250" s="73" t="n"/>
      <c r="BQ250" s="195">
        <f>COUNTIF($G250:$BP250,"a")+COUNTIF($G250:$BP250,"r0,a5")/2+COUNTIF($G250:$BP250,"p5,a5")/2</f>
        <v/>
      </c>
      <c r="BR250" s="195">
        <f>COUNTIF($G250:$BP250,"d")+COUNTIF($G250:$BP250,"r0,d5")/2+COUNTIF($G250:$BP250,"p5,d5")/2</f>
        <v/>
      </c>
      <c r="BS250" s="195">
        <f>COUNTIF($G250:$BP250,"b")+COUNTIF($G250:$BP250,"r0,b5")/2+COUNTIF($G250:$BP250,"p5,b5")/2</f>
        <v/>
      </c>
      <c r="BT250" s="195">
        <f>COUNTIF($G250:$BP250,"c")+COUNTIF($G250:$BP250,"r0,c5")/2+COUNTIF($G250:$BP250,"p5,c5")/2</f>
        <v/>
      </c>
      <c r="BU250" s="195">
        <f>COUNTIF($G250:$BP250,"KH")+COUNTIF($G250:$BP250,"TL")+COUNTIF($G250:$BP250,"L")</f>
        <v/>
      </c>
      <c r="BV250" s="202" t="n"/>
      <c r="BW250" s="195">
        <f>COUNTIF($G250:$BP250,"hh")</f>
        <v/>
      </c>
      <c r="BX250" s="195">
        <f>COUNTIF($G250:$BP250,"nt7")</f>
        <v/>
      </c>
      <c r="BY250" s="195">
        <f>COUNTIF($G250:$BP250,"P")+COUNTIF($G250:$BP250,"p5,a5")/2+COUNTIF($G250:$BP250,"p5,b5")/2+COUNTIF($G250:$BP250,"p5,c5")/2+COUNTIF($G250:$BP250,"p5,d5")/2</f>
        <v/>
      </c>
      <c r="BZ250" s="203">
        <f>SUBTOTAL(9,BQ250:BY250)</f>
        <v/>
      </c>
      <c r="CA250" s="54">
        <f>SUM(J250,L250,N250,P250,R250,T250,X250,Z250,AB250,AD250,AF250,AH250,AL250,AN250,AP250,AR250,AT250,AV250,AZ250,BB250,BD250,BF250,BH250,BP250)</f>
        <v/>
      </c>
      <c r="CB250" s="55">
        <f>SUM(H250,V250,AJ250,AX250,BL250)</f>
        <v/>
      </c>
      <c r="CC250" s="56">
        <f>SUM(BJ250,BN250)</f>
        <v/>
      </c>
      <c r="CD250" s="197">
        <f>IF(BZ250&gt;25,4,IF(BZ250&gt;18,3,IF(BZ250&gt;12,2,IF(BZ250&gt;4,1,0))))-BX250-2+1</f>
        <v/>
      </c>
      <c r="CE250" s="49" t="n">
        <v>2</v>
      </c>
      <c r="CF250" s="204">
        <f>CD250*CI250</f>
        <v/>
      </c>
      <c r="CG250" s="198">
        <f>F250-BY250+1</f>
        <v/>
      </c>
      <c r="CH250" s="197">
        <f>CE250*16</f>
        <v/>
      </c>
      <c r="CI250" s="199">
        <f>VLOOKUP(A250,[1]DATA!$A$6:$AI$331,34,0)</f>
        <v/>
      </c>
      <c r="CJ250" s="200">
        <f>VLOOKUP(A250,[2]CHAMCONG!A$7:CI$333,79,0)</f>
        <v/>
      </c>
      <c r="CK250" s="201">
        <f>CJ250-CA250</f>
        <v/>
      </c>
      <c r="CL250" s="68" t="n"/>
      <c r="CM250" s="68" t="n"/>
    </row>
    <row r="251" ht="18" customFormat="1" customHeight="1" s="75">
      <c r="A251" s="69" t="n"/>
      <c r="B251" s="64" t="n"/>
      <c r="C251" s="115" t="n"/>
      <c r="D251" s="46" t="n"/>
      <c r="E251" s="47" t="n"/>
      <c r="F251" s="48" t="n"/>
      <c r="G251" s="49" t="n"/>
      <c r="H251" s="73" t="n"/>
      <c r="I251" s="50" t="n"/>
      <c r="J251" s="73" t="n"/>
      <c r="K251" s="73" t="n"/>
      <c r="L251" s="73" t="n"/>
      <c r="M251" s="73" t="n"/>
      <c r="N251" s="73" t="n"/>
      <c r="O251" s="50" t="n"/>
      <c r="P251" s="73" t="n"/>
      <c r="Q251" s="50" t="n"/>
      <c r="R251" s="67" t="n"/>
      <c r="S251" s="50" t="n"/>
      <c r="T251" s="73" t="n"/>
      <c r="U251" s="49" t="n"/>
      <c r="V251" s="73" t="n"/>
      <c r="W251" s="73" t="n"/>
      <c r="X251" s="73" t="n"/>
      <c r="Y251" s="73" t="n"/>
      <c r="Z251" s="73" t="n"/>
      <c r="AA251" s="73" t="n"/>
      <c r="AB251" s="73" t="n"/>
      <c r="AC251" s="73" t="n"/>
      <c r="AD251" s="73" t="n"/>
      <c r="AE251" s="73" t="n"/>
      <c r="AF251" s="73" t="n"/>
      <c r="AG251" s="73" t="n"/>
      <c r="AH251" s="73" t="n"/>
      <c r="AI251" s="73" t="n"/>
      <c r="AJ251" s="73" t="n"/>
      <c r="AK251" s="73" t="n"/>
      <c r="AL251" s="73" t="n"/>
      <c r="AM251" s="73" t="n"/>
      <c r="AN251" s="73" t="n"/>
      <c r="AO251" s="50" t="n"/>
      <c r="AP251" s="73" t="n"/>
      <c r="AQ251" s="50" t="n"/>
      <c r="AR251" s="73" t="n"/>
      <c r="AS251" s="50" t="n"/>
      <c r="AT251" s="67" t="n"/>
      <c r="AU251" s="50" t="n"/>
      <c r="AV251" s="73" t="n"/>
      <c r="AW251" s="73" t="n"/>
      <c r="AX251" s="73" t="n"/>
      <c r="AY251" s="73" t="n"/>
      <c r="AZ251" s="73" t="n"/>
      <c r="BA251" s="73" t="n"/>
      <c r="BB251" s="73" t="n"/>
      <c r="BC251" s="73" t="n"/>
      <c r="BD251" s="73" t="n"/>
      <c r="BE251" s="73" t="n"/>
      <c r="BF251" s="73" t="n"/>
      <c r="BG251" s="73" t="n"/>
      <c r="BH251" s="73" t="n"/>
      <c r="BI251" s="73" t="n"/>
      <c r="BJ251" s="73" t="n"/>
      <c r="BK251" s="73" t="n"/>
      <c r="BL251" s="73" t="n"/>
      <c r="BM251" s="73" t="n"/>
      <c r="BN251" s="73" t="n"/>
      <c r="BO251" s="73" t="n"/>
      <c r="BP251" s="73" t="n"/>
      <c r="BQ251" s="195">
        <f>COUNTIF($G251:$BP251,"a")+COUNTIF($G251:$BP251,"r0,a5")/2+COUNTIF($G251:$BP251,"p5,a5")/2</f>
        <v/>
      </c>
      <c r="BR251" s="195">
        <f>COUNTIF($G251:$BP251,"d")+COUNTIF($G251:$BP251,"r0,d5")/2+COUNTIF($G251:$BP251,"p5,d5")/2</f>
        <v/>
      </c>
      <c r="BS251" s="195">
        <f>COUNTIF($G251:$BP251,"b")+COUNTIF($G251:$BP251,"r0,b5")/2+COUNTIF($G251:$BP251,"p5,b5")/2</f>
        <v/>
      </c>
      <c r="BT251" s="195">
        <f>COUNTIF($G251:$BP251,"c")+COUNTIF($G251:$BP251,"r0,c5")/2+COUNTIF($G251:$BP251,"p5,c5")/2</f>
        <v/>
      </c>
      <c r="BU251" s="195">
        <f>COUNTIF($G251:$BP251,"KH")+COUNTIF($G251:$BP251,"TL")+COUNTIF($G251:$BP251,"L")</f>
        <v/>
      </c>
      <c r="BV251" s="202" t="n"/>
      <c r="BW251" s="195">
        <f>COUNTIF($G251:$BP251,"hh")</f>
        <v/>
      </c>
      <c r="BX251" s="195">
        <f>COUNTIF($G251:$BP251,"nt7")</f>
        <v/>
      </c>
      <c r="BY251" s="195">
        <f>COUNTIF($G251:$BP251,"P")+COUNTIF($G251:$BP251,"p5,a5")/2+COUNTIF($G251:$BP251,"p5,b5")/2+COUNTIF($G251:$BP251,"p5,c5")/2+COUNTIF($G251:$BP251,"p5,d5")/2</f>
        <v/>
      </c>
      <c r="BZ251" s="203">
        <f>SUBTOTAL(9,BQ251:BY251)</f>
        <v/>
      </c>
      <c r="CA251" s="54">
        <f>SUM(J251,L251,N251,P251,R251,T251,X251,Z251,AB251,AD251,AF251,AH251,AL251,AN251,AP251,AR251,AT251,AV251,AZ251,BB251,BD251,BF251,BH251,BP251)</f>
        <v/>
      </c>
      <c r="CB251" s="55">
        <f>SUM(H251,V251,AJ251,AX251,BL251)</f>
        <v/>
      </c>
      <c r="CC251" s="56">
        <f>SUM(BJ251,BN251)</f>
        <v/>
      </c>
      <c r="CD251" s="197">
        <f>IF(BZ251&gt;25,4,IF(BZ251&gt;18,3,IF(BZ251&gt;12,2,IF(BZ251&gt;4,1,0))))-BX251-2+1</f>
        <v/>
      </c>
      <c r="CE251" s="49" t="n"/>
      <c r="CF251" s="204">
        <f>CD251*CI251</f>
        <v/>
      </c>
      <c r="CG251" s="198">
        <f>F251-BY251+1</f>
        <v/>
      </c>
      <c r="CH251" s="197">
        <f>CE251*16</f>
        <v/>
      </c>
      <c r="CI251" s="199">
        <f>VLOOKUP(A251,[1]DATA!$A$6:$AI$331,34,0)</f>
        <v/>
      </c>
      <c r="CJ251" s="200">
        <f>VLOOKUP(A251,[2]CHAMCONG!A$7:CI$333,79,0)</f>
        <v/>
      </c>
      <c r="CK251" s="201">
        <f>CJ251-CA251</f>
        <v/>
      </c>
      <c r="CL251" s="68" t="n"/>
      <c r="CM251" s="68" t="n"/>
    </row>
    <row r="252" ht="18" customFormat="1" customHeight="1" s="75">
      <c r="A252" s="69" t="n"/>
      <c r="B252" s="64" t="n"/>
      <c r="C252" s="115" t="n"/>
      <c r="D252" s="46" t="n"/>
      <c r="E252" s="47" t="n"/>
      <c r="F252" s="48" t="n"/>
      <c r="G252" s="49" t="n"/>
      <c r="H252" s="73" t="n"/>
      <c r="I252" s="50" t="n"/>
      <c r="J252" s="73" t="n"/>
      <c r="K252" s="50" t="n"/>
      <c r="L252" s="73" t="n"/>
      <c r="M252" s="50" t="n"/>
      <c r="N252" s="73" t="n"/>
      <c r="O252" s="50" t="n"/>
      <c r="P252" s="73" t="n"/>
      <c r="Q252" s="49" t="n"/>
      <c r="R252" s="73" t="n"/>
      <c r="S252" s="50" t="n"/>
      <c r="T252" s="73" t="n"/>
      <c r="U252" s="50" t="n"/>
      <c r="V252" s="73" t="n"/>
      <c r="W252" s="50" t="n"/>
      <c r="X252" s="73" t="n"/>
      <c r="Y252" s="50" t="n"/>
      <c r="Z252" s="73" t="n"/>
      <c r="AA252" s="73" t="n"/>
      <c r="AB252" s="73" t="n"/>
      <c r="AC252" s="49" t="n"/>
      <c r="AD252" s="73" t="n"/>
      <c r="AE252" s="49" t="n"/>
      <c r="AF252" s="73" t="n"/>
      <c r="AG252" s="49" t="n"/>
      <c r="AH252" s="73" t="n"/>
      <c r="AI252" s="49" t="n"/>
      <c r="AJ252" s="73" t="n"/>
      <c r="AK252" s="49" t="n"/>
      <c r="AL252" s="73" t="n"/>
      <c r="AM252" s="49" t="n"/>
      <c r="AN252" s="73" t="n"/>
      <c r="AO252" s="49" t="n"/>
      <c r="AP252" s="73" t="n"/>
      <c r="AQ252" s="49" t="n"/>
      <c r="AR252" s="73" t="n"/>
      <c r="AS252" s="49" t="n"/>
      <c r="AT252" s="73" t="n"/>
      <c r="AU252" s="49" t="n"/>
      <c r="AV252" s="73" t="n"/>
      <c r="AW252" s="73" t="n"/>
      <c r="AX252" s="73" t="n"/>
      <c r="AY252" s="49" t="n"/>
      <c r="AZ252" s="73" t="n"/>
      <c r="BA252" s="49" t="n"/>
      <c r="BB252" s="73" t="n"/>
      <c r="BC252" s="73" t="n"/>
      <c r="BD252" s="73" t="n"/>
      <c r="BE252" s="49" t="n"/>
      <c r="BF252" s="73" t="n"/>
      <c r="BG252" s="49" t="n"/>
      <c r="BH252" s="73" t="n"/>
      <c r="BI252" s="73" t="n"/>
      <c r="BJ252" s="73" t="n"/>
      <c r="BK252" s="73" t="n"/>
      <c r="BL252" s="73" t="n"/>
      <c r="BM252" s="73" t="n"/>
      <c r="BN252" s="73" t="n"/>
      <c r="BO252" s="73" t="n"/>
      <c r="BP252" s="73" t="n"/>
      <c r="BQ252" s="195">
        <f>COUNTIF($G252:$BP252,"a")+COUNTIF($G252:$BP252,"r0,a5")/2+COUNTIF($G252:$BP252,"p5,a5")/2</f>
        <v/>
      </c>
      <c r="BR252" s="195">
        <f>COUNTIF($G252:$BP252,"d")+COUNTIF($G252:$BP252,"r0,d5")/2+COUNTIF($G252:$BP252,"p5,d5")/2</f>
        <v/>
      </c>
      <c r="BS252" s="195">
        <f>COUNTIF($G252:$BP252,"b")+COUNTIF($G252:$BP252,"r0,b5")/2+COUNTIF($G252:$BP252,"p5,b5")/2</f>
        <v/>
      </c>
      <c r="BT252" s="195">
        <f>COUNTIF($G252:$BP252,"c")+COUNTIF($G252:$BP252,"r0,c5")/2+COUNTIF($G252:$BP252,"p5,c5")/2</f>
        <v/>
      </c>
      <c r="BU252" s="195">
        <f>COUNTIF($G252:$BP252,"KH")+COUNTIF($G252:$BP252,"TL")+COUNTIF($G252:$BP252,"L")</f>
        <v/>
      </c>
      <c r="BV252" s="202" t="n"/>
      <c r="BW252" s="195">
        <f>COUNTIF($G252:$BP252,"hh")</f>
        <v/>
      </c>
      <c r="BX252" s="195">
        <f>COUNTIF($G252:$BP252,"nt7")</f>
        <v/>
      </c>
      <c r="BY252" s="195">
        <f>COUNTIF($G252:$BP252,"P")+COUNTIF($G252:$BP252,"p5,a5")/2+COUNTIF($G252:$BP252,"p5,b5")/2+COUNTIF($G252:$BP252,"p5,c5")/2+COUNTIF($G252:$BP252,"p5,d5")/2</f>
        <v/>
      </c>
      <c r="BZ252" s="203">
        <f>SUBTOTAL(9,BQ252:BY252)</f>
        <v/>
      </c>
      <c r="CA252" s="54">
        <f>SUM(J252,L252,N252,P252,R252,T252,X252,Z252,AB252,AD252,AF252,AH252,AL252,AN252,AP252,AR252,AT252,AV252,AZ252,BB252,BD252,BF252,BH252,BP252)</f>
        <v/>
      </c>
      <c r="CB252" s="55">
        <f>SUM(H252,V252,AJ252,AX252,BL252)</f>
        <v/>
      </c>
      <c r="CC252" s="56">
        <f>SUM(BJ252,BN252)</f>
        <v/>
      </c>
      <c r="CD252" s="197">
        <f>IF(BZ252&gt;25,4,IF(BZ252&gt;18,3,IF(BZ252&gt;12,2,IF(BZ252&gt;4,1,0))))-BX252-2+1</f>
        <v/>
      </c>
      <c r="CE252" s="49" t="n">
        <v>4</v>
      </c>
      <c r="CF252" s="204">
        <f>CD252*CI252</f>
        <v/>
      </c>
      <c r="CG252" s="198">
        <f>F252-BY252+1</f>
        <v/>
      </c>
      <c r="CH252" s="197">
        <f>CE252*16</f>
        <v/>
      </c>
      <c r="CI252" s="199">
        <f>VLOOKUP(A252,[1]DATA!$A$6:$AI$331,34,0)</f>
        <v/>
      </c>
      <c r="CJ252" s="200">
        <f>VLOOKUP(A252,[2]CHAMCONG!A$7:CI$333,79,0)</f>
        <v/>
      </c>
      <c r="CK252" s="201">
        <f>CJ252-CA252</f>
        <v/>
      </c>
      <c r="CL252" s="68" t="n"/>
      <c r="CM252" s="68" t="n"/>
    </row>
    <row r="253" ht="18" customFormat="1" customHeight="1" s="75">
      <c r="A253" s="69" t="n"/>
      <c r="B253" s="64" t="n"/>
      <c r="C253" s="115" t="n"/>
      <c r="D253" s="46" t="n"/>
      <c r="E253" s="47" t="n"/>
      <c r="F253" s="48" t="n"/>
      <c r="G253" s="49" t="n"/>
      <c r="H253" s="74" t="n"/>
      <c r="I253" s="50" t="n"/>
      <c r="J253" s="73" t="n"/>
      <c r="K253" s="50" t="n"/>
      <c r="L253" s="73" t="n"/>
      <c r="M253" s="50" t="n"/>
      <c r="N253" s="73" t="n"/>
      <c r="O253" s="50" t="n"/>
      <c r="P253" s="74" t="n"/>
      <c r="Q253" s="73" t="n"/>
      <c r="R253" s="73" t="n"/>
      <c r="S253" s="73" t="n"/>
      <c r="T253" s="73" t="n"/>
      <c r="U253" s="73" t="n"/>
      <c r="V253" s="73" t="n"/>
      <c r="W253" s="73" t="n"/>
      <c r="X253" s="73" t="n"/>
      <c r="Y253" s="73" t="n"/>
      <c r="Z253" s="73" t="n"/>
      <c r="AA253" s="73" t="n"/>
      <c r="AB253" s="73" t="n"/>
      <c r="AC253" s="73" t="n"/>
      <c r="AD253" s="73" t="n"/>
      <c r="AE253" s="73" t="n"/>
      <c r="AF253" s="73" t="n"/>
      <c r="AG253" s="73" t="n"/>
      <c r="AH253" s="73" t="n"/>
      <c r="AI253" s="73" t="n"/>
      <c r="AJ253" s="73" t="n"/>
      <c r="AK253" s="73" t="n"/>
      <c r="AL253" s="73" t="n"/>
      <c r="AM253" s="73" t="n"/>
      <c r="AN253" s="73" t="n"/>
      <c r="AO253" s="73" t="n"/>
      <c r="AP253" s="73" t="n"/>
      <c r="AQ253" s="50" t="n"/>
      <c r="AR253" s="74" t="n"/>
      <c r="AS253" s="73" t="n"/>
      <c r="AT253" s="73" t="n"/>
      <c r="AU253" s="73" t="n"/>
      <c r="AV253" s="74" t="n"/>
      <c r="AW253" s="73" t="n"/>
      <c r="AX253" s="74" t="n"/>
      <c r="AY253" s="50" t="n"/>
      <c r="AZ253" s="74" t="n"/>
      <c r="BA253" s="73" t="n"/>
      <c r="BB253" s="74" t="n"/>
      <c r="BC253" s="73" t="n"/>
      <c r="BD253" s="74" t="n"/>
      <c r="BE253" s="50" t="n"/>
      <c r="BF253" s="74" t="n"/>
      <c r="BG253" s="73" t="n"/>
      <c r="BH253" s="73" t="n"/>
      <c r="BI253" s="73" t="n"/>
      <c r="BJ253" s="74" t="n"/>
      <c r="BK253" s="73" t="n"/>
      <c r="BL253" s="74" t="n"/>
      <c r="BM253" s="73" t="n"/>
      <c r="BN253" s="74" t="n"/>
      <c r="BO253" s="73" t="n"/>
      <c r="BP253" s="74" t="n"/>
      <c r="BQ253" s="195">
        <f>COUNTIF($G253:$BP253,"a")+COUNTIF($G253:$BP253,"r0,a5")/2+COUNTIF($G253:$BP253,"p5,a5")/2</f>
        <v/>
      </c>
      <c r="BR253" s="195">
        <f>COUNTIF($G253:$BP253,"d")+COUNTIF($G253:$BP253,"r0,d5")/2+COUNTIF($G253:$BP253,"p5,d5")/2</f>
        <v/>
      </c>
      <c r="BS253" s="195">
        <f>COUNTIF($G253:$BP253,"b")+COUNTIF($G253:$BP253,"r0,b5")/2+COUNTIF($G253:$BP253,"p5,b5")/2</f>
        <v/>
      </c>
      <c r="BT253" s="195">
        <f>COUNTIF($G253:$BP253,"c")+COUNTIF($G253:$BP253,"r0,c5")/2+COUNTIF($G253:$BP253,"p5,c5")/2</f>
        <v/>
      </c>
      <c r="BU253" s="195">
        <f>COUNTIF($G253:$BP253,"KH")+COUNTIF($G253:$BP253,"TL")+COUNTIF($G253:$BP253,"L")</f>
        <v/>
      </c>
      <c r="BV253" s="202" t="n"/>
      <c r="BW253" s="195">
        <f>COUNTIF($G253:$BP253,"hh")</f>
        <v/>
      </c>
      <c r="BX253" s="195">
        <f>COUNTIF($G253:$BP253,"nt7")</f>
        <v/>
      </c>
      <c r="BY253" s="195">
        <f>COUNTIF($G253:$BP253,"P")+COUNTIF($G253:$BP253,"p5,a5")/2+COUNTIF($G253:$BP253,"p5,b5")/2+COUNTIF($G253:$BP253,"p5,c5")/2+COUNTIF($G253:$BP253,"p5,d5")/2</f>
        <v/>
      </c>
      <c r="BZ253" s="203">
        <f>SUBTOTAL(9,BQ253:BY253)</f>
        <v/>
      </c>
      <c r="CA253" s="54">
        <f>SUM(J253,L253,N253,P253,R253,T253,X253,Z253,AB253,AD253,AF253,AH253,AL253,AN253,AP253,AR253,AT253,AV253,AZ253,BB253,BD253,BF253,BH253,BP253)</f>
        <v/>
      </c>
      <c r="CB253" s="55">
        <f>SUM(H253,V253,AJ253,AX253,BL253)</f>
        <v/>
      </c>
      <c r="CC253" s="56">
        <f>SUM(BJ253,BN253)</f>
        <v/>
      </c>
      <c r="CD253" s="197">
        <f>IF(BZ253&gt;25,4,IF(BZ253&gt;18,3,IF(BZ253&gt;12,2,IF(BZ253&gt;4,1,0))))-BX253-2+1</f>
        <v/>
      </c>
      <c r="CE253" s="49" t="n"/>
      <c r="CF253" s="204">
        <f>CD253*CI253</f>
        <v/>
      </c>
      <c r="CG253" s="198">
        <f>F253-BY253+1</f>
        <v/>
      </c>
      <c r="CH253" s="197">
        <f>CE253*16</f>
        <v/>
      </c>
      <c r="CI253" s="199">
        <f>VLOOKUP(A253,[1]DATA!$A$6:$AI$331,34,0)</f>
        <v/>
      </c>
      <c r="CJ253" s="200">
        <f>VLOOKUP(A253,[2]CHAMCONG!A$7:CI$333,79,0)</f>
        <v/>
      </c>
      <c r="CK253" s="201">
        <f>CJ253-CA253</f>
        <v/>
      </c>
      <c r="CL253" s="68" t="n"/>
      <c r="CM253" s="68" t="n"/>
    </row>
    <row r="254" ht="18" customFormat="1" customHeight="1" s="75">
      <c r="A254" s="69" t="n"/>
      <c r="B254" s="64" t="n"/>
      <c r="C254" s="115" t="n"/>
      <c r="D254" s="46" t="n"/>
      <c r="E254" s="47" t="n"/>
      <c r="F254" s="48" t="n"/>
      <c r="G254" s="49" t="n"/>
      <c r="H254" s="73" t="n"/>
      <c r="I254" s="49" t="n"/>
      <c r="J254" s="73" t="n"/>
      <c r="K254" s="49" t="n"/>
      <c r="L254" s="73" t="n"/>
      <c r="M254" s="49" t="n"/>
      <c r="N254" s="73" t="n"/>
      <c r="O254" s="49" t="n"/>
      <c r="P254" s="73" t="n"/>
      <c r="Q254" s="67" t="n"/>
      <c r="R254" s="67" t="n"/>
      <c r="S254" s="49" t="n"/>
      <c r="T254" s="73" t="n"/>
      <c r="U254" s="49" t="n"/>
      <c r="V254" s="73" t="n"/>
      <c r="W254" s="49" t="n"/>
      <c r="X254" s="73" t="n"/>
      <c r="Y254" s="49" t="n"/>
      <c r="Z254" s="73" t="n"/>
      <c r="AA254" s="49" t="n"/>
      <c r="AB254" s="73" t="n"/>
      <c r="AC254" s="49" t="n"/>
      <c r="AD254" s="73" t="n"/>
      <c r="AE254" s="73" t="n"/>
      <c r="AF254" s="73" t="n"/>
      <c r="AG254" s="50" t="n"/>
      <c r="AH254" s="73" t="n"/>
      <c r="AI254" s="50" t="n"/>
      <c r="AJ254" s="73" t="n"/>
      <c r="AK254" s="50" t="n"/>
      <c r="AL254" s="73" t="n"/>
      <c r="AM254" s="50" t="n"/>
      <c r="AN254" s="73" t="n"/>
      <c r="AO254" s="50" t="n"/>
      <c r="AP254" s="73" t="n"/>
      <c r="AQ254" s="73" t="n"/>
      <c r="AR254" s="73" t="n"/>
      <c r="AS254" s="73" t="n"/>
      <c r="AT254" s="73" t="n"/>
      <c r="AU254" s="73" t="n"/>
      <c r="AV254" s="73" t="n"/>
      <c r="AW254" s="73" t="n"/>
      <c r="AX254" s="73" t="n"/>
      <c r="AY254" s="73" t="n"/>
      <c r="AZ254" s="73" t="n"/>
      <c r="BA254" s="73" t="n"/>
      <c r="BB254" s="73" t="n"/>
      <c r="BC254" s="73" t="n"/>
      <c r="BD254" s="73" t="n"/>
      <c r="BE254" s="73" t="n"/>
      <c r="BF254" s="73" t="n"/>
      <c r="BG254" s="73" t="n"/>
      <c r="BH254" s="73" t="n"/>
      <c r="BI254" s="73" t="n"/>
      <c r="BJ254" s="73" t="n"/>
      <c r="BK254" s="73" t="n"/>
      <c r="BL254" s="73" t="n"/>
      <c r="BM254" s="73" t="n"/>
      <c r="BN254" s="73" t="n"/>
      <c r="BO254" s="73" t="n"/>
      <c r="BP254" s="73" t="n"/>
      <c r="BQ254" s="195">
        <f>COUNTIF($G254:$BP254,"a")+COUNTIF($G254:$BP254,"r0,a5")/2+COUNTIF($G254:$BP254,"p5,a5")/2</f>
        <v/>
      </c>
      <c r="BR254" s="195">
        <f>COUNTIF($G254:$BP254,"d")+COUNTIF($G254:$BP254,"r0,d5")/2+COUNTIF($G254:$BP254,"p5,d5")/2</f>
        <v/>
      </c>
      <c r="BS254" s="195">
        <f>COUNTIF($G254:$BP254,"b")+COUNTIF($G254:$BP254,"r0,b5")/2+COUNTIF($G254:$BP254,"p5,b5")/2</f>
        <v/>
      </c>
      <c r="BT254" s="195">
        <f>COUNTIF($G254:$BP254,"c")+COUNTIF($G254:$BP254,"r0,c5")/2+COUNTIF($G254:$BP254,"p5,c5")/2</f>
        <v/>
      </c>
      <c r="BU254" s="195">
        <f>COUNTIF($G254:$BP254,"KH")+COUNTIF($G254:$BP254,"TL")+COUNTIF($G254:$BP254,"L")</f>
        <v/>
      </c>
      <c r="BV254" s="202" t="n"/>
      <c r="BW254" s="195">
        <f>COUNTIF($G254:$BP254,"hh")</f>
        <v/>
      </c>
      <c r="BX254" s="195">
        <f>COUNTIF($G254:$BP254,"nt7")</f>
        <v/>
      </c>
      <c r="BY254" s="195">
        <f>COUNTIF($G254:$BP254,"P")+COUNTIF($G254:$BP254,"p5,a5")/2+COUNTIF($G254:$BP254,"p5,b5")/2+COUNTIF($G254:$BP254,"p5,c5")/2+COUNTIF($G254:$BP254,"p5,d5")/2</f>
        <v/>
      </c>
      <c r="BZ254" s="203">
        <f>SUBTOTAL(9,BQ254:BY254)</f>
        <v/>
      </c>
      <c r="CA254" s="54">
        <f>SUM(J254,L254,N254,P254,R254,T254,X254,Z254,AB254,AD254,AF254,AH254,AL254,AN254,AP254,AR254,AT254,AV254,AZ254,BB254,BD254,BF254,BH254,BP254)</f>
        <v/>
      </c>
      <c r="CB254" s="55">
        <f>SUM(H254,V254,AJ254,AX254,BL254)</f>
        <v/>
      </c>
      <c r="CC254" s="56">
        <f>SUM(BJ254,BN254)</f>
        <v/>
      </c>
      <c r="CD254" s="197">
        <f>IF(BZ254&gt;25,4,IF(BZ254&gt;18,3,IF(BZ254&gt;12,2,IF(BZ254&gt;4,1,0))))-BX254-2+1</f>
        <v/>
      </c>
      <c r="CE254" s="49" t="n"/>
      <c r="CF254" s="204">
        <f>CD254*CI254</f>
        <v/>
      </c>
      <c r="CG254" s="198">
        <f>F254-BY254+1</f>
        <v/>
      </c>
      <c r="CH254" s="197">
        <f>CE254*16</f>
        <v/>
      </c>
      <c r="CI254" s="199">
        <f>VLOOKUP(A254,[1]DATA!$A$6:$AI$331,34,0)</f>
        <v/>
      </c>
      <c r="CJ254" s="200">
        <f>VLOOKUP(A254,[2]CHAMCONG!A$7:CI$333,79,0)</f>
        <v/>
      </c>
      <c r="CK254" s="201">
        <f>CJ254-CA254</f>
        <v/>
      </c>
      <c r="CL254" s="68" t="n"/>
      <c r="CM254" s="68" t="n"/>
    </row>
    <row r="255" ht="15.75" customFormat="1" customHeight="1" s="75">
      <c r="A255" s="69" t="n"/>
      <c r="B255" s="64" t="n"/>
      <c r="C255" s="115" t="n"/>
      <c r="D255" s="46" t="n"/>
      <c r="E255" s="47" t="n"/>
      <c r="F255" s="48" t="n"/>
      <c r="G255" s="49" t="n"/>
      <c r="H255" s="73" t="n"/>
      <c r="I255" s="49" t="n"/>
      <c r="J255" s="73" t="n"/>
      <c r="K255" s="49" t="n"/>
      <c r="L255" s="73" t="n"/>
      <c r="M255" s="49" t="n"/>
      <c r="N255" s="73" t="n"/>
      <c r="O255" s="49" t="n"/>
      <c r="P255" s="73" t="n"/>
      <c r="Q255" s="67" t="n"/>
      <c r="R255" s="67" t="n"/>
      <c r="S255" s="50" t="n"/>
      <c r="T255" s="73" t="n"/>
      <c r="U255" s="49" t="n"/>
      <c r="V255" s="73" t="n"/>
      <c r="W255" s="50" t="n"/>
      <c r="X255" s="73" t="n"/>
      <c r="Y255" s="50" t="n"/>
      <c r="Z255" s="73" t="n"/>
      <c r="AA255" s="73" t="n"/>
      <c r="AB255" s="73" t="n"/>
      <c r="AC255" s="73" t="n"/>
      <c r="AD255" s="73" t="n"/>
      <c r="AE255" s="73" t="n"/>
      <c r="AF255" s="73" t="n"/>
      <c r="AG255" s="73" t="n"/>
      <c r="AH255" s="73" t="n"/>
      <c r="AI255" s="73" t="n"/>
      <c r="AJ255" s="73" t="n"/>
      <c r="AK255" s="73" t="n"/>
      <c r="AL255" s="73" t="n"/>
      <c r="AM255" s="73" t="n"/>
      <c r="AN255" s="73" t="n"/>
      <c r="AO255" s="73" t="n"/>
      <c r="AP255" s="73" t="n"/>
      <c r="AQ255" s="73" t="n"/>
      <c r="AR255" s="73" t="n"/>
      <c r="AS255" s="73" t="n"/>
      <c r="AT255" s="73" t="n"/>
      <c r="AU255" s="73" t="n"/>
      <c r="AV255" s="73" t="n"/>
      <c r="AW255" s="73" t="n"/>
      <c r="AX255" s="73" t="n"/>
      <c r="AY255" s="73" t="n"/>
      <c r="AZ255" s="73" t="n"/>
      <c r="BA255" s="73" t="n"/>
      <c r="BB255" s="73" t="n"/>
      <c r="BC255" s="73" t="n"/>
      <c r="BD255" s="73" t="n"/>
      <c r="BE255" s="73" t="n"/>
      <c r="BF255" s="73" t="n"/>
      <c r="BG255" s="73" t="n"/>
      <c r="BH255" s="73" t="n"/>
      <c r="BI255" s="73" t="n"/>
      <c r="BJ255" s="73" t="n"/>
      <c r="BK255" s="73" t="n"/>
      <c r="BL255" s="73" t="n"/>
      <c r="BM255" s="73" t="n"/>
      <c r="BN255" s="73" t="n"/>
      <c r="BO255" s="73" t="n"/>
      <c r="BP255" s="73" t="n"/>
      <c r="BQ255" s="195">
        <f>COUNTIF($G255:$BP255,"a")+COUNTIF($G255:$BP255,"r0,a5")/2+COUNTIF($G255:$BP255,"p5,a5")/2</f>
        <v/>
      </c>
      <c r="BR255" s="195">
        <f>COUNTIF($G255:$BP255,"d")+COUNTIF($G255:$BP255,"r0,d5")/2+COUNTIF($G255:$BP255,"p5,d5")/2</f>
        <v/>
      </c>
      <c r="BS255" s="195">
        <f>COUNTIF($G255:$BP255,"b")+COUNTIF($G255:$BP255,"r0,b5")/2+COUNTIF($G255:$BP255,"p5,b5")/2</f>
        <v/>
      </c>
      <c r="BT255" s="195">
        <f>COUNTIF($G255:$BP255,"c")+COUNTIF($G255:$BP255,"r0,c5")/2+COUNTIF($G255:$BP255,"p5,c5")/2</f>
        <v/>
      </c>
      <c r="BU255" s="195">
        <f>COUNTIF($G255:$BP255,"KH")+COUNTIF($G255:$BP255,"TL")+COUNTIF($G255:$BP255,"L")</f>
        <v/>
      </c>
      <c r="BV255" s="202" t="n"/>
      <c r="BW255" s="195">
        <f>COUNTIF($G255:$BP255,"hh")</f>
        <v/>
      </c>
      <c r="BX255" s="195">
        <f>COUNTIF($G255:$BP255,"nt7")</f>
        <v/>
      </c>
      <c r="BY255" s="195">
        <f>COUNTIF($G255:$BP255,"P")+COUNTIF($G255:$BP255,"p5,a5")/2+COUNTIF($G255:$BP255,"p5,b5")/2+COUNTIF($G255:$BP255,"p5,c5")/2+COUNTIF($G255:$BP255,"p5,d5")/2</f>
        <v/>
      </c>
      <c r="BZ255" s="203">
        <f>SUBTOTAL(9,BQ255:BY255)</f>
        <v/>
      </c>
      <c r="CA255" s="54">
        <f>SUM(J255,L255,N255,P255,R255,T255,X255,Z255,AB255,AD255,AF255,AH255,AL255,AN255,AP255,AR255,AT255,AV255,AZ255,BB255,BD255,BF255,BH255,BP255)</f>
        <v/>
      </c>
      <c r="CB255" s="55">
        <f>SUM(H255,V255,AJ255,AX255,BL255)</f>
        <v/>
      </c>
      <c r="CC255" s="56">
        <f>SUM(BJ255,BN255)</f>
        <v/>
      </c>
      <c r="CD255" s="197">
        <f>IF(BZ255&gt;25,4,IF(BZ255&gt;18,3,IF(BZ255&gt;12,2,IF(BZ255&gt;4,1,0))))-BX255-2+1</f>
        <v/>
      </c>
      <c r="CE255" s="49" t="n"/>
      <c r="CF255" s="197">
        <f>CD255*CI255</f>
        <v/>
      </c>
      <c r="CG255" s="198">
        <f>F255-BY255+1</f>
        <v/>
      </c>
      <c r="CH255" s="197">
        <f>CE255*16</f>
        <v/>
      </c>
      <c r="CI255" s="199">
        <f>VLOOKUP(A255,[1]DATA!$A$6:$AI$331,34,0)</f>
        <v/>
      </c>
      <c r="CJ255" s="200">
        <f>VLOOKUP(A255,[2]CHAMCONG!A$7:CI$333,79,0)</f>
        <v/>
      </c>
      <c r="CK255" s="201">
        <f>CJ255-CA255</f>
        <v/>
      </c>
      <c r="CL255" s="68" t="n"/>
      <c r="CM255" s="68" t="n"/>
    </row>
    <row r="256" ht="18" customFormat="1" customHeight="1" s="75">
      <c r="A256" s="69" t="n"/>
      <c r="B256" s="64" t="n"/>
      <c r="C256" s="115" t="n"/>
      <c r="D256" s="46" t="n"/>
      <c r="E256" s="47" t="n"/>
      <c r="F256" s="48" t="n"/>
      <c r="G256" s="49" t="n"/>
      <c r="H256" s="73" t="n"/>
      <c r="I256" s="73" t="n"/>
      <c r="J256" s="73" t="n"/>
      <c r="K256" s="73" t="n"/>
      <c r="L256" s="73" t="n"/>
      <c r="M256" s="73" t="n"/>
      <c r="N256" s="73" t="n"/>
      <c r="O256" s="50" t="n"/>
      <c r="P256" s="73" t="n"/>
      <c r="Q256" s="50" t="n"/>
      <c r="R256" s="67" t="n"/>
      <c r="S256" s="50" t="n"/>
      <c r="T256" s="73" t="n"/>
      <c r="U256" s="73" t="n"/>
      <c r="V256" s="73" t="n"/>
      <c r="W256" s="50" t="n"/>
      <c r="X256" s="73" t="n"/>
      <c r="Y256" s="50" t="n"/>
      <c r="Z256" s="73" t="n"/>
      <c r="AA256" s="73" t="n"/>
      <c r="AB256" s="73" t="n"/>
      <c r="AC256" s="73" t="n"/>
      <c r="AD256" s="73" t="n"/>
      <c r="AE256" s="73" t="n"/>
      <c r="AF256" s="73" t="n"/>
      <c r="AG256" s="73" t="n"/>
      <c r="AH256" s="73" t="n"/>
      <c r="AI256" s="73" t="n"/>
      <c r="AJ256" s="73" t="n"/>
      <c r="AK256" s="73" t="n"/>
      <c r="AL256" s="73" t="n"/>
      <c r="AM256" s="73" t="n"/>
      <c r="AN256" s="73" t="n"/>
      <c r="AO256" s="73" t="n"/>
      <c r="AP256" s="73" t="n"/>
      <c r="AQ256" s="50" t="n"/>
      <c r="AR256" s="73" t="n"/>
      <c r="AS256" s="50" t="n"/>
      <c r="AT256" s="67" t="n"/>
      <c r="AU256" s="50" t="n"/>
      <c r="AV256" s="73" t="n"/>
      <c r="AW256" s="73" t="n"/>
      <c r="AX256" s="73" t="n"/>
      <c r="AY256" s="50" t="n"/>
      <c r="AZ256" s="73" t="n"/>
      <c r="BA256" s="50" t="n"/>
      <c r="BB256" s="73" t="n"/>
      <c r="BC256" s="73" t="n"/>
      <c r="BD256" s="73" t="n"/>
      <c r="BE256" s="49" t="n"/>
      <c r="BF256" s="73" t="n"/>
      <c r="BG256" s="49" t="n"/>
      <c r="BH256" s="73" t="n"/>
      <c r="BI256" s="49" t="n"/>
      <c r="BJ256" s="73" t="n"/>
      <c r="BK256" s="49" t="n"/>
      <c r="BL256" s="73" t="n"/>
      <c r="BM256" s="49" t="n"/>
      <c r="BN256" s="73" t="n"/>
      <c r="BO256" s="49" t="n"/>
      <c r="BP256" s="73" t="n"/>
      <c r="BQ256" s="195">
        <f>COUNTIF($G256:$BP256,"a")+COUNTIF($G256:$BP256,"r0,a5")/2+COUNTIF($G256:$BP256,"p5,a5")/2</f>
        <v/>
      </c>
      <c r="BR256" s="195">
        <f>COUNTIF($G256:$BP256,"d")+COUNTIF($G256:$BP256,"r0,d5")/2+COUNTIF($G256:$BP256,"p5,d5")/2</f>
        <v/>
      </c>
      <c r="BS256" s="195">
        <f>COUNTIF($G256:$BP256,"b")+COUNTIF($G256:$BP256,"r0,b5")/2+COUNTIF($G256:$BP256,"p5,b5")/2</f>
        <v/>
      </c>
      <c r="BT256" s="195">
        <f>COUNTIF($G256:$BP256,"c")+COUNTIF($G256:$BP256,"r0,c5")/2+COUNTIF($G256:$BP256,"p5,c5")/2</f>
        <v/>
      </c>
      <c r="BU256" s="195">
        <f>COUNTIF($G256:$BP256,"KH")+COUNTIF($G256:$BP256,"TL")+COUNTIF($G256:$BP256,"L")</f>
        <v/>
      </c>
      <c r="BV256" s="202" t="n"/>
      <c r="BW256" s="195">
        <f>COUNTIF($G256:$BP256,"hh")</f>
        <v/>
      </c>
      <c r="BX256" s="195">
        <f>COUNTIF($G256:$BP256,"nt7")</f>
        <v/>
      </c>
      <c r="BY256" s="195">
        <f>COUNTIF($G256:$BP256,"P")+COUNTIF($G256:$BP256,"p5,a5")/2+COUNTIF($G256:$BP256,"p5,b5")/2+COUNTIF($G256:$BP256,"p5,c5")/2+COUNTIF($G256:$BP256,"p5,d5")/2</f>
        <v/>
      </c>
      <c r="BZ256" s="203">
        <f>SUBTOTAL(9,BQ256:BY256)</f>
        <v/>
      </c>
      <c r="CA256" s="54">
        <f>SUM(J256,L256,N256,P256,R256,T256,X256,Z256,AB256,AD256,AF256,AH256,AL256,AN256,AP256,AR256,AT256,AV256,AZ256,BB256,BD256,BF256,BH256,BP256)</f>
        <v/>
      </c>
      <c r="CB256" s="55">
        <f>SUM(H256,V256,AJ256,AX256,BL256)</f>
        <v/>
      </c>
      <c r="CC256" s="56">
        <f>SUM(BJ256,BN256)</f>
        <v/>
      </c>
      <c r="CD256" s="197" t="n"/>
      <c r="CE256" s="49" t="n"/>
      <c r="CF256" s="204">
        <f>CD256*CI256</f>
        <v/>
      </c>
      <c r="CG256" s="198">
        <f>F256-BY256+1</f>
        <v/>
      </c>
      <c r="CH256" s="197">
        <f>CE256*16</f>
        <v/>
      </c>
      <c r="CI256" s="199">
        <f>VLOOKUP(A256,[1]DATA!$A$6:$AI$331,34,0)</f>
        <v/>
      </c>
      <c r="CJ256" s="200">
        <f>VLOOKUP(A256,[2]CHAMCONG!A$7:CI$333,79,0)</f>
        <v/>
      </c>
      <c r="CK256" s="201">
        <f>CJ256-CA256</f>
        <v/>
      </c>
      <c r="CL256" s="68" t="n"/>
      <c r="CM256" s="68" t="n"/>
    </row>
    <row r="257" ht="18" customFormat="1" customHeight="1" s="75">
      <c r="A257" s="69" t="n"/>
      <c r="B257" s="64" t="n"/>
      <c r="C257" s="115" t="n"/>
      <c r="D257" s="46" t="n"/>
      <c r="E257" s="47" t="n"/>
      <c r="F257" s="48" t="n"/>
      <c r="G257" s="49" t="n"/>
      <c r="H257" s="73" t="n"/>
      <c r="I257" s="50" t="n"/>
      <c r="J257" s="73" t="n"/>
      <c r="K257" s="73" t="n"/>
      <c r="L257" s="73" t="n"/>
      <c r="M257" s="73" t="n"/>
      <c r="N257" s="73" t="n"/>
      <c r="O257" s="50" t="n"/>
      <c r="P257" s="73" t="n"/>
      <c r="Q257" s="49" t="n"/>
      <c r="R257" s="73" t="n"/>
      <c r="S257" s="49" t="n"/>
      <c r="T257" s="73" t="n"/>
      <c r="U257" s="49" t="n"/>
      <c r="V257" s="73" t="n"/>
      <c r="W257" s="49" t="n"/>
      <c r="X257" s="73" t="n"/>
      <c r="Y257" s="49" t="n"/>
      <c r="Z257" s="73" t="n"/>
      <c r="AA257" s="73" t="n"/>
      <c r="AB257" s="73" t="n"/>
      <c r="AC257" s="73" t="n"/>
      <c r="AD257" s="73" t="n"/>
      <c r="AE257" s="73" t="n"/>
      <c r="AF257" s="73" t="n"/>
      <c r="AG257" s="73" t="n"/>
      <c r="AH257" s="73" t="n"/>
      <c r="AI257" s="73" t="n"/>
      <c r="AJ257" s="73" t="n"/>
      <c r="AK257" s="73" t="n"/>
      <c r="AL257" s="73" t="n"/>
      <c r="AM257" s="73" t="n"/>
      <c r="AN257" s="73" t="n"/>
      <c r="AO257" s="73" t="n"/>
      <c r="AP257" s="73" t="n"/>
      <c r="AQ257" s="73" t="n"/>
      <c r="AR257" s="73" t="n"/>
      <c r="AS257" s="73" t="n"/>
      <c r="AT257" s="73" t="n"/>
      <c r="AU257" s="73" t="n"/>
      <c r="AV257" s="73" t="n"/>
      <c r="AW257" s="73" t="n"/>
      <c r="AX257" s="73" t="n"/>
      <c r="AY257" s="73" t="n"/>
      <c r="AZ257" s="73" t="n"/>
      <c r="BA257" s="73" t="n"/>
      <c r="BB257" s="73" t="n"/>
      <c r="BC257" s="73" t="n"/>
      <c r="BD257" s="73" t="n"/>
      <c r="BE257" s="73" t="n"/>
      <c r="BF257" s="73" t="n"/>
      <c r="BG257" s="73" t="n"/>
      <c r="BH257" s="73" t="n"/>
      <c r="BI257" s="73" t="n"/>
      <c r="BJ257" s="73" t="n"/>
      <c r="BK257" s="73" t="n"/>
      <c r="BL257" s="73" t="n"/>
      <c r="BM257" s="73" t="n"/>
      <c r="BN257" s="73" t="n"/>
      <c r="BO257" s="73" t="n"/>
      <c r="BP257" s="73" t="n"/>
      <c r="BQ257" s="195">
        <f>COUNTIF($G257:$BP257,"a")+COUNTIF($G257:$BP257,"r0,a5")/2+COUNTIF($G257:$BP257,"p5,a5")/2</f>
        <v/>
      </c>
      <c r="BR257" s="195">
        <f>COUNTIF($G257:$BP257,"d")+COUNTIF($G257:$BP257,"r0,d5")/2+COUNTIF($G257:$BP257,"p5,d5")/2</f>
        <v/>
      </c>
      <c r="BS257" s="195">
        <f>COUNTIF($G257:$BP257,"b")+COUNTIF($G257:$BP257,"r0,b5")/2+COUNTIF($G257:$BP257,"p5,b5")/2</f>
        <v/>
      </c>
      <c r="BT257" s="195">
        <f>COUNTIF($G257:$BP257,"c")+COUNTIF($G257:$BP257,"r0,c5")/2+COUNTIF($G257:$BP257,"p5,c5")/2</f>
        <v/>
      </c>
      <c r="BU257" s="195">
        <f>COUNTIF($G257:$BP257,"KH")+COUNTIF($G257:$BP257,"TL")+COUNTIF($G257:$BP257,"L")</f>
        <v/>
      </c>
      <c r="BV257" s="202" t="n"/>
      <c r="BW257" s="195">
        <f>COUNTIF($G257:$BP257,"hh")</f>
        <v/>
      </c>
      <c r="BX257" s="195">
        <f>COUNTIF($G257:$BP257,"nt7")</f>
        <v/>
      </c>
      <c r="BY257" s="195">
        <f>COUNTIF($G257:$BP257,"P")+COUNTIF($G257:$BP257,"p5,a5")/2+COUNTIF($G257:$BP257,"p5,b5")/2+COUNTIF($G257:$BP257,"p5,c5")/2+COUNTIF($G257:$BP257,"p5,d5")/2</f>
        <v/>
      </c>
      <c r="BZ257" s="203">
        <f>SUBTOTAL(9,BQ257:BY257)</f>
        <v/>
      </c>
      <c r="CA257" s="54">
        <f>SUM(J257,L257,N257,P257,R257,T257,X257,Z257,AB257,AD257,AF257,AH257,AL257,AN257,AP257,AR257,AT257,AV257,AZ257,BB257,BD257,BF257,BH257,BP257)</f>
        <v/>
      </c>
      <c r="CB257" s="55">
        <f>SUM(H257,V257,AJ257,AX257,BL257)</f>
        <v/>
      </c>
      <c r="CC257" s="56">
        <f>SUM(BJ257,BN257)</f>
        <v/>
      </c>
      <c r="CD257" s="197">
        <f>IF(BZ257&gt;25,4,IF(BZ257&gt;18,3,IF(BZ257&gt;12,2,IF(BZ257&gt;4,1,0))))-BX257-2+1</f>
        <v/>
      </c>
      <c r="CE257" s="49" t="n"/>
      <c r="CF257" s="204">
        <f>CD257*CI257</f>
        <v/>
      </c>
      <c r="CG257" s="198">
        <f>F257-BY257+1</f>
        <v/>
      </c>
      <c r="CH257" s="197">
        <f>CE257*16</f>
        <v/>
      </c>
      <c r="CI257" s="199">
        <f>VLOOKUP(A257,[1]DATA!$A$6:$AI$331,34,0)</f>
        <v/>
      </c>
      <c r="CJ257" s="200">
        <f>VLOOKUP(A257,[2]CHAMCONG!A$7:CI$333,79,0)</f>
        <v/>
      </c>
      <c r="CK257" s="201">
        <f>CJ257-CA257</f>
        <v/>
      </c>
      <c r="CL257" s="68" t="n"/>
      <c r="CM257" s="68" t="n"/>
    </row>
    <row r="258" ht="18" customFormat="1" customHeight="1" s="75">
      <c r="A258" s="69" t="n"/>
      <c r="B258" s="64" t="n"/>
      <c r="C258" s="115" t="n"/>
      <c r="D258" s="46" t="n"/>
      <c r="E258" s="47" t="n"/>
      <c r="F258" s="48" t="n"/>
      <c r="G258" s="49" t="n"/>
      <c r="H258" s="73" t="n"/>
      <c r="I258" s="50" t="n"/>
      <c r="J258" s="73" t="n"/>
      <c r="K258" s="50" t="n"/>
      <c r="L258" s="73" t="n"/>
      <c r="M258" s="50" t="n"/>
      <c r="N258" s="73" t="n"/>
      <c r="O258" s="50" t="n"/>
      <c r="P258" s="73" t="n"/>
      <c r="Q258" s="49" t="n"/>
      <c r="R258" s="73" t="n"/>
      <c r="S258" s="50" t="n"/>
      <c r="T258" s="73" t="n"/>
      <c r="U258" s="50" t="n"/>
      <c r="V258" s="73" t="n"/>
      <c r="W258" s="50" t="n"/>
      <c r="X258" s="73" t="n"/>
      <c r="Y258" s="50" t="n"/>
      <c r="Z258" s="73" t="n"/>
      <c r="AA258" s="50" t="n"/>
      <c r="AB258" s="73" t="n"/>
      <c r="AC258" s="50" t="n"/>
      <c r="AD258" s="73" t="n"/>
      <c r="AE258" s="49" t="n"/>
      <c r="AF258" s="73" t="n"/>
      <c r="AG258" s="50" t="n"/>
      <c r="AH258" s="73" t="n"/>
      <c r="AI258" s="50" t="n"/>
      <c r="AJ258" s="73" t="n"/>
      <c r="AK258" s="50" t="n"/>
      <c r="AL258" s="73" t="n"/>
      <c r="AM258" s="50" t="n"/>
      <c r="AN258" s="73" t="n"/>
      <c r="AO258" s="50" t="n"/>
      <c r="AP258" s="73" t="n"/>
      <c r="AQ258" s="49" t="n"/>
      <c r="AR258" s="73" t="n"/>
      <c r="AS258" s="49" t="n"/>
      <c r="AT258" s="73" t="n"/>
      <c r="AU258" s="49" t="n"/>
      <c r="AV258" s="73" t="n"/>
      <c r="AW258" s="73" t="n"/>
      <c r="AX258" s="73" t="n"/>
      <c r="AY258" s="49" t="n"/>
      <c r="AZ258" s="73" t="n"/>
      <c r="BA258" s="49" t="n"/>
      <c r="BB258" s="73" t="n"/>
      <c r="BC258" s="73" t="n"/>
      <c r="BD258" s="73" t="n"/>
      <c r="BE258" s="49" t="n"/>
      <c r="BF258" s="73" t="n"/>
      <c r="BG258" s="49" t="n"/>
      <c r="BH258" s="73" t="n"/>
      <c r="BI258" s="73" t="n"/>
      <c r="BJ258" s="73" t="n"/>
      <c r="BK258" s="73" t="n"/>
      <c r="BL258" s="73" t="n"/>
      <c r="BM258" s="73" t="n"/>
      <c r="BN258" s="73" t="n"/>
      <c r="BO258" s="73" t="n"/>
      <c r="BP258" s="73" t="n"/>
      <c r="BQ258" s="195">
        <f>COUNTIF($G258:$BP258,"a")+COUNTIF($G258:$BP258,"r0,a5")/2+COUNTIF($G258:$BP258,"p5,a5")/2</f>
        <v/>
      </c>
      <c r="BR258" s="195">
        <f>COUNTIF($G258:$BP258,"d")+COUNTIF($G258:$BP258,"r0,d5")/2+COUNTIF($G258:$BP258,"p5,d5")/2</f>
        <v/>
      </c>
      <c r="BS258" s="195">
        <f>COUNTIF($G258:$BP258,"b")+COUNTIF($G258:$BP258,"r0,b5")/2+COUNTIF($G258:$BP258,"p5,b5")/2</f>
        <v/>
      </c>
      <c r="BT258" s="195">
        <f>COUNTIF($G258:$BP258,"c")+COUNTIF($G258:$BP258,"r0,c5")/2+COUNTIF($G258:$BP258,"p5,c5")/2</f>
        <v/>
      </c>
      <c r="BU258" s="195">
        <f>COUNTIF($G258:$BP258,"KH")+COUNTIF($G258:$BP258,"TL")+COUNTIF($G258:$BP258,"L")</f>
        <v/>
      </c>
      <c r="BV258" s="202" t="n"/>
      <c r="BW258" s="195">
        <f>COUNTIF($G258:$BP258,"hh")</f>
        <v/>
      </c>
      <c r="BX258" s="195">
        <f>COUNTIF($G258:$BP258,"nt7")</f>
        <v/>
      </c>
      <c r="BY258" s="195">
        <f>COUNTIF($G258:$BP258,"P")+COUNTIF($G258:$BP258,"p5,a5")/2+COUNTIF($G258:$BP258,"p5,b5")/2+COUNTIF($G258:$BP258,"p5,c5")/2+COUNTIF($G258:$BP258,"p5,d5")/2</f>
        <v/>
      </c>
      <c r="BZ258" s="203">
        <f>SUBTOTAL(9,BQ258:BY258)</f>
        <v/>
      </c>
      <c r="CA258" s="54">
        <f>SUM(J258,L258,N258,P258,R258,T258,X258,Z258,AB258,AD258,AF258,AH258,AL258,AN258,AP258,AR258,AT258,AV258,AZ258,BB258,BD258,BF258,BH258,BP258)</f>
        <v/>
      </c>
      <c r="CB258" s="55">
        <f>SUM(H258,V258,AJ258,AX258,BL258)</f>
        <v/>
      </c>
      <c r="CC258" s="56">
        <f>SUM(BJ258,BN258)</f>
        <v/>
      </c>
      <c r="CD258" s="197">
        <f>IF(BZ258&gt;25,4,IF(BZ258&gt;18,3,IF(BZ258&gt;12,2,IF(BZ258&gt;4,1,0))))-BX258-2+1</f>
        <v/>
      </c>
      <c r="CE258" s="49" t="n">
        <v>2</v>
      </c>
      <c r="CF258" s="204">
        <f>CD258*CI258</f>
        <v/>
      </c>
      <c r="CG258" s="198">
        <f>F258-BY258+1</f>
        <v/>
      </c>
      <c r="CH258" s="197">
        <f>CE258*16</f>
        <v/>
      </c>
      <c r="CI258" s="199">
        <f>VLOOKUP(A258,[1]DATA!$A$6:$AI$331,34,0)</f>
        <v/>
      </c>
      <c r="CJ258" s="200">
        <f>VLOOKUP(A258,[2]CHAMCONG!A$7:CI$333,79,0)</f>
        <v/>
      </c>
      <c r="CK258" s="201">
        <f>CJ258-CA258</f>
        <v/>
      </c>
      <c r="CL258" s="68" t="n"/>
      <c r="CM258" s="68" t="n"/>
    </row>
    <row r="259" ht="14.25" customFormat="1" customHeight="1" s="75">
      <c r="A259" s="69" t="n"/>
      <c r="B259" s="64" t="n"/>
      <c r="C259" s="115" t="n"/>
      <c r="D259" s="46" t="n"/>
      <c r="E259" s="47" t="n"/>
      <c r="F259" s="48" t="n"/>
      <c r="G259" s="49" t="n"/>
      <c r="H259" s="73" t="n"/>
      <c r="I259" s="50" t="n"/>
      <c r="J259" s="73" t="n"/>
      <c r="K259" s="50" t="n"/>
      <c r="L259" s="73" t="n"/>
      <c r="M259" s="50" t="n"/>
      <c r="N259" s="73" t="n"/>
      <c r="O259" s="50" t="n"/>
      <c r="P259" s="73" t="n"/>
      <c r="Q259" s="49" t="n"/>
      <c r="R259" s="73" t="n"/>
      <c r="S259" s="50" t="n"/>
      <c r="T259" s="73" t="n"/>
      <c r="U259" s="50" t="n"/>
      <c r="V259" s="73" t="n"/>
      <c r="W259" s="50" t="n"/>
      <c r="X259" s="73" t="n"/>
      <c r="Y259" s="49" t="n"/>
      <c r="Z259" s="73" t="n"/>
      <c r="AA259" s="50" t="n"/>
      <c r="AB259" s="73" t="n"/>
      <c r="AC259" s="50" t="n"/>
      <c r="AD259" s="73" t="n"/>
      <c r="AE259" s="49" t="n"/>
      <c r="AF259" s="73" t="n"/>
      <c r="AG259" s="50" t="n"/>
      <c r="AH259" s="73" t="n"/>
      <c r="AI259" s="50" t="n"/>
      <c r="AJ259" s="73" t="n"/>
      <c r="AK259" s="50" t="n"/>
      <c r="AL259" s="73" t="n"/>
      <c r="AM259" s="50" t="n"/>
      <c r="AN259" s="73" t="n"/>
      <c r="AO259" s="50" t="n"/>
      <c r="AP259" s="73" t="n"/>
      <c r="AQ259" s="49" t="n"/>
      <c r="AR259" s="73" t="n"/>
      <c r="AS259" s="49" t="n"/>
      <c r="AT259" s="73" t="n"/>
      <c r="AU259" s="49" t="n"/>
      <c r="AV259" s="73" t="n"/>
      <c r="AW259" s="73" t="n"/>
      <c r="AX259" s="73" t="n"/>
      <c r="AY259" s="49" t="n"/>
      <c r="AZ259" s="73" t="n"/>
      <c r="BA259" s="49" t="n"/>
      <c r="BB259" s="73" t="n"/>
      <c r="BC259" s="73" t="n"/>
      <c r="BD259" s="73" t="n"/>
      <c r="BE259" s="49" t="n"/>
      <c r="BF259" s="73" t="n"/>
      <c r="BG259" s="49" t="n"/>
      <c r="BH259" s="73" t="n"/>
      <c r="BI259" s="73" t="n"/>
      <c r="BJ259" s="73" t="n"/>
      <c r="BK259" s="73" t="n"/>
      <c r="BL259" s="73" t="n"/>
      <c r="BM259" s="73" t="n"/>
      <c r="BN259" s="73" t="n"/>
      <c r="BO259" s="73" t="n"/>
      <c r="BP259" s="73" t="n"/>
      <c r="BQ259" s="195">
        <f>COUNTIF($G259:$BP259,"a")+COUNTIF($G259:$BP259,"r0,a5")/2+COUNTIF($G259:$BP259,"p5,a5")/2</f>
        <v/>
      </c>
      <c r="BR259" s="195">
        <f>COUNTIF($G259:$BP259,"d")+COUNTIF($G259:$BP259,"r0,d5")/2+COUNTIF($G259:$BP259,"p5,d5")/2</f>
        <v/>
      </c>
      <c r="BS259" s="195">
        <f>COUNTIF($G259:$BP259,"b")+COUNTIF($G259:$BP259,"r0,b5")/2+COUNTIF($G259:$BP259,"p5,b5")/2</f>
        <v/>
      </c>
      <c r="BT259" s="195">
        <f>COUNTIF($G259:$BP259,"c")+COUNTIF($G259:$BP259,"r0,c5")/2+COUNTIF($G259:$BP259,"p5,c5")/2</f>
        <v/>
      </c>
      <c r="BU259" s="195">
        <f>COUNTIF($G259:$BP259,"KH")+COUNTIF($G259:$BP259,"TL")+COUNTIF($G259:$BP259,"L")</f>
        <v/>
      </c>
      <c r="BV259" s="202" t="n"/>
      <c r="BW259" s="195">
        <f>COUNTIF($G259:$BP259,"hh")</f>
        <v/>
      </c>
      <c r="BX259" s="195">
        <f>COUNTIF($G259:$BP259,"nt7")</f>
        <v/>
      </c>
      <c r="BY259" s="195">
        <f>COUNTIF($G259:$BP259,"P")+COUNTIF($G259:$BP259,"p5,a5")/2+COUNTIF($G259:$BP259,"p5,b5")/2+COUNTIF($G259:$BP259,"p5,c5")/2+COUNTIF($G259:$BP259,"p5,d5")/2</f>
        <v/>
      </c>
      <c r="BZ259" s="203">
        <f>SUBTOTAL(9,BQ259:BY259)</f>
        <v/>
      </c>
      <c r="CA259" s="54">
        <f>SUM(J259,L259,N259,P259,R259,T259,X259,Z259,AB259,AD259,AF259,AH259,AL259,AN259,AP259,AR259,AT259,AV259,AZ259,BB259,BD259,BF259,BH259,BP259)</f>
        <v/>
      </c>
      <c r="CB259" s="55">
        <f>SUM(H259,V259,AJ259,AX259,BL259)</f>
        <v/>
      </c>
      <c r="CC259" s="56">
        <f>SUM(BJ259,BN259)</f>
        <v/>
      </c>
      <c r="CD259" s="197">
        <f>IF(BZ259&gt;25,4,IF(BZ259&gt;18,3,IF(BZ259&gt;12,2,IF(BZ259&gt;4,1,0))))-BX259-2+1</f>
        <v/>
      </c>
      <c r="CE259" s="49" t="n">
        <v>1</v>
      </c>
      <c r="CF259" s="204">
        <f>CD259*CI259</f>
        <v/>
      </c>
      <c r="CG259" s="198">
        <f>F259-BY259+1</f>
        <v/>
      </c>
      <c r="CH259" s="197">
        <f>CE259*16</f>
        <v/>
      </c>
      <c r="CI259" s="199">
        <f>VLOOKUP(A259,[1]DATA!$A$6:$AI$331,34,0)</f>
        <v/>
      </c>
      <c r="CJ259" s="200">
        <f>VLOOKUP(A259,[2]CHAMCONG!A$7:CI$333,79,0)</f>
        <v/>
      </c>
      <c r="CK259" s="201">
        <f>CJ259-CA259</f>
        <v/>
      </c>
      <c r="CL259" s="68" t="n"/>
      <c r="CM259" s="68" t="n"/>
    </row>
    <row r="260" ht="18.75" customFormat="1" customHeight="1" s="75">
      <c r="A260" s="69" t="n"/>
      <c r="B260" s="64" t="n"/>
      <c r="C260" s="115" t="n"/>
      <c r="D260" s="46" t="n"/>
      <c r="E260" s="47" t="n"/>
      <c r="F260" s="48" t="n"/>
      <c r="G260" s="49" t="n"/>
      <c r="H260" s="73" t="n"/>
      <c r="I260" s="50" t="n"/>
      <c r="J260" s="73" t="n"/>
      <c r="K260" s="50" t="n"/>
      <c r="L260" s="73" t="n"/>
      <c r="M260" s="50" t="n"/>
      <c r="N260" s="73" t="n"/>
      <c r="O260" s="50" t="n"/>
      <c r="P260" s="73" t="n"/>
      <c r="Q260" s="73" t="n"/>
      <c r="R260" s="73" t="n"/>
      <c r="S260" s="73" t="n"/>
      <c r="T260" s="73" t="n"/>
      <c r="U260" s="73" t="n"/>
      <c r="V260" s="73" t="n"/>
      <c r="W260" s="73" t="n"/>
      <c r="X260" s="73" t="n"/>
      <c r="Y260" s="73" t="n"/>
      <c r="Z260" s="73" t="n"/>
      <c r="AA260" s="73" t="n"/>
      <c r="AB260" s="73" t="n"/>
      <c r="AC260" s="73" t="n"/>
      <c r="AD260" s="73" t="n"/>
      <c r="AE260" s="73" t="n"/>
      <c r="AF260" s="73" t="n"/>
      <c r="AG260" s="73" t="n"/>
      <c r="AH260" s="73" t="n"/>
      <c r="AI260" s="73" t="n"/>
      <c r="AJ260" s="73" t="n"/>
      <c r="AK260" s="73" t="n"/>
      <c r="AL260" s="73" t="n"/>
      <c r="AM260" s="73" t="n"/>
      <c r="AN260" s="73" t="n"/>
      <c r="AO260" s="73" t="n"/>
      <c r="AP260" s="73" t="n"/>
      <c r="AQ260" s="73" t="n"/>
      <c r="AR260" s="73" t="n"/>
      <c r="AS260" s="73" t="n"/>
      <c r="AT260" s="73" t="n"/>
      <c r="AU260" s="73" t="n"/>
      <c r="AV260" s="73" t="n"/>
      <c r="AW260" s="73" t="n"/>
      <c r="AX260" s="73" t="n"/>
      <c r="AY260" s="73" t="n"/>
      <c r="AZ260" s="73" t="n"/>
      <c r="BA260" s="73" t="n"/>
      <c r="BB260" s="73" t="n"/>
      <c r="BC260" s="73" t="n"/>
      <c r="BD260" s="73" t="n"/>
      <c r="BE260" s="73" t="n"/>
      <c r="BF260" s="73" t="n"/>
      <c r="BG260" s="73" t="n"/>
      <c r="BH260" s="73" t="n"/>
      <c r="BI260" s="73" t="n"/>
      <c r="BJ260" s="73" t="n"/>
      <c r="BK260" s="73" t="n"/>
      <c r="BL260" s="73" t="n"/>
      <c r="BM260" s="73" t="n"/>
      <c r="BN260" s="73" t="n"/>
      <c r="BO260" s="73" t="n"/>
      <c r="BP260" s="73" t="n"/>
      <c r="BQ260" s="195">
        <f>COUNTIF($G260:$BP260,"a")+COUNTIF($G260:$BP260,"r0,a5")/2+COUNTIF($G260:$BP260,"p5,a5")/2</f>
        <v/>
      </c>
      <c r="BR260" s="195">
        <f>COUNTIF($G260:$BP260,"d")+COUNTIF($G260:$BP260,"r0,d5")/2+COUNTIF($G260:$BP260,"p5,d5")/2</f>
        <v/>
      </c>
      <c r="BS260" s="195">
        <f>COUNTIF($G260:$BP260,"b")+COUNTIF($G260:$BP260,"r0,b5")/2+COUNTIF($G260:$BP260,"p5,b5")/2</f>
        <v/>
      </c>
      <c r="BT260" s="195">
        <f>COUNTIF($G260:$BP260,"c")+COUNTIF($G260:$BP260,"r0,c5")/2+COUNTIF($G260:$BP260,"p5,c5")/2</f>
        <v/>
      </c>
      <c r="BU260" s="195">
        <f>COUNTIF($G260:$BP260,"KH")+COUNTIF($G260:$BP260,"TL")+COUNTIF($G260:$BP260,"L")</f>
        <v/>
      </c>
      <c r="BV260" s="202" t="n"/>
      <c r="BW260" s="195">
        <f>COUNTIF($G260:$BP260,"hh")</f>
        <v/>
      </c>
      <c r="BX260" s="195">
        <f>COUNTIF($G260:$BP260,"nt7")</f>
        <v/>
      </c>
      <c r="BY260" s="195">
        <f>COUNTIF($G260:$BP260,"P")+COUNTIF($G260:$BP260,"p5,a5")/2+COUNTIF($G260:$BP260,"p5,b5")/2+COUNTIF($G260:$BP260,"p5,c5")/2+COUNTIF($G260:$BP260,"p5,d5")/2</f>
        <v/>
      </c>
      <c r="BZ260" s="203">
        <f>SUBTOTAL(9,BQ260:BY260)</f>
        <v/>
      </c>
      <c r="CA260" s="54">
        <f>SUM(J260,L260,N260,P260,R260,T260,X260,Z260,AB260,AD260,AF260,AH260,AL260,AN260,AP260,AR260,AT260,AV260,AZ260,BB260,BD260,BF260,BH260,BP260)</f>
        <v/>
      </c>
      <c r="CB260" s="55">
        <f>SUM(H260,V260,AJ260,AX260,BL260)</f>
        <v/>
      </c>
      <c r="CC260" s="56">
        <f>SUM(BJ260,BN260)</f>
        <v/>
      </c>
      <c r="CD260" s="197">
        <f>IF(BZ260&gt;25,4,IF(BZ260&gt;18,3,IF(BZ260&gt;12,2,IF(BZ260&gt;4,1,0))))-BX260-2+1</f>
        <v/>
      </c>
      <c r="CE260" s="49" t="n">
        <v>1</v>
      </c>
      <c r="CF260" s="204">
        <f>CD260*CI260</f>
        <v/>
      </c>
      <c r="CG260" s="198">
        <f>F260-BY260+1</f>
        <v/>
      </c>
      <c r="CH260" s="197">
        <f>CE260*16</f>
        <v/>
      </c>
      <c r="CI260" s="199">
        <f>VLOOKUP(A260,[1]DATA!$A$6:$AI$331,34,0)</f>
        <v/>
      </c>
      <c r="CJ260" s="200">
        <f>VLOOKUP(A260,[2]CHAMCONG!A$7:CI$333,79,0)</f>
        <v/>
      </c>
      <c r="CK260" s="201">
        <f>CJ260-CA260</f>
        <v/>
      </c>
      <c r="CL260" s="68" t="n"/>
      <c r="CM260" s="68" t="n"/>
    </row>
    <row r="261" ht="15.75" customFormat="1" customHeight="1" s="75">
      <c r="A261" s="69" t="n"/>
      <c r="B261" s="64" t="n"/>
      <c r="C261" s="115" t="n"/>
      <c r="D261" s="46" t="n"/>
      <c r="E261" s="47" t="n"/>
      <c r="F261" s="48" t="n"/>
      <c r="G261" s="49" t="n"/>
      <c r="H261" s="73" t="n"/>
      <c r="I261" s="49" t="n"/>
      <c r="J261" s="73" t="n"/>
      <c r="K261" s="49" t="n"/>
      <c r="L261" s="73" t="n"/>
      <c r="M261" s="49" t="n"/>
      <c r="N261" s="73" t="n"/>
      <c r="O261" s="49" t="n"/>
      <c r="P261" s="73" t="n"/>
      <c r="Q261" s="50" t="n"/>
      <c r="R261" s="67" t="n"/>
      <c r="S261" s="50" t="n"/>
      <c r="T261" s="73" t="n"/>
      <c r="U261" s="50" t="n"/>
      <c r="V261" s="73" t="n"/>
      <c r="W261" s="50" t="n"/>
      <c r="X261" s="73" t="n"/>
      <c r="Y261" s="50" t="n"/>
      <c r="Z261" s="73" t="n"/>
      <c r="AA261" s="50" t="n"/>
      <c r="AB261" s="73" t="n"/>
      <c r="AC261" s="50" t="n"/>
      <c r="AD261" s="73" t="n"/>
      <c r="AE261" s="50" t="n"/>
      <c r="AF261" s="67" t="n"/>
      <c r="AG261" s="50" t="n"/>
      <c r="AH261" s="73" t="n"/>
      <c r="AI261" s="50" t="n"/>
      <c r="AJ261" s="73" t="n"/>
      <c r="AK261" s="50" t="n"/>
      <c r="AL261" s="73" t="n"/>
      <c r="AM261" s="50" t="n"/>
      <c r="AN261" s="73" t="n"/>
      <c r="AO261" s="50" t="n"/>
      <c r="AP261" s="73" t="n"/>
      <c r="AQ261" s="73" t="n"/>
      <c r="AR261" s="73" t="n"/>
      <c r="AS261" s="73" t="n"/>
      <c r="AT261" s="73" t="n"/>
      <c r="AU261" s="73" t="n"/>
      <c r="AV261" s="73" t="n"/>
      <c r="AW261" s="73" t="n"/>
      <c r="AX261" s="73" t="n"/>
      <c r="AY261" s="73" t="n"/>
      <c r="AZ261" s="73" t="n"/>
      <c r="BA261" s="73" t="n"/>
      <c r="BB261" s="73" t="n"/>
      <c r="BC261" s="73" t="n"/>
      <c r="BD261" s="73" t="n"/>
      <c r="BE261" s="73" t="n"/>
      <c r="BF261" s="73" t="n"/>
      <c r="BG261" s="73" t="n"/>
      <c r="BH261" s="73" t="n"/>
      <c r="BI261" s="73" t="n"/>
      <c r="BJ261" s="73" t="n"/>
      <c r="BK261" s="73" t="n"/>
      <c r="BL261" s="73" t="n"/>
      <c r="BM261" s="73" t="n"/>
      <c r="BN261" s="73" t="n"/>
      <c r="BO261" s="73" t="n"/>
      <c r="BP261" s="73" t="n"/>
      <c r="BQ261" s="195">
        <f>COUNTIF($G261:$BP261,"a")+COUNTIF($G261:$BP261,"r0,a5")/2+COUNTIF($G261:$BP261,"p5,a5")/2</f>
        <v/>
      </c>
      <c r="BR261" s="195">
        <f>COUNTIF($G261:$BP261,"d")+COUNTIF($G261:$BP261,"r0,d5")/2+COUNTIF($G261:$BP261,"p5,d5")/2</f>
        <v/>
      </c>
      <c r="BS261" s="195">
        <f>COUNTIF($G261:$BP261,"b")+COUNTIF($G261:$BP261,"r0,b5")/2+COUNTIF($G261:$BP261,"p5,b5")/2</f>
        <v/>
      </c>
      <c r="BT261" s="195">
        <f>COUNTIF($G261:$BP261,"c")+COUNTIF($G261:$BP261,"r0,c5")/2+COUNTIF($G261:$BP261,"p5,c5")/2</f>
        <v/>
      </c>
      <c r="BU261" s="195">
        <f>COUNTIF($G261:$BP261,"KH")+COUNTIF($G261:$BP261,"TL")+COUNTIF($G261:$BP261,"L")</f>
        <v/>
      </c>
      <c r="BV261" s="202" t="n"/>
      <c r="BW261" s="195">
        <f>COUNTIF($G261:$BP261,"hh")</f>
        <v/>
      </c>
      <c r="BX261" s="195">
        <f>COUNTIF($G261:$BP261,"nt7")</f>
        <v/>
      </c>
      <c r="BY261" s="195">
        <f>COUNTIF($G261:$BP261,"P")+COUNTIF($G261:$BP261,"p5,a5")/2+COUNTIF($G261:$BP261,"p5,b5")/2+COUNTIF($G261:$BP261,"p5,c5")/2+COUNTIF($G261:$BP261,"p5,d5")/2</f>
        <v/>
      </c>
      <c r="BZ261" s="203">
        <f>SUBTOTAL(9,BQ261:BY261)</f>
        <v/>
      </c>
      <c r="CA261" s="54">
        <f>SUM(J261,L261,N261,P261,R261,T261,X261,Z261,AB261,AD261,AF261,AH261,AL261,AN261,AP261,AR261,AT261,AV261,AZ261,BB261,BD261,BF261,BH261,BP261)</f>
        <v/>
      </c>
      <c r="CB261" s="55">
        <f>SUM(H261,V261,AJ261,AX261,BL261)</f>
        <v/>
      </c>
      <c r="CC261" s="56">
        <f>SUM(BJ261,BN261)</f>
        <v/>
      </c>
      <c r="CD261" s="197">
        <f>IF(BZ261&gt;25,4,IF(BZ261&gt;18,3,IF(BZ261&gt;12,2,IF(BZ261&gt;4,1,0))))-BX261-2+1</f>
        <v/>
      </c>
      <c r="CE261" s="49" t="n">
        <v>1</v>
      </c>
      <c r="CF261" s="197">
        <f>CD261*CI261</f>
        <v/>
      </c>
      <c r="CG261" s="198">
        <f>F261-BY261+1</f>
        <v/>
      </c>
      <c r="CH261" s="197">
        <f>CE261*16</f>
        <v/>
      </c>
      <c r="CI261" s="199">
        <f>VLOOKUP(A261,[1]DATA!$A$6:$AI$331,34,0)</f>
        <v/>
      </c>
      <c r="CJ261" s="200">
        <f>VLOOKUP(A261,[2]CHAMCONG!A$7:CI$333,79,0)</f>
        <v/>
      </c>
      <c r="CK261" s="201">
        <f>CJ261-CA261</f>
        <v/>
      </c>
      <c r="CL261" s="68" t="n"/>
      <c r="CM261" s="68" t="n"/>
    </row>
    <row r="262" ht="18" customFormat="1" customHeight="1" s="75">
      <c r="A262" s="69" t="n"/>
      <c r="B262" s="64" t="n"/>
      <c r="C262" s="115" t="n"/>
      <c r="D262" s="46" t="n"/>
      <c r="E262" s="47" t="n"/>
      <c r="F262" s="48" t="n"/>
      <c r="G262" s="49" t="n"/>
      <c r="H262" s="73" t="n"/>
      <c r="I262" s="49" t="n"/>
      <c r="J262" s="73" t="n"/>
      <c r="K262" s="49" t="n"/>
      <c r="L262" s="73" t="n"/>
      <c r="M262" s="49" t="n"/>
      <c r="N262" s="73" t="n"/>
      <c r="O262" s="50" t="n"/>
      <c r="P262" s="73" t="n"/>
      <c r="Q262" s="49" t="n"/>
      <c r="R262" s="49" t="n"/>
      <c r="S262" s="50" t="n"/>
      <c r="T262" s="73" t="n"/>
      <c r="U262" s="50" t="n"/>
      <c r="V262" s="73" t="n"/>
      <c r="W262" s="50" t="n"/>
      <c r="X262" s="73" t="n"/>
      <c r="Y262" s="50" t="n"/>
      <c r="Z262" s="73" t="n"/>
      <c r="AA262" s="50" t="n"/>
      <c r="AB262" s="73" t="n"/>
      <c r="AC262" s="50" t="n"/>
      <c r="AD262" s="73" t="n"/>
      <c r="AE262" s="73" t="n"/>
      <c r="AF262" s="73" t="n"/>
      <c r="AG262" s="73" t="n"/>
      <c r="AH262" s="73" t="n"/>
      <c r="AI262" s="73" t="n"/>
      <c r="AJ262" s="73" t="n"/>
      <c r="AK262" s="73" t="n"/>
      <c r="AL262" s="73" t="n"/>
      <c r="AM262" s="73" t="n"/>
      <c r="AN262" s="73" t="n"/>
      <c r="AO262" s="73" t="n"/>
      <c r="AP262" s="73" t="n"/>
      <c r="AQ262" s="49" t="n"/>
      <c r="AR262" s="73" t="n"/>
      <c r="AS262" s="49" t="n"/>
      <c r="AT262" s="49" t="n"/>
      <c r="AU262" s="49" t="n"/>
      <c r="AV262" s="73" t="n"/>
      <c r="AW262" s="50" t="n"/>
      <c r="AX262" s="73" t="n"/>
      <c r="AY262" s="49" t="n"/>
      <c r="AZ262" s="73" t="n"/>
      <c r="BA262" s="49" t="n"/>
      <c r="BB262" s="73" t="n"/>
      <c r="BC262" s="49" t="n"/>
      <c r="BD262" s="73" t="n"/>
      <c r="BE262" s="73" t="n"/>
      <c r="BF262" s="73" t="n"/>
      <c r="BG262" s="73" t="n"/>
      <c r="BH262" s="73" t="n"/>
      <c r="BI262" s="73" t="n"/>
      <c r="BJ262" s="73" t="n"/>
      <c r="BK262" s="73" t="n"/>
      <c r="BL262" s="73" t="n"/>
      <c r="BM262" s="73" t="n"/>
      <c r="BN262" s="73" t="n"/>
      <c r="BO262" s="73" t="n"/>
      <c r="BP262" s="73" t="n"/>
      <c r="BQ262" s="195">
        <f>COUNTIF($G262:$BP262,"a")+COUNTIF($G262:$BP262,"r0,a5")/2+COUNTIF($G262:$BP262,"p5,a5")/2</f>
        <v/>
      </c>
      <c r="BR262" s="195">
        <f>COUNTIF($G262:$BP262,"d")+COUNTIF($G262:$BP262,"r0,d5")/2+COUNTIF($G262:$BP262,"p5,d5")/2</f>
        <v/>
      </c>
      <c r="BS262" s="195">
        <f>COUNTIF($G262:$BP262,"b")+COUNTIF($G262:$BP262,"r0,b5")/2+COUNTIF($G262:$BP262,"p5,b5")/2</f>
        <v/>
      </c>
      <c r="BT262" s="195">
        <f>COUNTIF($G262:$BP262,"c")+COUNTIF($G262:$BP262,"r0,c5")/2+COUNTIF($G262:$BP262,"p5,c5")/2</f>
        <v/>
      </c>
      <c r="BU262" s="195">
        <f>COUNTIF($G262:$BP262,"KH")+COUNTIF($G262:$BP262,"TL")+COUNTIF($G262:$BP262,"L")</f>
        <v/>
      </c>
      <c r="BV262" s="202" t="n"/>
      <c r="BW262" s="195">
        <f>COUNTIF($G262:$BP262,"hh")</f>
        <v/>
      </c>
      <c r="BX262" s="195">
        <f>COUNTIF($G262:$BP262,"nt7")</f>
        <v/>
      </c>
      <c r="BY262" s="195">
        <f>COUNTIF($G262:$BP262,"P")+COUNTIF($G262:$BP262,"p5,a5")/2+COUNTIF($G262:$BP262,"p5,b5")/2+COUNTIF($G262:$BP262,"p5,c5")/2+COUNTIF($G262:$BP262,"p5,d5")/2</f>
        <v/>
      </c>
      <c r="BZ262" s="203">
        <f>SUBTOTAL(9,BQ262:BY262)</f>
        <v/>
      </c>
      <c r="CA262" s="54">
        <f>SUM(J262,L262,N262,P262,R262,T262,X262,Z262,AB262,AD262,AF262,AH262,AL262,AN262,AP262,AR262,AT262,AV262,AZ262,BB262,BD262,BF262,BH262,BP262)</f>
        <v/>
      </c>
      <c r="CB262" s="55">
        <f>SUM(H262,V262,AJ262,AX262,BL262)</f>
        <v/>
      </c>
      <c r="CC262" s="56">
        <f>SUM(BJ262,BN262)</f>
        <v/>
      </c>
      <c r="CD262" s="197">
        <f>IF(BZ262&gt;25,4,IF(BZ262&gt;18,3,IF(BZ262&gt;12,2,IF(BZ262&gt;4,1,0))))-BX262-2+1</f>
        <v/>
      </c>
      <c r="CE262" s="49" t="n">
        <v>1</v>
      </c>
      <c r="CF262" s="204">
        <f>CD262*CI262</f>
        <v/>
      </c>
      <c r="CG262" s="198">
        <f>F262-BY262+1</f>
        <v/>
      </c>
      <c r="CH262" s="197">
        <f>CE262*16</f>
        <v/>
      </c>
      <c r="CI262" s="199">
        <f>VLOOKUP(A262,[1]DATA!$A$6:$AI$331,34,0)</f>
        <v/>
      </c>
      <c r="CJ262" s="200">
        <f>VLOOKUP(A262,[2]CHAMCONG!A$7:CI$333,79,0)</f>
        <v/>
      </c>
      <c r="CK262" s="201">
        <f>CJ262-CA262</f>
        <v/>
      </c>
      <c r="CL262" s="68" t="n"/>
      <c r="CM262" s="68" t="n"/>
    </row>
    <row r="263" ht="18" customFormat="1" customHeight="1" s="75">
      <c r="A263" s="69" t="n"/>
      <c r="B263" s="64" t="n"/>
      <c r="C263" s="115" t="n"/>
      <c r="D263" s="46" t="n"/>
      <c r="E263" s="47" t="n"/>
      <c r="F263" s="48" t="n"/>
      <c r="G263" s="49" t="n"/>
      <c r="H263" s="73" t="n"/>
      <c r="I263" s="73" t="n"/>
      <c r="J263" s="73" t="n"/>
      <c r="K263" s="73" t="n"/>
      <c r="L263" s="73" t="n"/>
      <c r="M263" s="50" t="n"/>
      <c r="N263" s="73" t="n"/>
      <c r="O263" s="50" t="n"/>
      <c r="P263" s="73" t="n"/>
      <c r="Q263" s="50" t="n"/>
      <c r="R263" s="67" t="n"/>
      <c r="S263" s="50" t="n"/>
      <c r="T263" s="73" t="n"/>
      <c r="U263" s="49" t="n"/>
      <c r="V263" s="73" t="n"/>
      <c r="W263" s="73" t="n"/>
      <c r="X263" s="73" t="n"/>
      <c r="Y263" s="73" t="n"/>
      <c r="Z263" s="73" t="n"/>
      <c r="AA263" s="73" t="n"/>
      <c r="AB263" s="73" t="n"/>
      <c r="AC263" s="73" t="n"/>
      <c r="AD263" s="73" t="n"/>
      <c r="AE263" s="73" t="n"/>
      <c r="AF263" s="73" t="n"/>
      <c r="AG263" s="73" t="n"/>
      <c r="AH263" s="73" t="n"/>
      <c r="AI263" s="73" t="n"/>
      <c r="AJ263" s="73" t="n"/>
      <c r="AK263" s="73" t="n"/>
      <c r="AL263" s="73" t="n"/>
      <c r="AM263" s="73" t="n"/>
      <c r="AN263" s="73" t="n"/>
      <c r="AO263" s="73" t="n"/>
      <c r="AP263" s="73" t="n"/>
      <c r="AQ263" s="50" t="n"/>
      <c r="AR263" s="73" t="n"/>
      <c r="AS263" s="50" t="n"/>
      <c r="AT263" s="67" t="n"/>
      <c r="AU263" s="50" t="n"/>
      <c r="AV263" s="73" t="n"/>
      <c r="AW263" s="73" t="n"/>
      <c r="AX263" s="73" t="n"/>
      <c r="AY263" s="73" t="n"/>
      <c r="AZ263" s="73" t="n"/>
      <c r="BA263" s="73" t="n"/>
      <c r="BB263" s="73" t="n"/>
      <c r="BC263" s="73" t="n"/>
      <c r="BD263" s="73" t="n"/>
      <c r="BE263" s="73" t="n"/>
      <c r="BF263" s="73" t="n"/>
      <c r="BG263" s="73" t="n"/>
      <c r="BH263" s="73" t="n"/>
      <c r="BI263" s="73" t="n"/>
      <c r="BJ263" s="73" t="n"/>
      <c r="BK263" s="73" t="n"/>
      <c r="BL263" s="73" t="n"/>
      <c r="BM263" s="73" t="n"/>
      <c r="BN263" s="73" t="n"/>
      <c r="BO263" s="73" t="n"/>
      <c r="BP263" s="73" t="n"/>
      <c r="BQ263" s="195">
        <f>COUNTIF($G263:$BP263,"a")+COUNTIF($G263:$BP263,"r0,a5")/2+COUNTIF($G263:$BP263,"p5,a5")/2</f>
        <v/>
      </c>
      <c r="BR263" s="195">
        <f>COUNTIF($G263:$BP263,"d")+COUNTIF($G263:$BP263,"r0,d5")/2+COUNTIF($G263:$BP263,"p5,d5")/2</f>
        <v/>
      </c>
      <c r="BS263" s="195">
        <f>COUNTIF($G263:$BP263,"b")+COUNTIF($G263:$BP263,"r0,b5")/2+COUNTIF($G263:$BP263,"p5,b5")/2</f>
        <v/>
      </c>
      <c r="BT263" s="195">
        <f>COUNTIF($G263:$BP263,"c")+COUNTIF($G263:$BP263,"r0,c5")/2+COUNTIF($G263:$BP263,"p5,c5")/2</f>
        <v/>
      </c>
      <c r="BU263" s="195">
        <f>COUNTIF($G263:$BP263,"KH")+COUNTIF($G263:$BP263,"TL")+COUNTIF($G263:$BP263,"L")</f>
        <v/>
      </c>
      <c r="BV263" s="202" t="n"/>
      <c r="BW263" s="195">
        <f>COUNTIF($G263:$BP263,"hh")</f>
        <v/>
      </c>
      <c r="BX263" s="195">
        <f>COUNTIF($G263:$BP263,"nt7")</f>
        <v/>
      </c>
      <c r="BY263" s="195">
        <f>COUNTIF($G263:$BP263,"P")+COUNTIF($G263:$BP263,"p5,a5")/2+COUNTIF($G263:$BP263,"p5,b5")/2+COUNTIF($G263:$BP263,"p5,c5")/2+COUNTIF($G263:$BP263,"p5,d5")/2</f>
        <v/>
      </c>
      <c r="BZ263" s="203">
        <f>SUBTOTAL(9,BQ263:BY263)</f>
        <v/>
      </c>
      <c r="CA263" s="54">
        <f>SUM(J263,L263,N263,P263,R263,T263,X263,Z263,AB263,AD263,AF263,AH263,AL263,AN263,AP263,AR263,AT263,AV263,AZ263,BB263,BD263,BF263,BH263,BP263)</f>
        <v/>
      </c>
      <c r="CB263" s="55">
        <f>SUM(H263,V263,AJ263,AX263,BL263)</f>
        <v/>
      </c>
      <c r="CC263" s="56">
        <f>SUM(BJ263,BN263)</f>
        <v/>
      </c>
      <c r="CD263" s="197">
        <f>IF(BZ263&gt;25,4,IF(BZ263&gt;18,3,IF(BZ263&gt;12,2,IF(BZ263&gt;4,1,0))))-BX263-2+1</f>
        <v/>
      </c>
      <c r="CE263" s="49" t="n"/>
      <c r="CF263" s="204">
        <f>CD263*CI263</f>
        <v/>
      </c>
      <c r="CG263" s="198">
        <f>F263-BY263+1</f>
        <v/>
      </c>
      <c r="CH263" s="197">
        <f>CE263*16</f>
        <v/>
      </c>
      <c r="CI263" s="199">
        <f>VLOOKUP(A263,[1]DATA!$A$6:$AI$331,34,0)</f>
        <v/>
      </c>
      <c r="CJ263" s="200">
        <f>VLOOKUP(A263,[2]CHAMCONG!A$7:CI$333,79,0)</f>
        <v/>
      </c>
      <c r="CK263" s="201">
        <f>CJ263-CA263</f>
        <v/>
      </c>
      <c r="CL263" s="68" t="n"/>
      <c r="CM263" s="68" t="n"/>
    </row>
    <row r="264" ht="20.25" customFormat="1" customHeight="1" s="75">
      <c r="A264" s="69" t="n"/>
      <c r="B264" s="64" t="n"/>
      <c r="C264" s="115" t="n"/>
      <c r="D264" s="46" t="n"/>
      <c r="E264" s="47" t="n"/>
      <c r="F264" s="48" t="n"/>
      <c r="G264" s="49" t="n"/>
      <c r="H264" s="74" t="n"/>
      <c r="I264" s="50" t="n"/>
      <c r="J264" s="74" t="n"/>
      <c r="K264" s="73" t="n"/>
      <c r="L264" s="74" t="n"/>
      <c r="M264" s="73" t="n"/>
      <c r="N264" s="74" t="n"/>
      <c r="O264" s="50" t="n"/>
      <c r="P264" s="74" t="n"/>
      <c r="Q264" s="49" t="n"/>
      <c r="R264" s="73" t="n"/>
      <c r="S264" s="49" t="n"/>
      <c r="T264" s="74" t="n"/>
      <c r="U264" s="49" t="n"/>
      <c r="V264" s="74" t="n"/>
      <c r="W264" s="50" t="n"/>
      <c r="X264" s="74" t="n"/>
      <c r="Y264" s="73" t="n"/>
      <c r="Z264" s="74" t="n"/>
      <c r="AA264" s="73" t="n"/>
      <c r="AB264" s="74" t="n"/>
      <c r="AC264" s="50" t="n"/>
      <c r="AD264" s="74" t="n"/>
      <c r="AE264" s="73" t="n"/>
      <c r="AF264" s="73" t="n"/>
      <c r="AG264" s="73" t="n"/>
      <c r="AH264" s="74" t="n"/>
      <c r="AI264" s="73" t="n"/>
      <c r="AJ264" s="74" t="n"/>
      <c r="AK264" s="50" t="n"/>
      <c r="AL264" s="74" t="n"/>
      <c r="AM264" s="73" t="n"/>
      <c r="AN264" s="74" t="n"/>
      <c r="AO264" s="73" t="n"/>
      <c r="AP264" s="74" t="n"/>
      <c r="AQ264" s="50" t="n"/>
      <c r="AR264" s="74" t="n"/>
      <c r="AS264" s="73" t="n"/>
      <c r="AT264" s="73" t="n"/>
      <c r="AU264" s="73" t="n"/>
      <c r="AV264" s="74" t="n"/>
      <c r="AW264" s="73" t="n"/>
      <c r="AX264" s="74" t="n"/>
      <c r="AY264" s="50" t="n"/>
      <c r="AZ264" s="74" t="n"/>
      <c r="BA264" s="73" t="n"/>
      <c r="BB264" s="74" t="n"/>
      <c r="BC264" s="73" t="n"/>
      <c r="BD264" s="74" t="n"/>
      <c r="BE264" s="50" t="n"/>
      <c r="BF264" s="74" t="n"/>
      <c r="BG264" s="73" t="n"/>
      <c r="BH264" s="73" t="n"/>
      <c r="BI264" s="73" t="n"/>
      <c r="BJ264" s="74" t="n"/>
      <c r="BK264" s="73" t="n"/>
      <c r="BL264" s="74" t="n"/>
      <c r="BM264" s="73" t="n"/>
      <c r="BN264" s="74" t="n"/>
      <c r="BO264" s="73" t="n"/>
      <c r="BP264" s="74" t="n"/>
      <c r="BQ264" s="195">
        <f>COUNTIF($G264:$BP264,"a")+COUNTIF($G264:$BP264,"r0,a5")/2+COUNTIF($G264:$BP264,"p5,a5")/2</f>
        <v/>
      </c>
      <c r="BR264" s="195">
        <f>COUNTIF($G264:$BP264,"d")+COUNTIF($G264:$BP264,"r0,d5")/2+COUNTIF($G264:$BP264,"p5,d5")/2</f>
        <v/>
      </c>
      <c r="BS264" s="195">
        <f>COUNTIF($G264:$BP264,"b")+COUNTIF($G264:$BP264,"r0,b5")/2+COUNTIF($G264:$BP264,"p5,b5")/2</f>
        <v/>
      </c>
      <c r="BT264" s="195">
        <f>COUNTIF($G264:$BP264,"c")+COUNTIF($G264:$BP264,"r0,c5")/2+COUNTIF($G264:$BP264,"p5,c5")/2</f>
        <v/>
      </c>
      <c r="BU264" s="195">
        <f>COUNTIF($G264:$BP264,"KH")+COUNTIF($G264:$BP264,"TL")+COUNTIF($G264:$BP264,"L")</f>
        <v/>
      </c>
      <c r="BV264" s="205" t="n"/>
      <c r="BW264" s="195">
        <f>COUNTIF($G264:$BP264,"hh")</f>
        <v/>
      </c>
      <c r="BX264" s="195">
        <f>COUNTIF($G264:$BP264,"nt7")</f>
        <v/>
      </c>
      <c r="BY264" s="195">
        <f>COUNTIF($G264:$BP264,"P")+COUNTIF($G264:$BP264,"p5,a5")/2+COUNTIF($G264:$BP264,"p5,b5")/2+COUNTIF($G264:$BP264,"p5,c5")/2+COUNTIF($G264:$BP264,"p5,d5")/2</f>
        <v/>
      </c>
      <c r="BZ264" s="203">
        <f>SUBTOTAL(9,BQ264:BY264)</f>
        <v/>
      </c>
      <c r="CA264" s="54">
        <f>SUM(J264,L264,N264,P264,R264,T264,X264,Z264,AB264,AD264,AF264,AH264,AL264,AN264,AP264,AR264,AT264,AV264,AZ264,BB264,BD264,BF264,BH264,BP264)</f>
        <v/>
      </c>
      <c r="CB264" s="55">
        <f>SUM(H264,V264,AJ264,AX264,BL264)</f>
        <v/>
      </c>
      <c r="CC264" s="56">
        <f>SUM(BJ264,BN264)</f>
        <v/>
      </c>
      <c r="CD264" s="197">
        <f>IF(BZ264&gt;25,4,IF(BZ264&gt;18,3,IF(BZ264&gt;12,2,IF(BZ264&gt;4,1,0))))-BX264-2+1</f>
        <v/>
      </c>
      <c r="CE264" s="49" t="n"/>
      <c r="CF264" s="206" t="n">
        <v>0</v>
      </c>
      <c r="CG264" s="198">
        <f>F264-BY264+1</f>
        <v/>
      </c>
      <c r="CH264" s="197">
        <f>CE264*16</f>
        <v/>
      </c>
      <c r="CI264" s="199">
        <f>VLOOKUP(A264,[1]DATA!$A$6:$AI$331,34,0)</f>
        <v/>
      </c>
      <c r="CJ264" s="200">
        <f>VLOOKUP(A264,[2]CHAMCONG!A$7:CI$333,79,0)</f>
        <v/>
      </c>
      <c r="CK264" s="201">
        <f>CJ264-CA264</f>
        <v/>
      </c>
      <c r="CL264" s="68" t="n"/>
      <c r="CM264" s="68" t="n"/>
    </row>
    <row r="265" ht="18" customFormat="1" customHeight="1" s="75">
      <c r="A265" s="69" t="n"/>
      <c r="B265" s="64" t="n"/>
      <c r="C265" s="115" t="n"/>
      <c r="D265" s="46" t="n"/>
      <c r="E265" s="47" t="n"/>
      <c r="F265" s="48" t="n"/>
      <c r="G265" s="49" t="n"/>
      <c r="H265" s="73" t="n"/>
      <c r="I265" s="73" t="n"/>
      <c r="J265" s="73" t="n"/>
      <c r="K265" s="50" t="n"/>
      <c r="L265" s="73" t="n"/>
      <c r="M265" s="50" t="n"/>
      <c r="N265" s="73" t="n"/>
      <c r="O265" s="50" t="n"/>
      <c r="P265" s="73" t="n"/>
      <c r="Q265" s="49" t="n"/>
      <c r="R265" s="73" t="n"/>
      <c r="S265" s="50" t="n"/>
      <c r="T265" s="73" t="n"/>
      <c r="U265" s="50" t="n"/>
      <c r="V265" s="73" t="n"/>
      <c r="W265" s="50" t="n"/>
      <c r="X265" s="73" t="n"/>
      <c r="Y265" s="50" t="n"/>
      <c r="Z265" s="73" t="n"/>
      <c r="AA265" s="50" t="n"/>
      <c r="AB265" s="73" t="n"/>
      <c r="AC265" s="50" t="n"/>
      <c r="AD265" s="73" t="n"/>
      <c r="AE265" s="49" t="n"/>
      <c r="AF265" s="73" t="n"/>
      <c r="AG265" s="73" t="n"/>
      <c r="AH265" s="73" t="n"/>
      <c r="AI265" s="49" t="n"/>
      <c r="AJ265" s="73" t="n"/>
      <c r="AK265" s="49" t="n"/>
      <c r="AL265" s="73" t="n"/>
      <c r="AM265" s="49" t="n"/>
      <c r="AN265" s="73" t="n"/>
      <c r="AO265" s="49" t="n"/>
      <c r="AP265" s="73" t="n"/>
      <c r="AQ265" s="49" t="n"/>
      <c r="AR265" s="73" t="n"/>
      <c r="AS265" s="49" t="n"/>
      <c r="AT265" s="73" t="n"/>
      <c r="AU265" s="49" t="n"/>
      <c r="AV265" s="73" t="n"/>
      <c r="AW265" s="73" t="n"/>
      <c r="AX265" s="73" t="n"/>
      <c r="AY265" s="49" t="n"/>
      <c r="AZ265" s="73" t="n"/>
      <c r="BA265" s="49" t="n"/>
      <c r="BB265" s="73" t="n"/>
      <c r="BC265" s="49" t="n"/>
      <c r="BD265" s="73" t="n"/>
      <c r="BE265" s="49" t="n"/>
      <c r="BF265" s="73" t="n"/>
      <c r="BG265" s="73" t="n"/>
      <c r="BH265" s="73" t="n"/>
      <c r="BI265" s="73" t="n"/>
      <c r="BJ265" s="73" t="n"/>
      <c r="BK265" s="73" t="n"/>
      <c r="BL265" s="73" t="n"/>
      <c r="BM265" s="73" t="n"/>
      <c r="BN265" s="73" t="n"/>
      <c r="BO265" s="73" t="n"/>
      <c r="BP265" s="73" t="n"/>
      <c r="BQ265" s="195">
        <f>COUNTIF($G265:$BP265,"a")+COUNTIF($G265:$BP265,"r0,a5")/2+COUNTIF($G265:$BP265,"p5,a5")/2</f>
        <v/>
      </c>
      <c r="BR265" s="195">
        <f>COUNTIF($G265:$BP265,"d")+COUNTIF($G265:$BP265,"r0,d5")/2+COUNTIF($G265:$BP265,"p5,d5")/2</f>
        <v/>
      </c>
      <c r="BS265" s="195">
        <f>COUNTIF($G265:$BP265,"b")+COUNTIF($G265:$BP265,"r0,b5")/2+COUNTIF($G265:$BP265,"p5,b5")/2</f>
        <v/>
      </c>
      <c r="BT265" s="195">
        <f>COUNTIF($G265:$BP265,"c")+COUNTIF($G265:$BP265,"r0,c5")/2+COUNTIF($G265:$BP265,"p5,c5")/2</f>
        <v/>
      </c>
      <c r="BU265" s="195">
        <f>COUNTIF($G265:$BP265,"KH")+COUNTIF($G265:$BP265,"TL")+COUNTIF($G265:$BP265,"L")</f>
        <v/>
      </c>
      <c r="BV265" s="202" t="n"/>
      <c r="BW265" s="195">
        <f>COUNTIF($G265:$BP265,"hh")</f>
        <v/>
      </c>
      <c r="BX265" s="195">
        <f>COUNTIF($G265:$BP265,"nt7")</f>
        <v/>
      </c>
      <c r="BY265" s="195">
        <f>COUNTIF($G265:$BP265,"P")+COUNTIF($G265:$BP265,"p5,a5")/2+COUNTIF($G265:$BP265,"p5,b5")/2+COUNTIF($G265:$BP265,"p5,c5")/2+COUNTIF($G265:$BP265,"p5,d5")/2</f>
        <v/>
      </c>
      <c r="BZ265" s="203">
        <f>SUBTOTAL(9,BQ265:BY265)</f>
        <v/>
      </c>
      <c r="CA265" s="54">
        <f>SUM(J265,L265,N265,P265,R265,T265,X265,Z265,AB265,AD265,AF265,AH265,AL265,AN265,AP265,AR265,AT265,AV265,AZ265,BB265,BD265,BF265,BH265,BP265)</f>
        <v/>
      </c>
      <c r="CB265" s="55">
        <f>SUM(H265,V265,AJ265,AX265,BL265)</f>
        <v/>
      </c>
      <c r="CC265" s="56">
        <f>SUM(BJ265,BN265)</f>
        <v/>
      </c>
      <c r="CD265" s="197">
        <f>IF(BZ265&gt;25,4,IF(BZ265&gt;18,3,IF(BZ265&gt;12,2,IF(BZ265&gt;4,1,0))))-BX265-2+1</f>
        <v/>
      </c>
      <c r="CE265" s="49" t="n">
        <v>2</v>
      </c>
      <c r="CF265" s="197">
        <f>CD265*CI265</f>
        <v/>
      </c>
      <c r="CG265" s="198">
        <f>F265-BY265+1</f>
        <v/>
      </c>
      <c r="CH265" s="197">
        <f>CE265*16</f>
        <v/>
      </c>
      <c r="CI265" s="199">
        <f>VLOOKUP(A265,[1]DATA!$A$6:$AI$331,34,0)</f>
        <v/>
      </c>
      <c r="CJ265" s="200">
        <f>VLOOKUP(A265,[2]CHAMCONG!A$7:CI$333,79,0)</f>
        <v/>
      </c>
      <c r="CK265" s="201">
        <f>CJ265-CA265</f>
        <v/>
      </c>
      <c r="CL265" s="68" t="n"/>
      <c r="CM265" s="68" t="n"/>
    </row>
    <row r="266" ht="18" customFormat="1" customHeight="1" s="75">
      <c r="A266" s="69" t="n"/>
      <c r="B266" s="64" t="n"/>
      <c r="C266" s="115" t="n"/>
      <c r="D266" s="46" t="n"/>
      <c r="E266" s="47" t="n"/>
      <c r="F266" s="48" t="n"/>
      <c r="G266" s="49" t="n"/>
      <c r="H266" s="73" t="n"/>
      <c r="I266" s="49" t="n"/>
      <c r="J266" s="73" t="n"/>
      <c r="K266" s="49" t="n"/>
      <c r="L266" s="73" t="n"/>
      <c r="M266" s="49" t="n"/>
      <c r="N266" s="73" t="n"/>
      <c r="O266" s="49" t="n"/>
      <c r="P266" s="73" t="n"/>
      <c r="Q266" s="50" t="n"/>
      <c r="R266" s="67" t="n"/>
      <c r="S266" s="49" t="n"/>
      <c r="T266" s="73" t="n"/>
      <c r="U266" s="49" t="n"/>
      <c r="V266" s="73" t="n"/>
      <c r="W266" s="49" t="n"/>
      <c r="X266" s="73" t="n"/>
      <c r="Y266" s="49" t="n"/>
      <c r="Z266" s="73" t="n"/>
      <c r="AA266" s="49" t="n"/>
      <c r="AB266" s="73" t="n"/>
      <c r="AC266" s="49" t="n"/>
      <c r="AD266" s="73" t="n"/>
      <c r="AE266" s="49" t="n"/>
      <c r="AF266" s="73" t="n"/>
      <c r="AG266" s="73" t="n"/>
      <c r="AH266" s="73" t="n"/>
      <c r="AI266" s="73" t="n"/>
      <c r="AJ266" s="73" t="n"/>
      <c r="AK266" s="73" t="n"/>
      <c r="AL266" s="73" t="n"/>
      <c r="AM266" s="73" t="n"/>
      <c r="AN266" s="73" t="n"/>
      <c r="AO266" s="73" t="n"/>
      <c r="AP266" s="73" t="n"/>
      <c r="AQ266" s="73" t="n"/>
      <c r="AR266" s="73" t="n"/>
      <c r="AS266" s="73" t="n"/>
      <c r="AT266" s="73" t="n"/>
      <c r="AU266" s="73" t="n"/>
      <c r="AV266" s="73" t="n"/>
      <c r="AW266" s="73" t="n"/>
      <c r="AX266" s="73" t="n"/>
      <c r="AY266" s="73" t="n"/>
      <c r="AZ266" s="73" t="n"/>
      <c r="BA266" s="73" t="n"/>
      <c r="BB266" s="73" t="n"/>
      <c r="BC266" s="73" t="n"/>
      <c r="BD266" s="73" t="n"/>
      <c r="BE266" s="73" t="n"/>
      <c r="BF266" s="73" t="n"/>
      <c r="BG266" s="73" t="n"/>
      <c r="BH266" s="73" t="n"/>
      <c r="BI266" s="73" t="n"/>
      <c r="BJ266" s="73" t="n"/>
      <c r="BK266" s="73" t="n"/>
      <c r="BL266" s="73" t="n"/>
      <c r="BM266" s="73" t="n"/>
      <c r="BN266" s="73" t="n"/>
      <c r="BO266" s="73" t="n"/>
      <c r="BP266" s="73" t="n"/>
      <c r="BQ266" s="195">
        <f>COUNTIF($G266:$BP266,"a")+COUNTIF($G266:$BP266,"r0,a5")/2+COUNTIF($G266:$BP266,"p5,a5")/2</f>
        <v/>
      </c>
      <c r="BR266" s="195">
        <f>COUNTIF($G266:$BP266,"d")+COUNTIF($G266:$BP266,"r0,d5")/2+COUNTIF($G266:$BP266,"p5,d5")/2</f>
        <v/>
      </c>
      <c r="BS266" s="195">
        <f>COUNTIF($G266:$BP266,"b")+COUNTIF($G266:$BP266,"r0,b5")/2+COUNTIF($G266:$BP266,"p5,b5")/2</f>
        <v/>
      </c>
      <c r="BT266" s="195">
        <f>COUNTIF($G266:$BP266,"c")+COUNTIF($G266:$BP266,"r0,c5")/2+COUNTIF($G266:$BP266,"p5,c5")/2</f>
        <v/>
      </c>
      <c r="BU266" s="195">
        <f>COUNTIF($G266:$BP266,"KH")+COUNTIF($G266:$BP266,"TL")+COUNTIF($G266:$BP266,"L")</f>
        <v/>
      </c>
      <c r="BV266" s="202" t="n"/>
      <c r="BW266" s="195">
        <f>COUNTIF($G266:$BP266,"hh")</f>
        <v/>
      </c>
      <c r="BX266" s="195">
        <f>COUNTIF($G266:$BP266,"nt7")</f>
        <v/>
      </c>
      <c r="BY266" s="195">
        <f>COUNTIF($G266:$BP266,"P")+COUNTIF($G266:$BP266,"p5,a5")/2+COUNTIF($G266:$BP266,"p5,b5")/2+COUNTIF($G266:$BP266,"p5,c5")/2+COUNTIF($G266:$BP266,"p5,d5")/2</f>
        <v/>
      </c>
      <c r="BZ266" s="203">
        <f>SUBTOTAL(9,BQ266:BY266)</f>
        <v/>
      </c>
      <c r="CA266" s="54">
        <f>SUM(J266,L266,N266,P266,R266,T266,X266,Z266,AB266,AD266,AF266,AH266,AL266,AN266,AP266,AR266,AT266,AV266,AZ266,BB266,BD266,BF266,BH266,BP266)</f>
        <v/>
      </c>
      <c r="CB266" s="55">
        <f>SUM(H266,V266,AJ266,AX266,BL266)</f>
        <v/>
      </c>
      <c r="CC266" s="56">
        <f>SUM(BJ266,BN266)</f>
        <v/>
      </c>
      <c r="CD266" s="197">
        <f>IF(BZ266&gt;25,4,IF(BZ266&gt;18,3,IF(BZ266&gt;12,2,IF(BZ266&gt;4,1,0))))-BX266-2+1</f>
        <v/>
      </c>
      <c r="CE266" s="49" t="n">
        <v>1</v>
      </c>
      <c r="CF266" s="204">
        <f>CD266*CI266</f>
        <v/>
      </c>
      <c r="CG266" s="198">
        <f>F266-BY266+1</f>
        <v/>
      </c>
      <c r="CH266" s="197">
        <f>CE266*16</f>
        <v/>
      </c>
      <c r="CI266" s="199">
        <f>VLOOKUP(A266,[1]DATA!$A$6:$AI$331,34,0)</f>
        <v/>
      </c>
      <c r="CJ266" s="200">
        <f>VLOOKUP(A266,[2]CHAMCONG!A$7:CI$333,79,0)</f>
        <v/>
      </c>
      <c r="CK266" s="201">
        <f>CJ266-CA266</f>
        <v/>
      </c>
      <c r="CL266" s="68" t="n"/>
      <c r="CM266" s="68" t="n"/>
    </row>
    <row r="267" ht="18" customFormat="1" customHeight="1" s="75">
      <c r="A267" s="69" t="n"/>
      <c r="B267" s="71" t="n"/>
      <c r="C267" s="69" t="n"/>
      <c r="D267" s="46" t="n"/>
      <c r="E267" s="47" t="n"/>
      <c r="F267" s="48" t="n"/>
      <c r="G267" s="49" t="n"/>
      <c r="H267" s="73" t="n"/>
      <c r="I267" s="49" t="n"/>
      <c r="J267" s="73" t="n"/>
      <c r="K267" s="49" t="n"/>
      <c r="L267" s="73" t="n"/>
      <c r="M267" s="49" t="n"/>
      <c r="N267" s="73" t="n"/>
      <c r="O267" s="49" t="n"/>
      <c r="P267" s="73" t="n"/>
      <c r="Q267" s="67" t="n"/>
      <c r="R267" s="67" t="n"/>
      <c r="S267" s="50" t="n"/>
      <c r="T267" s="73" t="n"/>
      <c r="U267" s="49" t="n"/>
      <c r="V267" s="73" t="n"/>
      <c r="W267" s="50" t="n"/>
      <c r="X267" s="73" t="n"/>
      <c r="Y267" s="49" t="n"/>
      <c r="Z267" s="73" t="n"/>
      <c r="AA267" s="49" t="n"/>
      <c r="AB267" s="73" t="n"/>
      <c r="AC267" s="49" t="n"/>
      <c r="AD267" s="73" t="n"/>
      <c r="AE267" s="73" t="n"/>
      <c r="AF267" s="73" t="n"/>
      <c r="AG267" s="73" t="n"/>
      <c r="AH267" s="73" t="n"/>
      <c r="AI267" s="73" t="n"/>
      <c r="AJ267" s="73" t="n"/>
      <c r="AK267" s="73" t="n"/>
      <c r="AL267" s="73" t="n"/>
      <c r="AM267" s="73" t="n"/>
      <c r="AN267" s="73" t="n"/>
      <c r="AO267" s="73" t="n"/>
      <c r="AP267" s="73" t="n"/>
      <c r="AQ267" s="73" t="n"/>
      <c r="AR267" s="73" t="n"/>
      <c r="AS267" s="73" t="n"/>
      <c r="AT267" s="73" t="n"/>
      <c r="AU267" s="73" t="n"/>
      <c r="AV267" s="73" t="n"/>
      <c r="AW267" s="73" t="n"/>
      <c r="AX267" s="73" t="n"/>
      <c r="AY267" s="73" t="n"/>
      <c r="AZ267" s="73" t="n"/>
      <c r="BA267" s="73" t="n"/>
      <c r="BB267" s="73" t="n"/>
      <c r="BC267" s="73" t="n"/>
      <c r="BD267" s="73" t="n"/>
      <c r="BE267" s="73" t="n"/>
      <c r="BF267" s="73" t="n"/>
      <c r="BG267" s="73" t="n"/>
      <c r="BH267" s="73" t="n"/>
      <c r="BI267" s="73" t="n"/>
      <c r="BJ267" s="73" t="n"/>
      <c r="BK267" s="73" t="n"/>
      <c r="BL267" s="73" t="n"/>
      <c r="BM267" s="73" t="n"/>
      <c r="BN267" s="73" t="n"/>
      <c r="BO267" s="73" t="n"/>
      <c r="BP267" s="73" t="n"/>
      <c r="BQ267" s="195">
        <f>COUNTIF($G267:$BP267,"a")+COUNTIF($G267:$BP267,"r0,a5")/2+COUNTIF($G267:$BP267,"p5,a5")/2</f>
        <v/>
      </c>
      <c r="BR267" s="195">
        <f>COUNTIF($G267:$BP267,"d")+COUNTIF($G267:$BP267,"r0,d5")/2+COUNTIF($G267:$BP267,"p5,d5")/2</f>
        <v/>
      </c>
      <c r="BS267" s="195">
        <f>COUNTIF($G267:$BP267,"b")+COUNTIF($G267:$BP267,"r0,b5")/2+COUNTIF($G267:$BP267,"p5,b5")/2</f>
        <v/>
      </c>
      <c r="BT267" s="195">
        <f>COUNTIF($G267:$BP267,"c")+COUNTIF($G267:$BP267,"r0,c5")/2+COUNTIF($G267:$BP267,"p5,c5")/2</f>
        <v/>
      </c>
      <c r="BU267" s="195">
        <f>COUNTIF($G267:$BP267,"KH")+COUNTIF($G267:$BP267,"TL")+COUNTIF($G267:$BP267,"L")</f>
        <v/>
      </c>
      <c r="BV267" s="205" t="n"/>
      <c r="BW267" s="195">
        <f>COUNTIF($G267:$BP267,"hh")</f>
        <v/>
      </c>
      <c r="BX267" s="195">
        <f>COUNTIF($G267:$BP267,"nt7")</f>
        <v/>
      </c>
      <c r="BY267" s="195">
        <f>COUNTIF($G267:$BP267,"P")+COUNTIF($G267:$BP267,"p5,a5")/2+COUNTIF($G267:$BP267,"p5,b5")/2+COUNTIF($G267:$BP267,"p5,c5")/2+COUNTIF($G267:$BP267,"p5,d5")/2</f>
        <v/>
      </c>
      <c r="BZ267" s="203">
        <f>SUBTOTAL(9,BQ267:BY267)</f>
        <v/>
      </c>
      <c r="CA267" s="54">
        <f>SUM(J267,L267,N267,P267,R267,T267,X267,Z267,AB267,AD267,AF267,AH267,AL267,AN267,AP267,AR267,AT267,AV267,AZ267,BB267,BD267,BF267,BH267,BP267)</f>
        <v/>
      </c>
      <c r="CB267" s="55">
        <f>SUM(H267,V267,AJ267,AX267,BL267)</f>
        <v/>
      </c>
      <c r="CC267" s="56">
        <f>SUM(BJ267,BN267)</f>
        <v/>
      </c>
      <c r="CD267" s="197">
        <f>IF(BZ267&gt;25,4,IF(BZ267&gt;18,3,IF(BZ267&gt;12,2,IF(BZ267&gt;4,1,0))))-BX267-2+1</f>
        <v/>
      </c>
      <c r="CE267" s="49" t="n"/>
      <c r="CF267" s="204">
        <f>CD267*CI267</f>
        <v/>
      </c>
      <c r="CG267" s="198">
        <f>F267-BY267+1</f>
        <v/>
      </c>
      <c r="CH267" s="197">
        <f>CE267*16</f>
        <v/>
      </c>
      <c r="CI267" s="199">
        <f>VLOOKUP(A267,[1]DATA!$A$6:$AI$331,34,0)</f>
        <v/>
      </c>
      <c r="CJ267" s="200">
        <f>VLOOKUP(A267,[2]CHAMCONG!A$7:CI$333,79,0)</f>
        <v/>
      </c>
      <c r="CK267" s="201">
        <f>CJ267-CA267</f>
        <v/>
      </c>
      <c r="CL267" s="68" t="n"/>
      <c r="CM267" s="68" t="n"/>
    </row>
    <row r="268" ht="18" customFormat="1" customHeight="1" s="75">
      <c r="A268" s="69" t="n"/>
      <c r="B268" s="71" t="n"/>
      <c r="C268" s="115" t="n"/>
      <c r="D268" s="46" t="n"/>
      <c r="E268" s="47" t="n"/>
      <c r="F268" s="48" t="n"/>
      <c r="G268" s="49" t="n"/>
      <c r="H268" s="73" t="n"/>
      <c r="I268" s="50" t="n"/>
      <c r="J268" s="73" t="n"/>
      <c r="K268" s="50" t="n"/>
      <c r="L268" s="73" t="n"/>
      <c r="M268" s="50" t="n"/>
      <c r="N268" s="73" t="n"/>
      <c r="O268" s="50" t="n"/>
      <c r="P268" s="73" t="n"/>
      <c r="Q268" s="49" t="n"/>
      <c r="R268" s="73" t="n"/>
      <c r="S268" s="50" t="n"/>
      <c r="T268" s="73" t="n"/>
      <c r="U268" s="50" t="n"/>
      <c r="V268" s="73" t="n"/>
      <c r="W268" s="50" t="n"/>
      <c r="X268" s="73" t="n"/>
      <c r="Y268" s="50" t="n"/>
      <c r="Z268" s="73" t="n"/>
      <c r="AA268" s="50" t="n"/>
      <c r="AB268" s="73" t="n"/>
      <c r="AC268" s="50" t="n"/>
      <c r="AD268" s="73" t="n"/>
      <c r="AE268" s="50" t="n"/>
      <c r="AF268" s="67" t="n"/>
      <c r="AG268" s="50" t="n"/>
      <c r="AH268" s="73" t="n"/>
      <c r="AI268" s="50" t="n"/>
      <c r="AJ268" s="73" t="n"/>
      <c r="AK268" s="50" t="n"/>
      <c r="AL268" s="73" t="n"/>
      <c r="AM268" s="50" t="n"/>
      <c r="AN268" s="73" t="n"/>
      <c r="AO268" s="50" t="n"/>
      <c r="AP268" s="73" t="n"/>
      <c r="AQ268" s="49" t="n"/>
      <c r="AR268" s="73" t="n"/>
      <c r="AS268" s="49" t="n"/>
      <c r="AT268" s="73" t="n"/>
      <c r="AU268" s="49" t="n"/>
      <c r="AV268" s="73" t="n"/>
      <c r="AW268" s="49" t="n"/>
      <c r="AX268" s="73" t="n"/>
      <c r="AY268" s="49" t="n"/>
      <c r="AZ268" s="73" t="n"/>
      <c r="BA268" s="49" t="n"/>
      <c r="BB268" s="73" t="n"/>
      <c r="BC268" s="73" t="n"/>
      <c r="BD268" s="73" t="n"/>
      <c r="BE268" s="49" t="n"/>
      <c r="BF268" s="73" t="n"/>
      <c r="BG268" s="49" t="n"/>
      <c r="BH268" s="73" t="n"/>
      <c r="BI268" s="73" t="n"/>
      <c r="BJ268" s="73" t="n"/>
      <c r="BK268" s="73" t="n"/>
      <c r="BL268" s="73" t="n"/>
      <c r="BM268" s="73" t="n"/>
      <c r="BN268" s="73" t="n"/>
      <c r="BO268" s="73" t="n"/>
      <c r="BP268" s="73" t="n"/>
      <c r="BQ268" s="195">
        <f>COUNTIF($G268:$BP268,"a")+COUNTIF($G268:$BP268,"r0,a5")/2+COUNTIF($G268:$BP268,"p5,a5")/2</f>
        <v/>
      </c>
      <c r="BR268" s="195">
        <f>COUNTIF($G268:$BP268,"d")+COUNTIF($G268:$BP268,"r0,d5")/2+COUNTIF($G268:$BP268,"p5,d5")/2</f>
        <v/>
      </c>
      <c r="BS268" s="195">
        <f>COUNTIF($G268:$BP268,"b")+COUNTIF($G268:$BP268,"r0,b5")/2+COUNTIF($G268:$BP268,"p5,b5")/2</f>
        <v/>
      </c>
      <c r="BT268" s="195">
        <f>COUNTIF($G268:$BP268,"c")+COUNTIF($G268:$BP268,"r0,c5")/2+COUNTIF($G268:$BP268,"p5,c5")/2</f>
        <v/>
      </c>
      <c r="BU268" s="195">
        <f>COUNTIF($G268:$BP268,"KH")+COUNTIF($G268:$BP268,"TL")+COUNTIF($G268:$BP268,"L")</f>
        <v/>
      </c>
      <c r="BV268" s="202" t="n"/>
      <c r="BW268" s="195">
        <f>COUNTIF($G268:$BP268,"hh")</f>
        <v/>
      </c>
      <c r="BX268" s="195">
        <f>COUNTIF($G268:$BP268,"nt7")</f>
        <v/>
      </c>
      <c r="BY268" s="195">
        <f>COUNTIF($G268:$BP268,"P")+COUNTIF($G268:$BP268,"p5,a5")/2+COUNTIF($G268:$BP268,"p5,b5")/2+COUNTIF($G268:$BP268,"p5,c5")/2+COUNTIF($G268:$BP268,"p5,d5")/2</f>
        <v/>
      </c>
      <c r="BZ268" s="203">
        <f>SUBTOTAL(9,BQ268:BY268)</f>
        <v/>
      </c>
      <c r="CA268" s="54">
        <f>SUM(J268,L268,N268,P268,R268,T268,X268,Z268,AB268,AD268,AF268,AH268,AL268,AN268,AP268,AR268,AT268,AV268,AZ268,BB268,BD268,BF268,BH268,BP268)</f>
        <v/>
      </c>
      <c r="CB268" s="55">
        <f>SUM(H268,V268,AJ268,AX268,BL268)</f>
        <v/>
      </c>
      <c r="CC268" s="56">
        <f>SUM(BJ268,BN268)</f>
        <v/>
      </c>
      <c r="CD268" s="197">
        <f>IF(BZ268&gt;25,4,IF(BZ268&gt;18,3,IF(BZ268&gt;12,2,IF(BZ268&gt;4,1,0))))-BX268-2+1</f>
        <v/>
      </c>
      <c r="CE268" s="49" t="n">
        <v>1</v>
      </c>
      <c r="CF268" s="204">
        <f>CD268*CI268</f>
        <v/>
      </c>
      <c r="CG268" s="198">
        <f>F268-BY268+1</f>
        <v/>
      </c>
      <c r="CH268" s="197">
        <f>CE268*16</f>
        <v/>
      </c>
      <c r="CI268" s="199">
        <f>VLOOKUP(A268,[1]DATA!$A$6:$AI$331,34,0)</f>
        <v/>
      </c>
      <c r="CJ268" s="200">
        <f>VLOOKUP(A268,[2]CHAMCONG!A$7:CI$333,79,0)</f>
        <v/>
      </c>
      <c r="CK268" s="201">
        <f>CJ268-CA268</f>
        <v/>
      </c>
      <c r="CL268" s="68" t="n"/>
      <c r="CM268" s="68" t="n"/>
    </row>
    <row r="269" ht="18" customFormat="1" customHeight="1" s="75">
      <c r="A269" s="69" t="n"/>
      <c r="B269" s="71" t="n"/>
      <c r="C269" s="115" t="n"/>
      <c r="D269" s="46" t="n"/>
      <c r="E269" s="47" t="n"/>
      <c r="F269" s="48" t="n"/>
      <c r="G269" s="49" t="n"/>
      <c r="H269" s="73" t="n"/>
      <c r="I269" s="50" t="n"/>
      <c r="J269" s="73" t="n"/>
      <c r="K269" s="50" t="n"/>
      <c r="L269" s="73" t="n"/>
      <c r="M269" s="50" t="n"/>
      <c r="N269" s="73" t="n"/>
      <c r="O269" s="50" t="n"/>
      <c r="P269" s="73" t="n"/>
      <c r="Q269" s="50" t="n"/>
      <c r="R269" s="67" t="n"/>
      <c r="S269" s="50" t="n"/>
      <c r="T269" s="73" t="n"/>
      <c r="U269" s="50" t="n"/>
      <c r="V269" s="73" t="n"/>
      <c r="W269" s="50" t="n"/>
      <c r="X269" s="73" t="n"/>
      <c r="Y269" s="50" t="n"/>
      <c r="Z269" s="73" t="n"/>
      <c r="AA269" s="50" t="n"/>
      <c r="AB269" s="73" t="n"/>
      <c r="AC269" s="50" t="n"/>
      <c r="AD269" s="73" t="n"/>
      <c r="AE269" s="49" t="n"/>
      <c r="AF269" s="73" t="n"/>
      <c r="AG269" s="50" t="n"/>
      <c r="AH269" s="73" t="n"/>
      <c r="AI269" s="50" t="n"/>
      <c r="AJ269" s="73" t="n"/>
      <c r="AK269" s="50" t="n"/>
      <c r="AL269" s="73" t="n"/>
      <c r="AM269" s="50" t="n"/>
      <c r="AN269" s="73" t="n"/>
      <c r="AO269" s="50" t="n"/>
      <c r="AP269" s="73" t="n"/>
      <c r="AQ269" s="73" t="n"/>
      <c r="AR269" s="73" t="n"/>
      <c r="AS269" s="73" t="n"/>
      <c r="AT269" s="73" t="n"/>
      <c r="AU269" s="73" t="n"/>
      <c r="AV269" s="73" t="n"/>
      <c r="AW269" s="73" t="n"/>
      <c r="AX269" s="73" t="n"/>
      <c r="AY269" s="73" t="n"/>
      <c r="AZ269" s="73" t="n"/>
      <c r="BA269" s="73" t="n"/>
      <c r="BB269" s="73" t="n"/>
      <c r="BC269" s="73" t="n"/>
      <c r="BD269" s="73" t="n"/>
      <c r="BE269" s="73" t="n"/>
      <c r="BF269" s="73" t="n"/>
      <c r="BG269" s="73" t="n"/>
      <c r="BH269" s="73" t="n"/>
      <c r="BI269" s="73" t="n"/>
      <c r="BJ269" s="73" t="n"/>
      <c r="BK269" s="73" t="n"/>
      <c r="BL269" s="73" t="n"/>
      <c r="BM269" s="73" t="n"/>
      <c r="BN269" s="73" t="n"/>
      <c r="BO269" s="73" t="n"/>
      <c r="BP269" s="73" t="n"/>
      <c r="BQ269" s="195">
        <f>COUNTIF($G269:$BP269,"a")+COUNTIF($G269:$BP269,"r0,a5")/2+COUNTIF($G269:$BP269,"p5,a5")/2</f>
        <v/>
      </c>
      <c r="BR269" s="195">
        <f>COUNTIF($G269:$BP269,"d")+COUNTIF($G269:$BP269,"r0,d5")/2+COUNTIF($G269:$BP269,"p5,d5")/2</f>
        <v/>
      </c>
      <c r="BS269" s="195">
        <f>COUNTIF($G269:$BP269,"b")+COUNTIF($G269:$BP269,"r0,b5")/2+COUNTIF($G269:$BP269,"p5,b5")/2</f>
        <v/>
      </c>
      <c r="BT269" s="195">
        <f>COUNTIF($G269:$BP269,"c")+COUNTIF($G269:$BP269,"r0,c5")/2+COUNTIF($G269:$BP269,"p5,c5")/2</f>
        <v/>
      </c>
      <c r="BU269" s="195">
        <f>COUNTIF($G269:$BP269,"KH")+COUNTIF($G269:$BP269,"TL")+COUNTIF($G269:$BP269,"L")</f>
        <v/>
      </c>
      <c r="BV269" s="202" t="n"/>
      <c r="BW269" s="195">
        <f>COUNTIF($G269:$BP269,"hh")</f>
        <v/>
      </c>
      <c r="BX269" s="195">
        <f>COUNTIF($G269:$BP269,"nt7")</f>
        <v/>
      </c>
      <c r="BY269" s="195">
        <f>COUNTIF($G269:$BP269,"P")+COUNTIF($G269:$BP269,"p5,a5")/2+COUNTIF($G269:$BP269,"p5,b5")/2+COUNTIF($G269:$BP269,"p5,c5")/2+COUNTIF($G269:$BP269,"p5,d5")/2</f>
        <v/>
      </c>
      <c r="BZ269" s="203">
        <f>SUBTOTAL(9,BQ269:BY269)</f>
        <v/>
      </c>
      <c r="CA269" s="54">
        <f>SUM(J269,L269,N269,P269,R269,T269,X269,Z269,AB269,AD269,AF269,AH269,AL269,AN269,AP269,AR269,AT269,AV269,AZ269,BB269,BD269,BF269,BH269,BP269)</f>
        <v/>
      </c>
      <c r="CB269" s="55">
        <f>SUM(H269,V269,AJ269,AX269,BL269)</f>
        <v/>
      </c>
      <c r="CC269" s="56">
        <f>SUM(BJ269,BN269)</f>
        <v/>
      </c>
      <c r="CD269" s="197">
        <f>IF(BZ269&gt;25,4,IF(BZ269&gt;18,3,IF(BZ269&gt;12,2,IF(BZ269&gt;4,1,0))))-BX269-2+1</f>
        <v/>
      </c>
      <c r="CE269" s="49" t="n">
        <v>1</v>
      </c>
      <c r="CF269" s="204">
        <f>CD269*CI269</f>
        <v/>
      </c>
      <c r="CG269" s="198">
        <f>F269-BY269+1</f>
        <v/>
      </c>
      <c r="CH269" s="197">
        <f>CE269*16</f>
        <v/>
      </c>
      <c r="CI269" s="199">
        <f>VLOOKUP(A269,[1]DATA!$A$6:$AI$331,34,0)</f>
        <v/>
      </c>
      <c r="CJ269" s="200">
        <f>VLOOKUP(A269,[2]CHAMCONG!A$7:CI$333,79,0)</f>
        <v/>
      </c>
      <c r="CK269" s="201">
        <f>CJ269-CA269</f>
        <v/>
      </c>
      <c r="CL269" s="68" t="n"/>
      <c r="CM269" s="68" t="n"/>
    </row>
    <row r="270" ht="18" customFormat="1" customHeight="1" s="75">
      <c r="A270" s="69" t="n"/>
      <c r="B270" s="64" t="n"/>
      <c r="C270" s="115" t="n"/>
      <c r="D270" s="46" t="n"/>
      <c r="E270" s="47" t="n"/>
      <c r="F270" s="48" t="n"/>
      <c r="G270" s="49" t="n"/>
      <c r="H270" s="73" t="n"/>
      <c r="I270" s="50" t="n"/>
      <c r="J270" s="73" t="n"/>
      <c r="K270" s="50" t="n"/>
      <c r="L270" s="73" t="n"/>
      <c r="M270" s="50" t="n"/>
      <c r="N270" s="73" t="n"/>
      <c r="O270" s="50" t="n"/>
      <c r="P270" s="73" t="n"/>
      <c r="Q270" s="50" t="n"/>
      <c r="R270" s="67" t="n"/>
      <c r="S270" s="50" t="n"/>
      <c r="T270" s="73" t="n"/>
      <c r="U270" s="49" t="n"/>
      <c r="V270" s="73" t="n"/>
      <c r="W270" s="50" t="n"/>
      <c r="X270" s="73" t="n"/>
      <c r="Y270" s="50" t="n"/>
      <c r="Z270" s="73" t="n"/>
      <c r="AA270" s="50" t="n"/>
      <c r="AB270" s="73" t="n"/>
      <c r="AC270" s="50" t="n"/>
      <c r="AD270" s="73" t="n"/>
      <c r="AE270" s="50" t="n"/>
      <c r="AF270" s="67" t="n"/>
      <c r="AG270" s="50" t="n"/>
      <c r="AH270" s="73" t="n"/>
      <c r="AI270" s="73" t="n"/>
      <c r="AJ270" s="73" t="n"/>
      <c r="AK270" s="50" t="n"/>
      <c r="AL270" s="73" t="n"/>
      <c r="AM270" s="50" t="n"/>
      <c r="AN270" s="73" t="n"/>
      <c r="AO270" s="50" t="n"/>
      <c r="AP270" s="73" t="n"/>
      <c r="AQ270" s="50" t="n"/>
      <c r="AR270" s="73" t="n"/>
      <c r="AS270" s="50" t="n"/>
      <c r="AT270" s="67" t="n"/>
      <c r="AU270" s="50" t="n"/>
      <c r="AV270" s="73" t="n"/>
      <c r="AW270" s="73" t="n"/>
      <c r="AX270" s="73" t="n"/>
      <c r="AY270" s="50" t="n"/>
      <c r="AZ270" s="73" t="n"/>
      <c r="BA270" s="50" t="n"/>
      <c r="BB270" s="73" t="n"/>
      <c r="BC270" s="50" t="n"/>
      <c r="BD270" s="73" t="n"/>
      <c r="BE270" s="50" t="n"/>
      <c r="BF270" s="73" t="n"/>
      <c r="BG270" s="50" t="n"/>
      <c r="BH270" s="67" t="n"/>
      <c r="BI270" s="73" t="n"/>
      <c r="BJ270" s="73" t="n"/>
      <c r="BK270" s="73" t="n"/>
      <c r="BL270" s="73" t="n"/>
      <c r="BM270" s="73" t="n"/>
      <c r="BN270" s="73" t="n"/>
      <c r="BO270" s="73" t="n"/>
      <c r="BP270" s="73" t="n"/>
      <c r="BQ270" s="195">
        <f>COUNTIF($G270:$BP270,"a")+COUNTIF($G270:$BP270,"r0,a5")/2+COUNTIF($G270:$BP270,"p5,a5")/2</f>
        <v/>
      </c>
      <c r="BR270" s="195">
        <f>COUNTIF($G270:$BP270,"d")+COUNTIF($G270:$BP270,"r0,d5")/2+COUNTIF($G270:$BP270,"p5,d5")/2</f>
        <v/>
      </c>
      <c r="BS270" s="195">
        <f>COUNTIF($G270:$BP270,"b")+COUNTIF($G270:$BP270,"r0,b5")/2+COUNTIF($G270:$BP270,"p5,b5")/2</f>
        <v/>
      </c>
      <c r="BT270" s="195">
        <f>COUNTIF($G270:$BP270,"c")+COUNTIF($G270:$BP270,"r0,c5")/2+COUNTIF($G270:$BP270,"p5,c5")/2</f>
        <v/>
      </c>
      <c r="BU270" s="195">
        <f>COUNTIF($G270:$BP270,"KH")+COUNTIF($G270:$BP270,"TL")+COUNTIF($G270:$BP270,"L")</f>
        <v/>
      </c>
      <c r="BV270" s="202" t="n"/>
      <c r="BW270" s="195">
        <f>COUNTIF($G270:$BP270,"hh")</f>
        <v/>
      </c>
      <c r="BX270" s="195">
        <f>COUNTIF($G270:$BP270,"nt7")</f>
        <v/>
      </c>
      <c r="BY270" s="195">
        <f>COUNTIF($G270:$BP270,"P")+COUNTIF($G270:$BP270,"p5,a5")/2+COUNTIF($G270:$BP270,"p5,b5")/2+COUNTIF($G270:$BP270,"p5,c5")/2+COUNTIF($G270:$BP270,"p5,d5")/2</f>
        <v/>
      </c>
      <c r="BZ270" s="203">
        <f>SUBTOTAL(9,BQ270:BY270)</f>
        <v/>
      </c>
      <c r="CA270" s="54">
        <f>SUM(J270,L270,N270,P270,R270,T270,X270,Z270,AB270,AD270,AF270,AH270,AL270,AN270,AP270,AR270,AT270,AV270,AZ270,BB270,BD270,BF270,BH270,BP270)</f>
        <v/>
      </c>
      <c r="CB270" s="55">
        <f>SUM(H270,V270,AJ270,AX270,BL270)</f>
        <v/>
      </c>
      <c r="CC270" s="56">
        <f>SUM(BJ270,BN270)</f>
        <v/>
      </c>
      <c r="CD270" s="197">
        <f>IF(BZ270&gt;25,4,IF(BZ270&gt;18,3,IF(BZ270&gt;12,2,IF(BZ270&gt;4,1,0))))-BX270-2+1</f>
        <v/>
      </c>
      <c r="CE270" s="49" t="n"/>
      <c r="CF270" s="204">
        <f>CD270*CI270</f>
        <v/>
      </c>
      <c r="CG270" s="198">
        <f>F270-BY270+1</f>
        <v/>
      </c>
      <c r="CH270" s="197">
        <f>CE270*16</f>
        <v/>
      </c>
      <c r="CI270" s="199">
        <f>VLOOKUP(A270,[1]DATA!$A$6:$AI$331,34,0)</f>
        <v/>
      </c>
      <c r="CJ270" s="200">
        <f>VLOOKUP(A270,[2]CHAMCONG!A$7:CI$333,79,0)</f>
        <v/>
      </c>
      <c r="CK270" s="201">
        <f>CJ270-CA270</f>
        <v/>
      </c>
      <c r="CL270" s="68" t="n"/>
      <c r="CM270" s="68" t="n"/>
    </row>
    <row r="271" ht="18" customFormat="1" customHeight="1" s="75">
      <c r="A271" s="69" t="n"/>
      <c r="B271" s="64" t="n"/>
      <c r="C271" s="115" t="n"/>
      <c r="D271" s="46" t="n"/>
      <c r="E271" s="47" t="n"/>
      <c r="F271" s="48" t="n"/>
      <c r="G271" s="49" t="n"/>
      <c r="H271" s="73" t="n"/>
      <c r="I271" s="50" t="n"/>
      <c r="J271" s="73" t="n"/>
      <c r="K271" s="50" t="n"/>
      <c r="L271" s="73" t="n"/>
      <c r="M271" s="73" t="n"/>
      <c r="N271" s="73" t="n"/>
      <c r="O271" s="49" t="n"/>
      <c r="P271" s="73" t="n"/>
      <c r="Q271" s="49" t="n"/>
      <c r="R271" s="73" t="n"/>
      <c r="S271" s="50" t="n"/>
      <c r="T271" s="73" t="n"/>
      <c r="U271" s="50" t="n"/>
      <c r="V271" s="73" t="n"/>
      <c r="W271" s="50" t="n"/>
      <c r="X271" s="73" t="n"/>
      <c r="Y271" s="50" t="n"/>
      <c r="Z271" s="73" t="n"/>
      <c r="AA271" s="50" t="n"/>
      <c r="AB271" s="73" t="n"/>
      <c r="AC271" s="50" t="n"/>
      <c r="AD271" s="73" t="n"/>
      <c r="AE271" s="73" t="n"/>
      <c r="AF271" s="73" t="n"/>
      <c r="AG271" s="73" t="n"/>
      <c r="AH271" s="73" t="n"/>
      <c r="AI271" s="73" t="n"/>
      <c r="AJ271" s="73" t="n"/>
      <c r="AK271" s="73" t="n"/>
      <c r="AL271" s="73" t="n"/>
      <c r="AM271" s="73" t="n"/>
      <c r="AN271" s="73" t="n"/>
      <c r="AO271" s="73" t="n"/>
      <c r="AP271" s="73" t="n"/>
      <c r="AQ271" s="73" t="n"/>
      <c r="AR271" s="73" t="n"/>
      <c r="AS271" s="73" t="n"/>
      <c r="AT271" s="73" t="n"/>
      <c r="AU271" s="73" t="n"/>
      <c r="AV271" s="73" t="n"/>
      <c r="AW271" s="73" t="n"/>
      <c r="AX271" s="73" t="n"/>
      <c r="AY271" s="73" t="n"/>
      <c r="AZ271" s="73" t="n"/>
      <c r="BA271" s="73" t="n"/>
      <c r="BB271" s="73" t="n"/>
      <c r="BC271" s="73" t="n"/>
      <c r="BD271" s="73" t="n"/>
      <c r="BE271" s="73" t="n"/>
      <c r="BF271" s="73" t="n"/>
      <c r="BG271" s="73" t="n"/>
      <c r="BH271" s="73" t="n"/>
      <c r="BI271" s="73" t="n"/>
      <c r="BJ271" s="73" t="n"/>
      <c r="BK271" s="73" t="n"/>
      <c r="BL271" s="73" t="n"/>
      <c r="BM271" s="73" t="n"/>
      <c r="BN271" s="73" t="n"/>
      <c r="BO271" s="73" t="n"/>
      <c r="BP271" s="73" t="n"/>
      <c r="BQ271" s="195">
        <f>COUNTIF($G271:$BP271,"a")+COUNTIF($G271:$BP271,"r0,a5")/2+COUNTIF($G271:$BP271,"p5,a5")/2</f>
        <v/>
      </c>
      <c r="BR271" s="195">
        <f>COUNTIF($G271:$BP271,"d")+COUNTIF($G271:$BP271,"r0,d5")/2+COUNTIF($G271:$BP271,"p5,d5")/2</f>
        <v/>
      </c>
      <c r="BS271" s="195">
        <f>COUNTIF($G271:$BP271,"b")+COUNTIF($G271:$BP271,"r0,b5")/2+COUNTIF($G271:$BP271,"p5,b5")/2</f>
        <v/>
      </c>
      <c r="BT271" s="195">
        <f>COUNTIF($G271:$BP271,"c")+COUNTIF($G271:$BP271,"r0,c5")/2+COUNTIF($G271:$BP271,"p5,c5")/2</f>
        <v/>
      </c>
      <c r="BU271" s="195">
        <f>COUNTIF($G271:$BP271,"KH")+COUNTIF($G271:$BP271,"TL")+COUNTIF($G271:$BP271,"L")</f>
        <v/>
      </c>
      <c r="BV271" s="202" t="n"/>
      <c r="BW271" s="195">
        <f>COUNTIF($G271:$BP271,"hh")</f>
        <v/>
      </c>
      <c r="BX271" s="195">
        <f>COUNTIF($G271:$BP271,"nt7")</f>
        <v/>
      </c>
      <c r="BY271" s="195">
        <f>COUNTIF($G271:$BP271,"P")+COUNTIF($G271:$BP271,"p5,a5")/2+COUNTIF($G271:$BP271,"p5,b5")/2+COUNTIF($G271:$BP271,"p5,c5")/2+COUNTIF($G271:$BP271,"p5,d5")/2</f>
        <v/>
      </c>
      <c r="BZ271" s="203">
        <f>SUBTOTAL(9,BQ271:BY271)</f>
        <v/>
      </c>
      <c r="CA271" s="54">
        <f>SUM(J271,L271,N271,P271,R271,T271,X271,Z271,AB271,AD271,AF271,AH271,AL271,AN271,AP271,AR271,AT271,AV271,AZ271,BB271,BD271,BF271,BH271,BP271)</f>
        <v/>
      </c>
      <c r="CB271" s="55">
        <f>SUM(H271,V271,AJ271,AX271,BL271)</f>
        <v/>
      </c>
      <c r="CC271" s="56">
        <f>SUM(BJ271,BN271)</f>
        <v/>
      </c>
      <c r="CD271" s="197">
        <f>IF(BZ271&gt;25,4,IF(BZ271&gt;18,3,IF(BZ271&gt;12,2,IF(BZ271&gt;4,1,0))))-BX271-2+1</f>
        <v/>
      </c>
      <c r="CE271" s="49" t="n">
        <v>2</v>
      </c>
      <c r="CF271" s="204">
        <f>CD271*CI271</f>
        <v/>
      </c>
      <c r="CG271" s="198">
        <f>F271-BY271+1</f>
        <v/>
      </c>
      <c r="CH271" s="197">
        <f>CE271*16</f>
        <v/>
      </c>
      <c r="CI271" s="199">
        <f>VLOOKUP(A271,[1]DATA!$A$6:$AI$331,34,0)</f>
        <v/>
      </c>
      <c r="CJ271" s="200">
        <f>VLOOKUP(A271,[2]CHAMCONG!A$7:CI$333,79,0)</f>
        <v/>
      </c>
      <c r="CK271" s="201">
        <f>CJ271-CA271</f>
        <v/>
      </c>
      <c r="CL271" s="68" t="n"/>
      <c r="CM271" s="68" t="n"/>
    </row>
    <row r="272" ht="15" customFormat="1" customHeight="1" s="68">
      <c r="A272" s="69" t="n"/>
      <c r="B272" s="64" t="n"/>
      <c r="C272" s="115" t="n"/>
      <c r="D272" s="46" t="n"/>
      <c r="E272" s="47" t="n"/>
      <c r="F272" s="48" t="n"/>
      <c r="G272" s="49" t="n"/>
      <c r="H272" s="73" t="n"/>
      <c r="I272" s="50" t="n"/>
      <c r="J272" s="73" t="n"/>
      <c r="K272" s="67" t="n"/>
      <c r="L272" s="73" t="n"/>
      <c r="M272" s="67" t="n"/>
      <c r="N272" s="73" t="n"/>
      <c r="O272" s="73" t="n"/>
      <c r="P272" s="73" t="n"/>
      <c r="Q272" s="73" t="n"/>
      <c r="R272" s="73" t="n"/>
      <c r="S272" s="73" t="n"/>
      <c r="T272" s="73" t="n"/>
      <c r="U272" s="73" t="n"/>
      <c r="V272" s="73" t="n"/>
      <c r="W272" s="73" t="n"/>
      <c r="X272" s="73" t="n"/>
      <c r="Y272" s="73" t="n"/>
      <c r="Z272" s="73" t="n"/>
      <c r="AA272" s="73" t="n"/>
      <c r="AB272" s="73" t="n"/>
      <c r="AC272" s="73" t="n"/>
      <c r="AD272" s="73" t="n"/>
      <c r="AE272" s="73" t="n"/>
      <c r="AF272" s="73" t="n"/>
      <c r="AG272" s="73" t="n"/>
      <c r="AH272" s="73" t="n"/>
      <c r="AI272" s="73" t="n"/>
      <c r="AJ272" s="73" t="n"/>
      <c r="AK272" s="73" t="n"/>
      <c r="AL272" s="73" t="n"/>
      <c r="AM272" s="73" t="n"/>
      <c r="AN272" s="73" t="n"/>
      <c r="AO272" s="73" t="n"/>
      <c r="AP272" s="73" t="n"/>
      <c r="AQ272" s="73" t="n"/>
      <c r="AR272" s="73" t="n"/>
      <c r="AS272" s="73" t="n"/>
      <c r="AT272" s="73" t="n"/>
      <c r="AU272" s="73" t="n"/>
      <c r="AV272" s="73" t="n"/>
      <c r="AW272" s="73" t="n"/>
      <c r="AX272" s="73" t="n"/>
      <c r="AY272" s="73" t="n"/>
      <c r="AZ272" s="73" t="n"/>
      <c r="BA272" s="73" t="n"/>
      <c r="BB272" s="73" t="n"/>
      <c r="BC272" s="73" t="n"/>
      <c r="BD272" s="73" t="n"/>
      <c r="BE272" s="73" t="n"/>
      <c r="BF272" s="73" t="n"/>
      <c r="BG272" s="73" t="n"/>
      <c r="BH272" s="73" t="n"/>
      <c r="BI272" s="73" t="n"/>
      <c r="BJ272" s="73" t="n"/>
      <c r="BK272" s="73" t="n"/>
      <c r="BL272" s="73" t="n"/>
      <c r="BM272" s="73" t="n"/>
      <c r="BN272" s="73" t="n"/>
      <c r="BO272" s="73" t="n"/>
      <c r="BP272" s="73" t="n"/>
      <c r="BQ272" s="195">
        <f>COUNTIF($G272:$BP272,"a")+COUNTIF($G272:$BP272,"r0,a5")/2+COUNTIF($G272:$BP272,"p5,a5")/2</f>
        <v/>
      </c>
      <c r="BR272" s="195">
        <f>COUNTIF($G272:$BP272,"d")+COUNTIF($G272:$BP272,"r0,d5")/2+COUNTIF($G272:$BP272,"p5,d5")/2</f>
        <v/>
      </c>
      <c r="BS272" s="195">
        <f>COUNTIF($G272:$BP272,"b")+COUNTIF($G272:$BP272,"r0,b5")/2+COUNTIF($G272:$BP272,"p5,b5")/2</f>
        <v/>
      </c>
      <c r="BT272" s="195">
        <f>COUNTIF($G272:$BP272,"c")+COUNTIF($G272:$BP272,"r0,c5")/2+COUNTIF($G272:$BP272,"p5,c5")/2</f>
        <v/>
      </c>
      <c r="BU272" s="195">
        <f>COUNTIF($G272:$BP272,"KH")+COUNTIF($G272:$BP272,"TL")+COUNTIF($G272:$BP272,"L")</f>
        <v/>
      </c>
      <c r="BV272" s="202" t="n"/>
      <c r="BW272" s="195">
        <f>COUNTIF($G272:$BP272,"hh")</f>
        <v/>
      </c>
      <c r="BX272" s="195">
        <f>COUNTIF($G272:$BP272,"nt7")</f>
        <v/>
      </c>
      <c r="BY272" s="195">
        <f>COUNTIF($G272:$BP272,"P")+COUNTIF($G272:$BP272,"p5,a5")/2+COUNTIF($G272:$BP272,"p5,b5")/2+COUNTIF($G272:$BP272,"p5,c5")/2+COUNTIF($G272:$BP272,"p5,d5")/2</f>
        <v/>
      </c>
      <c r="BZ272" s="203">
        <f>SUBTOTAL(9,BQ272:BY272)</f>
        <v/>
      </c>
      <c r="CA272" s="54">
        <f>SUM(J272,L272,N272,P272,R272,T272,X272,Z272,AB272,AD272,AF272,AH272,AL272,AN272,AP272,AR272,AT272,AV272,AZ272,BB272,BD272,BF272,BH272,BP272)</f>
        <v/>
      </c>
      <c r="CB272" s="55">
        <f>SUM(H272,V272,AJ272,AX272,BL272)</f>
        <v/>
      </c>
      <c r="CC272" s="56">
        <f>SUM(BJ272,BN272)</f>
        <v/>
      </c>
      <c r="CD272" s="197">
        <f>IF(BZ272&gt;25,4,IF(BZ272&gt;18,3,IF(BZ272&gt;12,2,IF(BZ272&gt;4,1,0))))-BX272-2+1</f>
        <v/>
      </c>
      <c r="CE272" s="49" t="n">
        <v>2</v>
      </c>
      <c r="CF272" s="197">
        <f>CD272*CI272</f>
        <v/>
      </c>
      <c r="CG272" s="198">
        <f>F272-BY272+1</f>
        <v/>
      </c>
      <c r="CH272" s="197">
        <f>CE272*16</f>
        <v/>
      </c>
      <c r="CI272" s="199">
        <f>VLOOKUP(A272,[1]DATA!$A$6:$AI$331,34,0)</f>
        <v/>
      </c>
      <c r="CJ272" s="200">
        <f>VLOOKUP(A272,[2]CHAMCONG!A$7:CI$333,79,0)</f>
        <v/>
      </c>
      <c r="CK272" s="201">
        <f>CJ272-CA272</f>
        <v/>
      </c>
      <c r="CL272" s="68" t="n"/>
      <c r="CM272" s="68" t="n"/>
    </row>
    <row r="273" ht="18" customFormat="1" customHeight="1" s="75">
      <c r="A273" s="139" t="n"/>
      <c r="B273" s="64" t="n"/>
      <c r="C273" s="115" t="n"/>
      <c r="D273" s="46" t="n"/>
      <c r="E273" s="47" t="n"/>
      <c r="F273" s="48" t="n"/>
      <c r="G273" s="49" t="n"/>
      <c r="H273" s="73" t="n"/>
      <c r="I273" s="73" t="n"/>
      <c r="J273" s="73" t="n"/>
      <c r="K273" s="73" t="n"/>
      <c r="L273" s="73" t="n"/>
      <c r="M273" s="73" t="n"/>
      <c r="N273" s="73" t="n"/>
      <c r="O273" s="73" t="n"/>
      <c r="P273" s="73" t="n"/>
      <c r="Q273" s="73" t="n"/>
      <c r="R273" s="73" t="n"/>
      <c r="S273" s="73" t="n"/>
      <c r="T273" s="73" t="n"/>
      <c r="U273" s="49" t="n"/>
      <c r="V273" s="49" t="n"/>
      <c r="W273" s="49" t="n"/>
      <c r="X273" s="49" t="n"/>
      <c r="Y273" s="49" t="n"/>
      <c r="Z273" s="49" t="n"/>
      <c r="AA273" s="49" t="n"/>
      <c r="AB273" s="49" t="n"/>
      <c r="AC273" s="50" t="n"/>
      <c r="AD273" s="73" t="n"/>
      <c r="AE273" s="50" t="n"/>
      <c r="AF273" s="67" t="n"/>
      <c r="AG273" s="50" t="n"/>
      <c r="AH273" s="73" t="n"/>
      <c r="AI273" s="49" t="n"/>
      <c r="AJ273" s="73" t="n"/>
      <c r="AK273" s="49" t="n"/>
      <c r="AL273" s="73" t="n"/>
      <c r="AM273" s="49" t="n"/>
      <c r="AN273" s="73" t="n"/>
      <c r="AO273" s="49" t="n"/>
      <c r="AP273" s="73" t="n"/>
      <c r="AQ273" s="73" t="n"/>
      <c r="AR273" s="73" t="n"/>
      <c r="AS273" s="73" t="n"/>
      <c r="AT273" s="73" t="n"/>
      <c r="AU273" s="73" t="n"/>
      <c r="AV273" s="73" t="n"/>
      <c r="AW273" s="73" t="n"/>
      <c r="AX273" s="73" t="n"/>
      <c r="AY273" s="73" t="n"/>
      <c r="AZ273" s="73" t="n"/>
      <c r="BA273" s="50" t="n"/>
      <c r="BB273" s="73" t="n"/>
      <c r="BC273" s="50" t="n"/>
      <c r="BD273" s="73" t="n"/>
      <c r="BE273" s="50" t="n"/>
      <c r="BF273" s="73" t="n"/>
      <c r="BG273" s="50" t="n"/>
      <c r="BH273" s="67" t="n"/>
      <c r="BI273" s="73" t="n"/>
      <c r="BJ273" s="73" t="n"/>
      <c r="BK273" s="73" t="n"/>
      <c r="BL273" s="73" t="n"/>
      <c r="BM273" s="73" t="n"/>
      <c r="BN273" s="73" t="n"/>
      <c r="BO273" s="73" t="n"/>
      <c r="BP273" s="73" t="n"/>
      <c r="BQ273" s="195">
        <f>COUNTIF($G273:$BP273,"a")+COUNTIF($G273:$BP273,"r0,a5")/2+COUNTIF($G273:$BP273,"p5,a5")/2</f>
        <v/>
      </c>
      <c r="BR273" s="195">
        <f>COUNTIF($G273:$BP273,"d")+COUNTIF($G273:$BP273,"r0,d5")/2+COUNTIF($G273:$BP273,"p5,d5")/2</f>
        <v/>
      </c>
      <c r="BS273" s="195">
        <f>COUNTIF($G273:$BP273,"b")+COUNTIF($G273:$BP273,"r0,b5")/2+COUNTIF($G273:$BP273,"p5,b5")/2</f>
        <v/>
      </c>
      <c r="BT273" s="195">
        <f>COUNTIF($G273:$BP273,"c")+COUNTIF($G273:$BP273,"r0,c5")/2+COUNTIF($G273:$BP273,"p5,c5")/2</f>
        <v/>
      </c>
      <c r="BU273" s="195">
        <f>COUNTIF($G273:$BP273,"KH")+COUNTIF($G273:$BP273,"TL")+COUNTIF($G273:$BP273,"L")</f>
        <v/>
      </c>
      <c r="BV273" s="202" t="n"/>
      <c r="BW273" s="195">
        <f>COUNTIF($G273:$BP273,"hh")</f>
        <v/>
      </c>
      <c r="BX273" s="195">
        <f>COUNTIF($G273:$BP273,"nt7")</f>
        <v/>
      </c>
      <c r="BY273" s="195">
        <f>COUNTIF($G273:$BP273,"P")+COUNTIF($G273:$BP273,"p5,a5")/2+COUNTIF($G273:$BP273,"p5,b5")/2+COUNTIF($G273:$BP273,"p5,c5")/2+COUNTIF($G273:$BP273,"p5,d5")/2</f>
        <v/>
      </c>
      <c r="BZ273" s="203">
        <f>SUBTOTAL(9,BQ273:BY273)</f>
        <v/>
      </c>
      <c r="CA273" s="54">
        <f>SUM(J273,L273,N273,P273,R273,T273,X273,Z273,AB273,AD273,AF273,AH273,AL273,AN273,AP273,AR273,AT273,AV273,AZ273,BB273,BD273,BF273,BH273,BP273)</f>
        <v/>
      </c>
      <c r="CB273" s="55">
        <f>SUM(H273,V273,AJ273,AX273,BL273)</f>
        <v/>
      </c>
      <c r="CC273" s="56">
        <f>SUM(BJ273,BN273)</f>
        <v/>
      </c>
      <c r="CD273" s="197">
        <f>IF(BZ273&gt;25,4,IF(BZ273&gt;18,3,IF(BZ273&gt;12,2,IF(BZ273&gt;4,1,0))))-BX273-2+1</f>
        <v/>
      </c>
      <c r="CE273" s="49" t="n">
        <v>1</v>
      </c>
      <c r="CF273" s="197">
        <f>CD273*CI273</f>
        <v/>
      </c>
      <c r="CG273" s="198">
        <f>F273-BY273+1</f>
        <v/>
      </c>
      <c r="CH273" s="197">
        <f>CE273*16</f>
        <v/>
      </c>
      <c r="CI273" s="199">
        <f>VLOOKUP(A273,[1]DATA!$A$6:$AI$331,34,0)</f>
        <v/>
      </c>
      <c r="CJ273" s="200">
        <f>VLOOKUP(A273,[2]CHAMCONG!A$7:CI$333,79,0)</f>
        <v/>
      </c>
      <c r="CK273" s="201">
        <f>CJ273-CA273</f>
        <v/>
      </c>
      <c r="CL273" s="68" t="n"/>
      <c r="CM273" s="68" t="n"/>
    </row>
    <row r="274" ht="18" customFormat="1" customHeight="1" s="75">
      <c r="A274" s="139" t="n"/>
      <c r="B274" s="64" t="n"/>
      <c r="C274" s="115" t="n"/>
      <c r="D274" s="46" t="n"/>
      <c r="E274" s="47" t="n"/>
      <c r="F274" s="48" t="n"/>
      <c r="G274" s="49" t="n"/>
      <c r="H274" s="73" t="n"/>
      <c r="I274" s="50" t="n"/>
      <c r="J274" s="73" t="n"/>
      <c r="K274" s="73" t="n"/>
      <c r="L274" s="73" t="n"/>
      <c r="M274" s="73" t="n"/>
      <c r="N274" s="73" t="n"/>
      <c r="O274" s="50" t="n"/>
      <c r="P274" s="73" t="n"/>
      <c r="Q274" s="73" t="n"/>
      <c r="R274" s="73" t="n"/>
      <c r="S274" s="73" t="n"/>
      <c r="T274" s="73" t="n"/>
      <c r="U274" s="49" t="n"/>
      <c r="V274" s="73" t="n"/>
      <c r="W274" s="50" t="n"/>
      <c r="X274" s="73" t="n"/>
      <c r="Y274" s="73" t="n"/>
      <c r="Z274" s="73" t="n"/>
      <c r="AA274" s="73" t="n"/>
      <c r="AB274" s="73" t="n"/>
      <c r="AC274" s="50" t="n"/>
      <c r="AD274" s="73" t="n"/>
      <c r="AE274" s="73" t="n"/>
      <c r="AF274" s="73" t="n"/>
      <c r="AG274" s="73" t="n"/>
      <c r="AH274" s="73" t="n"/>
      <c r="AI274" s="73" t="n"/>
      <c r="AJ274" s="73" t="n"/>
      <c r="AK274" s="50" t="n"/>
      <c r="AL274" s="73" t="n"/>
      <c r="AM274" s="73" t="n"/>
      <c r="AN274" s="73" t="n"/>
      <c r="AO274" s="73" t="n"/>
      <c r="AP274" s="73" t="n"/>
      <c r="AQ274" s="50" t="n"/>
      <c r="AR274" s="73" t="n"/>
      <c r="AS274" s="73" t="n"/>
      <c r="AT274" s="73" t="n"/>
      <c r="AU274" s="73" t="n"/>
      <c r="AV274" s="73" t="n"/>
      <c r="AW274" s="73" t="n"/>
      <c r="AX274" s="73" t="n"/>
      <c r="AY274" s="50" t="n"/>
      <c r="AZ274" s="73" t="n"/>
      <c r="BA274" s="73" t="n"/>
      <c r="BB274" s="73" t="n"/>
      <c r="BC274" s="73" t="n"/>
      <c r="BD274" s="73" t="n"/>
      <c r="BE274" s="50" t="n"/>
      <c r="BF274" s="73" t="n"/>
      <c r="BG274" s="73" t="n"/>
      <c r="BH274" s="73" t="n"/>
      <c r="BI274" s="73" t="n"/>
      <c r="BJ274" s="73" t="n"/>
      <c r="BK274" s="73" t="n"/>
      <c r="BL274" s="73" t="n"/>
      <c r="BM274" s="73" t="n"/>
      <c r="BN274" s="73" t="n"/>
      <c r="BO274" s="73" t="n"/>
      <c r="BP274" s="73" t="n"/>
      <c r="BQ274" s="195">
        <f>COUNTIF($G274:$BP274,"a")+COUNTIF($G274:$BP274,"r0,a5")/2+COUNTIF($G274:$BP274,"p5,a5")/2</f>
        <v/>
      </c>
      <c r="BR274" s="195">
        <f>COUNTIF($G274:$BP274,"d")+COUNTIF($G274:$BP274,"r0,d5")/2+COUNTIF($G274:$BP274,"p5,d5")/2</f>
        <v/>
      </c>
      <c r="BS274" s="195">
        <f>COUNTIF($G274:$BP274,"b")+COUNTIF($G274:$BP274,"r0,b5")/2+COUNTIF($G274:$BP274,"p5,b5")/2</f>
        <v/>
      </c>
      <c r="BT274" s="195">
        <f>COUNTIF($G274:$BP274,"c")+COUNTIF($G274:$BP274,"r0,c5")/2+COUNTIF($G274:$BP274,"p5,c5")/2</f>
        <v/>
      </c>
      <c r="BU274" s="195">
        <f>COUNTIF($G274:$BP274,"KH")+COUNTIF($G274:$BP274,"TL")+COUNTIF($G274:$BP274,"L")</f>
        <v/>
      </c>
      <c r="BV274" s="202" t="n"/>
      <c r="BW274" s="195">
        <f>COUNTIF($G274:$BP274,"hh")</f>
        <v/>
      </c>
      <c r="BX274" s="195">
        <f>COUNTIF($G274:$BP274,"nt7")</f>
        <v/>
      </c>
      <c r="BY274" s="195">
        <f>COUNTIF($G274:$BP274,"P")+COUNTIF($G274:$BP274,"p5,a5")/2+COUNTIF($G274:$BP274,"p5,b5")/2+COUNTIF($G274:$BP274,"p5,c5")/2+COUNTIF($G274:$BP274,"p5,d5")/2</f>
        <v/>
      </c>
      <c r="BZ274" s="203">
        <f>SUBTOTAL(9,BQ274:BY274)</f>
        <v/>
      </c>
      <c r="CA274" s="54">
        <f>SUM(J274,L274,N274,P274,R274,T274,X274,Z274,AB274,AD274,AF274,AH274,AL274,AN274,AP274,AR274,AT274,AV274,AZ274,BB274,BD274,BF274,BH274,BP274)</f>
        <v/>
      </c>
      <c r="CB274" s="55">
        <f>SUM(H274,V274,AJ274,AX274,BL274)</f>
        <v/>
      </c>
      <c r="CC274" s="56">
        <f>SUM(BJ274,BN274)</f>
        <v/>
      </c>
      <c r="CD274" s="197">
        <f>IF(BZ274&gt;25,4,IF(BZ274&gt;18,3,IF(BZ274&gt;12,2,IF(BZ274&gt;4,1,0))))-BX274-2+1</f>
        <v/>
      </c>
      <c r="CE274" s="49" t="n"/>
      <c r="CF274" s="197">
        <f>CD274*CI274</f>
        <v/>
      </c>
      <c r="CG274" s="198">
        <f>F274-BY274+1</f>
        <v/>
      </c>
      <c r="CH274" s="197">
        <f>CE274*16</f>
        <v/>
      </c>
      <c r="CI274" s="199">
        <f>VLOOKUP(A274,[1]DATA!$A$6:$AI$331,34,0)</f>
        <v/>
      </c>
      <c r="CJ274" s="200">
        <f>VLOOKUP(A274,[2]CHAMCONG!A$7:CI$333,79,0)</f>
        <v/>
      </c>
      <c r="CK274" s="201">
        <f>CJ274-CA274</f>
        <v/>
      </c>
      <c r="CL274" s="68" t="n"/>
      <c r="CM274" s="68" t="n"/>
    </row>
    <row r="275" ht="18" customFormat="1" customHeight="1" s="75">
      <c r="A275" s="69" t="n"/>
      <c r="B275" s="64" t="n"/>
      <c r="C275" s="115" t="n"/>
      <c r="D275" s="46" t="n"/>
      <c r="E275" s="47" t="n"/>
      <c r="F275" s="48" t="n"/>
      <c r="G275" s="49" t="n"/>
      <c r="H275" s="73" t="n"/>
      <c r="I275" s="73" t="n"/>
      <c r="J275" s="73" t="n"/>
      <c r="K275" s="73" t="n"/>
      <c r="L275" s="73" t="n"/>
      <c r="M275" s="73" t="n"/>
      <c r="N275" s="73" t="n"/>
      <c r="O275" s="73" t="n"/>
      <c r="P275" s="73" t="n"/>
      <c r="Q275" s="49" t="n"/>
      <c r="R275" s="73" t="n"/>
      <c r="S275" s="49" t="n"/>
      <c r="T275" s="73" t="n"/>
      <c r="U275" s="50" t="n"/>
      <c r="V275" s="73" t="n"/>
      <c r="W275" s="50" t="n"/>
      <c r="X275" s="73" t="n"/>
      <c r="Y275" s="50" t="n"/>
      <c r="Z275" s="73" t="n"/>
      <c r="AA275" s="50" t="n"/>
      <c r="AB275" s="73" t="n"/>
      <c r="AC275" s="50" t="n"/>
      <c r="AD275" s="73" t="n"/>
      <c r="AE275" s="49" t="n"/>
      <c r="AF275" s="73" t="n"/>
      <c r="AG275" s="73" t="n"/>
      <c r="AH275" s="73" t="n"/>
      <c r="AI275" s="73" t="n"/>
      <c r="AJ275" s="73" t="n"/>
      <c r="AK275" s="73" t="n"/>
      <c r="AL275" s="73" t="n"/>
      <c r="AM275" s="73" t="n"/>
      <c r="AN275" s="73" t="n"/>
      <c r="AO275" s="73" t="n"/>
      <c r="AP275" s="73" t="n"/>
      <c r="AQ275" s="49" t="n"/>
      <c r="AR275" s="73" t="n"/>
      <c r="AS275" s="49" t="n"/>
      <c r="AT275" s="73" t="n"/>
      <c r="AU275" s="49" t="n"/>
      <c r="AV275" s="73" t="n"/>
      <c r="AW275" s="49" t="n"/>
      <c r="AX275" s="73" t="n"/>
      <c r="AY275" s="49" t="n"/>
      <c r="AZ275" s="73" t="n"/>
      <c r="BA275" s="49" t="n"/>
      <c r="BB275" s="73" t="n"/>
      <c r="BC275" s="49" t="n"/>
      <c r="BD275" s="73" t="n"/>
      <c r="BE275" s="49" t="n"/>
      <c r="BF275" s="73" t="n"/>
      <c r="BG275" s="49" t="n"/>
      <c r="BH275" s="73" t="n"/>
      <c r="BI275" s="73" t="n"/>
      <c r="BJ275" s="73" t="n"/>
      <c r="BK275" s="73" t="n"/>
      <c r="BL275" s="73" t="n"/>
      <c r="BM275" s="73" t="n"/>
      <c r="BN275" s="73" t="n"/>
      <c r="BO275" s="49" t="n"/>
      <c r="BP275" s="73" t="n"/>
      <c r="BQ275" s="195">
        <f>COUNTIF($G275:$BP275,"a")+COUNTIF($G275:$BP275,"r0,a5")/2+COUNTIF($G275:$BP275,"p5,a5")/2</f>
        <v/>
      </c>
      <c r="BR275" s="195">
        <f>COUNTIF($G275:$BP275,"d")+COUNTIF($G275:$BP275,"r0,d5")/2+COUNTIF($G275:$BP275,"p5,d5")/2</f>
        <v/>
      </c>
      <c r="BS275" s="195">
        <f>COUNTIF($G275:$BP275,"b")+COUNTIF($G275:$BP275,"r0,b5")/2+COUNTIF($G275:$BP275,"p5,b5")/2</f>
        <v/>
      </c>
      <c r="BT275" s="195">
        <f>COUNTIF($G275:$BP275,"c")+COUNTIF($G275:$BP275,"r0,c5")/2+COUNTIF($G275:$BP275,"p5,c5")/2</f>
        <v/>
      </c>
      <c r="BU275" s="195">
        <f>COUNTIF($G275:$BP275,"KH")+COUNTIF($G275:$BP275,"TL")+COUNTIF($G275:$BP275,"L")</f>
        <v/>
      </c>
      <c r="BV275" s="202" t="n"/>
      <c r="BW275" s="195">
        <f>COUNTIF($G275:$BP275,"hh")</f>
        <v/>
      </c>
      <c r="BX275" s="195">
        <f>COUNTIF($G275:$BP275,"nt7")</f>
        <v/>
      </c>
      <c r="BY275" s="195">
        <f>COUNTIF($G275:$BP275,"P")+COUNTIF($G275:$BP275,"p5,a5")/2+COUNTIF($G275:$BP275,"p5,b5")/2+COUNTIF($G275:$BP275,"p5,c5")/2+COUNTIF($G275:$BP275,"p5,d5")/2</f>
        <v/>
      </c>
      <c r="BZ275" s="203">
        <f>SUBTOTAL(9,BQ275:BY275)</f>
        <v/>
      </c>
      <c r="CA275" s="54">
        <f>SUM(J275,L275,N275,P275,R275,T275,X275,Z275,AB275,AD275,AF275,AH275,AL275,AN275,AP275,AR275,AT275,AV275,AZ275,BB275,BD275,BF275,BH275,BP275)</f>
        <v/>
      </c>
      <c r="CB275" s="55">
        <f>SUM(H275,V275,AJ275,AX275,BL275)</f>
        <v/>
      </c>
      <c r="CC275" s="56">
        <f>SUM(BJ275,BN275)</f>
        <v/>
      </c>
      <c r="CD275" s="197">
        <f>IF(BZ275&gt;25,4,IF(BZ275&gt;18,3,IF(BZ275&gt;12,2,IF(BZ275&gt;4,1,0))))-BX275-2+1</f>
        <v/>
      </c>
      <c r="CE275" s="49" t="n"/>
      <c r="CF275" s="197">
        <f>CD275*CI275</f>
        <v/>
      </c>
      <c r="CG275" s="198">
        <f>F275-BY275+1</f>
        <v/>
      </c>
      <c r="CH275" s="197">
        <f>CE275*16</f>
        <v/>
      </c>
      <c r="CI275" s="199">
        <f>VLOOKUP(A275,[1]DATA!$A$6:$AI$331,34,0)</f>
        <v/>
      </c>
      <c r="CJ275" s="200">
        <f>VLOOKUP(A275,[2]CHAMCONG!A$7:CI$333,79,0)</f>
        <v/>
      </c>
      <c r="CK275" s="201">
        <f>CJ275-CA275</f>
        <v/>
      </c>
      <c r="CL275" s="68" t="n"/>
      <c r="CM275" s="68" t="n"/>
    </row>
    <row r="276" ht="18" customFormat="1" customHeight="1" s="75">
      <c r="A276" s="139" t="n"/>
      <c r="B276" s="64" t="n"/>
      <c r="C276" s="115" t="n"/>
      <c r="D276" s="46" t="n"/>
      <c r="E276" s="47" t="n"/>
      <c r="F276" s="48" t="n"/>
      <c r="G276" s="49" t="n"/>
      <c r="H276" s="73" t="n"/>
      <c r="I276" s="73" t="n"/>
      <c r="J276" s="73" t="n"/>
      <c r="K276" s="73" t="n"/>
      <c r="L276" s="73" t="n"/>
      <c r="M276" s="49" t="n"/>
      <c r="N276" s="73" t="n"/>
      <c r="O276" s="73" t="n"/>
      <c r="P276" s="73" t="n"/>
      <c r="Q276" s="49" t="n"/>
      <c r="R276" s="73" t="n"/>
      <c r="S276" s="49" t="n"/>
      <c r="T276" s="73" t="n"/>
      <c r="U276" s="73" t="n"/>
      <c r="V276" s="73" t="n"/>
      <c r="W276" s="73" t="n"/>
      <c r="X276" s="73" t="n"/>
      <c r="Y276" s="73" t="n"/>
      <c r="Z276" s="73" t="n"/>
      <c r="AA276" s="73" t="n"/>
      <c r="AB276" s="73" t="n"/>
      <c r="AC276" s="73" t="n"/>
      <c r="AD276" s="73" t="n"/>
      <c r="AE276" s="49" t="n"/>
      <c r="AF276" s="73" t="n"/>
      <c r="AG276" s="73" t="n"/>
      <c r="AH276" s="73" t="n"/>
      <c r="AI276" s="73" t="n"/>
      <c r="AJ276" s="73" t="n"/>
      <c r="AK276" s="49" t="n"/>
      <c r="AL276" s="73" t="n"/>
      <c r="AM276" s="73" t="n"/>
      <c r="AN276" s="73" t="n"/>
      <c r="AO276" s="73" t="n"/>
      <c r="AP276" s="73" t="n"/>
      <c r="AQ276" s="49" t="n"/>
      <c r="AR276" s="73" t="n"/>
      <c r="AS276" s="49" t="n"/>
      <c r="AT276" s="73" t="n"/>
      <c r="AU276" s="49" t="n"/>
      <c r="AV276" s="73" t="n"/>
      <c r="AW276" s="50" t="n"/>
      <c r="AX276" s="73" t="n"/>
      <c r="AY276" s="73" t="n"/>
      <c r="AZ276" s="73" t="n"/>
      <c r="BA276" s="73" t="n"/>
      <c r="BB276" s="73" t="n"/>
      <c r="BC276" s="73" t="n"/>
      <c r="BD276" s="73" t="n"/>
      <c r="BE276" s="73" t="n"/>
      <c r="BF276" s="73" t="n"/>
      <c r="BG276" s="73" t="n"/>
      <c r="BH276" s="73" t="n"/>
      <c r="BI276" s="73" t="n"/>
      <c r="BJ276" s="73" t="n"/>
      <c r="BK276" s="73" t="n"/>
      <c r="BL276" s="73" t="n"/>
      <c r="BM276" s="73" t="n"/>
      <c r="BN276" s="73" t="n"/>
      <c r="BO276" s="49" t="n"/>
      <c r="BP276" s="73" t="n"/>
      <c r="BQ276" s="195">
        <f>COUNTIF($G276:$BP276,"a")+COUNTIF($G276:$BP276,"r0,a5")/2+COUNTIF($G276:$BP276,"p5,a5")/2</f>
        <v/>
      </c>
      <c r="BR276" s="195">
        <f>COUNTIF($G276:$BP276,"d")+COUNTIF($G276:$BP276,"r0,d5")/2+COUNTIF($G276:$BP276,"p5,d5")/2</f>
        <v/>
      </c>
      <c r="BS276" s="195">
        <f>COUNTIF($G276:$BP276,"b")+COUNTIF($G276:$BP276,"r0,b5")/2+COUNTIF($G276:$BP276,"p5,b5")/2</f>
        <v/>
      </c>
      <c r="BT276" s="195">
        <f>COUNTIF($G276:$BP276,"c")+COUNTIF($G276:$BP276,"r0,c5")/2+COUNTIF($G276:$BP276,"p5,c5")/2</f>
        <v/>
      </c>
      <c r="BU276" s="195">
        <f>COUNTIF($G276:$BP276,"KH")+COUNTIF($G276:$BP276,"TL")+COUNTIF($G276:$BP276,"L")</f>
        <v/>
      </c>
      <c r="BV276" s="202" t="n"/>
      <c r="BW276" s="195">
        <f>COUNTIF($G276:$BP276,"hh")</f>
        <v/>
      </c>
      <c r="BX276" s="195">
        <f>COUNTIF($G276:$BP276,"nt7")</f>
        <v/>
      </c>
      <c r="BY276" s="195">
        <f>COUNTIF($G276:$BP276,"P")+COUNTIF($G276:$BP276,"p5,a5")/2+COUNTIF($G276:$BP276,"p5,b5")/2+COUNTIF($G276:$BP276,"p5,c5")/2+COUNTIF($G276:$BP276,"p5,d5")/2</f>
        <v/>
      </c>
      <c r="BZ276" s="203">
        <f>SUBTOTAL(9,BQ276:BY276)</f>
        <v/>
      </c>
      <c r="CA276" s="54">
        <f>SUM(J276,L276,N276,P276,R276,T276,X276,Z276,AB276,AD276,AF276,AH276,AL276,AN276,AP276,AR276,AT276,AV276,AZ276,BB276,BD276,BF276,BH276,BP276)</f>
        <v/>
      </c>
      <c r="CB276" s="55">
        <f>SUM(H276,V276,AJ276,AX276,BL276)</f>
        <v/>
      </c>
      <c r="CC276" s="56">
        <f>SUM(BJ276,BN276)</f>
        <v/>
      </c>
      <c r="CD276" s="197">
        <f>IF(BZ276&gt;25,4,IF(BZ276&gt;18,3,IF(BZ276&gt;12,2,IF(BZ276&gt;4,1,0))))-BX276-2+1</f>
        <v/>
      </c>
      <c r="CE276" s="49" t="n"/>
      <c r="CF276" s="204">
        <f>CD276*CI276</f>
        <v/>
      </c>
      <c r="CG276" s="198">
        <f>F276-BY276+1</f>
        <v/>
      </c>
      <c r="CH276" s="197">
        <f>CE276*16</f>
        <v/>
      </c>
      <c r="CI276" s="199">
        <f>VLOOKUP(A276,[1]DATA!$A$6:$AI$331,34,0)</f>
        <v/>
      </c>
      <c r="CJ276" s="200">
        <f>VLOOKUP(A276,[2]CHAMCONG!A$7:CI$333,79,0)</f>
        <v/>
      </c>
      <c r="CK276" s="201">
        <f>CJ276-CA276</f>
        <v/>
      </c>
      <c r="CL276" s="68" t="n"/>
      <c r="CM276" s="68" t="n"/>
    </row>
    <row r="277" ht="18" customFormat="1" customHeight="1" s="75">
      <c r="A277" s="69" t="n"/>
      <c r="B277" s="64" t="n"/>
      <c r="C277" s="115" t="n"/>
      <c r="D277" s="46" t="n"/>
      <c r="E277" s="47" t="n"/>
      <c r="F277" s="48" t="n"/>
      <c r="G277" s="49" t="n"/>
      <c r="H277" s="73" t="n"/>
      <c r="I277" s="73" t="n"/>
      <c r="J277" s="73" t="n"/>
      <c r="K277" s="73" t="n"/>
      <c r="L277" s="73" t="n"/>
      <c r="M277" s="73" t="n"/>
      <c r="N277" s="73" t="n"/>
      <c r="O277" s="73" t="n"/>
      <c r="P277" s="73" t="n"/>
      <c r="Q277" s="50" t="n"/>
      <c r="R277" s="67" t="n"/>
      <c r="S277" s="50" t="n"/>
      <c r="T277" s="73" t="n"/>
      <c r="U277" s="50" t="n"/>
      <c r="V277" s="73" t="n"/>
      <c r="W277" s="50" t="n"/>
      <c r="X277" s="73" t="n"/>
      <c r="Y277" s="50" t="n"/>
      <c r="Z277" s="73" t="n"/>
      <c r="AA277" s="50" t="n"/>
      <c r="AB277" s="73" t="n"/>
      <c r="AC277" s="73" t="n"/>
      <c r="AD277" s="73" t="n"/>
      <c r="AE277" s="73" t="n"/>
      <c r="AF277" s="73" t="n"/>
      <c r="AG277" s="50" t="n"/>
      <c r="AH277" s="73" t="n"/>
      <c r="AI277" s="50" t="n"/>
      <c r="AJ277" s="73" t="n"/>
      <c r="AK277" s="50" t="n"/>
      <c r="AL277" s="73" t="n"/>
      <c r="AM277" s="50" t="n"/>
      <c r="AN277" s="73" t="n"/>
      <c r="AO277" s="50" t="n"/>
      <c r="AP277" s="73" t="n"/>
      <c r="AQ277" s="73" t="n"/>
      <c r="AR277" s="73" t="n"/>
      <c r="AS277" s="73" t="n"/>
      <c r="AT277" s="73" t="n"/>
      <c r="AU277" s="73" t="n"/>
      <c r="AV277" s="73" t="n"/>
      <c r="AW277" s="73" t="n"/>
      <c r="AX277" s="73" t="n"/>
      <c r="AY277" s="50" t="n"/>
      <c r="AZ277" s="73" t="n"/>
      <c r="BA277" s="67" t="n"/>
      <c r="BB277" s="73" t="n"/>
      <c r="BC277" s="67" t="n"/>
      <c r="BD277" s="73" t="n"/>
      <c r="BE277" s="73" t="n"/>
      <c r="BF277" s="73" t="n"/>
      <c r="BG277" s="73" t="n"/>
      <c r="BH277" s="73" t="n"/>
      <c r="BI277" s="73" t="n"/>
      <c r="BJ277" s="73" t="n"/>
      <c r="BK277" s="73" t="n"/>
      <c r="BL277" s="73" t="n"/>
      <c r="BM277" s="73" t="n"/>
      <c r="BN277" s="73" t="n"/>
      <c r="BO277" s="73" t="n"/>
      <c r="BP277" s="73" t="n"/>
      <c r="BQ277" s="195">
        <f>COUNTIF($G277:$BP277,"a")+COUNTIF($G277:$BP277,"r0,a5")/2+COUNTIF($G277:$BP277,"p5,a5")/2</f>
        <v/>
      </c>
      <c r="BR277" s="195">
        <f>COUNTIF($G277:$BP277,"d")+COUNTIF($G277:$BP277,"r0,d5")/2+COUNTIF($G277:$BP277,"p5,d5")/2</f>
        <v/>
      </c>
      <c r="BS277" s="195">
        <f>COUNTIF($G277:$BP277,"b")+COUNTIF($G277:$BP277,"r0,b5")/2+COUNTIF($G277:$BP277,"p5,b5")/2</f>
        <v/>
      </c>
      <c r="BT277" s="195">
        <f>COUNTIF($G277:$BP277,"c")+COUNTIF($G277:$BP277,"r0,c5")/2+COUNTIF($G277:$BP277,"p5,c5")/2</f>
        <v/>
      </c>
      <c r="BU277" s="195">
        <f>COUNTIF($G277:$BP277,"KH")+COUNTIF($G277:$BP277,"TL")+COUNTIF($G277:$BP277,"L")</f>
        <v/>
      </c>
      <c r="BV277" s="202" t="n"/>
      <c r="BW277" s="195">
        <f>COUNTIF($G277:$BP277,"hh")</f>
        <v/>
      </c>
      <c r="BX277" s="195">
        <f>COUNTIF($G277:$BP277,"nt7")</f>
        <v/>
      </c>
      <c r="BY277" s="195">
        <f>COUNTIF($G277:$BP277,"P")+COUNTIF($G277:$BP277,"p5,a5")/2+COUNTIF($G277:$BP277,"p5,b5")/2+COUNTIF($G277:$BP277,"p5,c5")/2+COUNTIF($G277:$BP277,"p5,d5")/2</f>
        <v/>
      </c>
      <c r="BZ277" s="203">
        <f>SUBTOTAL(9,BQ277:BY277)</f>
        <v/>
      </c>
      <c r="CA277" s="54">
        <f>SUM(J277,L277,N277,P277,R277,T277,X277,Z277,AB277,AD277,AF277,AH277,AL277,AN277,AP277,AR277,AT277,AV277,AZ277,BB277,BD277,BF277,BH277,BP277)</f>
        <v/>
      </c>
      <c r="CB277" s="55">
        <f>SUM(H277,V277,AJ277,AX277,BL277)</f>
        <v/>
      </c>
      <c r="CC277" s="56">
        <f>SUM(BJ277,BN277)</f>
        <v/>
      </c>
      <c r="CD277" s="197">
        <f>IF(BZ277&gt;25,4,IF(BZ277&gt;18,3,IF(BZ277&gt;12,2,IF(BZ277&gt;4,1,0))))-BX277-2+1</f>
        <v/>
      </c>
      <c r="CE277" s="49" t="n"/>
      <c r="CF277" s="204">
        <f>CD277*CI277</f>
        <v/>
      </c>
      <c r="CG277" s="198">
        <f>F277-BY277+1</f>
        <v/>
      </c>
      <c r="CH277" s="197">
        <f>CE277*16</f>
        <v/>
      </c>
      <c r="CI277" s="199">
        <f>VLOOKUP(A277,[1]DATA!$A$6:$AI$331,34,0)</f>
        <v/>
      </c>
      <c r="CJ277" s="200">
        <f>VLOOKUP(A277,[2]CHAMCONG!A$7:CI$333,79,0)</f>
        <v/>
      </c>
      <c r="CK277" s="201">
        <f>CJ277-CA277</f>
        <v/>
      </c>
      <c r="CL277" s="68" t="n"/>
      <c r="CM277" s="68" t="n"/>
    </row>
    <row r="278" ht="18" customFormat="1" customHeight="1" s="75">
      <c r="A278" s="139" t="n"/>
      <c r="B278" s="64" t="n"/>
      <c r="C278" s="115" t="n"/>
      <c r="D278" s="46" t="n"/>
      <c r="E278" s="47" t="n"/>
      <c r="F278" s="48" t="n"/>
      <c r="G278" s="49" t="n"/>
      <c r="H278" s="73" t="n"/>
      <c r="I278" s="49" t="n"/>
      <c r="J278" s="73" t="n"/>
      <c r="K278" s="49" t="n"/>
      <c r="L278" s="73" t="n"/>
      <c r="M278" s="49" t="n"/>
      <c r="N278" s="73" t="n"/>
      <c r="O278" s="49" t="n"/>
      <c r="P278" s="73" t="n"/>
      <c r="Q278" s="50" t="n"/>
      <c r="R278" s="67" t="n"/>
      <c r="S278" s="73" t="n"/>
      <c r="T278" s="73" t="n"/>
      <c r="U278" s="49" t="n"/>
      <c r="V278" s="73" t="n"/>
      <c r="W278" s="50" t="n"/>
      <c r="X278" s="73" t="n"/>
      <c r="Y278" s="50" t="n"/>
      <c r="Z278" s="73" t="n"/>
      <c r="AA278" s="50" t="n"/>
      <c r="AB278" s="73" t="n"/>
      <c r="AC278" s="50" t="n"/>
      <c r="AD278" s="73" t="n"/>
      <c r="AE278" s="50" t="n"/>
      <c r="AF278" s="67" t="n"/>
      <c r="AG278" s="50" t="n"/>
      <c r="AH278" s="73" t="n"/>
      <c r="AI278" s="73" t="n"/>
      <c r="AJ278" s="73" t="n"/>
      <c r="AK278" s="50" t="n"/>
      <c r="AL278" s="73" t="n"/>
      <c r="AM278" s="50" t="n"/>
      <c r="AN278" s="73" t="n"/>
      <c r="AO278" s="50" t="n"/>
      <c r="AP278" s="73" t="n"/>
      <c r="AQ278" s="50" t="n"/>
      <c r="AR278" s="73" t="n"/>
      <c r="AS278" s="50" t="n"/>
      <c r="AT278" s="67" t="n"/>
      <c r="AU278" s="73" t="n"/>
      <c r="AV278" s="73" t="n"/>
      <c r="AW278" s="49" t="n"/>
      <c r="AX278" s="73" t="n"/>
      <c r="AY278" s="50" t="n"/>
      <c r="AZ278" s="73" t="n"/>
      <c r="BA278" s="50" t="n"/>
      <c r="BB278" s="73" t="n"/>
      <c r="BC278" s="50" t="n"/>
      <c r="BD278" s="73" t="n"/>
      <c r="BE278" s="50" t="n"/>
      <c r="BF278" s="73" t="n"/>
      <c r="BG278" s="50" t="n"/>
      <c r="BH278" s="67" t="n"/>
      <c r="BI278" s="73" t="n"/>
      <c r="BJ278" s="73" t="n"/>
      <c r="BK278" s="73" t="n"/>
      <c r="BL278" s="73" t="n"/>
      <c r="BM278" s="73" t="n"/>
      <c r="BN278" s="73" t="n"/>
      <c r="BO278" s="73" t="n"/>
      <c r="BP278" s="73" t="n"/>
      <c r="BQ278" s="195">
        <f>COUNTIF($G278:$BP278,"a")+COUNTIF($G278:$BP278,"r0,a5")/2+COUNTIF($G278:$BP278,"p5,a5")/2</f>
        <v/>
      </c>
      <c r="BR278" s="195">
        <f>COUNTIF($G278:$BP278,"d")+COUNTIF($G278:$BP278,"r0,d5")/2+COUNTIF($G278:$BP278,"p5,d5")/2</f>
        <v/>
      </c>
      <c r="BS278" s="195">
        <f>COUNTIF($G278:$BP278,"b")+COUNTIF($G278:$BP278,"r0,b5")/2+COUNTIF($G278:$BP278,"p5,b5")/2</f>
        <v/>
      </c>
      <c r="BT278" s="195">
        <f>COUNTIF($G278:$BP278,"c")+COUNTIF($G278:$BP278,"r0,c5")/2+COUNTIF($G278:$BP278,"p5,c5")/2</f>
        <v/>
      </c>
      <c r="BU278" s="195">
        <f>COUNTIF($G278:$BP278,"KH")+COUNTIF($G278:$BP278,"TL")+COUNTIF($G278:$BP278,"L")</f>
        <v/>
      </c>
      <c r="BV278" s="202" t="n"/>
      <c r="BW278" s="195">
        <f>COUNTIF($G278:$BP278,"hh")</f>
        <v/>
      </c>
      <c r="BX278" s="195">
        <f>COUNTIF($G278:$BP278,"nt7")</f>
        <v/>
      </c>
      <c r="BY278" s="195">
        <f>COUNTIF($G278:$BP278,"P")+COUNTIF($G278:$BP278,"p5,a5")/2+COUNTIF($G278:$BP278,"p5,b5")/2+COUNTIF($G278:$BP278,"p5,c5")/2+COUNTIF($G278:$BP278,"p5,d5")/2</f>
        <v/>
      </c>
      <c r="BZ278" s="203">
        <f>SUBTOTAL(9,BQ278:BY278)</f>
        <v/>
      </c>
      <c r="CA278" s="54">
        <f>SUM(J278,L278,N278,P278,R278,T278,X278,Z278,AB278,AD278,AF278,AH278,AL278,AN278,AP278,AR278,AT278,AV278,AZ278,BB278,BD278,BF278,BH278,BP278)</f>
        <v/>
      </c>
      <c r="CB278" s="55">
        <f>SUM(H278,V278,AJ278,AX278,BL278)</f>
        <v/>
      </c>
      <c r="CC278" s="56">
        <f>SUM(BJ278,BN278)</f>
        <v/>
      </c>
      <c r="CD278" s="197">
        <f>IF(BZ278&gt;25,4,IF(BZ278&gt;18,3,IF(BZ278&gt;12,2,IF(BZ278&gt;4,1,0))))-BX278-2+1</f>
        <v/>
      </c>
      <c r="CE278" s="49" t="n">
        <v>4</v>
      </c>
      <c r="CF278" s="204">
        <f>CD278*CI278</f>
        <v/>
      </c>
      <c r="CG278" s="198">
        <f>F278-BY278+1</f>
        <v/>
      </c>
      <c r="CH278" s="197">
        <f>CE278*16</f>
        <v/>
      </c>
      <c r="CI278" s="199">
        <f>VLOOKUP(A278,[1]DATA!$A$6:$AI$331,34,0)</f>
        <v/>
      </c>
      <c r="CJ278" s="200">
        <f>VLOOKUP(A278,[2]CHAMCONG!A$7:CI$333,79,0)</f>
        <v/>
      </c>
      <c r="CK278" s="201">
        <f>CJ278-CA278</f>
        <v/>
      </c>
      <c r="CL278" s="68" t="n"/>
      <c r="CM278" s="68" t="n"/>
    </row>
    <row r="279" ht="18" customFormat="1" customHeight="1" s="75">
      <c r="A279" s="69" t="n"/>
      <c r="B279" s="64" t="n"/>
      <c r="C279" s="115" t="n"/>
      <c r="D279" s="46" t="n"/>
      <c r="E279" s="47" t="n"/>
      <c r="F279" s="48" t="n"/>
      <c r="G279" s="49" t="n"/>
      <c r="H279" s="73" t="n"/>
      <c r="I279" s="49" t="n"/>
      <c r="J279" s="73" t="n"/>
      <c r="K279" s="49" t="n"/>
      <c r="L279" s="73" t="n"/>
      <c r="M279" s="49" t="n"/>
      <c r="N279" s="73" t="n"/>
      <c r="O279" s="50" t="n"/>
      <c r="P279" s="73" t="n"/>
      <c r="Q279" s="49" t="n"/>
      <c r="R279" s="49" t="n"/>
      <c r="S279" s="49" t="n"/>
      <c r="T279" s="73" t="n"/>
      <c r="U279" s="49" t="n"/>
      <c r="V279" s="73" t="n"/>
      <c r="W279" s="49" t="n"/>
      <c r="X279" s="73" t="n"/>
      <c r="Y279" s="49" t="n"/>
      <c r="Z279" s="73" t="n"/>
      <c r="AA279" s="49" t="n"/>
      <c r="AB279" s="73" t="n"/>
      <c r="AC279" s="49" t="n"/>
      <c r="AD279" s="73" t="n"/>
      <c r="AE279" s="73" t="n"/>
      <c r="AF279" s="73" t="n"/>
      <c r="AG279" s="73" t="n"/>
      <c r="AH279" s="73" t="n"/>
      <c r="AI279" s="73" t="n"/>
      <c r="AJ279" s="73" t="n"/>
      <c r="AK279" s="73" t="n"/>
      <c r="AL279" s="73" t="n"/>
      <c r="AM279" s="73" t="n"/>
      <c r="AN279" s="73" t="n"/>
      <c r="AO279" s="73" t="n"/>
      <c r="AP279" s="73" t="n"/>
      <c r="AQ279" s="49" t="n"/>
      <c r="AR279" s="73" t="n"/>
      <c r="AS279" s="49" t="n"/>
      <c r="AT279" s="49" t="n"/>
      <c r="AU279" s="49" t="n"/>
      <c r="AV279" s="73" t="n"/>
      <c r="AW279" s="73" t="n"/>
      <c r="AX279" s="73" t="n"/>
      <c r="AY279" s="49" t="n"/>
      <c r="AZ279" s="73" t="n"/>
      <c r="BA279" s="49" t="n"/>
      <c r="BB279" s="73" t="n"/>
      <c r="BC279" s="49" t="n"/>
      <c r="BD279" s="73" t="n"/>
      <c r="BE279" s="73" t="n"/>
      <c r="BF279" s="73" t="n"/>
      <c r="BG279" s="73" t="n"/>
      <c r="BH279" s="73" t="n"/>
      <c r="BI279" s="73" t="n"/>
      <c r="BJ279" s="73" t="n"/>
      <c r="BK279" s="73" t="n"/>
      <c r="BL279" s="73" t="n"/>
      <c r="BM279" s="73" t="n"/>
      <c r="BN279" s="73" t="n"/>
      <c r="BO279" s="73" t="n"/>
      <c r="BP279" s="73" t="n"/>
      <c r="BQ279" s="195">
        <f>COUNTIF($G279:$BP279,"a")+COUNTIF($G279:$BP279,"r0,a5")/2+COUNTIF($G279:$BP279,"p5,a5")/2</f>
        <v/>
      </c>
      <c r="BR279" s="195">
        <f>COUNTIF($G279:$BP279,"d")+COUNTIF($G279:$BP279,"r0,d5")/2+COUNTIF($G279:$BP279,"p5,d5")/2</f>
        <v/>
      </c>
      <c r="BS279" s="195">
        <f>COUNTIF($G279:$BP279,"b")+COUNTIF($G279:$BP279,"r0,b5")/2+COUNTIF($G279:$BP279,"p5,b5")/2</f>
        <v/>
      </c>
      <c r="BT279" s="195">
        <f>COUNTIF($G279:$BP279,"c")+COUNTIF($G279:$BP279,"r0,c5")/2+COUNTIF($G279:$BP279,"p5,c5")/2</f>
        <v/>
      </c>
      <c r="BU279" s="195">
        <f>COUNTIF($G279:$BP279,"KH")+COUNTIF($G279:$BP279,"TL")+COUNTIF($G279:$BP279,"L")</f>
        <v/>
      </c>
      <c r="BV279" s="202" t="n"/>
      <c r="BW279" s="195">
        <f>COUNTIF($G279:$BP279,"hh")</f>
        <v/>
      </c>
      <c r="BX279" s="195">
        <f>COUNTIF($G279:$BP279,"nt7")</f>
        <v/>
      </c>
      <c r="BY279" s="195">
        <f>COUNTIF($G279:$BP279,"P")+COUNTIF($G279:$BP279,"p5,a5")/2+COUNTIF($G279:$BP279,"p5,b5")/2+COUNTIF($G279:$BP279,"p5,c5")/2+COUNTIF($G279:$BP279,"p5,d5")/2</f>
        <v/>
      </c>
      <c r="BZ279" s="203">
        <f>SUBTOTAL(9,BQ279:BY279)</f>
        <v/>
      </c>
      <c r="CA279" s="54">
        <f>SUM(J279,L279,N279,P279,R279,T279,X279,Z279,AB279,AD279,AF279,AH279,AL279,AN279,AP279,AR279,AT279,AV279,AZ279,BB279,BD279,BF279,BH279,BP279)</f>
        <v/>
      </c>
      <c r="CB279" s="55">
        <f>SUM(H279,V279,AJ279,AX279,BL279)</f>
        <v/>
      </c>
      <c r="CC279" s="56">
        <f>SUM(BJ279,BN279)</f>
        <v/>
      </c>
      <c r="CD279" s="197">
        <f>IF(BZ279&gt;25,4,IF(BZ279&gt;18,3,IF(BZ279&gt;12,2,IF(BZ279&gt;4,1,0))))-BX279-2+1</f>
        <v/>
      </c>
      <c r="CE279" s="49" t="n">
        <v>1</v>
      </c>
      <c r="CF279" s="197">
        <f>CD279*CI279</f>
        <v/>
      </c>
      <c r="CG279" s="198">
        <f>F279-BY279+1</f>
        <v/>
      </c>
      <c r="CH279" s="197">
        <f>CE279*16</f>
        <v/>
      </c>
      <c r="CI279" s="199">
        <f>VLOOKUP(A279,[1]DATA!$A$6:$AI$331,34,0)</f>
        <v/>
      </c>
      <c r="CJ279" s="200">
        <f>VLOOKUP(A279,[2]CHAMCONG!A$7:CI$333,79,0)</f>
        <v/>
      </c>
      <c r="CK279" s="201">
        <f>CJ279-CA279</f>
        <v/>
      </c>
      <c r="CL279" s="68" t="n"/>
      <c r="CM279" s="68" t="n"/>
    </row>
    <row r="280" ht="18" customFormat="1" customHeight="1" s="75">
      <c r="A280" s="139" t="n"/>
      <c r="B280" s="64" t="n"/>
      <c r="C280" s="115" t="n"/>
      <c r="D280" s="46" t="n"/>
      <c r="E280" s="47" t="n"/>
      <c r="F280" s="48" t="n"/>
      <c r="G280" s="49" t="n"/>
      <c r="H280" s="73" t="n"/>
      <c r="I280" s="73" t="n"/>
      <c r="J280" s="73" t="n"/>
      <c r="K280" s="73" t="n"/>
      <c r="L280" s="73" t="n"/>
      <c r="M280" s="73" t="n"/>
      <c r="N280" s="73" t="n"/>
      <c r="O280" s="73" t="n"/>
      <c r="P280" s="73" t="n"/>
      <c r="Q280" s="49" t="n"/>
      <c r="R280" s="73" t="n"/>
      <c r="S280" s="50" t="n"/>
      <c r="T280" s="73" t="n"/>
      <c r="U280" s="50" t="n"/>
      <c r="V280" s="73" t="n"/>
      <c r="W280" s="50" t="n"/>
      <c r="X280" s="73" t="n"/>
      <c r="Y280" s="50" t="n"/>
      <c r="Z280" s="73" t="n"/>
      <c r="AA280" s="50" t="n"/>
      <c r="AB280" s="73" t="n"/>
      <c r="AC280" s="50" t="n"/>
      <c r="AD280" s="73" t="n"/>
      <c r="AE280" s="50" t="n"/>
      <c r="AF280" s="67" t="n"/>
      <c r="AG280" s="73" t="n"/>
      <c r="AH280" s="73" t="n"/>
      <c r="AI280" s="73" t="n"/>
      <c r="AJ280" s="73" t="n"/>
      <c r="AK280" s="73" t="n"/>
      <c r="AL280" s="73" t="n"/>
      <c r="AM280" s="73" t="n"/>
      <c r="AN280" s="73" t="n"/>
      <c r="AO280" s="73" t="n"/>
      <c r="AP280" s="73" t="n"/>
      <c r="AQ280" s="50" t="n"/>
      <c r="AR280" s="73" t="n"/>
      <c r="AS280" s="50" t="n"/>
      <c r="AT280" s="67" t="n"/>
      <c r="AU280" s="50" t="n"/>
      <c r="AV280" s="73" t="n"/>
      <c r="AW280" s="50" t="n"/>
      <c r="AX280" s="73" t="n"/>
      <c r="AY280" s="49" t="n"/>
      <c r="AZ280" s="73" t="n"/>
      <c r="BA280" s="49" t="n"/>
      <c r="BB280" s="73" t="n"/>
      <c r="BC280" s="49" t="n"/>
      <c r="BD280" s="73" t="n"/>
      <c r="BE280" s="49" t="n"/>
      <c r="BF280" s="73" t="n"/>
      <c r="BG280" s="49" t="n"/>
      <c r="BH280" s="73" t="n"/>
      <c r="BI280" s="73" t="n"/>
      <c r="BJ280" s="73" t="n"/>
      <c r="BK280" s="73" t="n"/>
      <c r="BL280" s="73" t="n"/>
      <c r="BM280" s="73" t="n"/>
      <c r="BN280" s="73" t="n"/>
      <c r="BO280" s="49" t="n"/>
      <c r="BP280" s="73" t="n"/>
      <c r="BQ280" s="195">
        <f>COUNTIF($G280:$BP280,"a")+COUNTIF($G280:$BP280,"r0,a5")/2+COUNTIF($G280:$BP280,"p5,a5")/2</f>
        <v/>
      </c>
      <c r="BR280" s="195">
        <f>COUNTIF($G280:$BP280,"d")+COUNTIF($G280:$BP280,"r0,d5")/2+COUNTIF($G280:$BP280,"p5,d5")/2</f>
        <v/>
      </c>
      <c r="BS280" s="195">
        <f>COUNTIF($G280:$BP280,"b")+COUNTIF($G280:$BP280,"r0,b5")/2+COUNTIF($G280:$BP280,"p5,b5")/2</f>
        <v/>
      </c>
      <c r="BT280" s="195">
        <f>COUNTIF($G280:$BP280,"c")+COUNTIF($G280:$BP280,"r0,c5")/2+COUNTIF($G280:$BP280,"p5,c5")/2</f>
        <v/>
      </c>
      <c r="BU280" s="195">
        <f>COUNTIF($G280:$BP280,"KH")+COUNTIF($G280:$BP280,"TL")+COUNTIF($G280:$BP280,"L")</f>
        <v/>
      </c>
      <c r="BV280" s="202" t="n"/>
      <c r="BW280" s="195">
        <f>COUNTIF($G280:$BP280,"hh")</f>
        <v/>
      </c>
      <c r="BX280" s="195">
        <f>COUNTIF($G280:$BP280,"nt7")</f>
        <v/>
      </c>
      <c r="BY280" s="195">
        <f>COUNTIF($G280:$BP280,"P")+COUNTIF($G280:$BP280,"p5,a5")/2+COUNTIF($G280:$BP280,"p5,b5")/2+COUNTIF($G280:$BP280,"p5,c5")/2+COUNTIF($G280:$BP280,"p5,d5")/2</f>
        <v/>
      </c>
      <c r="BZ280" s="203">
        <f>SUBTOTAL(9,BQ280:BY280)</f>
        <v/>
      </c>
      <c r="CA280" s="54">
        <f>SUM(J280,L280,N280,P280,R280,T280,X280,Z280,AB280,AD280,AF280,AH280,AL280,AN280,AP280,AR280,AT280,AV280,AZ280,BB280,BD280,BF280,BH280,BP280)</f>
        <v/>
      </c>
      <c r="CB280" s="55">
        <f>SUM(H280,V280,AJ280,AX280,BL280)</f>
        <v/>
      </c>
      <c r="CC280" s="56">
        <f>SUM(BJ280,BN280)</f>
        <v/>
      </c>
      <c r="CD280" s="197">
        <f>IF(BZ280&gt;25,4,IF(BZ280&gt;18,3,IF(BZ280&gt;12,2,IF(BZ280&gt;4,1,0))))-BX280-2+1</f>
        <v/>
      </c>
      <c r="CE280" s="49" t="n">
        <v>1</v>
      </c>
      <c r="CF280" s="197">
        <f>CD280*CI280</f>
        <v/>
      </c>
      <c r="CG280" s="198">
        <f>F280-BY280+1</f>
        <v/>
      </c>
      <c r="CH280" s="197">
        <f>CE280*16</f>
        <v/>
      </c>
      <c r="CI280" s="199">
        <f>VLOOKUP(A280,[1]DATA!$A$6:$AI$331,34,0)</f>
        <v/>
      </c>
      <c r="CJ280" s="200">
        <f>VLOOKUP(A280,[2]CHAMCONG!A$7:CI$333,79,0)</f>
        <v/>
      </c>
      <c r="CK280" s="201">
        <f>CJ280-CA280</f>
        <v/>
      </c>
      <c r="CL280" s="68" t="n"/>
      <c r="CM280" s="68" t="n"/>
    </row>
    <row r="281" ht="18" customFormat="1" customHeight="1" s="75">
      <c r="A281" s="139" t="n"/>
      <c r="B281" s="64" t="n"/>
      <c r="C281" s="115" t="n"/>
      <c r="D281" s="46" t="n"/>
      <c r="E281" s="47" t="n"/>
      <c r="F281" s="48" t="n"/>
      <c r="G281" s="49" t="n"/>
      <c r="H281" s="73" t="n"/>
      <c r="I281" s="49" t="n"/>
      <c r="J281" s="73" t="n"/>
      <c r="K281" s="49" t="n"/>
      <c r="L281" s="73" t="n"/>
      <c r="M281" s="49" t="n"/>
      <c r="N281" s="73" t="n"/>
      <c r="O281" s="49" t="n"/>
      <c r="P281" s="73" t="n"/>
      <c r="Q281" s="49" t="n"/>
      <c r="R281" s="73" t="n"/>
      <c r="S281" s="73" t="n"/>
      <c r="T281" s="73" t="n"/>
      <c r="U281" s="73" t="n"/>
      <c r="V281" s="73" t="n"/>
      <c r="W281" s="73" t="n"/>
      <c r="X281" s="73" t="n"/>
      <c r="Y281" s="73" t="n"/>
      <c r="Z281" s="73" t="n"/>
      <c r="AA281" s="50" t="n"/>
      <c r="AB281" s="73" t="n"/>
      <c r="AC281" s="73" t="n"/>
      <c r="AD281" s="73" t="n"/>
      <c r="AE281" s="50" t="n"/>
      <c r="AF281" s="67" t="n"/>
      <c r="AG281" s="50" t="n"/>
      <c r="AH281" s="73" t="n"/>
      <c r="AI281" s="73" t="n"/>
      <c r="AJ281" s="73" t="n"/>
      <c r="AK281" s="73" t="n"/>
      <c r="AL281" s="73" t="n"/>
      <c r="AM281" s="73" t="n"/>
      <c r="AN281" s="73" t="n"/>
      <c r="AO281" s="73" t="n"/>
      <c r="AP281" s="73" t="n"/>
      <c r="AQ281" s="73" t="n"/>
      <c r="AR281" s="73" t="n"/>
      <c r="AS281" s="73" t="n"/>
      <c r="AT281" s="73" t="n"/>
      <c r="AU281" s="73" t="n"/>
      <c r="AV281" s="73" t="n"/>
      <c r="AW281" s="73" t="n"/>
      <c r="AX281" s="73" t="n"/>
      <c r="AY281" s="49" t="n"/>
      <c r="AZ281" s="73" t="n"/>
      <c r="BA281" s="49" t="n"/>
      <c r="BB281" s="73" t="n"/>
      <c r="BC281" s="49" t="n"/>
      <c r="BD281" s="73" t="n"/>
      <c r="BE281" s="49" t="n"/>
      <c r="BF281" s="73" t="n"/>
      <c r="BG281" s="73" t="n"/>
      <c r="BH281" s="73" t="n"/>
      <c r="BI281" s="73" t="n"/>
      <c r="BJ281" s="73" t="n"/>
      <c r="BK281" s="73" t="n"/>
      <c r="BL281" s="73" t="n"/>
      <c r="BM281" s="73" t="n"/>
      <c r="BN281" s="73" t="n"/>
      <c r="BO281" s="73" t="n"/>
      <c r="BP281" s="73" t="n"/>
      <c r="BQ281" s="195">
        <f>COUNTIF($G281:$BP281,"a")+COUNTIF($G281:$BP281,"r0,a5")/2+COUNTIF($G281:$BP281,"p5,a5")/2</f>
        <v/>
      </c>
      <c r="BR281" s="195">
        <f>COUNTIF($G281:$BP281,"d")+COUNTIF($G281:$BP281,"r0,d5")/2+COUNTIF($G281:$BP281,"p5,d5")/2</f>
        <v/>
      </c>
      <c r="BS281" s="195">
        <f>COUNTIF($G281:$BP281,"b")+COUNTIF($G281:$BP281,"r0,b5")/2+COUNTIF($G281:$BP281,"p5,b5")/2</f>
        <v/>
      </c>
      <c r="BT281" s="195">
        <f>COUNTIF($G281:$BP281,"c")+COUNTIF($G281:$BP281,"r0,c5")/2+COUNTIF($G281:$BP281,"p5,c5")/2</f>
        <v/>
      </c>
      <c r="BU281" s="195">
        <f>COUNTIF($G281:$BP281,"KH")+COUNTIF($G281:$BP281,"TL")+COUNTIF($G281:$BP281,"L")</f>
        <v/>
      </c>
      <c r="BV281" s="202" t="n"/>
      <c r="BW281" s="195">
        <f>COUNTIF($G281:$BP281,"hh")</f>
        <v/>
      </c>
      <c r="BX281" s="195">
        <f>COUNTIF($G281:$BP281,"nt7")</f>
        <v/>
      </c>
      <c r="BY281" s="195">
        <f>COUNTIF($G281:$BP281,"P")+COUNTIF($G281:$BP281,"p5,a5")/2+COUNTIF($G281:$BP281,"p5,b5")/2+COUNTIF($G281:$BP281,"p5,c5")/2+COUNTIF($G281:$BP281,"p5,d5")/2</f>
        <v/>
      </c>
      <c r="BZ281" s="203">
        <f>SUBTOTAL(9,BQ281:BY281)</f>
        <v/>
      </c>
      <c r="CA281" s="54">
        <f>SUM(J281,L281,N281,P281,R281,T281,X281,Z281,AB281,AD281,AF281,AH281,AL281,AN281,AP281,AR281,AT281,AV281,AZ281,BB281,BD281,BF281,BH281,BP281)</f>
        <v/>
      </c>
      <c r="CB281" s="55">
        <f>SUM(H281,V281,AJ281,AX281,BL281)</f>
        <v/>
      </c>
      <c r="CC281" s="56">
        <f>SUM(BJ281,BN281)</f>
        <v/>
      </c>
      <c r="CD281" s="197">
        <f>IF(BZ281&gt;25,4,IF(BZ281&gt;18,3,IF(BZ281&gt;12,2,IF(BZ281&gt;4,1,0))))-BX281-2+1</f>
        <v/>
      </c>
      <c r="CE281" s="49" t="n">
        <v>1</v>
      </c>
      <c r="CF281" s="197">
        <f>CD281*CI281</f>
        <v/>
      </c>
      <c r="CG281" s="198">
        <f>F281-BY281+1</f>
        <v/>
      </c>
      <c r="CH281" s="197">
        <f>CE281*16</f>
        <v/>
      </c>
      <c r="CI281" s="199">
        <f>VLOOKUP(A281,[1]DATA!$A$6:$AI$331,34,0)</f>
        <v/>
      </c>
      <c r="CJ281" s="200">
        <f>VLOOKUP(A281,[2]CHAMCONG!A$7:CI$333,79,0)</f>
        <v/>
      </c>
      <c r="CK281" s="201">
        <f>CJ281-CA281</f>
        <v/>
      </c>
      <c r="CL281" s="68" t="n"/>
      <c r="CM281" s="68" t="n"/>
    </row>
    <row r="282" ht="18" customFormat="1" customHeight="1" s="75">
      <c r="A282" s="139" t="n"/>
      <c r="B282" s="64" t="n"/>
      <c r="C282" s="115" t="n"/>
      <c r="D282" s="46" t="n"/>
      <c r="E282" s="47" t="n"/>
      <c r="F282" s="48" t="n"/>
      <c r="G282" s="49" t="n"/>
      <c r="H282" s="73" t="n"/>
      <c r="I282" s="49" t="n"/>
      <c r="J282" s="73" t="n"/>
      <c r="K282" s="49" t="n"/>
      <c r="L282" s="73" t="n"/>
      <c r="M282" s="49" t="n"/>
      <c r="N282" s="73" t="n"/>
      <c r="O282" s="49" t="n"/>
      <c r="P282" s="73" t="n"/>
      <c r="Q282" s="49" t="n"/>
      <c r="R282" s="73" t="n"/>
      <c r="S282" s="73" t="n"/>
      <c r="T282" s="73" t="n"/>
      <c r="U282" s="73" t="n"/>
      <c r="V282" s="73" t="n"/>
      <c r="W282" s="73" t="n"/>
      <c r="X282" s="73" t="n"/>
      <c r="Y282" s="73" t="n"/>
      <c r="Z282" s="73" t="n"/>
      <c r="AA282" s="50" t="n"/>
      <c r="AB282" s="73" t="n"/>
      <c r="AC282" s="73" t="n"/>
      <c r="AD282" s="73" t="n"/>
      <c r="AE282" s="50" t="n"/>
      <c r="AF282" s="67" t="n"/>
      <c r="AG282" s="73" t="n"/>
      <c r="AH282" s="73" t="n"/>
      <c r="AI282" s="73" t="n"/>
      <c r="AJ282" s="73" t="n"/>
      <c r="AK282" s="50" t="n"/>
      <c r="AL282" s="73" t="n"/>
      <c r="AM282" s="73" t="n"/>
      <c r="AN282" s="73" t="n"/>
      <c r="AO282" s="73" t="n"/>
      <c r="AP282" s="73" t="n"/>
      <c r="AQ282" s="50" t="n"/>
      <c r="AR282" s="73" t="n"/>
      <c r="AS282" s="50" t="n"/>
      <c r="AT282" s="67" t="n"/>
      <c r="AU282" s="50" t="n"/>
      <c r="AV282" s="73" t="n"/>
      <c r="AW282" s="49" t="n"/>
      <c r="AX282" s="73" t="n"/>
      <c r="AY282" s="49" t="n"/>
      <c r="AZ282" s="73" t="n"/>
      <c r="BA282" s="49" t="n"/>
      <c r="BB282" s="73" t="n"/>
      <c r="BC282" s="49" t="n"/>
      <c r="BD282" s="73" t="n"/>
      <c r="BE282" s="49" t="n"/>
      <c r="BF282" s="73" t="n"/>
      <c r="BG282" s="49" t="n"/>
      <c r="BH282" s="73" t="n"/>
      <c r="BI282" s="49" t="n"/>
      <c r="BJ282" s="73" t="n"/>
      <c r="BK282" s="49" t="n"/>
      <c r="BL282" s="73" t="n"/>
      <c r="BM282" s="49" t="n"/>
      <c r="BN282" s="73" t="n"/>
      <c r="BO282" s="73" t="n"/>
      <c r="BP282" s="73" t="n"/>
      <c r="BQ282" s="195">
        <f>COUNTIF($G282:$BP282,"a")+COUNTIF($G282:$BP282,"r0,a5")/2+COUNTIF($G282:$BP282,"p5,a5")/2</f>
        <v/>
      </c>
      <c r="BR282" s="195">
        <f>COUNTIF($G282:$BP282,"d")+COUNTIF($G282:$BP282,"r0,d5")/2+COUNTIF($G282:$BP282,"p5,d5")/2</f>
        <v/>
      </c>
      <c r="BS282" s="195">
        <f>COUNTIF($G282:$BP282,"b")+COUNTIF($G282:$BP282,"r0,b5")/2+COUNTIF($G282:$BP282,"p5,b5")/2</f>
        <v/>
      </c>
      <c r="BT282" s="195">
        <f>COUNTIF($G282:$BP282,"c")+COUNTIF($G282:$BP282,"r0,c5")/2+COUNTIF($G282:$BP282,"p5,c5")/2</f>
        <v/>
      </c>
      <c r="BU282" s="195">
        <f>COUNTIF($G282:$BP282,"KH")+COUNTIF($G282:$BP282,"TL")+COUNTIF($G282:$BP282,"L")</f>
        <v/>
      </c>
      <c r="BV282" s="202" t="n"/>
      <c r="BW282" s="195">
        <f>COUNTIF($G282:$BP282,"hh")</f>
        <v/>
      </c>
      <c r="BX282" s="195">
        <f>COUNTIF($G282:$BP282,"nt7")</f>
        <v/>
      </c>
      <c r="BY282" s="195">
        <f>COUNTIF($G282:$BP282,"P")+COUNTIF($G282:$BP282,"p5,a5")/2+COUNTIF($G282:$BP282,"p5,b5")/2+COUNTIF($G282:$BP282,"p5,c5")/2+COUNTIF($G282:$BP282,"p5,d5")/2</f>
        <v/>
      </c>
      <c r="BZ282" s="203">
        <f>SUBTOTAL(9,BQ282:BY282)</f>
        <v/>
      </c>
      <c r="CA282" s="54">
        <f>SUM(J282,L282,N282,P282,R282,T282,X282,Z282,AB282,AD282,AF282,AH282,AL282,AN282,AP282,AR282,AT282,AV282,AZ282,BB282,BD282,BF282,BH282,BP282)</f>
        <v/>
      </c>
      <c r="CB282" s="55">
        <f>SUM(H282,V282,AJ282,AX282,BL282)</f>
        <v/>
      </c>
      <c r="CC282" s="56">
        <f>SUM(BJ282,BN282)</f>
        <v/>
      </c>
      <c r="CD282" s="197">
        <f>IF(BZ282&gt;25,4,IF(BZ282&gt;18,3,IF(BZ282&gt;12,2,IF(BZ282&gt;4,1,0))))-BX282-2+1</f>
        <v/>
      </c>
      <c r="CE282" s="49" t="n"/>
      <c r="CF282" s="197">
        <f>CD282*CI282</f>
        <v/>
      </c>
      <c r="CG282" s="198">
        <f>F282-BY282+1</f>
        <v/>
      </c>
      <c r="CH282" s="197">
        <f>CE282*16</f>
        <v/>
      </c>
      <c r="CI282" s="199">
        <f>VLOOKUP(A282,[1]DATA!$A$6:$AI$331,34,0)</f>
        <v/>
      </c>
      <c r="CJ282" s="200">
        <f>VLOOKUP(A282,[2]CHAMCONG!A$7:CI$333,79,0)</f>
        <v/>
      </c>
      <c r="CK282" s="201">
        <f>CJ282-CA282</f>
        <v/>
      </c>
      <c r="CL282" s="68" t="n"/>
      <c r="CM282" s="68" t="n"/>
    </row>
    <row r="283" ht="18" customFormat="1" customHeight="1" s="75">
      <c r="A283" s="139" t="n"/>
      <c r="B283" s="64" t="n"/>
      <c r="C283" s="115" t="n"/>
      <c r="D283" s="46" t="n"/>
      <c r="E283" s="47" t="n"/>
      <c r="F283" s="48" t="n"/>
      <c r="G283" s="49" t="n"/>
      <c r="H283" s="73" t="n"/>
      <c r="I283" s="49" t="n"/>
      <c r="J283" s="73" t="n"/>
      <c r="K283" s="49" t="n"/>
      <c r="L283" s="73" t="n"/>
      <c r="M283" s="49" t="n"/>
      <c r="N283" s="73" t="n"/>
      <c r="O283" s="49" t="n"/>
      <c r="P283" s="73" t="n"/>
      <c r="Q283" s="49" t="n"/>
      <c r="R283" s="73" t="n"/>
      <c r="S283" s="73" t="n"/>
      <c r="T283" s="73" t="n"/>
      <c r="U283" s="73" t="n"/>
      <c r="V283" s="73" t="n"/>
      <c r="W283" s="73" t="n"/>
      <c r="X283" s="73" t="n"/>
      <c r="Y283" s="73" t="n"/>
      <c r="Z283" s="73" t="n"/>
      <c r="AA283" s="73" t="n"/>
      <c r="AB283" s="73" t="n"/>
      <c r="AC283" s="73" t="n"/>
      <c r="AD283" s="73" t="n"/>
      <c r="AE283" s="73" t="n"/>
      <c r="AF283" s="73" t="n"/>
      <c r="AG283" s="73" t="n"/>
      <c r="AH283" s="73" t="n"/>
      <c r="AI283" s="73" t="n"/>
      <c r="AJ283" s="73" t="n"/>
      <c r="AK283" s="73" t="n"/>
      <c r="AL283" s="73" t="n"/>
      <c r="AM283" s="73" t="n"/>
      <c r="AN283" s="73" t="n"/>
      <c r="AO283" s="73" t="n"/>
      <c r="AP283" s="73" t="n"/>
      <c r="AQ283" s="49" t="n"/>
      <c r="AR283" s="73" t="n"/>
      <c r="AS283" s="49" t="n"/>
      <c r="AT283" s="49" t="n"/>
      <c r="AU283" s="49" t="n"/>
      <c r="AV283" s="73" t="n"/>
      <c r="AW283" s="73" t="n"/>
      <c r="AX283" s="73" t="n"/>
      <c r="AY283" s="73" t="n"/>
      <c r="AZ283" s="73" t="n"/>
      <c r="BA283" s="73" t="n"/>
      <c r="BB283" s="73" t="n"/>
      <c r="BC283" s="73" t="n"/>
      <c r="BD283" s="73" t="n"/>
      <c r="BE283" s="73" t="n"/>
      <c r="BF283" s="73" t="n"/>
      <c r="BG283" s="73" t="n"/>
      <c r="BH283" s="73" t="n"/>
      <c r="BI283" s="73" t="n"/>
      <c r="BJ283" s="73" t="n"/>
      <c r="BK283" s="73" t="n"/>
      <c r="BL283" s="73" t="n"/>
      <c r="BM283" s="73" t="n"/>
      <c r="BN283" s="73" t="n"/>
      <c r="BO283" s="73" t="n"/>
      <c r="BP283" s="73" t="n"/>
      <c r="BQ283" s="195">
        <f>COUNTIF($G283:$BP283,"a")+COUNTIF($G283:$BP283,"r0,a5")/2+COUNTIF($G283:$BP283,"p5,a5")/2</f>
        <v/>
      </c>
      <c r="BR283" s="195">
        <f>COUNTIF($G283:$BP283,"d")+COUNTIF($G283:$BP283,"r0,d5")/2+COUNTIF($G283:$BP283,"p5,d5")/2</f>
        <v/>
      </c>
      <c r="BS283" s="195">
        <f>COUNTIF($G283:$BP283,"b")+COUNTIF($G283:$BP283,"r0,b5")/2+COUNTIF($G283:$BP283,"p5,b5")/2</f>
        <v/>
      </c>
      <c r="BT283" s="195">
        <f>COUNTIF($G283:$BP283,"c")+COUNTIF($G283:$BP283,"r0,c5")/2+COUNTIF($G283:$BP283,"p5,c5")/2</f>
        <v/>
      </c>
      <c r="BU283" s="195">
        <f>COUNTIF($G283:$BP283,"KH")+COUNTIF($G283:$BP283,"TL")+COUNTIF($G283:$BP283,"L")</f>
        <v/>
      </c>
      <c r="BV283" s="202" t="n"/>
      <c r="BW283" s="195">
        <f>COUNTIF($G283:$BP283,"hh")</f>
        <v/>
      </c>
      <c r="BX283" s="195">
        <f>COUNTIF($G283:$BP283,"nt7")</f>
        <v/>
      </c>
      <c r="BY283" s="195">
        <f>COUNTIF($G283:$BP283,"P")+COUNTIF($G283:$BP283,"p5,a5")/2+COUNTIF($G283:$BP283,"p5,b5")/2+COUNTIF($G283:$BP283,"p5,c5")/2+COUNTIF($G283:$BP283,"p5,d5")/2</f>
        <v/>
      </c>
      <c r="BZ283" s="203">
        <f>SUBTOTAL(9,BQ283:BY283)</f>
        <v/>
      </c>
      <c r="CA283" s="54">
        <f>SUM(J283,L283,N283,P283,R283,T283,X283,Z283,AB283,AD283,AF283,AH283,AL283,AN283,AP283,AR283,AT283,AV283,AZ283,BB283,BD283,BF283,BH283,BP283)</f>
        <v/>
      </c>
      <c r="CB283" s="55">
        <f>SUM(H283,V283,AJ283,AX283,BL283)</f>
        <v/>
      </c>
      <c r="CC283" s="56">
        <f>SUM(BJ283,BN283)</f>
        <v/>
      </c>
      <c r="CD283" s="197">
        <f>IF(BZ283&gt;25,4,IF(BZ283&gt;18,3,IF(BZ283&gt;12,2,IF(BZ283&gt;4,1,0))))-BX283-2+1</f>
        <v/>
      </c>
      <c r="CE283" s="49" t="n"/>
      <c r="CF283" s="197">
        <f>CD283*CI283</f>
        <v/>
      </c>
      <c r="CG283" s="198">
        <f>F283-BY283+1</f>
        <v/>
      </c>
      <c r="CH283" s="197">
        <f>CE283*16</f>
        <v/>
      </c>
      <c r="CI283" s="199">
        <f>VLOOKUP(A283,[1]DATA!$A$6:$AI$331,34,0)</f>
        <v/>
      </c>
      <c r="CJ283" s="200">
        <f>VLOOKUP(A283,[2]CHAMCONG!A$7:CI$333,79,0)</f>
        <v/>
      </c>
      <c r="CK283" s="201">
        <f>CJ283-CA283</f>
        <v/>
      </c>
      <c r="CL283" s="68" t="n"/>
      <c r="CM283" s="68" t="n"/>
    </row>
    <row r="284" ht="18" customFormat="1" customHeight="1" s="75">
      <c r="A284" s="139" t="n"/>
      <c r="B284" s="64" t="n"/>
      <c r="C284" s="115" t="n"/>
      <c r="D284" s="46" t="n"/>
      <c r="E284" s="47" t="n"/>
      <c r="F284" s="48" t="n"/>
      <c r="G284" s="49" t="n"/>
      <c r="H284" s="73" t="n"/>
      <c r="I284" s="49" t="n"/>
      <c r="J284" s="73" t="n"/>
      <c r="K284" s="49" t="n"/>
      <c r="L284" s="73" t="n"/>
      <c r="M284" s="49" t="n"/>
      <c r="N284" s="73" t="n"/>
      <c r="O284" s="73" t="n"/>
      <c r="P284" s="73" t="n"/>
      <c r="Q284" s="50" t="n"/>
      <c r="R284" s="67" t="n"/>
      <c r="S284" s="73" t="n"/>
      <c r="T284" s="73" t="n"/>
      <c r="U284" s="49" t="n"/>
      <c r="V284" s="73" t="n"/>
      <c r="W284" s="50" t="n"/>
      <c r="X284" s="73" t="n"/>
      <c r="Y284" s="50" t="n"/>
      <c r="Z284" s="73" t="n"/>
      <c r="AA284" s="50" t="n"/>
      <c r="AB284" s="73" t="n"/>
      <c r="AC284" s="50" t="n"/>
      <c r="AD284" s="73" t="n"/>
      <c r="AE284" s="50" t="n"/>
      <c r="AF284" s="67" t="n"/>
      <c r="AG284" s="50" t="n"/>
      <c r="AH284" s="73" t="n"/>
      <c r="AI284" s="73" t="n"/>
      <c r="AJ284" s="73" t="n"/>
      <c r="AK284" s="50" t="n"/>
      <c r="AL284" s="73" t="n"/>
      <c r="AM284" s="50" t="n"/>
      <c r="AN284" s="73" t="n"/>
      <c r="AO284" s="50" t="n"/>
      <c r="AP284" s="73" t="n"/>
      <c r="AQ284" s="50" t="n"/>
      <c r="AR284" s="73" t="n"/>
      <c r="AS284" s="50" t="n"/>
      <c r="AT284" s="67" t="n"/>
      <c r="AU284" s="73" t="n"/>
      <c r="AV284" s="73" t="n"/>
      <c r="AW284" s="49" t="n"/>
      <c r="AX284" s="73" t="n"/>
      <c r="AY284" s="50" t="n"/>
      <c r="AZ284" s="73" t="n"/>
      <c r="BA284" s="50" t="n"/>
      <c r="BB284" s="73" t="n"/>
      <c r="BC284" s="50" t="n"/>
      <c r="BD284" s="73" t="n"/>
      <c r="BE284" s="50" t="n"/>
      <c r="BF284" s="73" t="n"/>
      <c r="BG284" s="50" t="n"/>
      <c r="BH284" s="67" t="n"/>
      <c r="BI284" s="73" t="n"/>
      <c r="BJ284" s="73" t="n"/>
      <c r="BK284" s="73" t="n"/>
      <c r="BL284" s="73" t="n"/>
      <c r="BM284" s="73" t="n"/>
      <c r="BN284" s="73" t="n"/>
      <c r="BO284" s="73" t="n"/>
      <c r="BP284" s="73" t="n"/>
      <c r="BQ284" s="195">
        <f>COUNTIF($G284:$BP284,"a")+COUNTIF($G284:$BP284,"r0,a5")/2+COUNTIF($G284:$BP284,"p5,a5")/2</f>
        <v/>
      </c>
      <c r="BR284" s="195">
        <f>COUNTIF($G284:$BP284,"d")+COUNTIF($G284:$BP284,"r0,d5")/2+COUNTIF($G284:$BP284,"p5,d5")/2</f>
        <v/>
      </c>
      <c r="BS284" s="195">
        <f>COUNTIF($G284:$BP284,"b")+COUNTIF($G284:$BP284,"r0,b5")/2+COUNTIF($G284:$BP284,"p5,b5")/2</f>
        <v/>
      </c>
      <c r="BT284" s="195">
        <f>COUNTIF($G284:$BP284,"c")+COUNTIF($G284:$BP284,"r0,c5")/2+COUNTIF($G284:$BP284,"p5,c5")/2</f>
        <v/>
      </c>
      <c r="BU284" s="195">
        <f>COUNTIF($G284:$BP284,"KH")+COUNTIF($G284:$BP284,"TL")+COUNTIF($G284:$BP284,"L")</f>
        <v/>
      </c>
      <c r="BV284" s="202" t="n"/>
      <c r="BW284" s="195">
        <f>COUNTIF($G284:$BP284,"hh")</f>
        <v/>
      </c>
      <c r="BX284" s="195">
        <f>COUNTIF($G284:$BP284,"nt7")</f>
        <v/>
      </c>
      <c r="BY284" s="195">
        <f>COUNTIF($G284:$BP284,"P")+COUNTIF($G284:$BP284,"p5,a5")/2+COUNTIF($G284:$BP284,"p5,b5")/2+COUNTIF($G284:$BP284,"p5,c5")/2+COUNTIF($G284:$BP284,"p5,d5")/2</f>
        <v/>
      </c>
      <c r="BZ284" s="203">
        <f>SUBTOTAL(9,BQ284:BY284)</f>
        <v/>
      </c>
      <c r="CA284" s="54">
        <f>SUM(J284,L284,N284,P284,R284,T284,X284,Z284,AB284,AD284,AF284,AH284,AL284,AN284,AP284,AR284,AT284,AV284,AZ284,BB284,BD284,BF284,BH284,BP284)</f>
        <v/>
      </c>
      <c r="CB284" s="55">
        <f>SUM(H284,V284,AJ284,AX284,BL284)</f>
        <v/>
      </c>
      <c r="CC284" s="56">
        <f>SUM(BJ284,BN284)</f>
        <v/>
      </c>
      <c r="CD284" s="197">
        <f>IF(BZ284&gt;25,4,IF(BZ284&gt;18,3,IF(BZ284&gt;12,2,IF(BZ284&gt;4,1,0))))-BX284-2+1</f>
        <v/>
      </c>
      <c r="CE284" s="49" t="n">
        <v>2</v>
      </c>
      <c r="CF284" s="197">
        <f>CD284*CI284</f>
        <v/>
      </c>
      <c r="CG284" s="198">
        <f>F284-BY284+1</f>
        <v/>
      </c>
      <c r="CH284" s="197">
        <f>CE284*16</f>
        <v/>
      </c>
      <c r="CI284" s="199">
        <f>VLOOKUP(A284,[1]DATA!$A$6:$AI$331,34,0)</f>
        <v/>
      </c>
      <c r="CJ284" s="200">
        <f>VLOOKUP(A284,[2]CHAMCONG!A$7:CI$333,79,0)</f>
        <v/>
      </c>
      <c r="CK284" s="201">
        <f>CJ284-CA284</f>
        <v/>
      </c>
      <c r="CL284" s="68" t="n"/>
      <c r="CM284" s="68" t="n"/>
    </row>
    <row r="285" ht="18" customFormat="1" customHeight="1" s="75">
      <c r="A285" s="139" t="n"/>
      <c r="B285" s="64" t="n"/>
      <c r="C285" s="115" t="n"/>
      <c r="D285" s="46" t="n"/>
      <c r="E285" s="47" t="n"/>
      <c r="F285" s="48" t="n"/>
      <c r="G285" s="49" t="n"/>
      <c r="H285" s="73" t="n"/>
      <c r="I285" s="50" t="n"/>
      <c r="J285" s="73" t="n"/>
      <c r="K285" s="50" t="n"/>
      <c r="L285" s="73" t="n"/>
      <c r="M285" s="50" t="n"/>
      <c r="N285" s="73" t="n"/>
      <c r="O285" s="50" t="n"/>
      <c r="P285" s="73" t="n"/>
      <c r="Q285" s="73" t="n"/>
      <c r="R285" s="73" t="n"/>
      <c r="S285" s="50" t="n"/>
      <c r="T285" s="73" t="n"/>
      <c r="U285" s="50" t="n"/>
      <c r="V285" s="73" t="n"/>
      <c r="W285" s="50" t="n"/>
      <c r="X285" s="73" t="n"/>
      <c r="Y285" s="50" t="n"/>
      <c r="Z285" s="73" t="n"/>
      <c r="AA285" s="50" t="n"/>
      <c r="AB285" s="73" t="n"/>
      <c r="AC285" s="50" t="n"/>
      <c r="AD285" s="73" t="n"/>
      <c r="AE285" s="73" t="n"/>
      <c r="AF285" s="73" t="n"/>
      <c r="AG285" s="50" t="n"/>
      <c r="AH285" s="73" t="n"/>
      <c r="AI285" s="50" t="n"/>
      <c r="AJ285" s="73" t="n"/>
      <c r="AK285" s="50" t="n"/>
      <c r="AL285" s="73" t="n"/>
      <c r="AM285" s="50" t="n"/>
      <c r="AN285" s="73" t="n"/>
      <c r="AO285" s="50" t="n"/>
      <c r="AP285" s="73" t="n"/>
      <c r="AQ285" s="50" t="n"/>
      <c r="AR285" s="73" t="n"/>
      <c r="AS285" s="73" t="n"/>
      <c r="AT285" s="73" t="n"/>
      <c r="AU285" s="73" t="n"/>
      <c r="AV285" s="73" t="n"/>
      <c r="AW285" s="73" t="n"/>
      <c r="AX285" s="73" t="n"/>
      <c r="AY285" s="50" t="n"/>
      <c r="AZ285" s="73" t="n"/>
      <c r="BA285" s="73" t="n"/>
      <c r="BB285" s="73" t="n"/>
      <c r="BC285" s="73" t="n"/>
      <c r="BD285" s="73" t="n"/>
      <c r="BE285" s="50" t="n"/>
      <c r="BF285" s="73" t="n"/>
      <c r="BG285" s="73" t="n"/>
      <c r="BH285" s="73" t="n"/>
      <c r="BI285" s="73" t="n"/>
      <c r="BJ285" s="73" t="n"/>
      <c r="BK285" s="73" t="n"/>
      <c r="BL285" s="73" t="n"/>
      <c r="BM285" s="73" t="n"/>
      <c r="BN285" s="73" t="n"/>
      <c r="BO285" s="73" t="n"/>
      <c r="BP285" s="73" t="n"/>
      <c r="BQ285" s="195">
        <f>COUNTIF($G285:$BP285,"a")+COUNTIF($G285:$BP285,"r0,a5")/2+COUNTIF($G285:$BP285,"p5,a5")/2</f>
        <v/>
      </c>
      <c r="BR285" s="195">
        <f>COUNTIF($G285:$BP285,"d")+COUNTIF($G285:$BP285,"r0,d5")/2+COUNTIF($G285:$BP285,"p5,d5")/2</f>
        <v/>
      </c>
      <c r="BS285" s="195">
        <f>COUNTIF($G285:$BP285,"b")+COUNTIF($G285:$BP285,"r0,b5")/2+COUNTIF($G285:$BP285,"p5,b5")/2</f>
        <v/>
      </c>
      <c r="BT285" s="195">
        <f>COUNTIF($G285:$BP285,"c")+COUNTIF($G285:$BP285,"r0,c5")/2+COUNTIF($G285:$BP285,"p5,c5")/2</f>
        <v/>
      </c>
      <c r="BU285" s="195">
        <f>COUNTIF($G285:$BP285,"KH")+COUNTIF($G285:$BP285,"TL")+COUNTIF($G285:$BP285,"L")</f>
        <v/>
      </c>
      <c r="BV285" s="202" t="n"/>
      <c r="BW285" s="195">
        <f>COUNTIF($G285:$BP285,"hh")</f>
        <v/>
      </c>
      <c r="BX285" s="195">
        <f>COUNTIF($G285:$BP285,"nt7")</f>
        <v/>
      </c>
      <c r="BY285" s="195">
        <f>COUNTIF($G285:$BP285,"P")+COUNTIF($G285:$BP285,"p5,a5")/2+COUNTIF($G285:$BP285,"p5,b5")/2+COUNTIF($G285:$BP285,"p5,c5")/2+COUNTIF($G285:$BP285,"p5,d5")/2</f>
        <v/>
      </c>
      <c r="BZ285" s="203">
        <f>SUBTOTAL(9,BQ285:BY285)</f>
        <v/>
      </c>
      <c r="CA285" s="54">
        <f>SUM(J285,L285,N285,P285,R285,T285,X285,Z285,AB285,AD285,AF285,AH285,AL285,AN285,AP285,AR285,AT285,AV285,AZ285,BB285,BD285,BF285,BH285,BP285)</f>
        <v/>
      </c>
      <c r="CB285" s="55">
        <f>SUM(H285,V285,AJ285,AX285,BL285)</f>
        <v/>
      </c>
      <c r="CC285" s="56">
        <f>SUM(BJ285,BN285)</f>
        <v/>
      </c>
      <c r="CD285" s="197">
        <f>IF(BZ285&gt;25,4,IF(BZ285&gt;18,3,IF(BZ285&gt;12,2,IF(BZ285&gt;4,1,0))))-BX285-2+1</f>
        <v/>
      </c>
      <c r="CE285" s="49" t="n"/>
      <c r="CF285" s="197">
        <f>CD285*CI285</f>
        <v/>
      </c>
      <c r="CG285" s="198">
        <f>F285-BY285+1</f>
        <v/>
      </c>
      <c r="CH285" s="197">
        <f>CE285*16</f>
        <v/>
      </c>
      <c r="CI285" s="199">
        <f>VLOOKUP(A285,[1]DATA!$A$6:$AI$331,34,0)</f>
        <v/>
      </c>
      <c r="CJ285" s="200">
        <f>VLOOKUP(A285,[2]CHAMCONG!A$7:CI$333,79,0)</f>
        <v/>
      </c>
      <c r="CK285" s="201">
        <f>CJ285-CA285</f>
        <v/>
      </c>
      <c r="CL285" s="68" t="n"/>
      <c r="CM285" s="68" t="n"/>
    </row>
    <row r="286" ht="18" customFormat="1" customHeight="1" s="75">
      <c r="A286" s="139" t="n"/>
      <c r="B286" s="64" t="n"/>
      <c r="C286" s="115" t="n"/>
      <c r="D286" s="46" t="n"/>
      <c r="E286" s="47" t="n"/>
      <c r="F286" s="48" t="n"/>
      <c r="G286" s="49" t="n"/>
      <c r="H286" s="73" t="n"/>
      <c r="I286" s="50" t="n"/>
      <c r="J286" s="73" t="n"/>
      <c r="K286" s="73" t="n"/>
      <c r="L286" s="73" t="n"/>
      <c r="M286" s="73" t="n"/>
      <c r="N286" s="73" t="n"/>
      <c r="O286" s="50" t="n"/>
      <c r="P286" s="73" t="n"/>
      <c r="Q286" s="73" t="n"/>
      <c r="R286" s="73" t="n"/>
      <c r="S286" s="73" t="n"/>
      <c r="T286" s="73" t="n"/>
      <c r="U286" s="49" t="n"/>
      <c r="V286" s="73" t="n"/>
      <c r="W286" s="50" t="n"/>
      <c r="X286" s="73" t="n"/>
      <c r="Y286" s="73" t="n"/>
      <c r="Z286" s="73" t="n"/>
      <c r="AA286" s="73" t="n"/>
      <c r="AB286" s="73" t="n"/>
      <c r="AC286" s="50" t="n"/>
      <c r="AD286" s="73" t="n"/>
      <c r="AE286" s="73" t="n"/>
      <c r="AF286" s="73" t="n"/>
      <c r="AG286" s="73" t="n"/>
      <c r="AH286" s="73" t="n"/>
      <c r="AI286" s="73" t="n"/>
      <c r="AJ286" s="73" t="n"/>
      <c r="AK286" s="50" t="n"/>
      <c r="AL286" s="73" t="n"/>
      <c r="AM286" s="73" t="n"/>
      <c r="AN286" s="73" t="n"/>
      <c r="AO286" s="73" t="n"/>
      <c r="AP286" s="73" t="n"/>
      <c r="AQ286" s="50" t="n"/>
      <c r="AR286" s="73" t="n"/>
      <c r="AS286" s="73" t="n"/>
      <c r="AT286" s="73" t="n"/>
      <c r="AU286" s="73" t="n"/>
      <c r="AV286" s="73" t="n"/>
      <c r="AW286" s="73" t="n"/>
      <c r="AX286" s="73" t="n"/>
      <c r="AY286" s="50" t="n"/>
      <c r="AZ286" s="73" t="n"/>
      <c r="BA286" s="73" t="n"/>
      <c r="BB286" s="73" t="n"/>
      <c r="BC286" s="73" t="n"/>
      <c r="BD286" s="73" t="n"/>
      <c r="BE286" s="50" t="n"/>
      <c r="BF286" s="73" t="n"/>
      <c r="BG286" s="73" t="n"/>
      <c r="BH286" s="73" t="n"/>
      <c r="BI286" s="73" t="n"/>
      <c r="BJ286" s="73" t="n"/>
      <c r="BK286" s="73" t="n"/>
      <c r="BL286" s="73" t="n"/>
      <c r="BM286" s="73" t="n"/>
      <c r="BN286" s="73" t="n"/>
      <c r="BO286" s="73" t="n"/>
      <c r="BP286" s="73" t="n"/>
      <c r="BQ286" s="195">
        <f>COUNTIF($G286:$BP286,"a")+COUNTIF($G286:$BP286,"r0,a5")/2+COUNTIF($G286:$BP286,"p5,a5")/2</f>
        <v/>
      </c>
      <c r="BR286" s="195">
        <f>COUNTIF($G286:$BP286,"d")+COUNTIF($G286:$BP286,"r0,d5")/2+COUNTIF($G286:$BP286,"p5,d5")/2</f>
        <v/>
      </c>
      <c r="BS286" s="195">
        <f>COUNTIF($G286:$BP286,"b")+COUNTIF($G286:$BP286,"r0,b5")/2+COUNTIF($G286:$BP286,"p5,b5")/2</f>
        <v/>
      </c>
      <c r="BT286" s="195">
        <f>COUNTIF($G286:$BP286,"c")+COUNTIF($G286:$BP286,"r0,c5")/2+COUNTIF($G286:$BP286,"p5,c5")/2</f>
        <v/>
      </c>
      <c r="BU286" s="195">
        <f>COUNTIF($G286:$BP286,"KH")+COUNTIF($G286:$BP286,"TL")+COUNTIF($G286:$BP286,"L")</f>
        <v/>
      </c>
      <c r="BV286" s="202" t="n"/>
      <c r="BW286" s="195">
        <f>COUNTIF($G286:$BP286,"hh")</f>
        <v/>
      </c>
      <c r="BX286" s="195">
        <f>COUNTIF($G286:$BP286,"nt7")</f>
        <v/>
      </c>
      <c r="BY286" s="195">
        <f>COUNTIF($G286:$BP286,"P")+COUNTIF($G286:$BP286,"p5,a5")/2+COUNTIF($G286:$BP286,"p5,b5")/2+COUNTIF($G286:$BP286,"p5,c5")/2+COUNTIF($G286:$BP286,"p5,d5")/2</f>
        <v/>
      </c>
      <c r="BZ286" s="203">
        <f>SUBTOTAL(9,BQ286:BY286)</f>
        <v/>
      </c>
      <c r="CA286" s="54">
        <f>SUM(J286,L286,N286,P286,R286,T286,X286,Z286,AB286,AD286,AF286,AH286,AL286,AN286,AP286,AR286,AT286,AV286,AZ286,BB286,BD286,BF286,BH286,BP286)</f>
        <v/>
      </c>
      <c r="CB286" s="55">
        <f>SUM(H286,V286,AJ286,AX286,BL286)</f>
        <v/>
      </c>
      <c r="CC286" s="56">
        <f>SUM(BJ286,BN286)</f>
        <v/>
      </c>
      <c r="CD286" s="197">
        <f>IF(BZ286&gt;25,4,IF(BZ286&gt;18,3,IF(BZ286&gt;12,2,IF(BZ286&gt;4,1,0))))-BX286-2+1</f>
        <v/>
      </c>
      <c r="CE286" s="49" t="n"/>
      <c r="CF286" s="197">
        <f>CD286*CI286</f>
        <v/>
      </c>
      <c r="CG286" s="198">
        <f>F286-BY286+3</f>
        <v/>
      </c>
      <c r="CH286" s="197">
        <f>CE286*16</f>
        <v/>
      </c>
      <c r="CI286" s="199">
        <f>VLOOKUP(A286,[1]DATA!$A$6:$AI$331,34,0)</f>
        <v/>
      </c>
      <c r="CJ286" s="200">
        <f>VLOOKUP(A286,[2]CHAMCONG!A$7:CI$333,79,0)</f>
        <v/>
      </c>
      <c r="CK286" s="201">
        <f>CJ286-CA286</f>
        <v/>
      </c>
      <c r="CL286" s="68" t="n"/>
      <c r="CM286" s="68" t="n"/>
    </row>
    <row r="287" ht="18" customFormat="1" customHeight="1" s="75">
      <c r="A287" s="139" t="n"/>
      <c r="B287" s="64" t="n"/>
      <c r="C287" s="115" t="n"/>
      <c r="D287" s="46" t="n"/>
      <c r="E287" s="47" t="n"/>
      <c r="F287" s="48" t="n"/>
      <c r="G287" s="49" t="n"/>
      <c r="H287" s="73" t="n"/>
      <c r="I287" s="73" t="n"/>
      <c r="J287" s="73" t="n"/>
      <c r="K287" s="73" t="n"/>
      <c r="L287" s="73" t="n"/>
      <c r="M287" s="73" t="n"/>
      <c r="N287" s="73" t="n"/>
      <c r="O287" s="73" t="n"/>
      <c r="P287" s="73" t="n"/>
      <c r="Q287" s="49" t="n"/>
      <c r="R287" s="73" t="n"/>
      <c r="S287" s="73" t="n"/>
      <c r="T287" s="73" t="n"/>
      <c r="U287" s="73" t="n"/>
      <c r="V287" s="73" t="n"/>
      <c r="W287" s="73" t="n"/>
      <c r="X287" s="73" t="n"/>
      <c r="Y287" s="73" t="n"/>
      <c r="Z287" s="73" t="n"/>
      <c r="AA287" s="73" t="n"/>
      <c r="AB287" s="73" t="n"/>
      <c r="AC287" s="50" t="n"/>
      <c r="AD287" s="73" t="n"/>
      <c r="AE287" s="50" t="n"/>
      <c r="AF287" s="67" t="n"/>
      <c r="AG287" s="50" t="n"/>
      <c r="AH287" s="73" t="n"/>
      <c r="AI287" s="50" t="n"/>
      <c r="AJ287" s="73" t="n"/>
      <c r="AK287" s="50" t="n"/>
      <c r="AL287" s="73" t="n"/>
      <c r="AM287" s="50" t="n"/>
      <c r="AN287" s="73" t="n"/>
      <c r="AO287" s="50" t="n"/>
      <c r="AP287" s="73" t="n"/>
      <c r="AQ287" s="49" t="n"/>
      <c r="AR287" s="73" t="n"/>
      <c r="AS287" s="49" t="n"/>
      <c r="AT287" s="73" t="n"/>
      <c r="AU287" s="49" t="n"/>
      <c r="AV287" s="73" t="n"/>
      <c r="AW287" s="49" t="n"/>
      <c r="AX287" s="73" t="n"/>
      <c r="AY287" s="49" t="n"/>
      <c r="AZ287" s="73" t="n"/>
      <c r="BA287" s="49" t="n"/>
      <c r="BB287" s="73" t="n"/>
      <c r="BC287" s="73" t="n"/>
      <c r="BD287" s="73" t="n"/>
      <c r="BE287" s="49" t="n"/>
      <c r="BF287" s="73" t="n"/>
      <c r="BG287" s="49" t="n"/>
      <c r="BH287" s="73" t="n"/>
      <c r="BI287" s="73" t="n"/>
      <c r="BJ287" s="73" t="n"/>
      <c r="BK287" s="73" t="n"/>
      <c r="BL287" s="73" t="n"/>
      <c r="BM287" s="73" t="n"/>
      <c r="BN287" s="73" t="n"/>
      <c r="BO287" s="73" t="n"/>
      <c r="BP287" s="73" t="n"/>
      <c r="BQ287" s="195">
        <f>COUNTIF($G287:$BP287,"a")+COUNTIF($G287:$BP287,"r0,a5")/2+COUNTIF($G287:$BP287,"p5,a5")/2</f>
        <v/>
      </c>
      <c r="BR287" s="195">
        <f>COUNTIF($G287:$BP287,"d")+COUNTIF($G287:$BP287,"r0,d5")/2+COUNTIF($G287:$BP287,"p5,d5")/2</f>
        <v/>
      </c>
      <c r="BS287" s="195">
        <f>COUNTIF($G287:$BP287,"b")+COUNTIF($G287:$BP287,"r0,b5")/2+COUNTIF($G287:$BP287,"p5,b5")/2</f>
        <v/>
      </c>
      <c r="BT287" s="195">
        <f>COUNTIF($G287:$BP287,"c")+COUNTIF($G287:$BP287,"r0,c5")/2+COUNTIF($G287:$BP287,"p5,c5")/2</f>
        <v/>
      </c>
      <c r="BU287" s="195">
        <f>COUNTIF($G287:$BP287,"KH")+COUNTIF($G287:$BP287,"TL")+COUNTIF($G287:$BP287,"L")</f>
        <v/>
      </c>
      <c r="BV287" s="202" t="n"/>
      <c r="BW287" s="195">
        <f>COUNTIF($G287:$BP287,"hh")</f>
        <v/>
      </c>
      <c r="BX287" s="195">
        <f>COUNTIF($G287:$BP287,"nt7")</f>
        <v/>
      </c>
      <c r="BY287" s="195">
        <f>COUNTIF($G287:$BP287,"P")+COUNTIF($G287:$BP287,"p5,a5")/2+COUNTIF($G287:$BP287,"p5,b5")/2+COUNTIF($G287:$BP287,"p5,c5")/2+COUNTIF($G287:$BP287,"p5,d5")/2</f>
        <v/>
      </c>
      <c r="BZ287" s="203">
        <f>SUBTOTAL(9,BQ287:BY287)</f>
        <v/>
      </c>
      <c r="CA287" s="54">
        <f>SUM(J287,L287,N287,P287,R287,T287,X287,Z287,AB287,AD287,AF287,AH287,AL287,AN287,AP287,AR287,AT287,AV287,AZ287,BB287,BD287,BF287,BH287,BP287)</f>
        <v/>
      </c>
      <c r="CB287" s="55">
        <f>SUM(H287,V287,AJ287,AX287,BL287)</f>
        <v/>
      </c>
      <c r="CC287" s="56">
        <f>SUM(BJ287,BN287)</f>
        <v/>
      </c>
      <c r="CD287" s="197">
        <f>IF(BZ287&gt;25,4,IF(BZ287&gt;18,3,IF(BZ287&gt;12,2,IF(BZ287&gt;4,1,0))))-BX287-2+1</f>
        <v/>
      </c>
      <c r="CE287" s="49" t="n">
        <v>3</v>
      </c>
      <c r="CF287" s="204">
        <f>CD287*CI287</f>
        <v/>
      </c>
      <c r="CG287" s="198">
        <f>F287-BY287+1</f>
        <v/>
      </c>
      <c r="CH287" s="197">
        <f>CE287*16</f>
        <v/>
      </c>
      <c r="CI287" s="199">
        <f>VLOOKUP(A287,[1]DATA!$A$6:$AI$331,34,0)</f>
        <v/>
      </c>
      <c r="CJ287" s="200">
        <f>VLOOKUP(A287,[2]CHAMCONG!A$7:CI$333,79,0)</f>
        <v/>
      </c>
      <c r="CK287" s="201">
        <f>CJ287-CA287</f>
        <v/>
      </c>
      <c r="CL287" s="68" t="n"/>
      <c r="CM287" s="68" t="n"/>
    </row>
    <row r="288" ht="18" customFormat="1" customHeight="1" s="75">
      <c r="A288" s="139" t="n"/>
      <c r="B288" s="64" t="n"/>
      <c r="C288" s="115" t="n"/>
      <c r="D288" s="46" t="n"/>
      <c r="E288" s="47" t="n"/>
      <c r="F288" s="48" t="n"/>
      <c r="G288" s="49" t="n"/>
      <c r="H288" s="73" t="n"/>
      <c r="I288" s="50" t="n"/>
      <c r="J288" s="73" t="n"/>
      <c r="K288" s="50" t="n"/>
      <c r="L288" s="73" t="n"/>
      <c r="M288" s="50" t="n"/>
      <c r="N288" s="73" t="n"/>
      <c r="O288" s="50" t="n"/>
      <c r="P288" s="73" t="n"/>
      <c r="Q288" s="73" t="n"/>
      <c r="R288" s="73" t="n"/>
      <c r="S288" s="50" t="n"/>
      <c r="T288" s="73" t="n"/>
      <c r="U288" s="50" t="n"/>
      <c r="V288" s="73" t="n"/>
      <c r="W288" s="50" t="n"/>
      <c r="X288" s="73" t="n"/>
      <c r="Y288" s="50" t="n"/>
      <c r="Z288" s="73" t="n"/>
      <c r="AA288" s="50" t="n"/>
      <c r="AB288" s="73" t="n"/>
      <c r="AC288" s="50" t="n"/>
      <c r="AD288" s="73" t="n"/>
      <c r="AE288" s="73" t="n"/>
      <c r="AF288" s="73" t="n"/>
      <c r="AG288" s="50" t="n"/>
      <c r="AH288" s="73" t="n"/>
      <c r="AI288" s="50" t="n"/>
      <c r="AJ288" s="73" t="n"/>
      <c r="AK288" s="50" t="n"/>
      <c r="AL288" s="73" t="n"/>
      <c r="AM288" s="50" t="n"/>
      <c r="AN288" s="73" t="n"/>
      <c r="AO288" s="50" t="n"/>
      <c r="AP288" s="73" t="n"/>
      <c r="AQ288" s="50" t="n"/>
      <c r="AR288" s="73" t="n"/>
      <c r="AS288" s="73" t="n"/>
      <c r="AT288" s="73" t="n"/>
      <c r="AU288" s="73" t="n"/>
      <c r="AV288" s="73" t="n"/>
      <c r="AW288" s="73" t="n"/>
      <c r="AX288" s="73" t="n"/>
      <c r="AY288" s="50" t="n"/>
      <c r="AZ288" s="73" t="n"/>
      <c r="BA288" s="73" t="n"/>
      <c r="BB288" s="73" t="n"/>
      <c r="BC288" s="73" t="n"/>
      <c r="BD288" s="73" t="n"/>
      <c r="BE288" s="50" t="n"/>
      <c r="BF288" s="73" t="n"/>
      <c r="BG288" s="73" t="n"/>
      <c r="BH288" s="73" t="n"/>
      <c r="BI288" s="73" t="n"/>
      <c r="BJ288" s="73" t="n"/>
      <c r="BK288" s="73" t="n"/>
      <c r="BL288" s="73" t="n"/>
      <c r="BM288" s="73" t="n"/>
      <c r="BN288" s="73" t="n"/>
      <c r="BO288" s="73" t="n"/>
      <c r="BP288" s="73" t="n"/>
      <c r="BQ288" s="195">
        <f>COUNTIF($G288:$BP288,"a")+COUNTIF($G288:$BP288,"r0,a5")/2+COUNTIF($G288:$BP288,"p5,a5")/2</f>
        <v/>
      </c>
      <c r="BR288" s="195">
        <f>COUNTIF($G288:$BP288,"d")+COUNTIF($G288:$BP288,"r0,d5")/2+COUNTIF($G288:$BP288,"p5,d5")/2</f>
        <v/>
      </c>
      <c r="BS288" s="195">
        <f>COUNTIF($G288:$BP288,"b")+COUNTIF($G288:$BP288,"r0,b5")/2+COUNTIF($G288:$BP288,"p5,b5")/2</f>
        <v/>
      </c>
      <c r="BT288" s="195">
        <f>COUNTIF($G288:$BP288,"c")+COUNTIF($G288:$BP288,"r0,c5")/2+COUNTIF($G288:$BP288,"p5,c5")/2</f>
        <v/>
      </c>
      <c r="BU288" s="195">
        <f>COUNTIF($G288:$BP288,"KH")+COUNTIF($G288:$BP288,"TL")+COUNTIF($G288:$BP288,"L")</f>
        <v/>
      </c>
      <c r="BV288" s="202" t="n"/>
      <c r="BW288" s="195">
        <f>COUNTIF($G288:$BP288,"hh")</f>
        <v/>
      </c>
      <c r="BX288" s="195">
        <f>COUNTIF($G288:$BP288,"nt7")</f>
        <v/>
      </c>
      <c r="BY288" s="195">
        <f>COUNTIF($G288:$BP288,"P")+COUNTIF($G288:$BP288,"p5,a5")/2+COUNTIF($G288:$BP288,"p5,b5")/2+COUNTIF($G288:$BP288,"p5,c5")/2+COUNTIF($G288:$BP288,"p5,d5")/2</f>
        <v/>
      </c>
      <c r="BZ288" s="203">
        <f>SUBTOTAL(9,BQ288:BY288)</f>
        <v/>
      </c>
      <c r="CA288" s="54">
        <f>SUM(J288,L288,N288,P288,R288,T288,X288,Z288,AB288,AD288,AF288,AH288,AL288,AN288,AP288,AR288,AT288,AV288,AZ288,BB288,BD288,BF288,BH288,BP288)</f>
        <v/>
      </c>
      <c r="CB288" s="55">
        <f>SUM(H288,V288,AJ288,AX288,BL288)</f>
        <v/>
      </c>
      <c r="CC288" s="56">
        <f>SUM(BJ288,BN288)</f>
        <v/>
      </c>
      <c r="CD288" s="197">
        <f>IF(BZ288&gt;25,4,IF(BZ288&gt;18,3,IF(BZ288&gt;12,2,IF(BZ288&gt;4,1,0))))-BX288-2+1</f>
        <v/>
      </c>
      <c r="CE288" s="49" t="n"/>
      <c r="CF288" s="204">
        <f>CD288*CI288</f>
        <v/>
      </c>
      <c r="CG288" s="198">
        <f>F288-BY288+1</f>
        <v/>
      </c>
      <c r="CH288" s="197">
        <f>CE288*16</f>
        <v/>
      </c>
      <c r="CI288" s="199">
        <f>VLOOKUP(A288,[1]DATA!$A$6:$AI$331,34,0)</f>
        <v/>
      </c>
      <c r="CJ288" s="200">
        <f>VLOOKUP(A288,[2]CHAMCONG!A$7:CI$333,79,0)</f>
        <v/>
      </c>
      <c r="CK288" s="201">
        <f>CJ288-CA288</f>
        <v/>
      </c>
      <c r="CL288" s="68" t="n"/>
      <c r="CM288" s="68" t="n"/>
    </row>
    <row r="289" ht="18" customFormat="1" customHeight="1" s="75">
      <c r="A289" s="139" t="n"/>
      <c r="B289" s="64" t="n"/>
      <c r="C289" s="115" t="n"/>
      <c r="D289" s="46" t="n"/>
      <c r="E289" s="47" t="n"/>
      <c r="F289" s="48" t="n"/>
      <c r="G289" s="49" t="n"/>
      <c r="H289" s="73" t="n"/>
      <c r="I289" s="49" t="n"/>
      <c r="J289" s="73" t="n"/>
      <c r="K289" s="49" t="n"/>
      <c r="L289" s="73" t="n"/>
      <c r="M289" s="73" t="n"/>
      <c r="N289" s="73" t="n"/>
      <c r="O289" s="49" t="n"/>
      <c r="P289" s="73" t="n"/>
      <c r="Q289" s="49" t="n"/>
      <c r="R289" s="73" t="n"/>
      <c r="S289" s="49" t="n"/>
      <c r="T289" s="73" t="n"/>
      <c r="U289" s="49" t="n"/>
      <c r="V289" s="73" t="n"/>
      <c r="W289" s="49" t="n"/>
      <c r="X289" s="73" t="n"/>
      <c r="Y289" s="49" t="n"/>
      <c r="Z289" s="73" t="n"/>
      <c r="AA289" s="49" t="n"/>
      <c r="AB289" s="73" t="n"/>
      <c r="AC289" s="49" t="n"/>
      <c r="AD289" s="73" t="n"/>
      <c r="AE289" s="49" t="n"/>
      <c r="AF289" s="73" t="n"/>
      <c r="AG289" s="49" t="n"/>
      <c r="AH289" s="73" t="n"/>
      <c r="AI289" s="49" t="n"/>
      <c r="AJ289" s="73" t="n"/>
      <c r="AK289" s="49" t="n"/>
      <c r="AL289" s="73" t="n"/>
      <c r="AM289" s="49" t="n"/>
      <c r="AN289" s="73" t="n"/>
      <c r="AO289" s="49" t="n"/>
      <c r="AP289" s="73" t="n"/>
      <c r="AQ289" s="49" t="n"/>
      <c r="AR289" s="73" t="n"/>
      <c r="AS289" s="49" t="n"/>
      <c r="AT289" s="73" t="n"/>
      <c r="AU289" s="49" t="n"/>
      <c r="AV289" s="73" t="n"/>
      <c r="AW289" s="73" t="n"/>
      <c r="AX289" s="73" t="n"/>
      <c r="AY289" s="49" t="n"/>
      <c r="AZ289" s="73" t="n"/>
      <c r="BA289" s="49" t="n"/>
      <c r="BB289" s="73" t="n"/>
      <c r="BC289" s="73" t="n"/>
      <c r="BD289" s="73" t="n"/>
      <c r="BE289" s="49" t="n"/>
      <c r="BF289" s="73" t="n"/>
      <c r="BG289" s="49" t="n"/>
      <c r="BH289" s="73" t="n"/>
      <c r="BI289" s="73" t="n"/>
      <c r="BJ289" s="73" t="n"/>
      <c r="BK289" s="73" t="n"/>
      <c r="BL289" s="73" t="n"/>
      <c r="BM289" s="73" t="n"/>
      <c r="BN289" s="73" t="n"/>
      <c r="BO289" s="73" t="n"/>
      <c r="BP289" s="73" t="n"/>
      <c r="BQ289" s="195">
        <f>COUNTIF($G289:$BP289,"a")+COUNTIF($G289:$BP289,"r0,a5")/2+COUNTIF($G289:$BP289,"p5,a5")/2</f>
        <v/>
      </c>
      <c r="BR289" s="195">
        <f>COUNTIF($G289:$BP289,"d")+COUNTIF($G289:$BP289,"r0,d5")/2+COUNTIF($G289:$BP289,"p5,d5")/2</f>
        <v/>
      </c>
      <c r="BS289" s="195">
        <f>COUNTIF($G289:$BP289,"b")+COUNTIF($G289:$BP289,"r0,b5")/2+COUNTIF($G289:$BP289,"p5,b5")/2</f>
        <v/>
      </c>
      <c r="BT289" s="195">
        <f>COUNTIF($G289:$BP289,"c")+COUNTIF($G289:$BP289,"r0,c5")/2+COUNTIF($G289:$BP289,"p5,c5")/2</f>
        <v/>
      </c>
      <c r="BU289" s="195">
        <f>COUNTIF($G289:$BP289,"KH")+COUNTIF($G289:$BP289,"TL")+COUNTIF($G289:$BP289,"L")</f>
        <v/>
      </c>
      <c r="BV289" s="202" t="n"/>
      <c r="BW289" s="195">
        <f>COUNTIF($G289:$BP289,"hh")</f>
        <v/>
      </c>
      <c r="BX289" s="195">
        <f>COUNTIF($G289:$BP289,"nt7")</f>
        <v/>
      </c>
      <c r="BY289" s="195">
        <f>COUNTIF($G289:$BP289,"P")+COUNTIF($G289:$BP289,"p5,a5")/2+COUNTIF($G289:$BP289,"p5,b5")/2+COUNTIF($G289:$BP289,"p5,c5")/2+COUNTIF($G289:$BP289,"p5,d5")/2</f>
        <v/>
      </c>
      <c r="BZ289" s="203">
        <f>SUBTOTAL(9,BQ289:BY289)</f>
        <v/>
      </c>
      <c r="CA289" s="54">
        <f>SUM(J289,L289,N289,P289,R289,T289,X289,Z289,AB289,AD289,AF289,AH289,AL289,AN289,AP289,AR289,AT289,AV289,AZ289,BB289,BD289,BF289,BH289,BP289)</f>
        <v/>
      </c>
      <c r="CB289" s="55">
        <f>SUM(H289,V289,AJ289,AX289,BL289)</f>
        <v/>
      </c>
      <c r="CC289" s="56">
        <f>SUM(BJ289,BN289)</f>
        <v/>
      </c>
      <c r="CD289" s="197">
        <f>IF(BZ289&gt;25,4,IF(BZ289&gt;18,3,IF(BZ289&gt;12,2,IF(BZ289&gt;4,1,0))))-BX289-2+1</f>
        <v/>
      </c>
      <c r="CE289" s="49" t="n"/>
      <c r="CF289" s="204">
        <f>CD289*CI289</f>
        <v/>
      </c>
      <c r="CG289" s="198" t="n">
        <v>0</v>
      </c>
      <c r="CH289" s="197">
        <f>CE289*16</f>
        <v/>
      </c>
      <c r="CI289" s="199">
        <f>VLOOKUP(A289,[1]DATA!$A$6:$AI$331,34,0)</f>
        <v/>
      </c>
      <c r="CJ289" s="200">
        <f>VLOOKUP(A289,[2]CHAMCONG!A$7:CI$333,79,0)</f>
        <v/>
      </c>
      <c r="CK289" s="201">
        <f>CJ289-CA289</f>
        <v/>
      </c>
      <c r="CL289" s="68" t="n"/>
      <c r="CM289" s="68" t="n"/>
    </row>
    <row r="290" ht="18" customFormat="1" customHeight="1" s="75">
      <c r="A290" s="139" t="n"/>
      <c r="B290" s="64" t="n"/>
      <c r="C290" s="115" t="n"/>
      <c r="D290" s="46" t="n"/>
      <c r="E290" s="47" t="n"/>
      <c r="F290" s="48" t="n"/>
      <c r="G290" s="49" t="n"/>
      <c r="H290" s="73" t="n"/>
      <c r="I290" s="50" t="n"/>
      <c r="J290" s="73" t="n"/>
      <c r="K290" s="73" t="n"/>
      <c r="L290" s="73" t="n"/>
      <c r="M290" s="73" t="n"/>
      <c r="N290" s="73" t="n"/>
      <c r="O290" s="50" t="n"/>
      <c r="P290" s="73" t="n"/>
      <c r="Q290" s="73" t="n"/>
      <c r="R290" s="73" t="n"/>
      <c r="S290" s="73" t="n"/>
      <c r="T290" s="73" t="n"/>
      <c r="U290" s="49" t="n"/>
      <c r="V290" s="73" t="n"/>
      <c r="W290" s="50" t="n"/>
      <c r="X290" s="73" t="n"/>
      <c r="Y290" s="73" t="n"/>
      <c r="Z290" s="73" t="n"/>
      <c r="AA290" s="73" t="n"/>
      <c r="AB290" s="73" t="n"/>
      <c r="AC290" s="50" t="n"/>
      <c r="AD290" s="73" t="n"/>
      <c r="AE290" s="73" t="n"/>
      <c r="AF290" s="73" t="n"/>
      <c r="AG290" s="73" t="n"/>
      <c r="AH290" s="73" t="n"/>
      <c r="AI290" s="73" t="n"/>
      <c r="AJ290" s="73" t="n"/>
      <c r="AK290" s="50" t="n"/>
      <c r="AL290" s="73" t="n"/>
      <c r="AM290" s="73" t="n"/>
      <c r="AN290" s="73" t="n"/>
      <c r="AO290" s="73" t="n"/>
      <c r="AP290" s="73" t="n"/>
      <c r="AQ290" s="50" t="n"/>
      <c r="AR290" s="73" t="n"/>
      <c r="AS290" s="73" t="n"/>
      <c r="AT290" s="73" t="n"/>
      <c r="AU290" s="73" t="n"/>
      <c r="AV290" s="73" t="n"/>
      <c r="AW290" s="73" t="n"/>
      <c r="AX290" s="73" t="n"/>
      <c r="AY290" s="50" t="n"/>
      <c r="AZ290" s="73" t="n"/>
      <c r="BA290" s="73" t="n"/>
      <c r="BB290" s="73" t="n"/>
      <c r="BC290" s="73" t="n"/>
      <c r="BD290" s="73" t="n"/>
      <c r="BE290" s="50" t="n"/>
      <c r="BF290" s="73" t="n"/>
      <c r="BG290" s="73" t="n"/>
      <c r="BH290" s="73" t="n"/>
      <c r="BI290" s="73" t="n"/>
      <c r="BJ290" s="73" t="n"/>
      <c r="BK290" s="73" t="n"/>
      <c r="BL290" s="73" t="n"/>
      <c r="BM290" s="73" t="n"/>
      <c r="BN290" s="73" t="n"/>
      <c r="BO290" s="73" t="n"/>
      <c r="BP290" s="73" t="n"/>
      <c r="BQ290" s="195">
        <f>COUNTIF($G290:$BP290,"a")+COUNTIF($G290:$BP290,"r0,a5")/2+COUNTIF($G290:$BP290,"p5,a5")/2</f>
        <v/>
      </c>
      <c r="BR290" s="195">
        <f>COUNTIF($G290:$BP290,"d")+COUNTIF($G290:$BP290,"r0,d5")/2+COUNTIF($G290:$BP290,"p5,d5")/2</f>
        <v/>
      </c>
      <c r="BS290" s="195">
        <f>COUNTIF($G290:$BP290,"b")+COUNTIF($G290:$BP290,"r0,b5")/2+COUNTIF($G290:$BP290,"p5,b5")/2</f>
        <v/>
      </c>
      <c r="BT290" s="195">
        <f>COUNTIF($G290:$BP290,"c")+COUNTIF($G290:$BP290,"r0,c5")/2+COUNTIF($G290:$BP290,"p5,c5")/2</f>
        <v/>
      </c>
      <c r="BU290" s="195">
        <f>COUNTIF($G290:$BP290,"KH")+COUNTIF($G290:$BP290,"TL")+COUNTIF($G290:$BP290,"L")</f>
        <v/>
      </c>
      <c r="BV290" s="202" t="n"/>
      <c r="BW290" s="195">
        <f>COUNTIF($G290:$BP290,"hh")</f>
        <v/>
      </c>
      <c r="BX290" s="195">
        <f>COUNTIF($G290:$BP290,"nt7")</f>
        <v/>
      </c>
      <c r="BY290" s="195">
        <f>COUNTIF($G290:$BP290,"P")+COUNTIF($G290:$BP290,"p5,a5")/2+COUNTIF($G290:$BP290,"p5,b5")/2+COUNTIF($G290:$BP290,"p5,c5")/2+COUNTIF($G290:$BP290,"p5,d5")/2</f>
        <v/>
      </c>
      <c r="BZ290" s="203">
        <f>SUBTOTAL(9,BQ290:BY290)</f>
        <v/>
      </c>
      <c r="CA290" s="54">
        <f>SUM(J290,L290,N290,P290,R290,T290,X290,Z290,AB290,AD290,AF290,AH290,AL290,AN290,AP290,AR290,AT290,AV290,AZ290,BB290,BD290,BF290,BH290,BP290)</f>
        <v/>
      </c>
      <c r="CB290" s="55">
        <f>SUM(H290,V290,AJ290,AX290,BL290)</f>
        <v/>
      </c>
      <c r="CC290" s="56">
        <f>SUM(BJ290,BN290)</f>
        <v/>
      </c>
      <c r="CD290" s="197">
        <f>IF(BZ290&gt;25,4,IF(BZ290&gt;18,3,IF(BZ290&gt;12,2,IF(BZ290&gt;4,1,0))))-BX290-2+1</f>
        <v/>
      </c>
      <c r="CE290" s="49" t="n"/>
      <c r="CF290" s="204">
        <f>CD290*CI290</f>
        <v/>
      </c>
      <c r="CG290" s="198" t="n">
        <v>0</v>
      </c>
      <c r="CH290" s="197">
        <f>CE290*16</f>
        <v/>
      </c>
      <c r="CI290" s="199">
        <f>VLOOKUP(A290,[1]DATA!$A$6:$AI$331,34,0)</f>
        <v/>
      </c>
      <c r="CJ290" s="200">
        <f>VLOOKUP(A290,[2]CHAMCONG!A$7:CI$333,79,0)</f>
        <v/>
      </c>
      <c r="CK290" s="201">
        <f>CJ290-CA290</f>
        <v/>
      </c>
      <c r="CL290" s="68" t="n"/>
      <c r="CM290" s="68" t="n"/>
    </row>
    <row r="291" ht="18" customFormat="1" customHeight="1" s="75">
      <c r="A291" s="139" t="n"/>
      <c r="B291" s="64" t="n"/>
      <c r="C291" s="115" t="n"/>
      <c r="D291" s="46" t="n"/>
      <c r="E291" s="47" t="n"/>
      <c r="F291" s="48" t="n"/>
      <c r="G291" s="49" t="n"/>
      <c r="H291" s="73" t="n"/>
      <c r="I291" s="50" t="n"/>
      <c r="J291" s="73" t="n"/>
      <c r="K291" s="50" t="n"/>
      <c r="L291" s="73" t="n"/>
      <c r="M291" s="50" t="n"/>
      <c r="N291" s="73" t="n"/>
      <c r="O291" s="50" t="n"/>
      <c r="P291" s="73" t="n"/>
      <c r="Q291" s="50" t="n"/>
      <c r="R291" s="73" t="n"/>
      <c r="S291" s="50" t="n"/>
      <c r="T291" s="73" t="n"/>
      <c r="U291" s="50" t="n"/>
      <c r="V291" s="73" t="n"/>
      <c r="W291" s="50" t="n"/>
      <c r="X291" s="73" t="n"/>
      <c r="Y291" s="50" t="n"/>
      <c r="Z291" s="73" t="n"/>
      <c r="AA291" s="50" t="n"/>
      <c r="AB291" s="73" t="n"/>
      <c r="AC291" s="50" t="n"/>
      <c r="AD291" s="73" t="n"/>
      <c r="AE291" s="50" t="n"/>
      <c r="AF291" s="67" t="n"/>
      <c r="AG291" s="50" t="n"/>
      <c r="AH291" s="73" t="n"/>
      <c r="AI291" s="50" t="n"/>
      <c r="AJ291" s="73" t="n"/>
      <c r="AK291" s="50" t="n"/>
      <c r="AL291" s="73" t="n"/>
      <c r="AM291" s="50" t="n"/>
      <c r="AN291" s="73" t="n"/>
      <c r="AO291" s="50" t="n"/>
      <c r="AP291" s="73" t="n"/>
      <c r="AQ291" s="50" t="n"/>
      <c r="AR291" s="73" t="n"/>
      <c r="AS291" s="50" t="n"/>
      <c r="AT291" s="67" t="n"/>
      <c r="AU291" s="50" t="n"/>
      <c r="AV291" s="73" t="n"/>
      <c r="AW291" s="73" t="n"/>
      <c r="AX291" s="73" t="n"/>
      <c r="AY291" s="50" t="n"/>
      <c r="AZ291" s="73" t="n"/>
      <c r="BA291" s="50" t="n"/>
      <c r="BB291" s="73" t="n"/>
      <c r="BC291" s="50" t="n"/>
      <c r="BD291" s="73" t="n"/>
      <c r="BE291" s="50" t="n"/>
      <c r="BF291" s="73" t="n"/>
      <c r="BG291" s="50" t="n"/>
      <c r="BH291" s="67" t="n"/>
      <c r="BI291" s="73" t="n"/>
      <c r="BJ291" s="73" t="n"/>
      <c r="BK291" s="73" t="n"/>
      <c r="BL291" s="73" t="n"/>
      <c r="BM291" s="73" t="n"/>
      <c r="BN291" s="73" t="n"/>
      <c r="BO291" s="73" t="n"/>
      <c r="BP291" s="73" t="n"/>
      <c r="BQ291" s="195">
        <f>COUNTIF($G291:$BP291,"a")+COUNTIF($G291:$BP291,"r0,a5")/2+COUNTIF($G291:$BP291,"p5,a5")/2</f>
        <v/>
      </c>
      <c r="BR291" s="195">
        <f>COUNTIF($G291:$BP291,"d")+COUNTIF($G291:$BP291,"r0,d5")/2+COUNTIF($G291:$BP291,"p5,d5")/2</f>
        <v/>
      </c>
      <c r="BS291" s="195">
        <f>COUNTIF($G291:$BP291,"b")+COUNTIF($G291:$BP291,"r0,b5")/2+COUNTIF($G291:$BP291,"p5,b5")/2</f>
        <v/>
      </c>
      <c r="BT291" s="195">
        <f>COUNTIF($G291:$BP291,"c")+COUNTIF($G291:$BP291,"r0,c5")/2+COUNTIF($G291:$BP291,"p5,c5")/2</f>
        <v/>
      </c>
      <c r="BU291" s="195">
        <f>COUNTIF($G291:$BP291,"KH")+COUNTIF($G291:$BP291,"TL")+COUNTIF($G291:$BP291,"L")</f>
        <v/>
      </c>
      <c r="BV291" s="202" t="n"/>
      <c r="BW291" s="195">
        <f>COUNTIF($G291:$BP291,"hh")</f>
        <v/>
      </c>
      <c r="BX291" s="195">
        <f>COUNTIF($G291:$BP291,"nt7")</f>
        <v/>
      </c>
      <c r="BY291" s="195">
        <f>COUNTIF($G291:$BP291,"P")+COUNTIF($G291:$BP291,"p5,a5")/2+COUNTIF($G291:$BP291,"p5,b5")/2+COUNTIF($G291:$BP291,"p5,c5")/2+COUNTIF($G291:$BP291,"p5,d5")/2</f>
        <v/>
      </c>
      <c r="BZ291" s="203">
        <f>SUBTOTAL(9,BQ291:BY291)</f>
        <v/>
      </c>
      <c r="CA291" s="54">
        <f>SUM(J291,L291,N291,P291,R291,T291,X291,Z291,AB291,AD291,AF291,AH291,AL291,AN291,AP291,AR291,AT291,AV291,AZ291,BB291,BD291,BF291,BH291,BP291)</f>
        <v/>
      </c>
      <c r="CB291" s="55">
        <f>SUM(H291,V291,AJ291,AX291,BL291)</f>
        <v/>
      </c>
      <c r="CC291" s="56">
        <f>SUM(BJ291,BN291)</f>
        <v/>
      </c>
      <c r="CD291" s="197">
        <f>IF(BZ291&gt;25,4,IF(BZ291&gt;18,3,IF(BZ291&gt;12,2,IF(BZ291&gt;4,1,0))))-BX291-2+1</f>
        <v/>
      </c>
      <c r="CE291" s="49" t="n">
        <v>3</v>
      </c>
      <c r="CF291" s="204">
        <f>CD291*CI291</f>
        <v/>
      </c>
      <c r="CG291" s="198" t="n">
        <v>0</v>
      </c>
      <c r="CH291" s="197">
        <f>CE291*16</f>
        <v/>
      </c>
      <c r="CI291" s="199">
        <f>VLOOKUP(A291,[1]DATA!$A$6:$AI$331,34,0)</f>
        <v/>
      </c>
      <c r="CJ291" s="200">
        <f>VLOOKUP(A291,[2]CHAMCONG!A$7:CI$333,79,0)</f>
        <v/>
      </c>
      <c r="CK291" s="201">
        <f>CJ291-CA291</f>
        <v/>
      </c>
      <c r="CL291" s="68" t="n"/>
      <c r="CM291" s="68" t="n"/>
    </row>
    <row r="292" ht="18" customFormat="1" customHeight="1" s="75">
      <c r="A292" s="139" t="n"/>
      <c r="B292" s="64" t="n"/>
      <c r="C292" s="115" t="n"/>
      <c r="D292" s="46" t="n"/>
      <c r="E292" s="47" t="n"/>
      <c r="F292" s="48" t="n"/>
      <c r="G292" s="49" t="n"/>
      <c r="H292" s="73" t="n"/>
      <c r="I292" s="50" t="n"/>
      <c r="J292" s="73" t="n"/>
      <c r="K292" s="73" t="n"/>
      <c r="L292" s="73" t="n"/>
      <c r="M292" s="73" t="n"/>
      <c r="N292" s="73" t="n"/>
      <c r="O292" s="50" t="n"/>
      <c r="P292" s="73" t="n"/>
      <c r="Q292" s="73" t="n"/>
      <c r="R292" s="73" t="n"/>
      <c r="S292" s="73" t="n"/>
      <c r="T292" s="73" t="n"/>
      <c r="U292" s="49" t="n"/>
      <c r="V292" s="73" t="n"/>
      <c r="W292" s="50" t="n"/>
      <c r="X292" s="73" t="n"/>
      <c r="Y292" s="73" t="n"/>
      <c r="Z292" s="73" t="n"/>
      <c r="AA292" s="73" t="n"/>
      <c r="AB292" s="73" t="n"/>
      <c r="AC292" s="50" t="n"/>
      <c r="AD292" s="73" t="n"/>
      <c r="AE292" s="73" t="n"/>
      <c r="AF292" s="73" t="n"/>
      <c r="AG292" s="73" t="n"/>
      <c r="AH292" s="73" t="n"/>
      <c r="AI292" s="73" t="n"/>
      <c r="AJ292" s="73" t="n"/>
      <c r="AK292" s="73" t="n"/>
      <c r="AL292" s="73" t="n"/>
      <c r="AM292" s="73" t="n"/>
      <c r="AN292" s="73" t="n"/>
      <c r="AO292" s="73" t="n"/>
      <c r="AP292" s="73" t="n"/>
      <c r="AQ292" s="73" t="n"/>
      <c r="AR292" s="73" t="n"/>
      <c r="AS292" s="73" t="n"/>
      <c r="AT292" s="73" t="n"/>
      <c r="AU292" s="73" t="n"/>
      <c r="AV292" s="73" t="n"/>
      <c r="AW292" s="73" t="n"/>
      <c r="AX292" s="73" t="n"/>
      <c r="AY292" s="73" t="n"/>
      <c r="AZ292" s="73" t="n"/>
      <c r="BA292" s="73" t="n"/>
      <c r="BB292" s="73" t="n"/>
      <c r="BC292" s="73" t="n"/>
      <c r="BD292" s="73" t="n"/>
      <c r="BE292" s="73" t="n"/>
      <c r="BF292" s="73" t="n"/>
      <c r="BG292" s="73" t="n"/>
      <c r="BH292" s="73" t="n"/>
      <c r="BI292" s="73" t="n"/>
      <c r="BJ292" s="73" t="n"/>
      <c r="BK292" s="73" t="n"/>
      <c r="BL292" s="73" t="n"/>
      <c r="BM292" s="73" t="n"/>
      <c r="BN292" s="73" t="n"/>
      <c r="BO292" s="73" t="n"/>
      <c r="BP292" s="73" t="n"/>
      <c r="BQ292" s="195">
        <f>COUNTIF($G292:$BP292,"a")+COUNTIF($G292:$BP292,"r0,a5")/2+COUNTIF($G292:$BP292,"p5,a5")/2</f>
        <v/>
      </c>
      <c r="BR292" s="195">
        <f>COUNTIF($G292:$BP292,"d")+COUNTIF($G292:$BP292,"r0,d5")/2+COUNTIF($G292:$BP292,"p5,d5")/2</f>
        <v/>
      </c>
      <c r="BS292" s="195">
        <f>COUNTIF($G292:$BP292,"b")+COUNTIF($G292:$BP292,"r0,b5")/2+COUNTIF($G292:$BP292,"p5,b5")/2</f>
        <v/>
      </c>
      <c r="BT292" s="195">
        <f>COUNTIF($G292:$BP292,"c")+COUNTIF($G292:$BP292,"r0,c5")/2+COUNTIF($G292:$BP292,"p5,c5")/2</f>
        <v/>
      </c>
      <c r="BU292" s="195">
        <f>COUNTIF($G292:$BP292,"KH")+COUNTIF($G292:$BP292,"TL")+COUNTIF($G292:$BP292,"L")</f>
        <v/>
      </c>
      <c r="BV292" s="202" t="n"/>
      <c r="BW292" s="195">
        <f>COUNTIF($G292:$BP292,"hh")</f>
        <v/>
      </c>
      <c r="BX292" s="195">
        <f>COUNTIF($G292:$BP292,"nt7")</f>
        <v/>
      </c>
      <c r="BY292" s="195">
        <f>COUNTIF($G292:$BP292,"P")+COUNTIF($G292:$BP292,"p5,a5")/2+COUNTIF($G292:$BP292,"p5,b5")/2+COUNTIF($G292:$BP292,"p5,c5")/2+COUNTIF($G292:$BP292,"p5,d5")/2</f>
        <v/>
      </c>
      <c r="BZ292" s="203">
        <f>SUBTOTAL(9,BQ292:BY292)</f>
        <v/>
      </c>
      <c r="CA292" s="54">
        <f>SUM(J292,L292,N292,P292,R292,T292,X292,Z292,AB292,AD292,AF292,AH292,AL292,AN292,AP292,AR292,AT292,AV292,AZ292,BB292,BD292,BF292,BH292,BP292)</f>
        <v/>
      </c>
      <c r="CB292" s="55">
        <f>SUM(H292,V292,AJ292,AX292,BL292)</f>
        <v/>
      </c>
      <c r="CC292" s="56">
        <f>SUM(BJ292,BN292)</f>
        <v/>
      </c>
      <c r="CD292" s="197" t="n"/>
      <c r="CE292" s="49" t="n"/>
      <c r="CF292" s="204">
        <f>CD292*CI292</f>
        <v/>
      </c>
      <c r="CG292" s="198" t="n">
        <v>0</v>
      </c>
      <c r="CH292" s="197">
        <f>CE292*16</f>
        <v/>
      </c>
      <c r="CI292" s="199">
        <f>VLOOKUP(A292,[1]DATA!$A$6:$AI$331,34,0)</f>
        <v/>
      </c>
      <c r="CJ292" s="200">
        <f>VLOOKUP(A292,[2]CHAMCONG!A$7:CI$333,79,0)</f>
        <v/>
      </c>
      <c r="CK292" s="201">
        <f>CJ292-CA292</f>
        <v/>
      </c>
      <c r="CL292" s="68" t="n"/>
      <c r="CM292" s="68" t="n"/>
    </row>
    <row r="293" ht="18" customFormat="1" customHeight="1" s="75">
      <c r="A293" s="139" t="n"/>
      <c r="B293" s="64" t="n"/>
      <c r="C293" s="115" t="n"/>
      <c r="D293" s="46" t="n"/>
      <c r="E293" s="47" t="n"/>
      <c r="F293" s="48" t="n"/>
      <c r="G293" s="49" t="n"/>
      <c r="H293" s="73" t="n"/>
      <c r="I293" s="50" t="n"/>
      <c r="J293" s="73" t="n"/>
      <c r="K293" s="73" t="n"/>
      <c r="L293" s="73" t="n"/>
      <c r="M293" s="73" t="n"/>
      <c r="N293" s="73" t="n"/>
      <c r="O293" s="50" t="n"/>
      <c r="P293" s="73" t="n"/>
      <c r="Q293" s="49" t="n"/>
      <c r="R293" s="73" t="n"/>
      <c r="S293" s="49" t="n"/>
      <c r="T293" s="73" t="n"/>
      <c r="U293" s="49" t="n"/>
      <c r="V293" s="73" t="n"/>
      <c r="W293" s="49" t="n"/>
      <c r="X293" s="73" t="n"/>
      <c r="Y293" s="49" t="n"/>
      <c r="Z293" s="73" t="n"/>
      <c r="AA293" s="73" t="n"/>
      <c r="AB293" s="73" t="n"/>
      <c r="AC293" s="73" t="n"/>
      <c r="AD293" s="73" t="n"/>
      <c r="AE293" s="73" t="n"/>
      <c r="AF293" s="73" t="n"/>
      <c r="AG293" s="73" t="n"/>
      <c r="AH293" s="73" t="n"/>
      <c r="AI293" s="73" t="n"/>
      <c r="AJ293" s="73" t="n"/>
      <c r="AK293" s="73" t="n"/>
      <c r="AL293" s="73" t="n"/>
      <c r="AM293" s="73" t="n"/>
      <c r="AN293" s="73" t="n"/>
      <c r="AO293" s="73" t="n"/>
      <c r="AP293" s="73" t="n"/>
      <c r="AQ293" s="73" t="n"/>
      <c r="AR293" s="73" t="n"/>
      <c r="AS293" s="73" t="n"/>
      <c r="AT293" s="73" t="n"/>
      <c r="AU293" s="73" t="n"/>
      <c r="AV293" s="73" t="n"/>
      <c r="AW293" s="73" t="n"/>
      <c r="AX293" s="73" t="n"/>
      <c r="AY293" s="73" t="n"/>
      <c r="AZ293" s="73" t="n"/>
      <c r="BA293" s="73" t="n"/>
      <c r="BB293" s="73" t="n"/>
      <c r="BC293" s="73" t="n"/>
      <c r="BD293" s="73" t="n"/>
      <c r="BE293" s="73" t="n"/>
      <c r="BF293" s="73" t="n"/>
      <c r="BG293" s="73" t="n"/>
      <c r="BH293" s="73" t="n"/>
      <c r="BI293" s="73" t="n"/>
      <c r="BJ293" s="73" t="n"/>
      <c r="BK293" s="73" t="n"/>
      <c r="BL293" s="73" t="n"/>
      <c r="BM293" s="73" t="n"/>
      <c r="BN293" s="73" t="n"/>
      <c r="BO293" s="73" t="n"/>
      <c r="BP293" s="73" t="n"/>
      <c r="BQ293" s="195">
        <f>COUNTIF($G293:$BP293,"a")+COUNTIF($G293:$BP293,"r0,a5")/2+COUNTIF($G293:$BP293,"p5,a5")/2</f>
        <v/>
      </c>
      <c r="BR293" s="195">
        <f>COUNTIF($G293:$BP293,"d")+COUNTIF($G293:$BP293,"r0,d5")/2+COUNTIF($G293:$BP293,"p5,d5")/2</f>
        <v/>
      </c>
      <c r="BS293" s="195">
        <f>COUNTIF($G293:$BP293,"b")+COUNTIF($G293:$BP293,"r0,b5")/2+COUNTIF($G293:$BP293,"p5,b5")/2</f>
        <v/>
      </c>
      <c r="BT293" s="195">
        <f>COUNTIF($G293:$BP293,"c")+COUNTIF($G293:$BP293,"r0,c5")/2+COUNTIF($G293:$BP293,"p5,c5")/2</f>
        <v/>
      </c>
      <c r="BU293" s="195">
        <f>COUNTIF($G293:$BP293,"KH")+COUNTIF($G293:$BP293,"TL")+COUNTIF($G293:$BP293,"L")</f>
        <v/>
      </c>
      <c r="BV293" s="202" t="n"/>
      <c r="BW293" s="195">
        <f>COUNTIF($G293:$BP293,"hh")</f>
        <v/>
      </c>
      <c r="BX293" s="195">
        <f>COUNTIF($G293:$BP293,"nt7")</f>
        <v/>
      </c>
      <c r="BY293" s="195">
        <f>COUNTIF($G293:$BP293,"P")+COUNTIF($G293:$BP293,"p5,a5")/2+COUNTIF($G293:$BP293,"p5,b5")/2+COUNTIF($G293:$BP293,"p5,c5")/2+COUNTIF($G293:$BP293,"p5,d5")/2</f>
        <v/>
      </c>
      <c r="BZ293" s="203">
        <f>SUBTOTAL(9,BQ293:BY293)</f>
        <v/>
      </c>
      <c r="CA293" s="54">
        <f>SUM(J293,L293,N293,P293,R293,T293,X293,Z293,AB293,AD293,AF293,AH293,AL293,AN293,AP293,AR293,AT293,AV293,AZ293,BB293,BD293,BF293,BH293,BP293)</f>
        <v/>
      </c>
      <c r="CB293" s="55">
        <f>SUM(H293,V293,AJ293,AX293,BL293)</f>
        <v/>
      </c>
      <c r="CC293" s="56">
        <f>SUM(BJ293,BN293)</f>
        <v/>
      </c>
      <c r="CD293" s="197" t="n"/>
      <c r="CE293" s="49" t="n"/>
      <c r="CF293" s="204">
        <f>CD293*CI293</f>
        <v/>
      </c>
      <c r="CG293" s="198" t="n">
        <v>0</v>
      </c>
      <c r="CH293" s="197">
        <f>CE293*16</f>
        <v/>
      </c>
      <c r="CI293" s="199">
        <f>VLOOKUP(A293,[1]DATA!$A$6:$AI$331,34,0)</f>
        <v/>
      </c>
      <c r="CJ293" s="200">
        <f>VLOOKUP(A293,[2]CHAMCONG!A$7:CI$333,79,0)</f>
        <v/>
      </c>
      <c r="CK293" s="201">
        <f>CJ293-CA293</f>
        <v/>
      </c>
      <c r="CL293" s="68" t="n"/>
      <c r="CM293" s="68" t="n"/>
    </row>
    <row r="294" ht="18" customFormat="1" customHeight="1" s="75">
      <c r="A294" s="139" t="n"/>
      <c r="B294" s="64" t="n"/>
      <c r="C294" s="115" t="n"/>
      <c r="D294" s="46" t="n"/>
      <c r="E294" s="47" t="n"/>
      <c r="F294" s="48" t="n"/>
      <c r="G294" s="49" t="n"/>
      <c r="H294" s="73" t="n"/>
      <c r="I294" s="49" t="n"/>
      <c r="J294" s="73" t="n"/>
      <c r="K294" s="49" t="n"/>
      <c r="L294" s="73" t="n"/>
      <c r="M294" s="49" t="n"/>
      <c r="N294" s="73" t="n"/>
      <c r="O294" s="49" t="n"/>
      <c r="P294" s="73" t="n"/>
      <c r="Q294" s="50" t="n"/>
      <c r="R294" s="73" t="n"/>
      <c r="S294" s="50" t="n"/>
      <c r="T294" s="73" t="n"/>
      <c r="U294" s="50" t="n"/>
      <c r="V294" s="73" t="n"/>
      <c r="W294" s="50" t="n"/>
      <c r="X294" s="73" t="n"/>
      <c r="Y294" s="50" t="n"/>
      <c r="Z294" s="73" t="n"/>
      <c r="AA294" s="50" t="n"/>
      <c r="AB294" s="73" t="n"/>
      <c r="AC294" s="50" t="n"/>
      <c r="AD294" s="73" t="n"/>
      <c r="AE294" s="73" t="n"/>
      <c r="AF294" s="73" t="n"/>
      <c r="AG294" s="73" t="n"/>
      <c r="AH294" s="73" t="n"/>
      <c r="AI294" s="73" t="n"/>
      <c r="AJ294" s="73" t="n"/>
      <c r="AK294" s="73" t="n"/>
      <c r="AL294" s="73" t="n"/>
      <c r="AM294" s="73" t="n"/>
      <c r="AN294" s="73" t="n"/>
      <c r="AO294" s="73" t="n"/>
      <c r="AP294" s="73" t="n"/>
      <c r="AQ294" s="73" t="n"/>
      <c r="AR294" s="73" t="n"/>
      <c r="AS294" s="73" t="n"/>
      <c r="AT294" s="73" t="n"/>
      <c r="AU294" s="73" t="n"/>
      <c r="AV294" s="73" t="n"/>
      <c r="AW294" s="73" t="n"/>
      <c r="AX294" s="73" t="n"/>
      <c r="AY294" s="73" t="n"/>
      <c r="AZ294" s="73" t="n"/>
      <c r="BA294" s="73" t="n"/>
      <c r="BB294" s="73" t="n"/>
      <c r="BC294" s="73" t="n"/>
      <c r="BD294" s="73" t="n"/>
      <c r="BE294" s="73" t="n"/>
      <c r="BF294" s="73" t="n"/>
      <c r="BG294" s="73" t="n"/>
      <c r="BH294" s="73" t="n"/>
      <c r="BI294" s="73" t="n"/>
      <c r="BJ294" s="73" t="n"/>
      <c r="BK294" s="73" t="n"/>
      <c r="BL294" s="73" t="n"/>
      <c r="BM294" s="73" t="n"/>
      <c r="BN294" s="73" t="n"/>
      <c r="BO294" s="73" t="n"/>
      <c r="BP294" s="73" t="n"/>
      <c r="BQ294" s="195">
        <f>COUNTIF($G294:$BP294,"a")+COUNTIF($G294:$BP294,"r0,a5")/2+COUNTIF($G294:$BP294,"p5,a5")/2</f>
        <v/>
      </c>
      <c r="BR294" s="195">
        <f>COUNTIF($G294:$BP294,"d")+COUNTIF($G294:$BP294,"r0,d5")/2+COUNTIF($G294:$BP294,"p5,d5")/2</f>
        <v/>
      </c>
      <c r="BS294" s="195">
        <f>COUNTIF($G294:$BP294,"b")+COUNTIF($G294:$BP294,"r0,b5")/2+COUNTIF($G294:$BP294,"p5,b5")/2</f>
        <v/>
      </c>
      <c r="BT294" s="195">
        <f>COUNTIF($G294:$BP294,"c")+COUNTIF($G294:$BP294,"r0,c5")/2+COUNTIF($G294:$BP294,"p5,c5")/2</f>
        <v/>
      </c>
      <c r="BU294" s="195">
        <f>COUNTIF($G294:$BP294,"KH")+COUNTIF($G294:$BP294,"TL")+COUNTIF($G294:$BP294,"L")</f>
        <v/>
      </c>
      <c r="BV294" s="202" t="n"/>
      <c r="BW294" s="195">
        <f>COUNTIF($G294:$BP294,"hh")</f>
        <v/>
      </c>
      <c r="BX294" s="195">
        <f>COUNTIF($G294:$BP294,"nt7")</f>
        <v/>
      </c>
      <c r="BY294" s="195">
        <f>COUNTIF($G294:$BP294,"P")+COUNTIF($G294:$BP294,"p5,a5")/2+COUNTIF($G294:$BP294,"p5,b5")/2+COUNTIF($G294:$BP294,"p5,c5")/2+COUNTIF($G294:$BP294,"p5,d5")/2</f>
        <v/>
      </c>
      <c r="BZ294" s="203">
        <f>SUBTOTAL(9,BQ294:BY294)</f>
        <v/>
      </c>
      <c r="CA294" s="54">
        <f>SUM(J294,L294,N294,P294,R294,T294,X294,Z294,AB294,AD294,AF294,AH294,AL294,AN294,AP294,AR294,AT294,AV294,AZ294,BB294,BD294,BF294,BH294,BP294)</f>
        <v/>
      </c>
      <c r="CB294" s="55">
        <f>SUM(H294,V294,AJ294,AX294,BL294)</f>
        <v/>
      </c>
      <c r="CC294" s="56">
        <f>SUM(BJ294,BN294)</f>
        <v/>
      </c>
      <c r="CD294" s="197">
        <f>IF(BZ294&gt;25,4,IF(BZ294&gt;18,3,IF(BZ294&gt;12,2,IF(BZ294&gt;4,1,0))))-BX294-2+1</f>
        <v/>
      </c>
      <c r="CE294" s="49" t="n"/>
      <c r="CF294" s="204">
        <f>CD294*CI294</f>
        <v/>
      </c>
      <c r="CG294" s="198">
        <f>F294-BY294+1</f>
        <v/>
      </c>
      <c r="CH294" s="197">
        <f>CE294*16</f>
        <v/>
      </c>
      <c r="CI294" s="199">
        <f>VLOOKUP(A294,[1]DATA!$A$6:$AI$331,34,0)</f>
        <v/>
      </c>
      <c r="CJ294" s="200">
        <f>VLOOKUP(A294,[2]CHAMCONG!A$7:CI$333,79,0)</f>
        <v/>
      </c>
      <c r="CK294" s="201">
        <f>CJ294-CA294</f>
        <v/>
      </c>
      <c r="CL294" s="68" t="n"/>
      <c r="CM294" s="68" t="n"/>
    </row>
    <row r="295" ht="18" customFormat="1" customHeight="1" s="75">
      <c r="A295" s="139" t="n"/>
      <c r="B295" s="64" t="n"/>
      <c r="C295" s="115" t="n"/>
      <c r="D295" s="46" t="n"/>
      <c r="E295" s="47" t="n"/>
      <c r="F295" s="48" t="n"/>
      <c r="G295" s="49" t="n"/>
      <c r="H295" s="73" t="n"/>
      <c r="I295" s="49" t="n"/>
      <c r="J295" s="73" t="n"/>
      <c r="K295" s="49" t="n"/>
      <c r="L295" s="73" t="n"/>
      <c r="M295" s="73" t="n"/>
      <c r="N295" s="73" t="n"/>
      <c r="O295" s="50" t="n"/>
      <c r="P295" s="73" t="n"/>
      <c r="Q295" s="50" t="n"/>
      <c r="R295" s="73" t="n"/>
      <c r="S295" s="50" t="n"/>
      <c r="T295" s="73" t="n"/>
      <c r="U295" s="49" t="n"/>
      <c r="V295" s="73" t="n"/>
      <c r="W295" s="50" t="n"/>
      <c r="X295" s="73" t="n"/>
      <c r="Y295" s="50" t="n"/>
      <c r="Z295" s="73" t="n"/>
      <c r="AA295" s="73" t="n"/>
      <c r="AB295" s="73" t="n"/>
      <c r="AC295" s="73" t="n"/>
      <c r="AD295" s="73" t="n"/>
      <c r="AE295" s="73" t="n"/>
      <c r="AF295" s="73" t="n"/>
      <c r="AG295" s="73" t="n"/>
      <c r="AH295" s="73" t="n"/>
      <c r="AI295" s="73" t="n"/>
      <c r="AJ295" s="73" t="n"/>
      <c r="AK295" s="73" t="n"/>
      <c r="AL295" s="73" t="n"/>
      <c r="AM295" s="73" t="n"/>
      <c r="AN295" s="73" t="n"/>
      <c r="AO295" s="73" t="n"/>
      <c r="AP295" s="73" t="n"/>
      <c r="AQ295" s="73" t="n"/>
      <c r="AR295" s="73" t="n"/>
      <c r="AS295" s="73" t="n"/>
      <c r="AT295" s="73" t="n"/>
      <c r="AU295" s="73" t="n"/>
      <c r="AV295" s="73" t="n"/>
      <c r="AW295" s="73" t="n"/>
      <c r="AX295" s="73" t="n"/>
      <c r="AY295" s="73" t="n"/>
      <c r="AZ295" s="73" t="n"/>
      <c r="BA295" s="73" t="n"/>
      <c r="BB295" s="73" t="n"/>
      <c r="BC295" s="73" t="n"/>
      <c r="BD295" s="73" t="n"/>
      <c r="BE295" s="73" t="n"/>
      <c r="BF295" s="73" t="n"/>
      <c r="BG295" s="73" t="n"/>
      <c r="BH295" s="73" t="n"/>
      <c r="BI295" s="73" t="n"/>
      <c r="BJ295" s="73" t="n"/>
      <c r="BK295" s="73" t="n"/>
      <c r="BL295" s="73" t="n"/>
      <c r="BM295" s="73" t="n"/>
      <c r="BN295" s="73" t="n"/>
      <c r="BO295" s="73" t="n"/>
      <c r="BP295" s="73" t="n"/>
      <c r="BQ295" s="195">
        <f>COUNTIF($G295:$BP295,"a")+COUNTIF($G295:$BP295,"r0,a5")/2+COUNTIF($G295:$BP295,"p5,a5")/2</f>
        <v/>
      </c>
      <c r="BR295" s="195">
        <f>COUNTIF($G295:$BP295,"d")+COUNTIF($G295:$BP295,"r0,d5")/2+COUNTIF($G295:$BP295,"p5,d5")/2</f>
        <v/>
      </c>
      <c r="BS295" s="195">
        <f>COUNTIF($G295:$BP295,"b")+COUNTIF($G295:$BP295,"r0,b5")/2+COUNTIF($G295:$BP295,"p5,b5")/2</f>
        <v/>
      </c>
      <c r="BT295" s="195">
        <f>COUNTIF($G295:$BP295,"c")+COUNTIF($G295:$BP295,"r0,c5")/2+COUNTIF($G295:$BP295,"p5,c5")/2</f>
        <v/>
      </c>
      <c r="BU295" s="195">
        <f>COUNTIF($G295:$BP295,"KH")+COUNTIF($G295:$BP295,"TL")+COUNTIF($G295:$BP295,"L")</f>
        <v/>
      </c>
      <c r="BV295" s="202" t="n"/>
      <c r="BW295" s="195">
        <f>COUNTIF($G295:$BP295,"hh")</f>
        <v/>
      </c>
      <c r="BX295" s="195">
        <f>COUNTIF($G295:$BP295,"nt7")</f>
        <v/>
      </c>
      <c r="BY295" s="195">
        <f>COUNTIF($G295:$BP295,"P")+COUNTIF($G295:$BP295,"p5,a5")/2+COUNTIF($G295:$BP295,"p5,b5")/2+COUNTIF($G295:$BP295,"p5,c5")/2+COUNTIF($G295:$BP295,"p5,d5")/2</f>
        <v/>
      </c>
      <c r="BZ295" s="203">
        <f>SUBTOTAL(9,BQ295:BY295)</f>
        <v/>
      </c>
      <c r="CA295" s="54">
        <f>SUM(J295,L295,N295,P295,R295,T295,X295,Z295,AB295,AD295,AF295,AH295,AL295,AN295,AP295,AR295,AT295,AV295,AZ295,BB295,BD295,BF295,BH295,BP295)</f>
        <v/>
      </c>
      <c r="CB295" s="55">
        <f>SUM(H295,V295,AJ295,AX295,BL295)</f>
        <v/>
      </c>
      <c r="CC295" s="56">
        <f>SUM(BJ295,BN295)</f>
        <v/>
      </c>
      <c r="CD295" s="197">
        <f>IF(BZ295&gt;25,4,IF(BZ295&gt;18,3,IF(BZ295&gt;12,2,IF(BZ295&gt;4,1,0))))-BX295-2+1</f>
        <v/>
      </c>
      <c r="CE295" s="49" t="n"/>
      <c r="CF295" s="204">
        <f>CD295*CI295</f>
        <v/>
      </c>
      <c r="CG295" s="198">
        <f>F295-BY295+1</f>
        <v/>
      </c>
      <c r="CH295" s="197">
        <f>CE295*16</f>
        <v/>
      </c>
      <c r="CI295" s="199">
        <f>VLOOKUP(A295,[1]DATA!$A$6:$AI$331,34,0)</f>
        <v/>
      </c>
      <c r="CJ295" s="200">
        <f>VLOOKUP(A295,[2]CHAMCONG!A$7:CI$333,79,0)</f>
        <v/>
      </c>
      <c r="CK295" s="201">
        <f>CJ295-CA295</f>
        <v/>
      </c>
      <c r="CL295" s="68" t="n"/>
      <c r="CM295" s="68" t="n"/>
    </row>
    <row r="296" ht="18" customFormat="1" customHeight="1" s="75">
      <c r="A296" s="139" t="n"/>
      <c r="B296" s="64" t="n"/>
      <c r="C296" s="115" t="n"/>
      <c r="D296" s="46" t="n"/>
      <c r="E296" s="47" t="n"/>
      <c r="F296" s="48" t="n"/>
      <c r="G296" s="49" t="n"/>
      <c r="H296" s="73" t="n"/>
      <c r="I296" s="49" t="n"/>
      <c r="J296" s="73" t="n"/>
      <c r="K296" s="49" t="n"/>
      <c r="L296" s="73" t="n"/>
      <c r="M296" s="49" t="n"/>
      <c r="N296" s="73" t="n"/>
      <c r="O296" s="49" t="n"/>
      <c r="P296" s="73" t="n"/>
      <c r="Q296" s="50" t="n"/>
      <c r="R296" s="73" t="n"/>
      <c r="S296" s="50" t="n"/>
      <c r="T296" s="73" t="n"/>
      <c r="U296" s="50" t="n"/>
      <c r="V296" s="73" t="n"/>
      <c r="W296" s="50" t="n"/>
      <c r="X296" s="73" t="n"/>
      <c r="Y296" s="50" t="n"/>
      <c r="Z296" s="73" t="n"/>
      <c r="AA296" s="50" t="n"/>
      <c r="AB296" s="73" t="n"/>
      <c r="AC296" s="50" t="n"/>
      <c r="AD296" s="73" t="n"/>
      <c r="AE296" s="73" t="n"/>
      <c r="AF296" s="73" t="n"/>
      <c r="AG296" s="73" t="n"/>
      <c r="AH296" s="73" t="n"/>
      <c r="AI296" s="73" t="n"/>
      <c r="AJ296" s="73" t="n"/>
      <c r="AK296" s="73" t="n"/>
      <c r="AL296" s="73" t="n"/>
      <c r="AM296" s="73" t="n"/>
      <c r="AN296" s="73" t="n"/>
      <c r="AO296" s="73" t="n"/>
      <c r="AP296" s="73" t="n"/>
      <c r="AQ296" s="73" t="n"/>
      <c r="AR296" s="73" t="n"/>
      <c r="AS296" s="73" t="n"/>
      <c r="AT296" s="73" t="n"/>
      <c r="AU296" s="73" t="n"/>
      <c r="AV296" s="73" t="n"/>
      <c r="AW296" s="73" t="n"/>
      <c r="AX296" s="73" t="n"/>
      <c r="AY296" s="73" t="n"/>
      <c r="AZ296" s="73" t="n"/>
      <c r="BA296" s="73" t="n"/>
      <c r="BB296" s="73" t="n"/>
      <c r="BC296" s="73" t="n"/>
      <c r="BD296" s="73" t="n"/>
      <c r="BE296" s="73" t="n"/>
      <c r="BF296" s="73" t="n"/>
      <c r="BG296" s="73" t="n"/>
      <c r="BH296" s="73" t="n"/>
      <c r="BI296" s="73" t="n"/>
      <c r="BJ296" s="73" t="n"/>
      <c r="BK296" s="73" t="n"/>
      <c r="BL296" s="73" t="n"/>
      <c r="BM296" s="73" t="n"/>
      <c r="BN296" s="73" t="n"/>
      <c r="BO296" s="73" t="n"/>
      <c r="BP296" s="73" t="n"/>
      <c r="BQ296" s="195">
        <f>COUNTIF($G296:$BP296,"a")+COUNTIF($G296:$BP296,"r0,a5")/2+COUNTIF($G296:$BP296,"p5,a5")/2</f>
        <v/>
      </c>
      <c r="BR296" s="195">
        <f>COUNTIF($G296:$BP296,"d")+COUNTIF($G296:$BP296,"r0,d5")/2+COUNTIF($G296:$BP296,"p5,d5")/2</f>
        <v/>
      </c>
      <c r="BS296" s="195">
        <f>COUNTIF($G296:$BP296,"b")+COUNTIF($G296:$BP296,"r0,b5")/2+COUNTIF($G296:$BP296,"p5,b5")/2</f>
        <v/>
      </c>
      <c r="BT296" s="195">
        <f>COUNTIF($G296:$BP296,"c")+COUNTIF($G296:$BP296,"r0,c5")/2+COUNTIF($G296:$BP296,"p5,c5")/2</f>
        <v/>
      </c>
      <c r="BU296" s="195">
        <f>COUNTIF($G296:$BP296,"KH")+COUNTIF($G296:$BP296,"TL")+COUNTIF($G296:$BP296,"L")</f>
        <v/>
      </c>
      <c r="BV296" s="202" t="n"/>
      <c r="BW296" s="195">
        <f>COUNTIF($G296:$BP296,"hh")</f>
        <v/>
      </c>
      <c r="BX296" s="195">
        <f>COUNTIF($G296:$BP296,"nt7")</f>
        <v/>
      </c>
      <c r="BY296" s="195">
        <f>COUNTIF($G296:$BP296,"P")+COUNTIF($G296:$BP296,"p5,a5")/2+COUNTIF($G296:$BP296,"p5,b5")/2+COUNTIF($G296:$BP296,"p5,c5")/2+COUNTIF($G296:$BP296,"p5,d5")/2</f>
        <v/>
      </c>
      <c r="BZ296" s="203">
        <f>SUBTOTAL(9,BQ296:BY296)</f>
        <v/>
      </c>
      <c r="CA296" s="54">
        <f>SUM(J296,L296,N296,P296,R296,T296,X296,Z296,AB296,AD296,AF296,AH296,AL296,AN296,AP296,AR296,AT296,AV296,AZ296,BB296,BD296,BF296,BH296,BP296)</f>
        <v/>
      </c>
      <c r="CB296" s="55">
        <f>SUM(H296,V296,AJ296,AX296,BL296)</f>
        <v/>
      </c>
      <c r="CC296" s="56">
        <f>SUM(BJ296,BN296)</f>
        <v/>
      </c>
      <c r="CD296" s="197">
        <f>IF(BZ296&gt;25,4,IF(BZ296&gt;18,3,IF(BZ296&gt;12,2,IF(BZ296&gt;4,1,0))))-BX296-2+1</f>
        <v/>
      </c>
      <c r="CE296" s="49" t="n">
        <v>1</v>
      </c>
      <c r="CF296" s="204">
        <f>CD296*CI296</f>
        <v/>
      </c>
      <c r="CG296" s="198">
        <f>F296-BY296+1</f>
        <v/>
      </c>
      <c r="CH296" s="197">
        <f>CE296*16</f>
        <v/>
      </c>
      <c r="CI296" s="199">
        <f>VLOOKUP(A296,[1]DATA!$A$6:$AI$331,34,0)</f>
        <v/>
      </c>
      <c r="CJ296" s="200">
        <f>VLOOKUP(A296,[2]CHAMCONG!A$7:CI$333,79,0)</f>
        <v/>
      </c>
      <c r="CK296" s="201">
        <f>CJ296-CA296</f>
        <v/>
      </c>
      <c r="CL296" s="68" t="n"/>
      <c r="CM296" s="68" t="n"/>
    </row>
    <row r="297" ht="18" customFormat="1" customHeight="1" s="75">
      <c r="A297" s="139" t="n"/>
      <c r="B297" s="64" t="n"/>
      <c r="C297" s="115" t="n"/>
      <c r="D297" s="46" t="n"/>
      <c r="E297" s="47" t="n"/>
      <c r="F297" s="48" t="n"/>
      <c r="G297" s="49" t="n"/>
      <c r="H297" s="73" t="n"/>
      <c r="I297" s="49" t="n"/>
      <c r="J297" s="73" t="n"/>
      <c r="K297" s="49" t="n"/>
      <c r="L297" s="73" t="n"/>
      <c r="M297" s="49" t="n"/>
      <c r="N297" s="73" t="n"/>
      <c r="O297" s="49" t="n"/>
      <c r="P297" s="73" t="n"/>
      <c r="Q297" s="50" t="n"/>
      <c r="R297" s="73" t="n"/>
      <c r="S297" s="50" t="n"/>
      <c r="T297" s="73" t="n"/>
      <c r="U297" s="50" t="n"/>
      <c r="V297" s="73" t="n"/>
      <c r="W297" s="50" t="n"/>
      <c r="X297" s="73" t="n"/>
      <c r="Y297" s="50" t="n"/>
      <c r="Z297" s="73" t="n"/>
      <c r="AA297" s="50" t="n"/>
      <c r="AB297" s="73" t="n"/>
      <c r="AC297" s="50" t="n"/>
      <c r="AD297" s="73" t="n"/>
      <c r="AE297" s="73" t="n"/>
      <c r="AF297" s="73" t="n"/>
      <c r="AG297" s="73" t="n"/>
      <c r="AH297" s="73" t="n"/>
      <c r="AI297" s="73" t="n"/>
      <c r="AJ297" s="73" t="n"/>
      <c r="AK297" s="73" t="n"/>
      <c r="AL297" s="73" t="n"/>
      <c r="AM297" s="73" t="n"/>
      <c r="AN297" s="73" t="n"/>
      <c r="AO297" s="73" t="n"/>
      <c r="AP297" s="73" t="n"/>
      <c r="AQ297" s="73" t="n"/>
      <c r="AR297" s="73" t="n"/>
      <c r="AS297" s="73" t="n"/>
      <c r="AT297" s="73" t="n"/>
      <c r="AU297" s="73" t="n"/>
      <c r="AV297" s="73" t="n"/>
      <c r="AW297" s="73" t="n"/>
      <c r="AX297" s="73" t="n"/>
      <c r="AY297" s="73" t="n"/>
      <c r="AZ297" s="73" t="n"/>
      <c r="BA297" s="73" t="n"/>
      <c r="BB297" s="73" t="n"/>
      <c r="BC297" s="73" t="n"/>
      <c r="BD297" s="73" t="n"/>
      <c r="BE297" s="73" t="n"/>
      <c r="BF297" s="73" t="n"/>
      <c r="BG297" s="73" t="n"/>
      <c r="BH297" s="73" t="n"/>
      <c r="BI297" s="73" t="n"/>
      <c r="BJ297" s="73" t="n"/>
      <c r="BK297" s="73" t="n"/>
      <c r="BL297" s="73" t="n"/>
      <c r="BM297" s="73" t="n"/>
      <c r="BN297" s="73" t="n"/>
      <c r="BO297" s="73" t="n"/>
      <c r="BP297" s="73" t="n"/>
      <c r="BQ297" s="195">
        <f>COUNTIF($G297:$BP297,"a")+COUNTIF($G297:$BP297,"r0,a5")/2+COUNTIF($G297:$BP297,"p5,a5")/2</f>
        <v/>
      </c>
      <c r="BR297" s="195">
        <f>COUNTIF($G297:$BP297,"d")+COUNTIF($G297:$BP297,"r0,d5")/2+COUNTIF($G297:$BP297,"p5,d5")/2</f>
        <v/>
      </c>
      <c r="BS297" s="195">
        <f>COUNTIF($G297:$BP297,"b")+COUNTIF($G297:$BP297,"r0,b5")/2+COUNTIF($G297:$BP297,"p5,b5")/2</f>
        <v/>
      </c>
      <c r="BT297" s="195">
        <f>COUNTIF($G297:$BP297,"c")+COUNTIF($G297:$BP297,"r0,c5")/2+COUNTIF($G297:$BP297,"p5,c5")/2</f>
        <v/>
      </c>
      <c r="BU297" s="195">
        <f>COUNTIF($G297:$BP297,"KH")+COUNTIF($G297:$BP297,"TL")+COUNTIF($G297:$BP297,"L")</f>
        <v/>
      </c>
      <c r="BV297" s="202" t="n"/>
      <c r="BW297" s="195">
        <f>COUNTIF($G297:$BP297,"hh")</f>
        <v/>
      </c>
      <c r="BX297" s="195">
        <f>COUNTIF($G297:$BP297,"nt7")</f>
        <v/>
      </c>
      <c r="BY297" s="195">
        <f>COUNTIF($G297:$BP297,"P")+COUNTIF($G297:$BP297,"p5,a5")/2+COUNTIF($G297:$BP297,"p5,b5")/2+COUNTIF($G297:$BP297,"p5,c5")/2+COUNTIF($G297:$BP297,"p5,d5")/2</f>
        <v/>
      </c>
      <c r="BZ297" s="203">
        <f>SUBTOTAL(9,BQ297:BY297)</f>
        <v/>
      </c>
      <c r="CA297" s="54">
        <f>SUM(J297,L297,N297,P297,R297,T297,X297,Z297,AB297,AD297,AF297,AH297,AL297,AN297,AP297,AR297,AT297,AV297,AZ297,BB297,BD297,BF297,BH297,BP297)</f>
        <v/>
      </c>
      <c r="CB297" s="55">
        <f>SUM(H297,V297,AJ297,AX297,BL297)</f>
        <v/>
      </c>
      <c r="CC297" s="56">
        <f>SUM(BJ297,BN297)</f>
        <v/>
      </c>
      <c r="CD297" s="197">
        <f>IF(BZ297&gt;25,4,IF(BZ297&gt;18,3,IF(BZ297&gt;12,2,IF(BZ297&gt;4,1,0))))-BX297-2+1</f>
        <v/>
      </c>
      <c r="CE297" s="49" t="n">
        <v>1</v>
      </c>
      <c r="CF297" s="204">
        <f>CD297*CI297</f>
        <v/>
      </c>
      <c r="CG297" s="198">
        <f>F297-BY297+1</f>
        <v/>
      </c>
      <c r="CH297" s="197">
        <f>CE297*16</f>
        <v/>
      </c>
      <c r="CI297" s="199">
        <f>VLOOKUP(A297,[1]DATA!$A$6:$AI$331,34,0)</f>
        <v/>
      </c>
      <c r="CJ297" s="200">
        <f>VLOOKUP(A297,[2]CHAMCONG!A$7:CI$333,79,0)</f>
        <v/>
      </c>
      <c r="CK297" s="201">
        <f>CJ297-CA297</f>
        <v/>
      </c>
      <c r="CL297" s="68" t="n"/>
      <c r="CM297" s="68" t="n"/>
    </row>
    <row r="298" ht="18" customFormat="1" customHeight="1" s="75">
      <c r="A298" s="139" t="n"/>
      <c r="B298" s="64" t="n"/>
      <c r="C298" s="115" t="n"/>
      <c r="D298" s="46" t="n"/>
      <c r="E298" s="47" t="n"/>
      <c r="F298" s="48" t="n"/>
      <c r="G298" s="49" t="n"/>
      <c r="H298" s="73" t="n"/>
      <c r="I298" s="49" t="n"/>
      <c r="J298" s="73" t="n"/>
      <c r="K298" s="49" t="n"/>
      <c r="L298" s="73" t="n"/>
      <c r="M298" s="49" t="n"/>
      <c r="N298" s="73" t="n"/>
      <c r="O298" s="49" t="n"/>
      <c r="P298" s="73" t="n"/>
      <c r="Q298" s="50" t="n"/>
      <c r="R298" s="73" t="n"/>
      <c r="S298" s="50" t="n"/>
      <c r="T298" s="73" t="n"/>
      <c r="U298" s="50" t="n"/>
      <c r="V298" s="73" t="n"/>
      <c r="W298" s="50" t="n"/>
      <c r="X298" s="73" t="n"/>
      <c r="Y298" s="50" t="n"/>
      <c r="Z298" s="73" t="n"/>
      <c r="AA298" s="50" t="n"/>
      <c r="AB298" s="73" t="n"/>
      <c r="AC298" s="50" t="n"/>
      <c r="AD298" s="73" t="n"/>
      <c r="AE298" s="73" t="n"/>
      <c r="AF298" s="73" t="n"/>
      <c r="AG298" s="73" t="n"/>
      <c r="AH298" s="73" t="n"/>
      <c r="AI298" s="73" t="n"/>
      <c r="AJ298" s="73" t="n"/>
      <c r="AK298" s="73" t="n"/>
      <c r="AL298" s="73" t="n"/>
      <c r="AM298" s="73" t="n"/>
      <c r="AN298" s="73" t="n"/>
      <c r="AO298" s="73" t="n"/>
      <c r="AP298" s="73" t="n"/>
      <c r="AQ298" s="73" t="n"/>
      <c r="AR298" s="73" t="n"/>
      <c r="AS298" s="73" t="n"/>
      <c r="AT298" s="73" t="n"/>
      <c r="AU298" s="73" t="n"/>
      <c r="AV298" s="73" t="n"/>
      <c r="AW298" s="73" t="n"/>
      <c r="AX298" s="73" t="n"/>
      <c r="AY298" s="73" t="n"/>
      <c r="AZ298" s="73" t="n"/>
      <c r="BA298" s="73" t="n"/>
      <c r="BB298" s="73" t="n"/>
      <c r="BC298" s="73" t="n"/>
      <c r="BD298" s="73" t="n"/>
      <c r="BE298" s="73" t="n"/>
      <c r="BF298" s="73" t="n"/>
      <c r="BG298" s="73" t="n"/>
      <c r="BH298" s="73" t="n"/>
      <c r="BI298" s="73" t="n"/>
      <c r="BJ298" s="73" t="n"/>
      <c r="BK298" s="73" t="n"/>
      <c r="BL298" s="73" t="n"/>
      <c r="BM298" s="73" t="n"/>
      <c r="BN298" s="73" t="n"/>
      <c r="BO298" s="73" t="n"/>
      <c r="BP298" s="73" t="n"/>
      <c r="BQ298" s="195">
        <f>COUNTIF($G298:$BP298,"a")+COUNTIF($G298:$BP298,"r0,a5")/2+COUNTIF($G298:$BP298,"p5,a5")/2</f>
        <v/>
      </c>
      <c r="BR298" s="195">
        <f>COUNTIF($G298:$BP298,"d")+COUNTIF($G298:$BP298,"r0,d5")/2+COUNTIF($G298:$BP298,"p5,d5")/2</f>
        <v/>
      </c>
      <c r="BS298" s="195">
        <f>COUNTIF($G298:$BP298,"b")+COUNTIF($G298:$BP298,"r0,b5")/2+COUNTIF($G298:$BP298,"p5,b5")/2</f>
        <v/>
      </c>
      <c r="BT298" s="195">
        <f>COUNTIF($G298:$BP298,"c")+COUNTIF($G298:$BP298,"r0,c5")/2+COUNTIF($G298:$BP298,"p5,c5")/2</f>
        <v/>
      </c>
      <c r="BU298" s="195">
        <f>COUNTIF($G298:$BP298,"KH")+COUNTIF($G298:$BP298,"TL")+COUNTIF($G298:$BP298,"L")</f>
        <v/>
      </c>
      <c r="BV298" s="202" t="n"/>
      <c r="BW298" s="195">
        <f>COUNTIF($G298:$BP298,"hh")</f>
        <v/>
      </c>
      <c r="BX298" s="195">
        <f>COUNTIF($G298:$BP298,"nt7")</f>
        <v/>
      </c>
      <c r="BY298" s="195">
        <f>COUNTIF($G298:$BP298,"P")+COUNTIF($G298:$BP298,"p5,a5")/2+COUNTIF($G298:$BP298,"p5,b5")/2+COUNTIF($G298:$BP298,"p5,c5")/2+COUNTIF($G298:$BP298,"p5,d5")/2</f>
        <v/>
      </c>
      <c r="BZ298" s="203">
        <f>SUBTOTAL(9,BQ298:BY298)</f>
        <v/>
      </c>
      <c r="CA298" s="54">
        <f>SUM(J298,L298,N298,P298,R298,T298,X298,Z298,AB298,AD298,AF298,AH298,AL298,AN298,AP298,AR298,AT298,AV298,AZ298,BB298,BD298,BF298,BH298,BP298)</f>
        <v/>
      </c>
      <c r="CB298" s="55">
        <f>SUM(H298,V298,AJ298,AX298,BL298)</f>
        <v/>
      </c>
      <c r="CC298" s="56">
        <f>SUM(BJ298,BN298)</f>
        <v/>
      </c>
      <c r="CD298" s="197">
        <f>IF(BZ298&gt;25,4,IF(BZ298&gt;18,3,IF(BZ298&gt;12,2,IF(BZ298&gt;4,1,0))))-BX298-2+1</f>
        <v/>
      </c>
      <c r="CE298" s="49" t="n"/>
      <c r="CF298" s="204">
        <f>CD298*CI298</f>
        <v/>
      </c>
      <c r="CG298" s="198">
        <f>F298-BY298+1</f>
        <v/>
      </c>
      <c r="CH298" s="197">
        <f>CE298*16</f>
        <v/>
      </c>
      <c r="CI298" s="199">
        <f>VLOOKUP(A298,[1]DATA!$A$6:$AI$331,34,0)</f>
        <v/>
      </c>
      <c r="CJ298" s="200">
        <f>VLOOKUP(A298,[2]CHAMCONG!A$7:CI$333,79,0)</f>
        <v/>
      </c>
      <c r="CK298" s="201">
        <f>CJ298-CA298</f>
        <v/>
      </c>
      <c r="CL298" s="68" t="n"/>
      <c r="CM298" s="68" t="n"/>
    </row>
    <row r="299" ht="18" customFormat="1" customHeight="1" s="75">
      <c r="A299" s="139" t="n"/>
      <c r="B299" s="64" t="n"/>
      <c r="C299" s="115" t="n"/>
      <c r="D299" s="46" t="n"/>
      <c r="E299" s="47" t="n"/>
      <c r="F299" s="48" t="n"/>
      <c r="G299" s="49" t="n"/>
      <c r="H299" s="73" t="n"/>
      <c r="I299" s="49" t="n"/>
      <c r="J299" s="73" t="n"/>
      <c r="K299" s="49" t="n"/>
      <c r="L299" s="73" t="n"/>
      <c r="M299" s="49" t="n"/>
      <c r="N299" s="73" t="n"/>
      <c r="O299" s="49" t="n"/>
      <c r="P299" s="73" t="n"/>
      <c r="Q299" s="49" t="n"/>
      <c r="R299" s="73" t="n"/>
      <c r="S299" s="49" t="n"/>
      <c r="T299" s="73" t="n"/>
      <c r="U299" s="49" t="n"/>
      <c r="V299" s="73" t="n"/>
      <c r="W299" s="49" t="n"/>
      <c r="X299" s="73" t="n"/>
      <c r="Y299" s="49" t="n"/>
      <c r="Z299" s="73" t="n"/>
      <c r="AA299" s="49" t="n"/>
      <c r="AB299" s="73" t="n"/>
      <c r="AC299" s="49" t="n"/>
      <c r="AD299" s="73" t="n"/>
      <c r="AE299" s="73" t="n"/>
      <c r="AF299" s="73" t="n"/>
      <c r="AG299" s="73" t="n"/>
      <c r="AH299" s="73" t="n"/>
      <c r="AI299" s="73" t="n"/>
      <c r="AJ299" s="73" t="n"/>
      <c r="AK299" s="73" t="n"/>
      <c r="AL299" s="73" t="n"/>
      <c r="AM299" s="73" t="n"/>
      <c r="AN299" s="73" t="n"/>
      <c r="AO299" s="73" t="n"/>
      <c r="AP299" s="73" t="n"/>
      <c r="AQ299" s="73" t="n"/>
      <c r="AR299" s="73" t="n"/>
      <c r="AS299" s="73" t="n"/>
      <c r="AT299" s="73" t="n"/>
      <c r="AU299" s="73" t="n"/>
      <c r="AV299" s="73" t="n"/>
      <c r="AW299" s="73" t="n"/>
      <c r="AX299" s="73" t="n"/>
      <c r="AY299" s="73" t="n"/>
      <c r="AZ299" s="73" t="n"/>
      <c r="BA299" s="73" t="n"/>
      <c r="BB299" s="73" t="n"/>
      <c r="BC299" s="73" t="n"/>
      <c r="BD299" s="73" t="n"/>
      <c r="BE299" s="73" t="n"/>
      <c r="BF299" s="73" t="n"/>
      <c r="BG299" s="73" t="n"/>
      <c r="BH299" s="73" t="n"/>
      <c r="BI299" s="73" t="n"/>
      <c r="BJ299" s="73" t="n"/>
      <c r="BK299" s="73" t="n"/>
      <c r="BL299" s="73" t="n"/>
      <c r="BM299" s="73" t="n"/>
      <c r="BN299" s="73" t="n"/>
      <c r="BO299" s="73" t="n"/>
      <c r="BP299" s="73" t="n"/>
      <c r="BQ299" s="195">
        <f>COUNTIF($G299:$BP299,"a")+COUNTIF($G299:$BP299,"r0,a5")/2+COUNTIF($G299:$BP299,"p5,a5")/2</f>
        <v/>
      </c>
      <c r="BR299" s="195">
        <f>COUNTIF($G299:$BP299,"d")+COUNTIF($G299:$BP299,"r0,d5")/2+COUNTIF($G299:$BP299,"p5,d5")/2</f>
        <v/>
      </c>
      <c r="BS299" s="195">
        <f>COUNTIF($G299:$BP299,"b")+COUNTIF($G299:$BP299,"r0,b5")/2+COUNTIF($G299:$BP299,"p5,b5")/2</f>
        <v/>
      </c>
      <c r="BT299" s="195">
        <f>COUNTIF($G299:$BP299,"c")+COUNTIF($G299:$BP299,"r0,c5")/2+COUNTIF($G299:$BP299,"p5,c5")/2</f>
        <v/>
      </c>
      <c r="BU299" s="195">
        <f>COUNTIF($G299:$BP299,"KH")+COUNTIF($G299:$BP299,"TL")+COUNTIF($G299:$BP299,"L")</f>
        <v/>
      </c>
      <c r="BV299" s="202" t="n"/>
      <c r="BW299" s="195">
        <f>COUNTIF($G299:$BP299,"hh")</f>
        <v/>
      </c>
      <c r="BX299" s="195">
        <f>COUNTIF($G299:$BP299,"nt7")</f>
        <v/>
      </c>
      <c r="BY299" s="195">
        <f>COUNTIF($G299:$BP299,"P")+COUNTIF($G299:$BP299,"p5,a5")/2+COUNTIF($G299:$BP299,"p5,b5")/2+COUNTIF($G299:$BP299,"p5,c5")/2+COUNTIF($G299:$BP299,"p5,d5")/2</f>
        <v/>
      </c>
      <c r="BZ299" s="203">
        <f>SUBTOTAL(9,BQ299:BY299)</f>
        <v/>
      </c>
      <c r="CA299" s="54">
        <f>SUM(J299,L299,N299,P299,R299,T299,X299,Z299,AB299,AD299,AF299,AH299,AL299,AN299,AP299,AR299,AT299,AV299,AZ299,BB299,BD299,BF299,BH299,BP299)</f>
        <v/>
      </c>
      <c r="CB299" s="55">
        <f>SUM(H299,V299,AJ299,AX299,BL299)</f>
        <v/>
      </c>
      <c r="CC299" s="56">
        <f>SUM(BJ299,BN299)</f>
        <v/>
      </c>
      <c r="CD299" s="197">
        <f>IF(BZ299&gt;25,4,IF(BZ299&gt;18,3,IF(BZ299&gt;12,2,IF(BZ299&gt;4,1,0))))-BX299-2+1</f>
        <v/>
      </c>
      <c r="CE299" s="49" t="n">
        <v>1</v>
      </c>
      <c r="CF299" s="204">
        <f>CD299*CI299</f>
        <v/>
      </c>
      <c r="CG299" s="198">
        <f>F299-BY299+1</f>
        <v/>
      </c>
      <c r="CH299" s="197">
        <f>CE299*16</f>
        <v/>
      </c>
      <c r="CI299" s="199">
        <f>VLOOKUP(A299,[1]DATA!$A$6:$AI$331,34,0)</f>
        <v/>
      </c>
      <c r="CJ299" s="200">
        <f>VLOOKUP(A299,[2]CHAMCONG!A$7:CI$333,79,0)</f>
        <v/>
      </c>
      <c r="CK299" s="201">
        <f>CJ299-CA299</f>
        <v/>
      </c>
      <c r="CL299" s="68" t="n"/>
      <c r="CM299" s="68" t="n"/>
    </row>
    <row r="300" ht="18" customFormat="1" customHeight="1" s="75">
      <c r="A300" s="139" t="n"/>
      <c r="B300" s="64" t="n"/>
      <c r="C300" s="115" t="n"/>
      <c r="D300" s="46" t="n"/>
      <c r="E300" s="47" t="n"/>
      <c r="F300" s="48" t="n"/>
      <c r="G300" s="49" t="n"/>
      <c r="H300" s="73" t="n"/>
      <c r="I300" s="49" t="n"/>
      <c r="J300" s="73" t="n"/>
      <c r="K300" s="49" t="n"/>
      <c r="L300" s="73" t="n"/>
      <c r="M300" s="73" t="n"/>
      <c r="N300" s="73" t="n"/>
      <c r="O300" s="49" t="n"/>
      <c r="P300" s="73" t="n"/>
      <c r="Q300" s="49" t="n"/>
      <c r="R300" s="73" t="n"/>
      <c r="S300" s="49" t="n"/>
      <c r="T300" s="73" t="n"/>
      <c r="U300" s="49" t="n"/>
      <c r="V300" s="73" t="n"/>
      <c r="W300" s="49" t="n"/>
      <c r="X300" s="73" t="n"/>
      <c r="Y300" s="49" t="n"/>
      <c r="Z300" s="73" t="n"/>
      <c r="AA300" s="73" t="n"/>
      <c r="AB300" s="73" t="n"/>
      <c r="AC300" s="50" t="n"/>
      <c r="AD300" s="73" t="n"/>
      <c r="AE300" s="50" t="n"/>
      <c r="AF300" s="67" t="n"/>
      <c r="AG300" s="50" t="n"/>
      <c r="AH300" s="73" t="n"/>
      <c r="AI300" s="73" t="n"/>
      <c r="AJ300" s="73" t="n"/>
      <c r="AK300" s="73" t="n"/>
      <c r="AL300" s="73" t="n"/>
      <c r="AM300" s="73" t="n"/>
      <c r="AN300" s="73" t="n"/>
      <c r="AO300" s="73" t="n"/>
      <c r="AP300" s="73" t="n"/>
      <c r="AQ300" s="73" t="n"/>
      <c r="AR300" s="73" t="n"/>
      <c r="AS300" s="73" t="n"/>
      <c r="AT300" s="73" t="n"/>
      <c r="AU300" s="73" t="n"/>
      <c r="AV300" s="73" t="n"/>
      <c r="AW300" s="73" t="n"/>
      <c r="AX300" s="73" t="n"/>
      <c r="AY300" s="73" t="n"/>
      <c r="AZ300" s="73" t="n"/>
      <c r="BA300" s="73" t="n"/>
      <c r="BB300" s="73" t="n"/>
      <c r="BC300" s="73" t="n"/>
      <c r="BD300" s="73" t="n"/>
      <c r="BE300" s="73" t="n"/>
      <c r="BF300" s="73" t="n"/>
      <c r="BG300" s="73" t="n"/>
      <c r="BH300" s="73" t="n"/>
      <c r="BI300" s="73" t="n"/>
      <c r="BJ300" s="73" t="n"/>
      <c r="BK300" s="73" t="n"/>
      <c r="BL300" s="73" t="n"/>
      <c r="BM300" s="73" t="n"/>
      <c r="BN300" s="73" t="n"/>
      <c r="BO300" s="73" t="n"/>
      <c r="BP300" s="73" t="n"/>
      <c r="BQ300" s="195">
        <f>COUNTIF($G300:$BP300,"a")+COUNTIF($G300:$BP300,"r0,a5")/2+COUNTIF($G300:$BP300,"p5,a5")/2</f>
        <v/>
      </c>
      <c r="BR300" s="195">
        <f>COUNTIF($G300:$BP300,"d")+COUNTIF($G300:$BP300,"r0,d5")/2+COUNTIF($G300:$BP300,"p5,d5")/2</f>
        <v/>
      </c>
      <c r="BS300" s="195">
        <f>COUNTIF($G300:$BP300,"b")+COUNTIF($G300:$BP300,"r0,b5")/2+COUNTIF($G300:$BP300,"p5,b5")/2</f>
        <v/>
      </c>
      <c r="BT300" s="195">
        <f>COUNTIF($G300:$BP300,"c")+COUNTIF($G300:$BP300,"r0,c5")/2+COUNTIF($G300:$BP300,"p5,c5")/2</f>
        <v/>
      </c>
      <c r="BU300" s="195">
        <f>COUNTIF($G300:$BP300,"KH")+COUNTIF($G300:$BP300,"TL")+COUNTIF($G300:$BP300,"L")</f>
        <v/>
      </c>
      <c r="BV300" s="202" t="n"/>
      <c r="BW300" s="195">
        <f>COUNTIF($G300:$BP300,"hh")</f>
        <v/>
      </c>
      <c r="BX300" s="195">
        <f>COUNTIF($G300:$BP300,"nt7")</f>
        <v/>
      </c>
      <c r="BY300" s="195">
        <f>COUNTIF($G300:$BP300,"P")+COUNTIF($G300:$BP300,"p5,a5")/2+COUNTIF($G300:$BP300,"p5,b5")/2+COUNTIF($G300:$BP300,"p5,c5")/2+COUNTIF($G300:$BP300,"p5,d5")/2</f>
        <v/>
      </c>
      <c r="BZ300" s="203">
        <f>SUBTOTAL(9,BQ300:BY300)</f>
        <v/>
      </c>
      <c r="CA300" s="54">
        <f>SUM(J300,L300,N300,P300,R300,T300,X300,Z300,AB300,AD300,AF300,AH300,AL300,AN300,AP300,AR300,AT300,AV300,AZ300,BB300,BD300,BF300,BH300,BP300)</f>
        <v/>
      </c>
      <c r="CB300" s="55">
        <f>SUM(H300,V300,AJ300,AX300,BL300)</f>
        <v/>
      </c>
      <c r="CC300" s="56">
        <f>SUM(BJ300,BN300)</f>
        <v/>
      </c>
      <c r="CD300" s="197">
        <f>IF(BZ300&gt;25,4,IF(BZ300&gt;18,3,IF(BZ300&gt;12,2,IF(BZ300&gt;4,1,0))))-BX300-2+1</f>
        <v/>
      </c>
      <c r="CE300" s="49" t="n"/>
      <c r="CF300" s="204">
        <f>CD300*CI300</f>
        <v/>
      </c>
      <c r="CG300" s="198" t="n">
        <v>0</v>
      </c>
      <c r="CH300" s="197">
        <f>CE300*16</f>
        <v/>
      </c>
      <c r="CI300" s="199">
        <f>VLOOKUP(A300,[1]DATA!$A$6:$AI$331,34,0)</f>
        <v/>
      </c>
      <c r="CJ300" s="200">
        <f>VLOOKUP(A300,[2]CHAMCONG!A$7:CI$333,79,0)</f>
        <v/>
      </c>
      <c r="CK300" s="201">
        <f>CJ300-CA300</f>
        <v/>
      </c>
      <c r="CL300" s="68" t="n"/>
      <c r="CM300" s="68" t="n"/>
    </row>
    <row r="301" ht="18" customFormat="1" customHeight="1" s="75">
      <c r="A301" s="139" t="n"/>
      <c r="B301" s="64" t="n"/>
      <c r="C301" s="115" t="n"/>
      <c r="D301" s="46" t="n"/>
      <c r="E301" s="47" t="n"/>
      <c r="F301" s="48" t="n"/>
      <c r="G301" s="49" t="n"/>
      <c r="H301" s="73" t="n"/>
      <c r="I301" s="49" t="n"/>
      <c r="J301" s="73" t="n"/>
      <c r="K301" s="49" t="n"/>
      <c r="L301" s="73" t="n"/>
      <c r="M301" s="49" t="n"/>
      <c r="N301" s="73" t="n"/>
      <c r="O301" s="49" t="n"/>
      <c r="P301" s="73" t="n"/>
      <c r="Q301" s="49" t="n"/>
      <c r="R301" s="73" t="n"/>
      <c r="S301" s="49" t="n"/>
      <c r="T301" s="73" t="n"/>
      <c r="U301" s="49" t="n"/>
      <c r="V301" s="73" t="n"/>
      <c r="W301" s="49" t="n"/>
      <c r="X301" s="73" t="n"/>
      <c r="Y301" s="49" t="n"/>
      <c r="Z301" s="73" t="n"/>
      <c r="AA301" s="49" t="n"/>
      <c r="AB301" s="73" t="n"/>
      <c r="AC301" s="73" t="n"/>
      <c r="AD301" s="73" t="n"/>
      <c r="AE301" s="73" t="n"/>
      <c r="AF301" s="73" t="n"/>
      <c r="AG301" s="73" t="n"/>
      <c r="AH301" s="73" t="n"/>
      <c r="AI301" s="73" t="n"/>
      <c r="AJ301" s="73" t="n"/>
      <c r="AK301" s="73" t="n"/>
      <c r="AL301" s="73" t="n"/>
      <c r="AM301" s="73" t="n"/>
      <c r="AN301" s="73" t="n"/>
      <c r="AO301" s="73" t="n"/>
      <c r="AP301" s="73" t="n"/>
      <c r="AQ301" s="49" t="n"/>
      <c r="AR301" s="73" t="n"/>
      <c r="AS301" s="49" t="n"/>
      <c r="AT301" s="49" t="n"/>
      <c r="AU301" s="49" t="n"/>
      <c r="AV301" s="73" t="n"/>
      <c r="AW301" s="73" t="n"/>
      <c r="AX301" s="73" t="n"/>
      <c r="AY301" s="73" t="n"/>
      <c r="AZ301" s="73" t="n"/>
      <c r="BA301" s="73" t="n"/>
      <c r="BB301" s="73" t="n"/>
      <c r="BC301" s="73" t="n"/>
      <c r="BD301" s="73" t="n"/>
      <c r="BE301" s="73" t="n"/>
      <c r="BF301" s="73" t="n"/>
      <c r="BG301" s="73" t="n"/>
      <c r="BH301" s="73" t="n"/>
      <c r="BI301" s="73" t="n"/>
      <c r="BJ301" s="73" t="n"/>
      <c r="BK301" s="73" t="n"/>
      <c r="BL301" s="73" t="n"/>
      <c r="BM301" s="73" t="n"/>
      <c r="BN301" s="73" t="n"/>
      <c r="BO301" s="73" t="n"/>
      <c r="BP301" s="73" t="n"/>
      <c r="BQ301" s="195">
        <f>COUNTIF($G301:$BP301,"a")+COUNTIF($G301:$BP301,"r0,a5")/2+COUNTIF($G301:$BP301,"p5,a5")/2</f>
        <v/>
      </c>
      <c r="BR301" s="195">
        <f>COUNTIF($G301:$BP301,"d")+COUNTIF($G301:$BP301,"r0,d5")/2+COUNTIF($G301:$BP301,"p5,d5")/2</f>
        <v/>
      </c>
      <c r="BS301" s="195">
        <f>COUNTIF($G301:$BP301,"b")+COUNTIF($G301:$BP301,"r0,b5")/2+COUNTIF($G301:$BP301,"p5,b5")/2</f>
        <v/>
      </c>
      <c r="BT301" s="195">
        <f>COUNTIF($G301:$BP301,"c")+COUNTIF($G301:$BP301,"r0,c5")/2+COUNTIF($G301:$BP301,"p5,c5")/2</f>
        <v/>
      </c>
      <c r="BU301" s="195">
        <f>COUNTIF($G301:$BP301,"KH")+COUNTIF($G301:$BP301,"TL")+COUNTIF($G301:$BP301,"L")</f>
        <v/>
      </c>
      <c r="BV301" s="202" t="n"/>
      <c r="BW301" s="195">
        <f>COUNTIF($G301:$BP301,"hh")</f>
        <v/>
      </c>
      <c r="BX301" s="195">
        <f>COUNTIF($G301:$BP301,"nt7")</f>
        <v/>
      </c>
      <c r="BY301" s="195">
        <f>COUNTIF($G301:$BP301,"P")+COUNTIF($G301:$BP301,"p5,a5")/2+COUNTIF($G301:$BP301,"p5,b5")/2+COUNTIF($G301:$BP301,"p5,c5")/2+COUNTIF($G301:$BP301,"p5,d5")/2</f>
        <v/>
      </c>
      <c r="BZ301" s="203">
        <f>SUBTOTAL(9,BQ301:BY301)</f>
        <v/>
      </c>
      <c r="CA301" s="54">
        <f>SUM(J301,L301,N301,P301,R301,T301,X301,Z301,AB301,AD301,AF301,AH301,AL301,AN301,AP301,AR301,AT301,AV301,AZ301,BB301,BD301,BF301,BH301,BP301)</f>
        <v/>
      </c>
      <c r="CB301" s="55">
        <f>SUM(H301,V301,AJ301,AX301,BL301)</f>
        <v/>
      </c>
      <c r="CC301" s="56">
        <f>SUM(BJ301,BN301)</f>
        <v/>
      </c>
      <c r="CD301" s="197">
        <f>IF(BZ301&gt;25,4,IF(BZ301&gt;18,3,IF(BZ301&gt;12,2,IF(BZ301&gt;4,1,0))))-BX301-2+1</f>
        <v/>
      </c>
      <c r="CE301" s="49" t="n">
        <v>1</v>
      </c>
      <c r="CF301" s="204">
        <f>CD301*CI301</f>
        <v/>
      </c>
      <c r="CG301" s="198" t="n">
        <v>0</v>
      </c>
      <c r="CH301" s="197">
        <f>CE301*16</f>
        <v/>
      </c>
      <c r="CI301" s="199">
        <f>VLOOKUP(A301,[1]DATA!$A$6:$AI$331,34,0)</f>
        <v/>
      </c>
      <c r="CJ301" s="200">
        <f>VLOOKUP(A301,[2]CHAMCONG!A$7:CI$333,79,0)</f>
        <v/>
      </c>
      <c r="CK301" s="201">
        <f>CJ301-CA301</f>
        <v/>
      </c>
      <c r="CL301" s="68" t="n"/>
      <c r="CM301" s="68" t="n"/>
    </row>
    <row r="302" ht="18" customFormat="1" customHeight="1" s="75">
      <c r="A302" s="139" t="n"/>
      <c r="B302" s="64" t="n"/>
      <c r="C302" s="115" t="n"/>
      <c r="D302" s="46" t="n"/>
      <c r="E302" s="47" t="n"/>
      <c r="F302" s="48" t="n"/>
      <c r="G302" s="49" t="n"/>
      <c r="H302" s="73" t="n"/>
      <c r="I302" s="49" t="n"/>
      <c r="J302" s="73" t="n"/>
      <c r="K302" s="49" t="n"/>
      <c r="L302" s="73" t="n"/>
      <c r="M302" s="49" t="n"/>
      <c r="N302" s="73" t="n"/>
      <c r="O302" s="49" t="n"/>
      <c r="P302" s="73" t="n"/>
      <c r="Q302" s="73" t="n"/>
      <c r="R302" s="73" t="n"/>
      <c r="S302" s="73" t="n"/>
      <c r="T302" s="73" t="n"/>
      <c r="U302" s="73" t="n"/>
      <c r="V302" s="73" t="n"/>
      <c r="W302" s="73" t="n"/>
      <c r="X302" s="73" t="n"/>
      <c r="Y302" s="73" t="n"/>
      <c r="Z302" s="73" t="n"/>
      <c r="AA302" s="73" t="n"/>
      <c r="AB302" s="73" t="n"/>
      <c r="AC302" s="73" t="n"/>
      <c r="AD302" s="73" t="n"/>
      <c r="AE302" s="73" t="n"/>
      <c r="AF302" s="73" t="n"/>
      <c r="AG302" s="73" t="n"/>
      <c r="AH302" s="73" t="n"/>
      <c r="AI302" s="73" t="n"/>
      <c r="AJ302" s="73" t="n"/>
      <c r="AK302" s="73" t="n"/>
      <c r="AL302" s="73" t="n"/>
      <c r="AM302" s="73" t="n"/>
      <c r="AN302" s="73" t="n"/>
      <c r="AO302" s="73" t="n"/>
      <c r="AP302" s="73" t="n"/>
      <c r="AQ302" s="73" t="n"/>
      <c r="AR302" s="73" t="n"/>
      <c r="AS302" s="73" t="n"/>
      <c r="AT302" s="73" t="n"/>
      <c r="AU302" s="73" t="n"/>
      <c r="AV302" s="73" t="n"/>
      <c r="AW302" s="73" t="n"/>
      <c r="AX302" s="73" t="n"/>
      <c r="AY302" s="73" t="n"/>
      <c r="AZ302" s="73" t="n"/>
      <c r="BA302" s="73" t="n"/>
      <c r="BB302" s="73" t="n"/>
      <c r="BC302" s="73" t="n"/>
      <c r="BD302" s="73" t="n"/>
      <c r="BE302" s="73" t="n"/>
      <c r="BF302" s="73" t="n"/>
      <c r="BG302" s="73" t="n"/>
      <c r="BH302" s="73" t="n"/>
      <c r="BI302" s="73" t="n"/>
      <c r="BJ302" s="73" t="n"/>
      <c r="BK302" s="73" t="n"/>
      <c r="BL302" s="73" t="n"/>
      <c r="BM302" s="73" t="n"/>
      <c r="BN302" s="73" t="n"/>
      <c r="BO302" s="73" t="n"/>
      <c r="BP302" s="73" t="n"/>
      <c r="BQ302" s="195">
        <f>COUNTIF($G302:$BP302,"a")+COUNTIF($G302:$BP302,"r0,a5")/2+COUNTIF($G302:$BP302,"p5,a5")/2</f>
        <v/>
      </c>
      <c r="BR302" s="195">
        <f>COUNTIF($G302:$BP302,"d")+COUNTIF($G302:$BP302,"r0,d5")/2+COUNTIF($G302:$BP302,"p5,d5")/2</f>
        <v/>
      </c>
      <c r="BS302" s="195">
        <f>COUNTIF($G302:$BP302,"b")+COUNTIF($G302:$BP302,"r0,b5")/2+COUNTIF($G302:$BP302,"p5,b5")/2</f>
        <v/>
      </c>
      <c r="BT302" s="195">
        <f>COUNTIF($G302:$BP302,"c")+COUNTIF($G302:$BP302,"r0,c5")/2+COUNTIF($G302:$BP302,"p5,c5")/2</f>
        <v/>
      </c>
      <c r="BU302" s="195">
        <f>COUNTIF($G302:$BP302,"KH")+COUNTIF($G302:$BP302,"TL")+COUNTIF($G302:$BP302,"L")</f>
        <v/>
      </c>
      <c r="BV302" s="202" t="n"/>
      <c r="BW302" s="195">
        <f>COUNTIF($G302:$BP302,"hh")</f>
        <v/>
      </c>
      <c r="BX302" s="195">
        <f>COUNTIF($G302:$BP302,"nt7")</f>
        <v/>
      </c>
      <c r="BY302" s="195">
        <f>COUNTIF($G302:$BP302,"P")+COUNTIF($G302:$BP302,"p5,a5")/2+COUNTIF($G302:$BP302,"p5,b5")/2+COUNTIF($G302:$BP302,"p5,c5")/2+COUNTIF($G302:$BP302,"p5,d5")/2</f>
        <v/>
      </c>
      <c r="BZ302" s="203">
        <f>SUBTOTAL(9,BQ302:BY302)</f>
        <v/>
      </c>
      <c r="CA302" s="54">
        <f>SUM(J302,L302,N302,P302,R302,T302,X302,Z302,AB302,AD302,AF302,AH302,AL302,AN302,AP302,AR302,AT302,AV302,AZ302,BB302,BD302,BF302,BH302,BP302)</f>
        <v/>
      </c>
      <c r="CB302" s="55">
        <f>SUM(H302,V302,AJ302,AX302,BL302)</f>
        <v/>
      </c>
      <c r="CC302" s="56">
        <f>SUM(BJ302,BN302)</f>
        <v/>
      </c>
      <c r="CD302" s="197">
        <f>IF(BZ302&gt;25,4,IF(BZ302&gt;18,3,IF(BZ302&gt;12,2,IF(BZ302&gt;4,1,0))))-BX302-2+1</f>
        <v/>
      </c>
      <c r="CE302" s="49" t="n">
        <v>1</v>
      </c>
      <c r="CF302" s="204">
        <f>CD302*CI302</f>
        <v/>
      </c>
      <c r="CG302" s="198">
        <f>F302-BY302+1</f>
        <v/>
      </c>
      <c r="CH302" s="197">
        <f>CE302*16</f>
        <v/>
      </c>
      <c r="CI302" s="199">
        <f>VLOOKUP(A302,[1]DATA!$A$6:$AI$331,34,0)</f>
        <v/>
      </c>
      <c r="CJ302" s="200">
        <f>VLOOKUP(A302,[2]CHAMCONG!A$7:CI$333,79,0)</f>
        <v/>
      </c>
      <c r="CK302" s="201">
        <f>CJ302-CA302</f>
        <v/>
      </c>
      <c r="CL302" s="68" t="n"/>
      <c r="CM302" s="68" t="n"/>
    </row>
    <row r="303" ht="18" customFormat="1" customHeight="1" s="75">
      <c r="A303" s="139" t="n"/>
      <c r="B303" s="64" t="n"/>
      <c r="C303" s="115" t="n"/>
      <c r="D303" s="46" t="n"/>
      <c r="E303" s="47" t="n"/>
      <c r="F303" s="48" t="n"/>
      <c r="G303" s="49" t="n"/>
      <c r="H303" s="73" t="n"/>
      <c r="I303" s="50" t="n"/>
      <c r="J303" s="73" t="n"/>
      <c r="K303" s="50" t="n"/>
      <c r="L303" s="73" t="n"/>
      <c r="M303" s="50" t="n"/>
      <c r="N303" s="73" t="n"/>
      <c r="O303" s="50" t="n"/>
      <c r="P303" s="73" t="n"/>
      <c r="Q303" s="49" t="n"/>
      <c r="R303" s="73" t="n"/>
      <c r="S303" s="50" t="n"/>
      <c r="T303" s="73" t="n"/>
      <c r="U303" s="50" t="n"/>
      <c r="V303" s="73" t="n"/>
      <c r="W303" s="50" t="n"/>
      <c r="X303" s="73" t="n"/>
      <c r="Y303" s="49" t="n"/>
      <c r="Z303" s="73" t="n"/>
      <c r="AA303" s="50" t="n"/>
      <c r="AB303" s="73" t="n"/>
      <c r="AC303" s="50" t="n"/>
      <c r="AD303" s="73" t="n"/>
      <c r="AE303" s="49" t="n"/>
      <c r="AF303" s="73" t="n"/>
      <c r="AG303" s="49" t="n"/>
      <c r="AH303" s="73" t="n"/>
      <c r="AI303" s="49" t="n"/>
      <c r="AJ303" s="73" t="n"/>
      <c r="AK303" s="49" t="n"/>
      <c r="AL303" s="73" t="n"/>
      <c r="AM303" s="49" t="n"/>
      <c r="AN303" s="73" t="n"/>
      <c r="AO303" s="73" t="n"/>
      <c r="AP303" s="73" t="n"/>
      <c r="AQ303" s="49" t="n"/>
      <c r="AR303" s="73" t="n"/>
      <c r="AS303" s="49" t="n"/>
      <c r="AT303" s="73" t="n"/>
      <c r="AU303" s="49" t="n"/>
      <c r="AV303" s="73" t="n"/>
      <c r="AW303" s="73" t="n"/>
      <c r="AX303" s="73" t="n"/>
      <c r="AY303" s="49" t="n"/>
      <c r="AZ303" s="73" t="n"/>
      <c r="BA303" s="49" t="n"/>
      <c r="BB303" s="73" t="n"/>
      <c r="BC303" s="73" t="n"/>
      <c r="BD303" s="73" t="n"/>
      <c r="BE303" s="49" t="n"/>
      <c r="BF303" s="73" t="n"/>
      <c r="BG303" s="49" t="n"/>
      <c r="BH303" s="73" t="n"/>
      <c r="BI303" s="73" t="n"/>
      <c r="BJ303" s="73" t="n"/>
      <c r="BK303" s="73" t="n"/>
      <c r="BL303" s="73" t="n"/>
      <c r="BM303" s="73" t="n"/>
      <c r="BN303" s="73" t="n"/>
      <c r="BO303" s="73" t="n"/>
      <c r="BP303" s="73" t="n"/>
      <c r="BQ303" s="195">
        <f>COUNTIF($G303:$BP303,"a")+COUNTIF($G303:$BP303,"r0,a5")/2+COUNTIF($G303:$BP303,"p5,a5")/2</f>
        <v/>
      </c>
      <c r="BR303" s="195">
        <f>COUNTIF($G303:$BP303,"d")+COUNTIF($G303:$BP303,"r0,d5")/2+COUNTIF($G303:$BP303,"p5,d5")/2</f>
        <v/>
      </c>
      <c r="BS303" s="195">
        <f>COUNTIF($G303:$BP303,"b")+COUNTIF($G303:$BP303,"r0,b5")/2+COUNTIF($G303:$BP303,"p5,b5")/2</f>
        <v/>
      </c>
      <c r="BT303" s="195">
        <f>COUNTIF($G303:$BP303,"c")+COUNTIF($G303:$BP303,"r0,c5")/2+COUNTIF($G303:$BP303,"p5,c5")/2</f>
        <v/>
      </c>
      <c r="BU303" s="195">
        <f>COUNTIF($G303:$BP303,"KH")+COUNTIF($G303:$BP303,"TL")+COUNTIF($G303:$BP303,"L")</f>
        <v/>
      </c>
      <c r="BV303" s="202" t="n"/>
      <c r="BW303" s="195">
        <f>COUNTIF($G303:$BP303,"hh")</f>
        <v/>
      </c>
      <c r="BX303" s="195">
        <f>COUNTIF($G303:$BP303,"nt7")</f>
        <v/>
      </c>
      <c r="BY303" s="195">
        <f>COUNTIF($G303:$BP303,"P")+COUNTIF($G303:$BP303,"p5,a5")/2+COUNTIF($G303:$BP303,"p5,b5")/2+COUNTIF($G303:$BP303,"p5,c5")/2+COUNTIF($G303:$BP303,"p5,d5")/2</f>
        <v/>
      </c>
      <c r="BZ303" s="203">
        <f>SUBTOTAL(9,BQ303:BY303)</f>
        <v/>
      </c>
      <c r="CA303" s="54">
        <f>SUM(J303,L303,N303,P303,R303,T303,X303,Z303,AB303,AD303,AF303,AH303,AL303,AN303,AP303,AR303,AT303,AV303,AZ303,BB303,BD303,BF303,BH303,BP303)</f>
        <v/>
      </c>
      <c r="CB303" s="55">
        <f>SUM(H303,V303,AJ303,AX303,BL303)</f>
        <v/>
      </c>
      <c r="CC303" s="56">
        <f>SUM(BJ303,BN303)</f>
        <v/>
      </c>
      <c r="CD303" s="197">
        <f>IF(BZ303&gt;25,4,IF(BZ303&gt;18,3,IF(BZ303&gt;12,2,IF(BZ303&gt;4,1,0))))-BX303-2+1</f>
        <v/>
      </c>
      <c r="CE303" s="49" t="n">
        <v>1</v>
      </c>
      <c r="CF303" s="204">
        <f>CD303*CI303</f>
        <v/>
      </c>
      <c r="CG303" s="198" t="n">
        <v>0</v>
      </c>
      <c r="CH303" s="197">
        <f>CE303*16</f>
        <v/>
      </c>
      <c r="CI303" s="199">
        <f>VLOOKUP(A303,[1]DATA!$A$6:$AI$331,34,0)</f>
        <v/>
      </c>
      <c r="CJ303" s="200">
        <f>VLOOKUP(A303,[2]CHAMCONG!A$7:CI$333,79,0)</f>
        <v/>
      </c>
      <c r="CK303" s="201">
        <f>CJ303-CA303</f>
        <v/>
      </c>
      <c r="CL303" s="68" t="n"/>
      <c r="CM303" s="68" t="n"/>
    </row>
    <row r="304" ht="18" customFormat="1" customHeight="1" s="75">
      <c r="A304" s="139" t="n"/>
      <c r="B304" s="64" t="n"/>
      <c r="C304" s="115" t="n"/>
      <c r="D304" s="46" t="n"/>
      <c r="E304" s="47" t="n"/>
      <c r="F304" s="48" t="n"/>
      <c r="G304" s="49" t="n"/>
      <c r="H304" s="73" t="n"/>
      <c r="I304" s="49" t="n"/>
      <c r="J304" s="73" t="n"/>
      <c r="K304" s="73" t="n"/>
      <c r="L304" s="73" t="n"/>
      <c r="M304" s="73" t="n"/>
      <c r="N304" s="73" t="n"/>
      <c r="O304" s="50" t="n"/>
      <c r="P304" s="73" t="n"/>
      <c r="Q304" s="50" t="n"/>
      <c r="R304" s="73" t="n"/>
      <c r="S304" s="50" t="n"/>
      <c r="T304" s="73" t="n"/>
      <c r="U304" s="50" t="n"/>
      <c r="V304" s="73" t="n"/>
      <c r="W304" s="50" t="n"/>
      <c r="X304" s="73" t="n"/>
      <c r="Y304" s="50" t="n"/>
      <c r="Z304" s="73" t="n"/>
      <c r="AA304" s="50" t="n"/>
      <c r="AB304" s="73" t="n"/>
      <c r="AC304" s="50" t="n"/>
      <c r="AD304" s="73" t="n"/>
      <c r="AE304" s="73" t="n"/>
      <c r="AF304" s="73" t="n"/>
      <c r="AG304" s="73" t="n"/>
      <c r="AH304" s="73" t="n"/>
      <c r="AI304" s="73" t="n"/>
      <c r="AJ304" s="73" t="n"/>
      <c r="AK304" s="73" t="n"/>
      <c r="AL304" s="73" t="n"/>
      <c r="AM304" s="73" t="n"/>
      <c r="AN304" s="73" t="n"/>
      <c r="AO304" s="73" t="n"/>
      <c r="AP304" s="73" t="n"/>
      <c r="AQ304" s="73" t="n"/>
      <c r="AR304" s="73" t="n"/>
      <c r="AS304" s="73" t="n"/>
      <c r="AT304" s="73" t="n"/>
      <c r="AU304" s="73" t="n"/>
      <c r="AV304" s="73" t="n"/>
      <c r="AW304" s="73" t="n"/>
      <c r="AX304" s="73" t="n"/>
      <c r="AY304" s="73" t="n"/>
      <c r="AZ304" s="73" t="n"/>
      <c r="BA304" s="73" t="n"/>
      <c r="BB304" s="73" t="n"/>
      <c r="BC304" s="73" t="n"/>
      <c r="BD304" s="73" t="n"/>
      <c r="BE304" s="73" t="n"/>
      <c r="BF304" s="73" t="n"/>
      <c r="BG304" s="73" t="n"/>
      <c r="BH304" s="73" t="n"/>
      <c r="BI304" s="73" t="n"/>
      <c r="BJ304" s="73" t="n"/>
      <c r="BK304" s="73" t="n"/>
      <c r="BL304" s="73" t="n"/>
      <c r="BM304" s="73" t="n"/>
      <c r="BN304" s="73" t="n"/>
      <c r="BO304" s="73" t="n"/>
      <c r="BP304" s="73" t="n"/>
      <c r="BQ304" s="195">
        <f>COUNTIF($G304:$BP304,"a")+COUNTIF($G304:$BP304,"r0,a5")/2+COUNTIF($G304:$BP304,"p5,a5")/2</f>
        <v/>
      </c>
      <c r="BR304" s="195">
        <f>COUNTIF($G304:$BP304,"d")+COUNTIF($G304:$BP304,"r0,d5")/2+COUNTIF($G304:$BP304,"p5,d5")/2</f>
        <v/>
      </c>
      <c r="BS304" s="195">
        <f>COUNTIF($G304:$BP304,"b")+COUNTIF($G304:$BP304,"r0,b5")/2+COUNTIF($G304:$BP304,"p5,b5")/2</f>
        <v/>
      </c>
      <c r="BT304" s="195">
        <f>COUNTIF($G304:$BP304,"c")+COUNTIF($G304:$BP304,"r0,c5")/2+COUNTIF($G304:$BP304,"p5,c5")/2</f>
        <v/>
      </c>
      <c r="BU304" s="195">
        <f>COUNTIF($G304:$BP304,"KH")+COUNTIF($G304:$BP304,"TL")+COUNTIF($G304:$BP304,"L")</f>
        <v/>
      </c>
      <c r="BV304" s="202" t="n"/>
      <c r="BW304" s="195">
        <f>COUNTIF($G304:$BP304,"hh")</f>
        <v/>
      </c>
      <c r="BX304" s="195">
        <f>COUNTIF($G304:$BP304,"nt7")</f>
        <v/>
      </c>
      <c r="BY304" s="195">
        <f>COUNTIF($G304:$BP304,"P")+COUNTIF($G304:$BP304,"p5,a5")/2+COUNTIF($G304:$BP304,"p5,b5")/2+COUNTIF($G304:$BP304,"p5,c5")/2+COUNTIF($G304:$BP304,"p5,d5")/2</f>
        <v/>
      </c>
      <c r="BZ304" s="203">
        <f>SUBTOTAL(9,BQ304:BY304)</f>
        <v/>
      </c>
      <c r="CA304" s="54">
        <f>SUM(J304,L304,N304,P304,R304,T304,X304,Z304,AB304,AD304,AF304,AH304,AL304,AN304,AP304,AR304,AT304,AV304,AZ304,BB304,BD304,BF304,BH304,BP304)</f>
        <v/>
      </c>
      <c r="CB304" s="55">
        <f>SUM(H304,V304,AJ304,AX304,BL304)</f>
        <v/>
      </c>
      <c r="CC304" s="56">
        <f>SUM(BJ304,BN304)</f>
        <v/>
      </c>
      <c r="CD304" s="197">
        <f>IF(BZ304&gt;25,4,IF(BZ304&gt;18,3,IF(BZ304&gt;12,2,IF(BZ304&gt;4,1,0))))-BX304-2+1</f>
        <v/>
      </c>
      <c r="CE304" s="49" t="n">
        <v>1</v>
      </c>
      <c r="CF304" s="204">
        <f>CD304*CI304</f>
        <v/>
      </c>
      <c r="CG304" s="198">
        <f>F304-BY304+1</f>
        <v/>
      </c>
      <c r="CH304" s="197">
        <f>CE304*16</f>
        <v/>
      </c>
      <c r="CI304" s="199">
        <f>VLOOKUP(A304,[1]DATA!$A$6:$AI$331,34,0)</f>
        <v/>
      </c>
      <c r="CJ304" s="200">
        <f>VLOOKUP(A304,[2]CHAMCONG!A$7:CI$333,79,0)</f>
        <v/>
      </c>
      <c r="CK304" s="201">
        <f>CJ304-CA304</f>
        <v/>
      </c>
      <c r="CL304" s="68" t="n"/>
      <c r="CM304" s="68" t="n"/>
    </row>
    <row r="305" ht="18" customFormat="1" customHeight="1" s="75">
      <c r="A305" s="139" t="n"/>
      <c r="B305" s="64" t="n"/>
      <c r="C305" s="115" t="n"/>
      <c r="D305" s="46" t="n"/>
      <c r="E305" s="47" t="n"/>
      <c r="F305" s="48" t="n"/>
      <c r="G305" s="49" t="n"/>
      <c r="H305" s="73" t="n"/>
      <c r="I305" s="50" t="n"/>
      <c r="J305" s="73" t="n"/>
      <c r="K305" s="50" t="n"/>
      <c r="L305" s="73" t="n"/>
      <c r="M305" s="50" t="n"/>
      <c r="N305" s="73" t="n"/>
      <c r="O305" s="49" t="n"/>
      <c r="P305" s="73" t="n"/>
      <c r="Q305" s="49" t="n"/>
      <c r="R305" s="73" t="n"/>
      <c r="S305" s="50" t="n"/>
      <c r="T305" s="73" t="n"/>
      <c r="U305" s="49" t="n"/>
      <c r="V305" s="73" t="n"/>
      <c r="W305" s="50" t="n"/>
      <c r="X305" s="73" t="n"/>
      <c r="Y305" s="49" t="n"/>
      <c r="Z305" s="73" t="n"/>
      <c r="AA305" s="73" t="n"/>
      <c r="AB305" s="73" t="n"/>
      <c r="AC305" s="50" t="n"/>
      <c r="AD305" s="73" t="n"/>
      <c r="AE305" s="49" t="n"/>
      <c r="AF305" s="73" t="n"/>
      <c r="AG305" s="49" t="n"/>
      <c r="AH305" s="73" t="n"/>
      <c r="AI305" s="49" t="n"/>
      <c r="AJ305" s="73" t="n"/>
      <c r="AK305" s="50" t="n"/>
      <c r="AL305" s="73" t="n"/>
      <c r="AM305" s="49" t="n"/>
      <c r="AN305" s="73" t="n"/>
      <c r="AO305" s="50" t="n"/>
      <c r="AP305" s="73" t="n"/>
      <c r="AQ305" s="49" t="n"/>
      <c r="AR305" s="73" t="n"/>
      <c r="AS305" s="49" t="n"/>
      <c r="AT305" s="73" t="n"/>
      <c r="AU305" s="49" t="n"/>
      <c r="AV305" s="73" t="n"/>
      <c r="AW305" s="73" t="n"/>
      <c r="AX305" s="73" t="n"/>
      <c r="AY305" s="49" t="n"/>
      <c r="AZ305" s="73" t="n"/>
      <c r="BA305" s="49" t="n"/>
      <c r="BB305" s="73" t="n"/>
      <c r="BC305" s="73" t="n"/>
      <c r="BD305" s="73" t="n"/>
      <c r="BE305" s="49" t="n"/>
      <c r="BF305" s="73" t="n"/>
      <c r="BG305" s="49" t="n"/>
      <c r="BH305" s="73" t="n"/>
      <c r="BI305" s="73" t="n"/>
      <c r="BJ305" s="73" t="n"/>
      <c r="BK305" s="73" t="n"/>
      <c r="BL305" s="73" t="n"/>
      <c r="BM305" s="73" t="n"/>
      <c r="BN305" s="73" t="n"/>
      <c r="BO305" s="73" t="n"/>
      <c r="BP305" s="73" t="n"/>
      <c r="BQ305" s="195">
        <f>COUNTIF($G305:$BP305,"a")+COUNTIF($G305:$BP305,"r0,a5")/2+COUNTIF($G305:$BP305,"p5,a5")/2</f>
        <v/>
      </c>
      <c r="BR305" s="195">
        <f>COUNTIF($G305:$BP305,"d")+COUNTIF($G305:$BP305,"r0,d5")/2+COUNTIF($G305:$BP305,"p5,d5")/2</f>
        <v/>
      </c>
      <c r="BS305" s="195">
        <f>COUNTIF($G305:$BP305,"b")+COUNTIF($G305:$BP305,"r0,b5")/2+COUNTIF($G305:$BP305,"p5,b5")/2</f>
        <v/>
      </c>
      <c r="BT305" s="195">
        <f>COUNTIF($G305:$BP305,"c")+COUNTIF($G305:$BP305,"r0,c5")/2+COUNTIF($G305:$BP305,"p5,c5")/2</f>
        <v/>
      </c>
      <c r="BU305" s="195">
        <f>COUNTIF($G305:$BP305,"KH")+COUNTIF($G305:$BP305,"TL")+COUNTIF($G305:$BP305,"L")</f>
        <v/>
      </c>
      <c r="BV305" s="202" t="n"/>
      <c r="BW305" s="195">
        <f>COUNTIF($G305:$BP305,"hh")</f>
        <v/>
      </c>
      <c r="BX305" s="195">
        <f>COUNTIF($G305:$BP305,"nt7")</f>
        <v/>
      </c>
      <c r="BY305" s="195">
        <f>COUNTIF($G305:$BP305,"P")+COUNTIF($G305:$BP305,"p5,a5")/2+COUNTIF($G305:$BP305,"p5,b5")/2+COUNTIF($G305:$BP305,"p5,c5")/2+COUNTIF($G305:$BP305,"p5,d5")/2</f>
        <v/>
      </c>
      <c r="BZ305" s="203">
        <f>SUBTOTAL(9,BQ305:BY305)</f>
        <v/>
      </c>
      <c r="CA305" s="54">
        <f>SUM(J305,L305,N305,P305,R305,T305,X305,Z305,AB305,AD305,AF305,AH305,AL305,AN305,AP305,AR305,AT305,AV305,AZ305,BB305,BD305,BF305,BH305,BP305)</f>
        <v/>
      </c>
      <c r="CB305" s="55">
        <f>SUM(H305,V305,AJ305,AX305,BL305)</f>
        <v/>
      </c>
      <c r="CC305" s="56">
        <f>SUM(BJ305,BN305)</f>
        <v/>
      </c>
      <c r="CD305" s="197">
        <f>IF(BZ305&gt;25,4,IF(BZ305&gt;18,3,IF(BZ305&gt;12,2,IF(BZ305&gt;4,1,0))))-BX305-2+1</f>
        <v/>
      </c>
      <c r="CE305" s="49" t="n"/>
      <c r="CF305" s="204">
        <f>CD305*CI305</f>
        <v/>
      </c>
      <c r="CG305" s="198" t="n">
        <v>0</v>
      </c>
      <c r="CH305" s="197">
        <f>CE305*16</f>
        <v/>
      </c>
      <c r="CI305" s="199">
        <f>VLOOKUP(A305,[1]DATA!$A$6:$AI$331,34,0)</f>
        <v/>
      </c>
      <c r="CJ305" s="200">
        <f>VLOOKUP(A305,[2]CHAMCONG!A$7:CI$333,79,0)</f>
        <v/>
      </c>
      <c r="CK305" s="201">
        <f>CJ305-CA305</f>
        <v/>
      </c>
      <c r="CL305" s="68" t="n"/>
      <c r="CM305" s="68" t="n"/>
    </row>
    <row r="306" ht="18" customFormat="1" customHeight="1" s="75">
      <c r="A306" s="139" t="n"/>
      <c r="B306" s="64" t="n"/>
      <c r="C306" s="115" t="n"/>
      <c r="D306" s="46" t="n"/>
      <c r="E306" s="47" t="n"/>
      <c r="F306" s="48" t="n"/>
      <c r="G306" s="49" t="n"/>
      <c r="H306" s="73" t="n"/>
      <c r="I306" s="49" t="n"/>
      <c r="J306" s="73" t="n"/>
      <c r="K306" s="49" t="n"/>
      <c r="L306" s="73" t="n"/>
      <c r="M306" s="49" t="n"/>
      <c r="N306" s="73" t="n"/>
      <c r="O306" s="49" t="n"/>
      <c r="P306" s="73" t="n"/>
      <c r="Q306" s="49" t="n"/>
      <c r="R306" s="73" t="n"/>
      <c r="S306" s="50" t="n"/>
      <c r="T306" s="73" t="n"/>
      <c r="U306" s="50" t="n"/>
      <c r="V306" s="73" t="n"/>
      <c r="W306" s="50" t="n"/>
      <c r="X306" s="73" t="n"/>
      <c r="Y306" s="50" t="n"/>
      <c r="Z306" s="73" t="n"/>
      <c r="AA306" s="50" t="n"/>
      <c r="AB306" s="73" t="n"/>
      <c r="AC306" s="50" t="n"/>
      <c r="AD306" s="73" t="n"/>
      <c r="AE306" s="73" t="n"/>
      <c r="AF306" s="73" t="n"/>
      <c r="AG306" s="73" t="n"/>
      <c r="AH306" s="73" t="n"/>
      <c r="AI306" s="73" t="n"/>
      <c r="AJ306" s="73" t="n"/>
      <c r="AK306" s="73" t="n"/>
      <c r="AL306" s="73" t="n"/>
      <c r="AM306" s="73" t="n"/>
      <c r="AN306" s="73" t="n"/>
      <c r="AO306" s="73" t="n"/>
      <c r="AP306" s="73" t="n"/>
      <c r="AQ306" s="73" t="n"/>
      <c r="AR306" s="73" t="n"/>
      <c r="AS306" s="73" t="n"/>
      <c r="AT306" s="73" t="n"/>
      <c r="AU306" s="73" t="n"/>
      <c r="AV306" s="73" t="n"/>
      <c r="AW306" s="73" t="n"/>
      <c r="AX306" s="73" t="n"/>
      <c r="AY306" s="73" t="n"/>
      <c r="AZ306" s="73" t="n"/>
      <c r="BA306" s="73" t="n"/>
      <c r="BB306" s="73" t="n"/>
      <c r="BC306" s="73" t="n"/>
      <c r="BD306" s="73" t="n"/>
      <c r="BE306" s="73" t="n"/>
      <c r="BF306" s="73" t="n"/>
      <c r="BG306" s="73" t="n"/>
      <c r="BH306" s="73" t="n"/>
      <c r="BI306" s="73" t="n"/>
      <c r="BJ306" s="73" t="n"/>
      <c r="BK306" s="73" t="n"/>
      <c r="BL306" s="73" t="n"/>
      <c r="BM306" s="73" t="n"/>
      <c r="BN306" s="73" t="n"/>
      <c r="BO306" s="73" t="n"/>
      <c r="BP306" s="73" t="n"/>
      <c r="BQ306" s="195">
        <f>COUNTIF($G306:$BP306,"a")+COUNTIF($G306:$BP306,"r0,a5")/2+COUNTIF($G306:$BP306,"p5,a5")/2</f>
        <v/>
      </c>
      <c r="BR306" s="195">
        <f>COUNTIF($G306:$BP306,"d")+COUNTIF($G306:$BP306,"r0,d5")/2+COUNTIF($G306:$BP306,"p5,d5")/2</f>
        <v/>
      </c>
      <c r="BS306" s="195">
        <f>COUNTIF($G306:$BP306,"b")+COUNTIF($G306:$BP306,"r0,b5")/2+COUNTIF($G306:$BP306,"p5,b5")/2</f>
        <v/>
      </c>
      <c r="BT306" s="195">
        <f>COUNTIF($G306:$BP306,"c")+COUNTIF($G306:$BP306,"r0,c5")/2+COUNTIF($G306:$BP306,"p5,c5")/2</f>
        <v/>
      </c>
      <c r="BU306" s="195">
        <f>COUNTIF($G306:$BP306,"KH")+COUNTIF($G306:$BP306,"TL")+COUNTIF($G306:$BP306,"L")</f>
        <v/>
      </c>
      <c r="BV306" s="202" t="n"/>
      <c r="BW306" s="195">
        <f>COUNTIF($G306:$BP306,"hh")</f>
        <v/>
      </c>
      <c r="BX306" s="195">
        <f>COUNTIF($G306:$BP306,"nt7")</f>
        <v/>
      </c>
      <c r="BY306" s="195">
        <f>COUNTIF($G306:$BP306,"P")+COUNTIF($G306:$BP306,"p5,a5")/2+COUNTIF($G306:$BP306,"p5,b5")/2+COUNTIF($G306:$BP306,"p5,c5")/2+COUNTIF($G306:$BP306,"p5,d5")/2</f>
        <v/>
      </c>
      <c r="BZ306" s="203">
        <f>SUBTOTAL(9,BQ306:BY306)</f>
        <v/>
      </c>
      <c r="CA306" s="54">
        <f>SUM(J306,L306,N306,P306,R306,T306,X306,Z306,AB306,AD306,AF306,AH306,AL306,AN306,AP306,AR306,AT306,AV306,AZ306,BB306,BD306,BF306,BH306,BP306)</f>
        <v/>
      </c>
      <c r="CB306" s="55">
        <f>SUM(H306,V306,AJ306,AX306,BL306)</f>
        <v/>
      </c>
      <c r="CC306" s="56">
        <f>SUM(BJ306,BN306)</f>
        <v/>
      </c>
      <c r="CD306" s="197">
        <f>IF(BZ306&gt;25,4,IF(BZ306&gt;18,3,IF(BZ306&gt;12,2,IF(BZ306&gt;4,1,0))))-BX306-2+1</f>
        <v/>
      </c>
      <c r="CE306" s="49" t="n">
        <v>1</v>
      </c>
      <c r="CF306" s="204">
        <f>CD306*CI306</f>
        <v/>
      </c>
      <c r="CG306" s="198">
        <f>F306-BY306+1</f>
        <v/>
      </c>
      <c r="CH306" s="197">
        <f>CE306*16</f>
        <v/>
      </c>
      <c r="CI306" s="199">
        <f>VLOOKUP(A306,[1]DATA!$A$6:$AI$331,34,0)</f>
        <v/>
      </c>
      <c r="CJ306" s="200">
        <f>VLOOKUP(A306,[2]CHAMCONG!A$7:CI$333,79,0)</f>
        <v/>
      </c>
      <c r="CK306" s="201">
        <f>CJ306-CA306</f>
        <v/>
      </c>
      <c r="CL306" s="68" t="n"/>
      <c r="CM306" s="68" t="n"/>
    </row>
    <row r="307" ht="18" customFormat="1" customHeight="1" s="75">
      <c r="A307" s="139" t="n"/>
      <c r="B307" s="64" t="n"/>
      <c r="C307" s="115" t="n"/>
      <c r="D307" s="46" t="n"/>
      <c r="E307" s="47" t="n"/>
      <c r="F307" s="48" t="n"/>
      <c r="G307" s="49" t="n"/>
      <c r="H307" s="73" t="n"/>
      <c r="I307" s="49" t="n"/>
      <c r="J307" s="73" t="n"/>
      <c r="K307" s="50" t="n"/>
      <c r="L307" s="73" t="n"/>
      <c r="M307" s="50" t="n"/>
      <c r="N307" s="73" t="n"/>
      <c r="O307" s="50" t="n"/>
      <c r="P307" s="73" t="n"/>
      <c r="Q307" s="49" t="n"/>
      <c r="R307" s="73" t="n"/>
      <c r="S307" s="50" t="n"/>
      <c r="T307" s="73" t="n"/>
      <c r="U307" s="50" t="n"/>
      <c r="V307" s="73" t="n"/>
      <c r="W307" s="50" t="n"/>
      <c r="X307" s="73" t="n"/>
      <c r="Y307" s="50" t="n"/>
      <c r="Z307" s="73" t="n"/>
      <c r="AA307" s="50" t="n"/>
      <c r="AB307" s="73" t="n"/>
      <c r="AC307" s="50" t="n"/>
      <c r="AD307" s="73" t="n"/>
      <c r="AE307" s="49" t="n"/>
      <c r="AF307" s="73" t="n"/>
      <c r="AG307" s="50" t="n"/>
      <c r="AH307" s="73" t="n"/>
      <c r="AI307" s="50" t="n"/>
      <c r="AJ307" s="73" t="n"/>
      <c r="AK307" s="50" t="n"/>
      <c r="AL307" s="73" t="n"/>
      <c r="AM307" s="50" t="n"/>
      <c r="AN307" s="73" t="n"/>
      <c r="AO307" s="50" t="n"/>
      <c r="AP307" s="73" t="n"/>
      <c r="AQ307" s="49" t="n"/>
      <c r="AR307" s="73" t="n"/>
      <c r="AS307" s="49" t="n"/>
      <c r="AT307" s="73" t="n"/>
      <c r="AU307" s="49" t="n"/>
      <c r="AV307" s="73" t="n"/>
      <c r="AW307" s="73" t="n"/>
      <c r="AX307" s="73" t="n"/>
      <c r="AY307" s="49" t="n"/>
      <c r="AZ307" s="73" t="n"/>
      <c r="BA307" s="49" t="n"/>
      <c r="BB307" s="73" t="n"/>
      <c r="BC307" s="73" t="n"/>
      <c r="BD307" s="73" t="n"/>
      <c r="BE307" s="49" t="n"/>
      <c r="BF307" s="73" t="n"/>
      <c r="BG307" s="49" t="n"/>
      <c r="BH307" s="73" t="n"/>
      <c r="BI307" s="73" t="n"/>
      <c r="BJ307" s="73" t="n"/>
      <c r="BK307" s="73" t="n"/>
      <c r="BL307" s="73" t="n"/>
      <c r="BM307" s="73" t="n"/>
      <c r="BN307" s="73" t="n"/>
      <c r="BO307" s="73" t="n"/>
      <c r="BP307" s="73" t="n"/>
      <c r="BQ307" s="195">
        <f>COUNTIF($G307:$BP307,"a")+COUNTIF($G307:$BP307,"r0,a5")/2+COUNTIF($G307:$BP307,"p5,a5")/2</f>
        <v/>
      </c>
      <c r="BR307" s="195">
        <f>COUNTIF($G307:$BP307,"d")+COUNTIF($G307:$BP307,"r0,d5")/2+COUNTIF($G307:$BP307,"p5,d5")/2</f>
        <v/>
      </c>
      <c r="BS307" s="195">
        <f>COUNTIF($G307:$BP307,"b")+COUNTIF($G307:$BP307,"r0,b5")/2+COUNTIF($G307:$BP307,"p5,b5")/2</f>
        <v/>
      </c>
      <c r="BT307" s="195">
        <f>COUNTIF($G307:$BP307,"c")+COUNTIF($G307:$BP307,"r0,c5")/2+COUNTIF($G307:$BP307,"p5,c5")/2</f>
        <v/>
      </c>
      <c r="BU307" s="195">
        <f>COUNTIF($G307:$BP307,"KH")+COUNTIF($G307:$BP307,"TL")+COUNTIF($G307:$BP307,"L")</f>
        <v/>
      </c>
      <c r="BV307" s="202" t="n"/>
      <c r="BW307" s="195">
        <f>COUNTIF($G307:$BP307,"hh")</f>
        <v/>
      </c>
      <c r="BX307" s="195">
        <f>COUNTIF($G307:$BP307,"nt7")</f>
        <v/>
      </c>
      <c r="BY307" s="195">
        <f>COUNTIF($G307:$BP307,"P")+COUNTIF($G307:$BP307,"p5,a5")/2+COUNTIF($G307:$BP307,"p5,b5")/2+COUNTIF($G307:$BP307,"p5,c5")/2+COUNTIF($G307:$BP307,"p5,d5")/2</f>
        <v/>
      </c>
      <c r="BZ307" s="203">
        <f>SUBTOTAL(9,BQ307:BY307)</f>
        <v/>
      </c>
      <c r="CA307" s="54">
        <f>SUM(J307,L307,N307,P307,R307,T307,X307,Z307,AB307,AD307,AF307,AH307,AL307,AN307,AP307,AR307,AT307,AV307,AZ307,BB307,BD307,BF307,BH307,BP307)</f>
        <v/>
      </c>
      <c r="CB307" s="55">
        <f>SUM(H307,V307,AJ307,AX307,BL307)</f>
        <v/>
      </c>
      <c r="CC307" s="56">
        <f>SUM(BJ307,BN307)</f>
        <v/>
      </c>
      <c r="CD307" s="197">
        <f>IF(BZ307&gt;25,4,IF(BZ307&gt;18,3,IF(BZ307&gt;12,2,IF(BZ307&gt;4,1,0))))-BX307-2+1</f>
        <v/>
      </c>
      <c r="CE307" s="49" t="n"/>
      <c r="CF307" s="204">
        <f>CD307*CI307</f>
        <v/>
      </c>
      <c r="CG307" s="198" t="n">
        <v>0</v>
      </c>
      <c r="CH307" s="197">
        <f>CE307*16</f>
        <v/>
      </c>
      <c r="CI307" s="199">
        <f>VLOOKUP(A307,[1]DATA!$A$6:$AI$331,34,0)</f>
        <v/>
      </c>
      <c r="CJ307" s="200">
        <f>VLOOKUP(A307,[2]CHAMCONG!A$7:CI$333,79,0)</f>
        <v/>
      </c>
      <c r="CK307" s="201">
        <f>CJ307-CA307</f>
        <v/>
      </c>
      <c r="CL307" s="68" t="n"/>
      <c r="CM307" s="68" t="n"/>
    </row>
    <row r="308" ht="18" customFormat="1" customHeight="1" s="75">
      <c r="A308" s="139" t="n"/>
      <c r="B308" s="64" t="n"/>
      <c r="C308" s="115" t="n"/>
      <c r="D308" s="46" t="n"/>
      <c r="E308" s="47" t="n"/>
      <c r="F308" s="48" t="n"/>
      <c r="G308" s="49" t="n"/>
      <c r="H308" s="73" t="n"/>
      <c r="I308" s="50" t="n"/>
      <c r="J308" s="73" t="n"/>
      <c r="K308" s="73" t="n"/>
      <c r="L308" s="73" t="n"/>
      <c r="M308" s="73" t="n"/>
      <c r="N308" s="73" t="n"/>
      <c r="O308" s="50" t="n"/>
      <c r="P308" s="73" t="n"/>
      <c r="Q308" s="73" t="n"/>
      <c r="R308" s="73" t="n"/>
      <c r="S308" s="73" t="n"/>
      <c r="T308" s="73" t="n"/>
      <c r="U308" s="49" t="n"/>
      <c r="V308" s="73" t="n"/>
      <c r="W308" s="50" t="n"/>
      <c r="X308" s="73" t="n"/>
      <c r="Y308" s="73" t="n"/>
      <c r="Z308" s="73" t="n"/>
      <c r="AA308" s="73" t="n"/>
      <c r="AB308" s="73" t="n"/>
      <c r="AC308" s="50" t="n"/>
      <c r="AD308" s="73" t="n"/>
      <c r="AE308" s="73" t="n"/>
      <c r="AF308" s="73" t="n"/>
      <c r="AG308" s="73" t="n"/>
      <c r="AH308" s="73" t="n"/>
      <c r="AI308" s="73" t="n"/>
      <c r="AJ308" s="73" t="n"/>
      <c r="AK308" s="50" t="n"/>
      <c r="AL308" s="73" t="n"/>
      <c r="AM308" s="73" t="n"/>
      <c r="AN308" s="73" t="n"/>
      <c r="AO308" s="73" t="n"/>
      <c r="AP308" s="73" t="n"/>
      <c r="AQ308" s="50" t="n"/>
      <c r="AR308" s="73" t="n"/>
      <c r="AS308" s="73" t="n"/>
      <c r="AT308" s="73" t="n"/>
      <c r="AU308" s="73" t="n"/>
      <c r="AV308" s="73" t="n"/>
      <c r="AW308" s="73" t="n"/>
      <c r="AX308" s="73" t="n"/>
      <c r="AY308" s="50" t="n"/>
      <c r="AZ308" s="73" t="n"/>
      <c r="BA308" s="73" t="n"/>
      <c r="BB308" s="73" t="n"/>
      <c r="BC308" s="73" t="n"/>
      <c r="BD308" s="73" t="n"/>
      <c r="BE308" s="50" t="n"/>
      <c r="BF308" s="73" t="n"/>
      <c r="BG308" s="73" t="n"/>
      <c r="BH308" s="73" t="n"/>
      <c r="BI308" s="73" t="n"/>
      <c r="BJ308" s="73" t="n"/>
      <c r="BK308" s="73" t="n"/>
      <c r="BL308" s="73" t="n"/>
      <c r="BM308" s="73" t="n"/>
      <c r="BN308" s="73" t="n"/>
      <c r="BO308" s="73" t="n"/>
      <c r="BP308" s="73" t="n"/>
      <c r="BQ308" s="195">
        <f>COUNTIF($G308:$BP308,"a")+COUNTIF($G308:$BP308,"r0,a5")/2+COUNTIF($G308:$BP308,"p5,a5")/2</f>
        <v/>
      </c>
      <c r="BR308" s="195">
        <f>COUNTIF($G308:$BP308,"d")+COUNTIF($G308:$BP308,"r0,d5")/2+COUNTIF($G308:$BP308,"p5,d5")/2</f>
        <v/>
      </c>
      <c r="BS308" s="195">
        <f>COUNTIF($G308:$BP308,"b")+COUNTIF($G308:$BP308,"r0,b5")/2+COUNTIF($G308:$BP308,"p5,b5")/2</f>
        <v/>
      </c>
      <c r="BT308" s="195">
        <f>COUNTIF($G308:$BP308,"c")+COUNTIF($G308:$BP308,"r0,c5")/2+COUNTIF($G308:$BP308,"p5,c5")/2</f>
        <v/>
      </c>
      <c r="BU308" s="195">
        <f>COUNTIF($G308:$BP308,"KH")+COUNTIF($G308:$BP308,"TL")+COUNTIF($G308:$BP308,"L")</f>
        <v/>
      </c>
      <c r="BV308" s="202" t="n"/>
      <c r="BW308" s="195">
        <f>COUNTIF($G308:$BP308,"hh")</f>
        <v/>
      </c>
      <c r="BX308" s="195">
        <f>COUNTIF($G308:$BP308,"nt7")</f>
        <v/>
      </c>
      <c r="BY308" s="195">
        <f>COUNTIF($G308:$BP308,"P")+COUNTIF($G308:$BP308,"p5,a5")/2+COUNTIF($G308:$BP308,"p5,b5")/2+COUNTIF($G308:$BP308,"p5,c5")/2+COUNTIF($G308:$BP308,"p5,d5")/2</f>
        <v/>
      </c>
      <c r="BZ308" s="203">
        <f>SUBTOTAL(9,BQ308:BY308)</f>
        <v/>
      </c>
      <c r="CA308" s="54">
        <f>SUM(J308,L308,N308,P308,R308,T308,X308,Z308,AB308,AD308,AF308,AH308,AL308,AN308,AP308,AR308,AT308,AV308,AZ308,BB308,BD308,BF308,BH308,BP308)</f>
        <v/>
      </c>
      <c r="CB308" s="55">
        <f>SUM(H308,V308,AJ308,AX308,BL308)</f>
        <v/>
      </c>
      <c r="CC308" s="56">
        <f>SUM(BJ308,BN308)</f>
        <v/>
      </c>
      <c r="CD308" s="197">
        <f>IF(BZ308&gt;25,4,IF(BZ308&gt;18,3,IF(BZ308&gt;12,2,IF(BZ308&gt;4,1,0))))-BX308-2+1</f>
        <v/>
      </c>
      <c r="CE308" s="49" t="n"/>
      <c r="CF308" s="204">
        <f>CD308*CI308</f>
        <v/>
      </c>
      <c r="CG308" s="198" t="n">
        <v>0</v>
      </c>
      <c r="CH308" s="197">
        <f>CE308*16</f>
        <v/>
      </c>
      <c r="CI308" s="199">
        <f>VLOOKUP(A308,[1]DATA!$A$6:$AI$331,34,0)</f>
        <v/>
      </c>
      <c r="CJ308" s="200">
        <f>VLOOKUP(A308,[2]CHAMCONG!A$7:CI$333,79,0)</f>
        <v/>
      </c>
      <c r="CK308" s="201">
        <f>CJ308-CA308</f>
        <v/>
      </c>
      <c r="CL308" s="68" t="n"/>
      <c r="CM308" s="68" t="n"/>
    </row>
    <row r="309" ht="18" customFormat="1" customHeight="1" s="75">
      <c r="A309" s="139" t="n"/>
      <c r="B309" s="64" t="n"/>
      <c r="C309" s="115" t="n"/>
      <c r="D309" s="46" t="n"/>
      <c r="E309" s="47" t="n"/>
      <c r="F309" s="48" t="n"/>
      <c r="G309" s="49" t="n"/>
      <c r="H309" s="73" t="n"/>
      <c r="I309" s="49" t="n"/>
      <c r="J309" s="73" t="n"/>
      <c r="K309" s="49" t="n"/>
      <c r="L309" s="73" t="n"/>
      <c r="M309" s="73" t="n"/>
      <c r="N309" s="73" t="n"/>
      <c r="O309" s="50" t="n"/>
      <c r="P309" s="73" t="n"/>
      <c r="Q309" s="73" t="n"/>
      <c r="R309" s="73" t="n"/>
      <c r="S309" s="50" t="n"/>
      <c r="T309" s="73" t="n"/>
      <c r="U309" s="50" t="n"/>
      <c r="V309" s="73" t="n"/>
      <c r="W309" s="50" t="n"/>
      <c r="X309" s="73" t="n"/>
      <c r="Y309" s="50" t="n"/>
      <c r="Z309" s="73" t="n"/>
      <c r="AA309" s="50" t="n"/>
      <c r="AB309" s="73" t="n"/>
      <c r="AC309" s="50" t="n"/>
      <c r="AD309" s="73" t="n"/>
      <c r="AE309" s="73" t="n"/>
      <c r="AF309" s="73" t="n"/>
      <c r="AG309" s="73" t="n"/>
      <c r="AH309" s="73" t="n"/>
      <c r="AI309" s="73" t="n"/>
      <c r="AJ309" s="73" t="n"/>
      <c r="AK309" s="73" t="n"/>
      <c r="AL309" s="73" t="n"/>
      <c r="AM309" s="73" t="n"/>
      <c r="AN309" s="73" t="n"/>
      <c r="AO309" s="73" t="n"/>
      <c r="AP309" s="73" t="n"/>
      <c r="AQ309" s="73" t="n"/>
      <c r="AR309" s="73" t="n"/>
      <c r="AS309" s="73" t="n"/>
      <c r="AT309" s="73" t="n"/>
      <c r="AU309" s="73" t="n"/>
      <c r="AV309" s="73" t="n"/>
      <c r="AW309" s="73" t="n"/>
      <c r="AX309" s="73" t="n"/>
      <c r="AY309" s="73" t="n"/>
      <c r="AZ309" s="73" t="n"/>
      <c r="BA309" s="73" t="n"/>
      <c r="BB309" s="73" t="n"/>
      <c r="BC309" s="73" t="n"/>
      <c r="BD309" s="73" t="n"/>
      <c r="BE309" s="73" t="n"/>
      <c r="BF309" s="73" t="n"/>
      <c r="BG309" s="73" t="n"/>
      <c r="BH309" s="73" t="n"/>
      <c r="BI309" s="73" t="n"/>
      <c r="BJ309" s="73" t="n"/>
      <c r="BK309" s="73" t="n"/>
      <c r="BL309" s="73" t="n"/>
      <c r="BM309" s="73" t="n"/>
      <c r="BN309" s="73" t="n"/>
      <c r="BO309" s="73" t="n"/>
      <c r="BP309" s="73" t="n"/>
      <c r="BQ309" s="195">
        <f>COUNTIF($G309:$BP309,"a")+COUNTIF($G309:$BP309,"r0,a5")/2+COUNTIF($G309:$BP309,"p5,a5")/2</f>
        <v/>
      </c>
      <c r="BR309" s="195">
        <f>COUNTIF($G309:$BP309,"d")+COUNTIF($G309:$BP309,"r0,d5")/2+COUNTIF($G309:$BP309,"p5,d5")/2</f>
        <v/>
      </c>
      <c r="BS309" s="195">
        <f>COUNTIF($G309:$BP309,"b")+COUNTIF($G309:$BP309,"r0,b5")/2+COUNTIF($G309:$BP309,"p5,b5")/2</f>
        <v/>
      </c>
      <c r="BT309" s="195">
        <f>COUNTIF($G309:$BP309,"c")+COUNTIF($G309:$BP309,"r0,c5")/2+COUNTIF($G309:$BP309,"p5,c5")/2</f>
        <v/>
      </c>
      <c r="BU309" s="195">
        <f>COUNTIF($G309:$BP309,"KH")+COUNTIF($G309:$BP309,"TL")+COUNTIF($G309:$BP309,"L")</f>
        <v/>
      </c>
      <c r="BV309" s="202" t="n"/>
      <c r="BW309" s="195">
        <f>COUNTIF($G309:$BP309,"hh")</f>
        <v/>
      </c>
      <c r="BX309" s="195">
        <f>COUNTIF($G309:$BP309,"nt7")</f>
        <v/>
      </c>
      <c r="BY309" s="195">
        <f>COUNTIF($G309:$BP309,"P")+COUNTIF($G309:$BP309,"p5,a5")/2+COUNTIF($G309:$BP309,"p5,b5")/2+COUNTIF($G309:$BP309,"p5,c5")/2+COUNTIF($G309:$BP309,"p5,d5")/2</f>
        <v/>
      </c>
      <c r="BZ309" s="203">
        <f>SUBTOTAL(9,BQ309:BY309)</f>
        <v/>
      </c>
      <c r="CA309" s="54">
        <f>SUM(J309,L309,N309,P309,R309,T309,X309,Z309,AB309,AD309,AF309,AH309,AL309,AN309,AP309,AR309,AT309,AV309,AZ309,BB309,BD309,BF309,BH309,BP309)</f>
        <v/>
      </c>
      <c r="CB309" s="55">
        <f>SUM(H309,V309,AJ309,AX309,BL309)</f>
        <v/>
      </c>
      <c r="CC309" s="56">
        <f>SUM(BJ309,BN309)</f>
        <v/>
      </c>
      <c r="CD309" s="197">
        <f>IF(BZ309&gt;25,4,IF(BZ309&gt;18,3,IF(BZ309&gt;12,2,IF(BZ309&gt;4,1,0))))-BX309-2+1</f>
        <v/>
      </c>
      <c r="CE309" s="49" t="n">
        <v>1</v>
      </c>
      <c r="CF309" s="204">
        <f>CD309*CI309</f>
        <v/>
      </c>
      <c r="CG309" s="198">
        <f>F309-BY309+1</f>
        <v/>
      </c>
      <c r="CH309" s="197">
        <f>CE309*16</f>
        <v/>
      </c>
      <c r="CI309" s="199">
        <f>VLOOKUP(A309,[1]DATA!$A$6:$AI$331,34,0)</f>
        <v/>
      </c>
      <c r="CJ309" s="200">
        <f>VLOOKUP(A309,[2]CHAMCONG!A$7:CI$333,79,0)</f>
        <v/>
      </c>
      <c r="CK309" s="201">
        <f>CJ309-CA309</f>
        <v/>
      </c>
      <c r="CL309" s="68" t="n"/>
      <c r="CM309" s="68" t="n"/>
    </row>
    <row r="310" ht="18" customFormat="1" customHeight="1" s="75">
      <c r="A310" s="139" t="n"/>
      <c r="B310" s="64" t="n"/>
      <c r="C310" s="115" t="n"/>
      <c r="D310" s="46" t="n"/>
      <c r="E310" s="47" t="n"/>
      <c r="F310" s="48" t="n"/>
      <c r="G310" s="49" t="n"/>
      <c r="H310" s="73" t="n"/>
      <c r="I310" s="50" t="n"/>
      <c r="J310" s="73" t="n"/>
      <c r="K310" s="73" t="n"/>
      <c r="L310" s="73" t="n"/>
      <c r="M310" s="73" t="n"/>
      <c r="N310" s="73" t="n"/>
      <c r="O310" s="50" t="n"/>
      <c r="P310" s="73" t="n"/>
      <c r="Q310" s="73" t="n"/>
      <c r="R310" s="73" t="n"/>
      <c r="S310" s="73" t="n"/>
      <c r="T310" s="73" t="n"/>
      <c r="U310" s="73" t="n"/>
      <c r="V310" s="73" t="n"/>
      <c r="W310" s="73" t="n"/>
      <c r="X310" s="73" t="n"/>
      <c r="Y310" s="73" t="n"/>
      <c r="Z310" s="73" t="n"/>
      <c r="AA310" s="73" t="n"/>
      <c r="AB310" s="73" t="n"/>
      <c r="AC310" s="73" t="n"/>
      <c r="AD310" s="73" t="n"/>
      <c r="AE310" s="73" t="n"/>
      <c r="AF310" s="73" t="n"/>
      <c r="AG310" s="73" t="n"/>
      <c r="AH310" s="73" t="n"/>
      <c r="AI310" s="73" t="n"/>
      <c r="AJ310" s="73" t="n"/>
      <c r="AK310" s="73" t="n"/>
      <c r="AL310" s="73" t="n"/>
      <c r="AM310" s="73" t="n"/>
      <c r="AN310" s="73" t="n"/>
      <c r="AO310" s="73" t="n"/>
      <c r="AP310" s="73" t="n"/>
      <c r="AQ310" s="73" t="n"/>
      <c r="AR310" s="73" t="n"/>
      <c r="AS310" s="73" t="n"/>
      <c r="AT310" s="73" t="n"/>
      <c r="AU310" s="73" t="n"/>
      <c r="AV310" s="73" t="n"/>
      <c r="AW310" s="73" t="n"/>
      <c r="AX310" s="73" t="n"/>
      <c r="AY310" s="73" t="n"/>
      <c r="AZ310" s="73" t="n"/>
      <c r="BA310" s="73" t="n"/>
      <c r="BB310" s="73" t="n"/>
      <c r="BC310" s="73" t="n"/>
      <c r="BD310" s="73" t="n"/>
      <c r="BE310" s="73" t="n"/>
      <c r="BF310" s="73" t="n"/>
      <c r="BG310" s="73" t="n"/>
      <c r="BH310" s="73" t="n"/>
      <c r="BI310" s="73" t="n"/>
      <c r="BJ310" s="73" t="n"/>
      <c r="BK310" s="73" t="n"/>
      <c r="BL310" s="73" t="n"/>
      <c r="BM310" s="73" t="n"/>
      <c r="BN310" s="73" t="n"/>
      <c r="BO310" s="73" t="n"/>
      <c r="BP310" s="73" t="n"/>
      <c r="BQ310" s="195">
        <f>COUNTIF($G310:$BP310,"a")+COUNTIF($G310:$BP310,"r0,a5")/2+COUNTIF($G310:$BP310,"p5,a5")/2</f>
        <v/>
      </c>
      <c r="BR310" s="195">
        <f>COUNTIF($G310:$BP310,"d")+COUNTIF($G310:$BP310,"r0,d5")/2+COUNTIF($G310:$BP310,"p5,d5")/2</f>
        <v/>
      </c>
      <c r="BS310" s="195">
        <f>COUNTIF($G310:$BP310,"b")+COUNTIF($G310:$BP310,"r0,b5")/2+COUNTIF($G310:$BP310,"p5,b5")/2</f>
        <v/>
      </c>
      <c r="BT310" s="195">
        <f>COUNTIF($G310:$BP310,"c")+COUNTIF($G310:$BP310,"r0,c5")/2+COUNTIF($G310:$BP310,"p5,c5")/2</f>
        <v/>
      </c>
      <c r="BU310" s="195">
        <f>COUNTIF($G310:$BP310,"KH")+COUNTIF($G310:$BP310,"TL")+COUNTIF($G310:$BP310,"L")</f>
        <v/>
      </c>
      <c r="BV310" s="202" t="n"/>
      <c r="BW310" s="195">
        <f>COUNTIF($G310:$BP310,"hh")</f>
        <v/>
      </c>
      <c r="BX310" s="195">
        <f>COUNTIF($G310:$BP310,"nt7")</f>
        <v/>
      </c>
      <c r="BY310" s="195">
        <f>COUNTIF($G310:$BP310,"P")+COUNTIF($G310:$BP310,"p5,a5")/2+COUNTIF($G310:$BP310,"p5,b5")/2+COUNTIF($G310:$BP310,"p5,c5")/2+COUNTIF($G310:$BP310,"p5,d5")/2</f>
        <v/>
      </c>
      <c r="BZ310" s="203">
        <f>SUBTOTAL(9,BQ310:BY310)</f>
        <v/>
      </c>
      <c r="CA310" s="54">
        <f>SUM(J310,L310,N310,P310,R310,T310,X310,Z310,AB310,AD310,AF310,AH310,AL310,AN310,AP310,AR310,AT310,AV310,AZ310,BB310,BD310,BF310,BH310,BP310)</f>
        <v/>
      </c>
      <c r="CB310" s="55">
        <f>SUM(H310,V310,AJ310,AX310,BL310)</f>
        <v/>
      </c>
      <c r="CC310" s="56">
        <f>SUM(BJ310,BN310)</f>
        <v/>
      </c>
      <c r="CD310" s="197">
        <f>IF(BZ310&gt;25,4,IF(BZ310&gt;18,3,IF(BZ310&gt;12,2,IF(BZ310&gt;4,1,0))))-BX310-2+1</f>
        <v/>
      </c>
      <c r="CE310" s="49" t="n"/>
      <c r="CF310" s="204">
        <f>CD310*CI310</f>
        <v/>
      </c>
      <c r="CG310" s="198" t="n">
        <v>0</v>
      </c>
      <c r="CH310" s="197">
        <f>CE310*16</f>
        <v/>
      </c>
      <c r="CI310" s="199">
        <f>VLOOKUP(A310,[1]DATA!$A$6:$AI$331,34,0)</f>
        <v/>
      </c>
      <c r="CJ310" s="200">
        <f>VLOOKUP(A310,[2]CHAMCONG!A$7:CI$333,79,0)</f>
        <v/>
      </c>
      <c r="CK310" s="201">
        <f>CJ310-CA310</f>
        <v/>
      </c>
      <c r="CL310" s="68" t="n"/>
      <c r="CM310" s="68" t="n"/>
    </row>
    <row r="311" ht="18" customFormat="1" customHeight="1" s="75">
      <c r="A311" s="139" t="n"/>
      <c r="B311" s="64" t="n"/>
      <c r="C311" s="115" t="n"/>
      <c r="D311" s="46" t="n"/>
      <c r="E311" s="47" t="n"/>
      <c r="F311" s="48" t="n"/>
      <c r="G311" s="49" t="n"/>
      <c r="H311" s="73" t="n"/>
      <c r="I311" s="49" t="n"/>
      <c r="J311" s="73" t="n"/>
      <c r="K311" s="49" t="n"/>
      <c r="L311" s="73" t="n"/>
      <c r="M311" s="49" t="n"/>
      <c r="N311" s="73" t="n"/>
      <c r="O311" s="49" t="n"/>
      <c r="P311" s="73" t="n"/>
      <c r="Q311" s="49" t="n"/>
      <c r="R311" s="73" t="n"/>
      <c r="S311" s="49" t="n"/>
      <c r="T311" s="73" t="n"/>
      <c r="U311" s="49" t="n"/>
      <c r="V311" s="73" t="n"/>
      <c r="W311" s="49" t="n"/>
      <c r="X311" s="73" t="n"/>
      <c r="Y311" s="49" t="n"/>
      <c r="Z311" s="73" t="n"/>
      <c r="AA311" s="49" t="n"/>
      <c r="AB311" s="73" t="n"/>
      <c r="AC311" s="49" t="n"/>
      <c r="AD311" s="73" t="n"/>
      <c r="AE311" s="73" t="n"/>
      <c r="AF311" s="73" t="n"/>
      <c r="AG311" s="73" t="n"/>
      <c r="AH311" s="73" t="n"/>
      <c r="AI311" s="73" t="n"/>
      <c r="AJ311" s="73" t="n"/>
      <c r="AK311" s="73" t="n"/>
      <c r="AL311" s="73" t="n"/>
      <c r="AM311" s="73" t="n"/>
      <c r="AN311" s="73" t="n"/>
      <c r="AO311" s="73" t="n"/>
      <c r="AP311" s="73" t="n"/>
      <c r="AQ311" s="49" t="n"/>
      <c r="AR311" s="73" t="n"/>
      <c r="AS311" s="49" t="n"/>
      <c r="AT311" s="49" t="n"/>
      <c r="AU311" s="49" t="n"/>
      <c r="AV311" s="73" t="n"/>
      <c r="AW311" s="73" t="n"/>
      <c r="AX311" s="73" t="n"/>
      <c r="AY311" s="73" t="n"/>
      <c r="AZ311" s="73" t="n"/>
      <c r="BA311" s="73" t="n"/>
      <c r="BB311" s="73" t="n"/>
      <c r="BC311" s="73" t="n"/>
      <c r="BD311" s="73" t="n"/>
      <c r="BE311" s="73" t="n"/>
      <c r="BF311" s="73" t="n"/>
      <c r="BG311" s="73" t="n"/>
      <c r="BH311" s="73" t="n"/>
      <c r="BI311" s="73" t="n"/>
      <c r="BJ311" s="73" t="n"/>
      <c r="BK311" s="73" t="n"/>
      <c r="BL311" s="73" t="n"/>
      <c r="BM311" s="73" t="n"/>
      <c r="BN311" s="73" t="n"/>
      <c r="BO311" s="73" t="n"/>
      <c r="BP311" s="73" t="n"/>
      <c r="BQ311" s="195">
        <f>COUNTIF($G311:$BP311,"a")+COUNTIF($G311:$BP311,"r0,a5")/2+COUNTIF($G311:$BP311,"p5,a5")/2</f>
        <v/>
      </c>
      <c r="BR311" s="195">
        <f>COUNTIF($G311:$BP311,"d")+COUNTIF($G311:$BP311,"r0,d5")/2+COUNTIF($G311:$BP311,"p5,d5")/2</f>
        <v/>
      </c>
      <c r="BS311" s="195">
        <f>COUNTIF($G311:$BP311,"b")+COUNTIF($G311:$BP311,"r0,b5")/2+COUNTIF($G311:$BP311,"p5,b5")/2</f>
        <v/>
      </c>
      <c r="BT311" s="195">
        <f>COUNTIF($G311:$BP311,"c")+COUNTIF($G311:$BP311,"r0,c5")/2+COUNTIF($G311:$BP311,"p5,c5")/2</f>
        <v/>
      </c>
      <c r="BU311" s="195">
        <f>COUNTIF($G311:$BP311,"KH")+COUNTIF($G311:$BP311,"TL")+COUNTIF($G311:$BP311,"L")</f>
        <v/>
      </c>
      <c r="BV311" s="202" t="n"/>
      <c r="BW311" s="195">
        <f>COUNTIF($G311:$BP311,"hh")</f>
        <v/>
      </c>
      <c r="BX311" s="195">
        <f>COUNTIF($G311:$BP311,"nt7")</f>
        <v/>
      </c>
      <c r="BY311" s="195">
        <f>COUNTIF($G311:$BP311,"P")+COUNTIF($G311:$BP311,"p5,a5")/2+COUNTIF($G311:$BP311,"p5,b5")/2+COUNTIF($G311:$BP311,"p5,c5")/2+COUNTIF($G311:$BP311,"p5,d5")/2</f>
        <v/>
      </c>
      <c r="BZ311" s="203">
        <f>SUBTOTAL(9,BQ311:BY311)</f>
        <v/>
      </c>
      <c r="CA311" s="54">
        <f>SUM(J311,L311,N311,P311,R311,T311,X311,Z311,AB311,AD311,AF311,AH311,AL311,AN311,AP311,AR311,AT311,AV311,AZ311,BB311,BD311,BF311,BH311,BP311)</f>
        <v/>
      </c>
      <c r="CB311" s="55">
        <f>SUM(H311,V311,AJ311,AX311,BL311)</f>
        <v/>
      </c>
      <c r="CC311" s="56">
        <f>SUM(BJ311,BN311)</f>
        <v/>
      </c>
      <c r="CD311" s="197">
        <f>IF(BZ311&gt;25,4,IF(BZ311&gt;18,3,IF(BZ311&gt;12,2,IF(BZ311&gt;4,1,0))))-BX311-2+1</f>
        <v/>
      </c>
      <c r="CE311" s="49" t="n"/>
      <c r="CF311" s="204">
        <f>CD311*CI311</f>
        <v/>
      </c>
      <c r="CG311" s="198">
        <f>F311-BY311+1</f>
        <v/>
      </c>
      <c r="CH311" s="197">
        <f>CE311*16</f>
        <v/>
      </c>
      <c r="CI311" s="199">
        <f>VLOOKUP(A311,[1]DATA!$A$6:$AI$331,34,0)</f>
        <v/>
      </c>
      <c r="CJ311" s="200">
        <f>VLOOKUP(A311,[2]CHAMCONG!A$7:CI$333,79,0)</f>
        <v/>
      </c>
      <c r="CK311" s="201">
        <f>CJ311-CA311</f>
        <v/>
      </c>
      <c r="CL311" s="68" t="n"/>
      <c r="CM311" s="68" t="n"/>
    </row>
    <row r="312" ht="18" customFormat="1" customHeight="1" s="75">
      <c r="A312" s="139" t="n"/>
      <c r="B312" s="64" t="n"/>
      <c r="C312" s="115" t="n"/>
      <c r="D312" s="46" t="n"/>
      <c r="E312" s="47" t="n"/>
      <c r="F312" s="48" t="n"/>
      <c r="G312" s="49" t="n"/>
      <c r="H312" s="73" t="n"/>
      <c r="I312" s="73" t="n"/>
      <c r="J312" s="73" t="n"/>
      <c r="K312" s="73" t="n"/>
      <c r="L312" s="73" t="n"/>
      <c r="M312" s="73" t="n"/>
      <c r="N312" s="73" t="n"/>
      <c r="O312" s="73" t="n"/>
      <c r="P312" s="73" t="n"/>
      <c r="Q312" s="73" t="n"/>
      <c r="R312" s="73" t="n"/>
      <c r="S312" s="50" t="n"/>
      <c r="T312" s="73" t="n"/>
      <c r="U312" s="50" t="n"/>
      <c r="V312" s="73" t="n"/>
      <c r="W312" s="73" t="n"/>
      <c r="X312" s="73" t="n"/>
      <c r="Y312" s="73" t="n"/>
      <c r="Z312" s="73" t="n"/>
      <c r="AA312" s="50" t="n"/>
      <c r="AB312" s="73" t="n"/>
      <c r="AC312" s="50" t="n"/>
      <c r="AD312" s="73" t="n"/>
      <c r="AE312" s="50" t="n"/>
      <c r="AF312" s="67" t="n"/>
      <c r="AG312" s="50" t="n"/>
      <c r="AH312" s="73" t="n"/>
      <c r="AI312" s="50" t="n"/>
      <c r="AJ312" s="73" t="n"/>
      <c r="AK312" s="73" t="n"/>
      <c r="AL312" s="73" t="n"/>
      <c r="AM312" s="50" t="n"/>
      <c r="AN312" s="73" t="n"/>
      <c r="AO312" s="50" t="n"/>
      <c r="AP312" s="73" t="n"/>
      <c r="AQ312" s="73" t="n"/>
      <c r="AR312" s="73" t="n"/>
      <c r="AS312" s="73" t="n"/>
      <c r="AT312" s="73" t="n"/>
      <c r="AU312" s="73" t="n"/>
      <c r="AV312" s="73" t="n"/>
      <c r="AW312" s="73" t="n"/>
      <c r="AX312" s="73" t="n"/>
      <c r="AY312" s="73" t="n"/>
      <c r="AZ312" s="73" t="n"/>
      <c r="BA312" s="50" t="n"/>
      <c r="BB312" s="73" t="n"/>
      <c r="BC312" s="50" t="n"/>
      <c r="BD312" s="73" t="n"/>
      <c r="BE312" s="50" t="n"/>
      <c r="BF312" s="73" t="n"/>
      <c r="BG312" s="50" t="n"/>
      <c r="BH312" s="67" t="n"/>
      <c r="BI312" s="73" t="n"/>
      <c r="BJ312" s="73" t="n"/>
      <c r="BK312" s="73" t="n"/>
      <c r="BL312" s="73" t="n"/>
      <c r="BM312" s="73" t="n"/>
      <c r="BN312" s="73" t="n"/>
      <c r="BO312" s="73" t="n"/>
      <c r="BP312" s="73" t="n"/>
      <c r="BQ312" s="195">
        <f>COUNTIF($G312:$BP312,"a")+COUNTIF($G312:$BP312,"r0,a5")/2+COUNTIF($G312:$BP312,"p5,a5")/2</f>
        <v/>
      </c>
      <c r="BR312" s="195">
        <f>COUNTIF($G312:$BP312,"d")+COUNTIF($G312:$BP312,"r0,d5")/2+COUNTIF($G312:$BP312,"p5,d5")/2</f>
        <v/>
      </c>
      <c r="BS312" s="195">
        <f>COUNTIF($G312:$BP312,"b")+COUNTIF($G312:$BP312,"r0,b5")/2+COUNTIF($G312:$BP312,"p5,b5")/2</f>
        <v/>
      </c>
      <c r="BT312" s="195">
        <f>COUNTIF($G312:$BP312,"c")+COUNTIF($G312:$BP312,"r0,c5")/2+COUNTIF($G312:$BP312,"p5,c5")/2</f>
        <v/>
      </c>
      <c r="BU312" s="195">
        <f>COUNTIF($G312:$BP312,"KH")+COUNTIF($G312:$BP312,"TL")+COUNTIF($G312:$BP312,"L")</f>
        <v/>
      </c>
      <c r="BV312" s="202" t="n"/>
      <c r="BW312" s="195">
        <f>COUNTIF($G312:$BP312,"hh")</f>
        <v/>
      </c>
      <c r="BX312" s="195">
        <f>COUNTIF($G312:$BP312,"nt7")</f>
        <v/>
      </c>
      <c r="BY312" s="195">
        <f>COUNTIF($G312:$BP312,"P")+COUNTIF($G312:$BP312,"p5,a5")/2+COUNTIF($G312:$BP312,"p5,b5")/2+COUNTIF($G312:$BP312,"p5,c5")/2+COUNTIF($G312:$BP312,"p5,d5")/2</f>
        <v/>
      </c>
      <c r="BZ312" s="203">
        <f>SUBTOTAL(9,BQ312:BY312)</f>
        <v/>
      </c>
      <c r="CA312" s="54">
        <f>SUM(J312,L312,N312,P312,R312,T312,X312,Z312,AB312,AD312,AF312,AH312,AL312,AN312,AP312,AR312,AT312,AV312,AZ312,BB312,BD312,BF312,BH312,BP312)</f>
        <v/>
      </c>
      <c r="CB312" s="55">
        <f>SUM(H312,V312,AJ312,AX312,BL312)</f>
        <v/>
      </c>
      <c r="CC312" s="56">
        <f>SUM(BJ312,BN312)</f>
        <v/>
      </c>
      <c r="CD312" s="197">
        <f>IF(BZ312&gt;25,4,IF(BZ312&gt;18,3,IF(BZ312&gt;12,2,IF(BZ312&gt;4,1,0))))-BX312-2+1</f>
        <v/>
      </c>
      <c r="CE312" s="49" t="n"/>
      <c r="CF312" s="204">
        <f>CD312*CI312</f>
        <v/>
      </c>
      <c r="CG312" s="198" t="n">
        <v>0</v>
      </c>
      <c r="CH312" s="197">
        <f>CE312*16</f>
        <v/>
      </c>
      <c r="CI312" s="199">
        <f>VLOOKUP(A312,[1]DATA!$A$6:$AI$331,34,0)</f>
        <v/>
      </c>
      <c r="CJ312" s="200">
        <f>VLOOKUP(A312,[2]CHAMCONG!A$7:CI$333,79,0)</f>
        <v/>
      </c>
      <c r="CK312" s="201">
        <f>CJ312-CA312</f>
        <v/>
      </c>
      <c r="CL312" s="68" t="n"/>
      <c r="CM312" s="68" t="n"/>
    </row>
    <row r="313" ht="18" customFormat="1" customHeight="1" s="75">
      <c r="A313" s="139" t="n"/>
      <c r="B313" s="64" t="n"/>
      <c r="C313" s="115" t="n"/>
      <c r="D313" s="46" t="n"/>
      <c r="E313" s="47" t="n"/>
      <c r="F313" s="48" t="n"/>
      <c r="G313" s="49" t="n"/>
      <c r="H313" s="73" t="n"/>
      <c r="I313" s="49" t="n"/>
      <c r="J313" s="73" t="n"/>
      <c r="K313" s="49" t="n"/>
      <c r="L313" s="73" t="n"/>
      <c r="M313" s="49" t="n"/>
      <c r="N313" s="73" t="n"/>
      <c r="O313" s="49" t="n"/>
      <c r="P313" s="73" t="n"/>
      <c r="Q313" s="49" t="n"/>
      <c r="R313" s="73" t="n"/>
      <c r="S313" s="73" t="n"/>
      <c r="T313" s="73" t="n"/>
      <c r="U313" s="73" t="n"/>
      <c r="V313" s="73" t="n"/>
      <c r="W313" s="73" t="n"/>
      <c r="X313" s="73" t="n"/>
      <c r="Y313" s="73" t="n"/>
      <c r="Z313" s="73" t="n"/>
      <c r="AA313" s="73" t="n"/>
      <c r="AB313" s="73" t="n"/>
      <c r="AC313" s="73" t="n"/>
      <c r="AD313" s="73" t="n"/>
      <c r="AE313" s="49" t="n"/>
      <c r="AF313" s="73" t="n"/>
      <c r="AG313" s="73" t="n"/>
      <c r="AH313" s="73" t="n"/>
      <c r="AI313" s="73" t="n"/>
      <c r="AJ313" s="73" t="n"/>
      <c r="AK313" s="73" t="n"/>
      <c r="AL313" s="73" t="n"/>
      <c r="AM313" s="73" t="n"/>
      <c r="AN313" s="73" t="n"/>
      <c r="AO313" s="73" t="n"/>
      <c r="AP313" s="73" t="n"/>
      <c r="AQ313" s="73" t="n"/>
      <c r="AR313" s="73" t="n"/>
      <c r="AS313" s="73" t="n"/>
      <c r="AT313" s="73" t="n"/>
      <c r="AU313" s="73" t="n"/>
      <c r="AV313" s="73" t="n"/>
      <c r="AW313" s="50" t="n"/>
      <c r="AX313" s="73" t="n"/>
      <c r="AY313" s="50" t="n"/>
      <c r="AZ313" s="73" t="n"/>
      <c r="BA313" s="50" t="n"/>
      <c r="BB313" s="73" t="n"/>
      <c r="BC313" s="50" t="n"/>
      <c r="BD313" s="73" t="n"/>
      <c r="BE313" s="50" t="n"/>
      <c r="BF313" s="73" t="n"/>
      <c r="BG313" s="50" t="n"/>
      <c r="BH313" s="67" t="n"/>
      <c r="BI313" s="49" t="n"/>
      <c r="BJ313" s="73" t="n"/>
      <c r="BK313" s="49" t="n"/>
      <c r="BL313" s="73" t="n"/>
      <c r="BM313" s="49" t="n"/>
      <c r="BN313" s="73" t="n"/>
      <c r="BO313" s="49" t="n"/>
      <c r="BP313" s="73" t="n"/>
      <c r="BQ313" s="195">
        <f>COUNTIF($G313:$BP313,"a")+COUNTIF($G313:$BP313,"r0,a5")/2+COUNTIF($G313:$BP313,"p5,a5")/2</f>
        <v/>
      </c>
      <c r="BR313" s="195">
        <f>COUNTIF($G313:$BP313,"d")+COUNTIF($G313:$BP313,"r0,d5")/2+COUNTIF($G313:$BP313,"p5,d5")/2</f>
        <v/>
      </c>
      <c r="BS313" s="195">
        <f>COUNTIF($G313:$BP313,"b")+COUNTIF($G313:$BP313,"r0,b5")/2+COUNTIF($G313:$BP313,"p5,b5")/2</f>
        <v/>
      </c>
      <c r="BT313" s="195">
        <f>COUNTIF($G313:$BP313,"c")+COUNTIF($G313:$BP313,"r0,c5")/2+COUNTIF($G313:$BP313,"p5,c5")/2</f>
        <v/>
      </c>
      <c r="BU313" s="195">
        <f>COUNTIF($G313:$BP313,"KH")+COUNTIF($G313:$BP313,"TL")+COUNTIF($G313:$BP313,"L")</f>
        <v/>
      </c>
      <c r="BV313" s="202" t="n"/>
      <c r="BW313" s="195">
        <f>COUNTIF($G313:$BP313,"hh")</f>
        <v/>
      </c>
      <c r="BX313" s="195">
        <f>COUNTIF($G313:$BP313,"nt7")</f>
        <v/>
      </c>
      <c r="BY313" s="195">
        <f>COUNTIF($G313:$BP313,"P")+COUNTIF($G313:$BP313,"p5,a5")/2+COUNTIF($G313:$BP313,"p5,b5")/2+COUNTIF($G313:$BP313,"p5,c5")/2+COUNTIF($G313:$BP313,"p5,d5")/2</f>
        <v/>
      </c>
      <c r="BZ313" s="203">
        <f>SUBTOTAL(9,BQ313:BY313)</f>
        <v/>
      </c>
      <c r="CA313" s="54">
        <f>SUM(J313,L313,N313,P313,R313,T313,X313,Z313,AB313,AD313,AF313,AH313,AL313,AN313,AP313,AR313,AT313,AV313,AZ313,BB313,BD313,BF313,BH313,BP313)</f>
        <v/>
      </c>
      <c r="CB313" s="55">
        <f>SUM(H313,V313,AJ313,AX313,BL313)</f>
        <v/>
      </c>
      <c r="CC313" s="56">
        <f>SUM(BJ313,BN313)</f>
        <v/>
      </c>
      <c r="CD313" s="197">
        <f>IF(BZ313&gt;25,4,IF(BZ313&gt;18,3,IF(BZ313&gt;12,2,IF(BZ313&gt;4,1,0))))-BX313-2+1</f>
        <v/>
      </c>
      <c r="CE313" s="49" t="n"/>
      <c r="CF313" s="204">
        <f>CD313*CI313</f>
        <v/>
      </c>
      <c r="CG313" s="198" t="n">
        <v>0</v>
      </c>
      <c r="CH313" s="197">
        <f>CE313*16</f>
        <v/>
      </c>
      <c r="CI313" s="199">
        <f>VLOOKUP(A313,[1]DATA!$A$6:$AI$331,34,0)</f>
        <v/>
      </c>
      <c r="CJ313" s="200">
        <f>VLOOKUP(A313,[2]CHAMCONG!A$7:CI$333,79,0)</f>
        <v/>
      </c>
      <c r="CK313" s="201">
        <f>CJ313-CA313</f>
        <v/>
      </c>
      <c r="CL313" s="68" t="n"/>
      <c r="CM313" s="68" t="n"/>
    </row>
    <row r="314" ht="18" customFormat="1" customHeight="1" s="75">
      <c r="A314" s="139" t="n"/>
      <c r="B314" s="64" t="n"/>
      <c r="C314" s="115" t="n"/>
      <c r="D314" s="46" t="n"/>
      <c r="E314" s="47" t="n"/>
      <c r="F314" s="48" t="n"/>
      <c r="G314" s="49" t="n"/>
      <c r="H314" s="73" t="n"/>
      <c r="I314" s="50" t="n"/>
      <c r="J314" s="73" t="n"/>
      <c r="K314" s="73" t="n"/>
      <c r="L314" s="73" t="n"/>
      <c r="M314" s="73" t="n"/>
      <c r="N314" s="73" t="n"/>
      <c r="O314" s="50" t="n"/>
      <c r="P314" s="73" t="n"/>
      <c r="Q314" s="73" t="n"/>
      <c r="R314" s="73" t="n"/>
      <c r="S314" s="73" t="n"/>
      <c r="T314" s="73" t="n"/>
      <c r="U314" s="49" t="n"/>
      <c r="V314" s="73" t="n"/>
      <c r="W314" s="50" t="n"/>
      <c r="X314" s="73" t="n"/>
      <c r="Y314" s="73" t="n"/>
      <c r="Z314" s="73" t="n"/>
      <c r="AA314" s="73" t="n"/>
      <c r="AB314" s="73" t="n"/>
      <c r="AC314" s="50" t="n"/>
      <c r="AD314" s="73" t="n"/>
      <c r="AE314" s="73" t="n"/>
      <c r="AF314" s="73" t="n"/>
      <c r="AG314" s="73" t="n"/>
      <c r="AH314" s="73" t="n"/>
      <c r="AI314" s="73" t="n"/>
      <c r="AJ314" s="73" t="n"/>
      <c r="AK314" s="50" t="n"/>
      <c r="AL314" s="73" t="n"/>
      <c r="AM314" s="73" t="n"/>
      <c r="AN314" s="73" t="n"/>
      <c r="AO314" s="73" t="n"/>
      <c r="AP314" s="73" t="n"/>
      <c r="AQ314" s="50" t="n"/>
      <c r="AR314" s="73" t="n"/>
      <c r="AS314" s="73" t="n"/>
      <c r="AT314" s="73" t="n"/>
      <c r="AU314" s="73" t="n"/>
      <c r="AV314" s="73" t="n"/>
      <c r="AW314" s="73" t="n"/>
      <c r="AX314" s="73" t="n"/>
      <c r="AY314" s="50" t="n"/>
      <c r="AZ314" s="73" t="n"/>
      <c r="BA314" s="73" t="n"/>
      <c r="BB314" s="73" t="n"/>
      <c r="BC314" s="73" t="n"/>
      <c r="BD314" s="73" t="n"/>
      <c r="BE314" s="50" t="n"/>
      <c r="BF314" s="73" t="n"/>
      <c r="BG314" s="73" t="n"/>
      <c r="BH314" s="73" t="n"/>
      <c r="BI314" s="73" t="n"/>
      <c r="BJ314" s="73" t="n"/>
      <c r="BK314" s="73" t="n"/>
      <c r="BL314" s="73" t="n"/>
      <c r="BM314" s="73" t="n"/>
      <c r="BN314" s="73" t="n"/>
      <c r="BO314" s="73" t="n"/>
      <c r="BP314" s="73" t="n"/>
      <c r="BQ314" s="195">
        <f>COUNTIF($G314:$BP314,"a")+COUNTIF($G314:$BP314,"r0,a5")/2+COUNTIF($G314:$BP314,"p5,a5")/2</f>
        <v/>
      </c>
      <c r="BR314" s="195">
        <f>COUNTIF($G314:$BP314,"d")+COUNTIF($G314:$BP314,"r0,d5")/2+COUNTIF($G314:$BP314,"p5,d5")/2</f>
        <v/>
      </c>
      <c r="BS314" s="195">
        <f>COUNTIF($G314:$BP314,"b")+COUNTIF($G314:$BP314,"r0,b5")/2+COUNTIF($G314:$BP314,"p5,b5")/2</f>
        <v/>
      </c>
      <c r="BT314" s="195">
        <f>COUNTIF($G314:$BP314,"c")+COUNTIF($G314:$BP314,"r0,c5")/2+COUNTIF($G314:$BP314,"p5,c5")/2</f>
        <v/>
      </c>
      <c r="BU314" s="195">
        <f>COUNTIF($G314:$BP314,"KH")+COUNTIF($G314:$BP314,"TL")+COUNTIF($G314:$BP314,"L")</f>
        <v/>
      </c>
      <c r="BV314" s="202" t="n"/>
      <c r="BW314" s="195">
        <f>COUNTIF($G314:$BP314,"hh")</f>
        <v/>
      </c>
      <c r="BX314" s="195">
        <f>COUNTIF($G314:$BP314,"nt7")</f>
        <v/>
      </c>
      <c r="BY314" s="195">
        <f>COUNTIF($G314:$BP314,"P")+COUNTIF($G314:$BP314,"p5,a5")/2+COUNTIF($G314:$BP314,"p5,b5")/2+COUNTIF($G314:$BP314,"p5,c5")/2+COUNTIF($G314:$BP314,"p5,d5")/2</f>
        <v/>
      </c>
      <c r="BZ314" s="203">
        <f>SUBTOTAL(9,BQ314:BY314)</f>
        <v/>
      </c>
      <c r="CA314" s="54">
        <f>SUM(J314,L314,N314,P314,R314,T314,X314,Z314,AB314,AD314,AF314,AH314,AL314,AN314,AP314,AR314,AT314,AV314,AZ314,BB314,BD314,BF314,BH314,BP314)</f>
        <v/>
      </c>
      <c r="CB314" s="55">
        <f>SUM(H314,V314,AJ314,AX314,BL314)</f>
        <v/>
      </c>
      <c r="CC314" s="56">
        <f>SUM(BJ314,BN314)</f>
        <v/>
      </c>
      <c r="CD314" s="197">
        <f>IF(BZ314&gt;25,4,IF(BZ314&gt;18,3,IF(BZ314&gt;12,2,IF(BZ314&gt;4,1,0))))-BX314-2+1</f>
        <v/>
      </c>
      <c r="CE314" s="49" t="n"/>
      <c r="CF314" s="204">
        <f>CD314*CI314</f>
        <v/>
      </c>
      <c r="CG314" s="198" t="n">
        <v>0</v>
      </c>
      <c r="CH314" s="197">
        <f>CE314*16</f>
        <v/>
      </c>
      <c r="CI314" s="199">
        <f>VLOOKUP(A314,[1]DATA!$A$6:$AI$331,34,0)</f>
        <v/>
      </c>
      <c r="CJ314" s="200">
        <f>VLOOKUP(A314,[2]CHAMCONG!A$7:CI$333,79,0)</f>
        <v/>
      </c>
      <c r="CK314" s="201">
        <f>CJ314-CA314</f>
        <v/>
      </c>
      <c r="CL314" s="68" t="n"/>
      <c r="CM314" s="68" t="n"/>
    </row>
    <row r="315" ht="18" customFormat="1" customHeight="1" s="75">
      <c r="A315" s="139" t="n"/>
      <c r="B315" s="64" t="n"/>
      <c r="C315" s="115" t="n"/>
      <c r="D315" s="46" t="n"/>
      <c r="E315" s="47" t="n"/>
      <c r="F315" s="48" t="n"/>
      <c r="G315" s="49" t="n"/>
      <c r="H315" s="73" t="n"/>
      <c r="I315" s="50" t="n"/>
      <c r="J315" s="73" t="n"/>
      <c r="K315" s="50" t="n"/>
      <c r="L315" s="73" t="n"/>
      <c r="M315" s="50" t="n"/>
      <c r="N315" s="73" t="n"/>
      <c r="O315" s="50" t="n"/>
      <c r="P315" s="73" t="n"/>
      <c r="Q315" s="49" t="n"/>
      <c r="R315" s="73" t="n"/>
      <c r="S315" s="50" t="n"/>
      <c r="T315" s="73" t="n"/>
      <c r="U315" s="50" t="n"/>
      <c r="V315" s="73" t="n"/>
      <c r="W315" s="50" t="n"/>
      <c r="X315" s="73" t="n"/>
      <c r="Y315" s="50" t="n"/>
      <c r="Z315" s="73" t="n"/>
      <c r="AA315" s="50" t="n"/>
      <c r="AB315" s="73" t="n"/>
      <c r="AC315" s="50" t="n"/>
      <c r="AD315" s="73" t="n"/>
      <c r="AE315" s="49" t="n"/>
      <c r="AF315" s="73" t="n"/>
      <c r="AG315" s="50" t="n"/>
      <c r="AH315" s="73" t="n"/>
      <c r="AI315" s="50" t="n"/>
      <c r="AJ315" s="73" t="n"/>
      <c r="AK315" s="50" t="n"/>
      <c r="AL315" s="73" t="n"/>
      <c r="AM315" s="50" t="n"/>
      <c r="AN315" s="73" t="n"/>
      <c r="AO315" s="50" t="n"/>
      <c r="AP315" s="73" t="n"/>
      <c r="AQ315" s="49" t="n"/>
      <c r="AR315" s="73" t="n"/>
      <c r="AS315" s="49" t="n"/>
      <c r="AT315" s="73" t="n"/>
      <c r="AU315" s="49" t="n"/>
      <c r="AV315" s="73" t="n"/>
      <c r="AW315" s="73" t="n"/>
      <c r="AX315" s="73" t="n"/>
      <c r="AY315" s="49" t="n"/>
      <c r="AZ315" s="73" t="n"/>
      <c r="BA315" s="49" t="n"/>
      <c r="BB315" s="73" t="n"/>
      <c r="BC315" s="49" t="n"/>
      <c r="BD315" s="73" t="n"/>
      <c r="BE315" s="49" t="n"/>
      <c r="BF315" s="73" t="n"/>
      <c r="BG315" s="49" t="n"/>
      <c r="BH315" s="73" t="n"/>
      <c r="BI315" s="73" t="n"/>
      <c r="BJ315" s="73" t="n"/>
      <c r="BK315" s="73" t="n"/>
      <c r="BL315" s="73" t="n"/>
      <c r="BM315" s="73" t="n"/>
      <c r="BN315" s="73" t="n"/>
      <c r="BO315" s="73" t="n"/>
      <c r="BP315" s="73" t="n"/>
      <c r="BQ315" s="195">
        <f>COUNTIF($G315:$BP315,"a")+COUNTIF($G315:$BP315,"r0,a5")/2+COUNTIF($G315:$BP315,"p5,a5")/2</f>
        <v/>
      </c>
      <c r="BR315" s="195">
        <f>COUNTIF($G315:$BP315,"d")+COUNTIF($G315:$BP315,"r0,d5")/2+COUNTIF($G315:$BP315,"p5,d5")/2</f>
        <v/>
      </c>
      <c r="BS315" s="195">
        <f>COUNTIF($G315:$BP315,"b")+COUNTIF($G315:$BP315,"r0,b5")/2+COUNTIF($G315:$BP315,"p5,b5")/2</f>
        <v/>
      </c>
      <c r="BT315" s="195">
        <f>COUNTIF($G315:$BP315,"c")+COUNTIF($G315:$BP315,"r0,c5")/2+COUNTIF($G315:$BP315,"p5,c5")/2</f>
        <v/>
      </c>
      <c r="BU315" s="195">
        <f>COUNTIF($G315:$BP315,"KH")+COUNTIF($G315:$BP315,"TL")+COUNTIF($G315:$BP315,"L")</f>
        <v/>
      </c>
      <c r="BV315" s="202" t="n"/>
      <c r="BW315" s="195">
        <f>COUNTIF($G315:$BP315,"hh")</f>
        <v/>
      </c>
      <c r="BX315" s="195">
        <f>COUNTIF($G315:$BP315,"nt7")</f>
        <v/>
      </c>
      <c r="BY315" s="195">
        <f>COUNTIF($G315:$BP315,"P")+COUNTIF($G315:$BP315,"p5,a5")/2+COUNTIF($G315:$BP315,"p5,b5")/2+COUNTIF($G315:$BP315,"p5,c5")/2+COUNTIF($G315:$BP315,"p5,d5")/2</f>
        <v/>
      </c>
      <c r="BZ315" s="203">
        <f>SUBTOTAL(9,BQ315:BY315)</f>
        <v/>
      </c>
      <c r="CA315" s="54">
        <f>SUM(J315,L315,N315,P315,R315,T315,X315,Z315,AB315,AD315,AF315,AH315,AL315,AN315,AP315,AR315,AT315,AV315,AZ315,BB315,BD315,BF315,BH315,BP315)</f>
        <v/>
      </c>
      <c r="CB315" s="55">
        <f>SUM(H315,V315,AJ315,AX315,BL315)</f>
        <v/>
      </c>
      <c r="CC315" s="56">
        <f>SUM(BJ315,BN315)</f>
        <v/>
      </c>
      <c r="CD315" s="197">
        <f>IF(BZ315&gt;25,4,IF(BZ315&gt;18,3,IF(BZ315&gt;12,2,IF(BZ315&gt;4,1,0))))-BX315-2+1</f>
        <v/>
      </c>
      <c r="CE315" s="49" t="n"/>
      <c r="CF315" s="204">
        <f>CD315*CI315</f>
        <v/>
      </c>
      <c r="CG315" s="198" t="n">
        <v>0</v>
      </c>
      <c r="CH315" s="197">
        <f>CE315*16</f>
        <v/>
      </c>
      <c r="CI315" s="199">
        <f>VLOOKUP(A315,[1]DATA!$A$6:$AI$331,34,0)</f>
        <v/>
      </c>
      <c r="CJ315" s="200">
        <f>VLOOKUP(A315,[2]CHAMCONG!A$7:CI$333,79,0)</f>
        <v/>
      </c>
      <c r="CK315" s="201">
        <f>CJ315-CA315</f>
        <v/>
      </c>
      <c r="CL315" s="68" t="n"/>
      <c r="CM315" s="68" t="n"/>
    </row>
    <row r="316" ht="18" customFormat="1" customHeight="1" s="75">
      <c r="A316" s="139" t="n"/>
      <c r="B316" s="64" t="n"/>
      <c r="C316" s="115" t="n"/>
      <c r="D316" s="46" t="n"/>
      <c r="E316" s="47" t="n"/>
      <c r="F316" s="48" t="n"/>
      <c r="G316" s="49" t="n"/>
      <c r="H316" s="73" t="n"/>
      <c r="I316" s="49" t="n"/>
      <c r="J316" s="73" t="n"/>
      <c r="K316" s="49" t="n"/>
      <c r="L316" s="73" t="n"/>
      <c r="M316" s="49" t="n"/>
      <c r="N316" s="73" t="n"/>
      <c r="O316" s="49" t="n"/>
      <c r="P316" s="73" t="n"/>
      <c r="Q316" s="49" t="n"/>
      <c r="R316" s="73" t="n"/>
      <c r="S316" s="49" t="n"/>
      <c r="T316" s="73" t="n"/>
      <c r="U316" s="49" t="n"/>
      <c r="V316" s="73" t="n"/>
      <c r="W316" s="49" t="n"/>
      <c r="X316" s="73" t="n"/>
      <c r="Y316" s="49" t="n"/>
      <c r="Z316" s="73" t="n"/>
      <c r="AA316" s="49" t="n"/>
      <c r="AB316" s="73" t="n"/>
      <c r="AC316" s="49" t="n"/>
      <c r="AD316" s="73" t="n"/>
      <c r="AE316" s="50" t="n"/>
      <c r="AF316" s="67" t="n"/>
      <c r="AG316" s="49" t="n"/>
      <c r="AH316" s="73" t="n"/>
      <c r="AI316" s="49" t="n"/>
      <c r="AJ316" s="73" t="n"/>
      <c r="AK316" s="49" t="n"/>
      <c r="AL316" s="73" t="n"/>
      <c r="AM316" s="49" t="n"/>
      <c r="AN316" s="73" t="n"/>
      <c r="AO316" s="49" t="n"/>
      <c r="AP316" s="73" t="n"/>
      <c r="AQ316" s="73" t="n"/>
      <c r="AR316" s="73" t="n"/>
      <c r="AS316" s="73" t="n"/>
      <c r="AT316" s="73" t="n"/>
      <c r="AU316" s="73" t="n"/>
      <c r="AV316" s="73" t="n"/>
      <c r="AW316" s="73" t="n"/>
      <c r="AX316" s="73" t="n"/>
      <c r="AY316" s="73" t="n"/>
      <c r="AZ316" s="73" t="n"/>
      <c r="BA316" s="73" t="n"/>
      <c r="BB316" s="73" t="n"/>
      <c r="BC316" s="73" t="n"/>
      <c r="BD316" s="73" t="n"/>
      <c r="BE316" s="73" t="n"/>
      <c r="BF316" s="73" t="n"/>
      <c r="BG316" s="73" t="n"/>
      <c r="BH316" s="73" t="n"/>
      <c r="BI316" s="73" t="n"/>
      <c r="BJ316" s="73" t="n"/>
      <c r="BK316" s="73" t="n"/>
      <c r="BL316" s="73" t="n"/>
      <c r="BM316" s="73" t="n"/>
      <c r="BN316" s="73" t="n"/>
      <c r="BO316" s="73" t="n"/>
      <c r="BP316" s="73" t="n"/>
      <c r="BQ316" s="195">
        <f>COUNTIF($G316:$BP316,"a")+COUNTIF($G316:$BP316,"r0,a5")/2+COUNTIF($G316:$BP316,"p5,a5")/2</f>
        <v/>
      </c>
      <c r="BR316" s="195">
        <f>COUNTIF($G316:$BP316,"d")+COUNTIF($G316:$BP316,"r0,d5")/2+COUNTIF($G316:$BP316,"p5,d5")/2</f>
        <v/>
      </c>
      <c r="BS316" s="195">
        <f>COUNTIF($G316:$BP316,"b")+COUNTIF($G316:$BP316,"r0,b5")/2+COUNTIF($G316:$BP316,"p5,b5")/2</f>
        <v/>
      </c>
      <c r="BT316" s="195">
        <f>COUNTIF($G316:$BP316,"c")+COUNTIF($G316:$BP316,"r0,c5")/2+COUNTIF($G316:$BP316,"p5,c5")/2</f>
        <v/>
      </c>
      <c r="BU316" s="195">
        <f>COUNTIF($G316:$BP316,"KH")+COUNTIF($G316:$BP316,"TL")+COUNTIF($G316:$BP316,"L")</f>
        <v/>
      </c>
      <c r="BV316" s="202" t="n"/>
      <c r="BW316" s="195">
        <f>COUNTIF($G316:$BP316,"hh")</f>
        <v/>
      </c>
      <c r="BX316" s="195">
        <f>COUNTIF($G316:$BP316,"nt7")</f>
        <v/>
      </c>
      <c r="BY316" s="195">
        <f>COUNTIF($G316:$BP316,"P")+COUNTIF($G316:$BP316,"p5,a5")/2+COUNTIF($G316:$BP316,"p5,b5")/2+COUNTIF($G316:$BP316,"p5,c5")/2+COUNTIF($G316:$BP316,"p5,d5")/2</f>
        <v/>
      </c>
      <c r="BZ316" s="203">
        <f>SUBTOTAL(9,BQ316:BY316)</f>
        <v/>
      </c>
      <c r="CA316" s="54">
        <f>SUM(J316,L316,N316,P316,R316,T316,X316,Z316,AB316,AD316,AF316,AH316,AL316,AN316,AP316,AR316,AT316,AV316,AZ316,BB316,BD316,BF316,BH316,BP316)</f>
        <v/>
      </c>
      <c r="CB316" s="55">
        <f>SUM(H316,V316,AJ316,AX316,BL316)</f>
        <v/>
      </c>
      <c r="CC316" s="56">
        <f>SUM(BJ316,BN316)</f>
        <v/>
      </c>
      <c r="CD316" s="197">
        <f>IF(BZ316&gt;25,4,IF(BZ316&gt;18,3,IF(BZ316&gt;12,2,IF(BZ316&gt;4,1,0))))-BX316-2+1</f>
        <v/>
      </c>
      <c r="CE316" s="49" t="n"/>
      <c r="CF316" s="204">
        <f>CD316*CI316</f>
        <v/>
      </c>
      <c r="CG316" s="198">
        <f>F316-BY316+1</f>
        <v/>
      </c>
      <c r="CH316" s="197">
        <f>CE316*16</f>
        <v/>
      </c>
      <c r="CI316" s="199">
        <f>VLOOKUP(A316,[1]DATA!$A$6:$AI$331,34,0)</f>
        <v/>
      </c>
      <c r="CJ316" s="200">
        <f>VLOOKUP(A316,[2]CHAMCONG!A$7:CI$333,79,0)</f>
        <v/>
      </c>
      <c r="CK316" s="201">
        <f>CJ316-CA316</f>
        <v/>
      </c>
      <c r="CL316" s="68" t="n"/>
      <c r="CM316" s="68" t="n"/>
    </row>
    <row r="317" ht="18" customFormat="1" customHeight="1" s="75">
      <c r="A317" s="139" t="n"/>
      <c r="B317" s="64" t="n"/>
      <c r="C317" s="115" t="n"/>
      <c r="D317" s="46" t="n"/>
      <c r="E317" s="47" t="n"/>
      <c r="F317" s="48" t="n"/>
      <c r="G317" s="49" t="n"/>
      <c r="H317" s="73" t="n"/>
      <c r="I317" s="49" t="n"/>
      <c r="J317" s="73" t="n"/>
      <c r="K317" s="49" t="n"/>
      <c r="L317" s="73" t="n"/>
      <c r="M317" s="49" t="n"/>
      <c r="N317" s="73" t="n"/>
      <c r="O317" s="49" t="n"/>
      <c r="P317" s="73" t="n"/>
      <c r="Q317" s="49" t="n"/>
      <c r="R317" s="49" t="n"/>
      <c r="S317" s="49" t="n"/>
      <c r="T317" s="73" t="n"/>
      <c r="U317" s="73" t="n"/>
      <c r="V317" s="73" t="n"/>
      <c r="W317" s="73" t="n"/>
      <c r="X317" s="73" t="n"/>
      <c r="Y317" s="73" t="n"/>
      <c r="Z317" s="73" t="n"/>
      <c r="AA317" s="73" t="n"/>
      <c r="AB317" s="73" t="n"/>
      <c r="AC317" s="73" t="n"/>
      <c r="AD317" s="73" t="n"/>
      <c r="AE317" s="73" t="n"/>
      <c r="AF317" s="73" t="n"/>
      <c r="AG317" s="73" t="n"/>
      <c r="AH317" s="73" t="n"/>
      <c r="AI317" s="73" t="n"/>
      <c r="AJ317" s="73" t="n"/>
      <c r="AK317" s="49" t="n"/>
      <c r="AL317" s="73" t="n"/>
      <c r="AM317" s="49" t="n"/>
      <c r="AN317" s="73" t="n"/>
      <c r="AO317" s="49" t="n"/>
      <c r="AP317" s="73" t="n"/>
      <c r="AQ317" s="49" t="n"/>
      <c r="AR317" s="73" t="n"/>
      <c r="AS317" s="49" t="n"/>
      <c r="AT317" s="49" t="n"/>
      <c r="AU317" s="49" t="n"/>
      <c r="AV317" s="73" t="n"/>
      <c r="AW317" s="50" t="n"/>
      <c r="AX317" s="73" t="n"/>
      <c r="AY317" s="49" t="n"/>
      <c r="AZ317" s="73" t="n"/>
      <c r="BA317" s="49" t="n"/>
      <c r="BB317" s="73" t="n"/>
      <c r="BC317" s="49" t="n"/>
      <c r="BD317" s="73" t="n"/>
      <c r="BE317" s="73" t="n"/>
      <c r="BF317" s="73" t="n"/>
      <c r="BG317" s="73" t="n"/>
      <c r="BH317" s="73" t="n"/>
      <c r="BI317" s="73" t="n"/>
      <c r="BJ317" s="73" t="n"/>
      <c r="BK317" s="73" t="n"/>
      <c r="BL317" s="73" t="n"/>
      <c r="BM317" s="73" t="n"/>
      <c r="BN317" s="73" t="n"/>
      <c r="BO317" s="73" t="n"/>
      <c r="BP317" s="73" t="n"/>
      <c r="BQ317" s="195">
        <f>COUNTIF($G317:$BP317,"a")+COUNTIF($G317:$BP317,"r0,a5")/2+COUNTIF($G317:$BP317,"p5,a5")/2</f>
        <v/>
      </c>
      <c r="BR317" s="195">
        <f>COUNTIF($G317:$BP317,"d")+COUNTIF($G317:$BP317,"r0,d5")/2+COUNTIF($G317:$BP317,"p5,d5")/2</f>
        <v/>
      </c>
      <c r="BS317" s="195">
        <f>COUNTIF($G317:$BP317,"b")+COUNTIF($G317:$BP317,"r0,b5")/2+COUNTIF($G317:$BP317,"p5,b5")/2</f>
        <v/>
      </c>
      <c r="BT317" s="195">
        <f>COUNTIF($G317:$BP317,"c")+COUNTIF($G317:$BP317,"r0,c5")/2+COUNTIF($G317:$BP317,"p5,c5")/2</f>
        <v/>
      </c>
      <c r="BU317" s="195">
        <f>COUNTIF($G317:$BP317,"KH")+COUNTIF($G317:$BP317,"TL")+COUNTIF($G317:$BP317,"L")</f>
        <v/>
      </c>
      <c r="BV317" s="202" t="n"/>
      <c r="BW317" s="195">
        <f>COUNTIF($G317:$BP317,"hh")</f>
        <v/>
      </c>
      <c r="BX317" s="195">
        <f>COUNTIF($G317:$BP317,"nt7")</f>
        <v/>
      </c>
      <c r="BY317" s="195">
        <f>COUNTIF($G317:$BP317,"P")+COUNTIF($G317:$BP317,"p5,a5")/2+COUNTIF($G317:$BP317,"p5,b5")/2+COUNTIF($G317:$BP317,"p5,c5")/2+COUNTIF($G317:$BP317,"p5,d5")/2</f>
        <v/>
      </c>
      <c r="BZ317" s="203">
        <f>SUBTOTAL(9,BQ317:BY317)</f>
        <v/>
      </c>
      <c r="CA317" s="54">
        <f>SUM(J317,L317,N317,P317,R317,T317,X317,Z317,AB317,AD317,AF317,AH317,AL317,AN317,AP317,AR317,AT317,AV317,AZ317,BB317,BD317,BF317,BH317,BP317)</f>
        <v/>
      </c>
      <c r="CB317" s="55">
        <f>SUM(H317,V317,AJ317,AX317,BL317)</f>
        <v/>
      </c>
      <c r="CC317" s="56">
        <f>SUM(BJ317,BN317)</f>
        <v/>
      </c>
      <c r="CD317" s="197">
        <f>IF(BZ317&gt;25,4,IF(BZ317&gt;18,3,IF(BZ317&gt;12,2,IF(BZ317&gt;4,1,0))))-BX317-2+1</f>
        <v/>
      </c>
      <c r="CE317" s="49" t="n">
        <v>1</v>
      </c>
      <c r="CF317" s="204">
        <f>CD317*CI317</f>
        <v/>
      </c>
      <c r="CG317" s="198" t="n">
        <v>0</v>
      </c>
      <c r="CH317" s="197">
        <f>CE317*16</f>
        <v/>
      </c>
      <c r="CI317" s="199">
        <f>VLOOKUP(A317,[1]DATA!$A$6:$AI$331,34,0)</f>
        <v/>
      </c>
      <c r="CJ317" s="200">
        <f>VLOOKUP(A317,[2]CHAMCONG!A$7:CI$333,79,0)</f>
        <v/>
      </c>
      <c r="CK317" s="201">
        <f>CJ317-CA317</f>
        <v/>
      </c>
      <c r="CL317" s="68" t="n"/>
      <c r="CM317" s="68" t="n"/>
    </row>
    <row r="318" ht="18" customFormat="1" customHeight="1" s="75">
      <c r="A318" s="139" t="n"/>
      <c r="B318" s="64" t="n"/>
      <c r="C318" s="115" t="n"/>
      <c r="D318" s="46" t="n"/>
      <c r="E318" s="47" t="n"/>
      <c r="F318" s="48" t="n"/>
      <c r="G318" s="49" t="n"/>
      <c r="H318" s="73" t="n"/>
      <c r="I318" s="49" t="n"/>
      <c r="J318" s="73" t="n"/>
      <c r="K318" s="49" t="n"/>
      <c r="L318" s="73" t="n"/>
      <c r="M318" s="73" t="n"/>
      <c r="N318" s="73" t="n"/>
      <c r="O318" s="49" t="n"/>
      <c r="P318" s="73" t="n"/>
      <c r="Q318" s="49" t="n"/>
      <c r="R318" s="73" t="n"/>
      <c r="S318" s="49" t="n"/>
      <c r="T318" s="73" t="n"/>
      <c r="U318" s="49" t="n"/>
      <c r="V318" s="73" t="n"/>
      <c r="W318" s="49" t="n"/>
      <c r="X318" s="73" t="n"/>
      <c r="Y318" s="49" t="n"/>
      <c r="Z318" s="73" t="n"/>
      <c r="AA318" s="73" t="n"/>
      <c r="AB318" s="73" t="n"/>
      <c r="AC318" s="73" t="n"/>
      <c r="AD318" s="73" t="n"/>
      <c r="AE318" s="73" t="n"/>
      <c r="AF318" s="73" t="n"/>
      <c r="AG318" s="73" t="n"/>
      <c r="AH318" s="73" t="n"/>
      <c r="AI318" s="73" t="n"/>
      <c r="AJ318" s="73" t="n"/>
      <c r="AK318" s="73" t="n"/>
      <c r="AL318" s="73" t="n"/>
      <c r="AM318" s="73" t="n"/>
      <c r="AN318" s="73" t="n"/>
      <c r="AO318" s="73" t="n"/>
      <c r="AP318" s="73" t="n"/>
      <c r="AQ318" s="73" t="n"/>
      <c r="AR318" s="73" t="n"/>
      <c r="AS318" s="73" t="n"/>
      <c r="AT318" s="73" t="n"/>
      <c r="AU318" s="73" t="n"/>
      <c r="AV318" s="73" t="n"/>
      <c r="AW318" s="73" t="n"/>
      <c r="AX318" s="73" t="n"/>
      <c r="AY318" s="73" t="n"/>
      <c r="AZ318" s="73" t="n"/>
      <c r="BA318" s="73" t="n"/>
      <c r="BB318" s="73" t="n"/>
      <c r="BC318" s="73" t="n"/>
      <c r="BD318" s="73" t="n"/>
      <c r="BE318" s="73" t="n"/>
      <c r="BF318" s="73" t="n"/>
      <c r="BG318" s="73" t="n"/>
      <c r="BH318" s="73" t="n"/>
      <c r="BI318" s="73" t="n"/>
      <c r="BJ318" s="73" t="n"/>
      <c r="BK318" s="73" t="n"/>
      <c r="BL318" s="73" t="n"/>
      <c r="BM318" s="73" t="n"/>
      <c r="BN318" s="73" t="n"/>
      <c r="BO318" s="73" t="n"/>
      <c r="BP318" s="73" t="n"/>
      <c r="BQ318" s="195">
        <f>COUNTIF($G318:$BP318,"a")+COUNTIF($G318:$BP318,"r0,a5")/2+COUNTIF($G318:$BP318,"p5,a5")/2</f>
        <v/>
      </c>
      <c r="BR318" s="195">
        <f>COUNTIF($G318:$BP318,"d")+COUNTIF($G318:$BP318,"r0,d5")/2+COUNTIF($G318:$BP318,"p5,d5")/2</f>
        <v/>
      </c>
      <c r="BS318" s="195">
        <f>COUNTIF($G318:$BP318,"b")+COUNTIF($G318:$BP318,"r0,b5")/2+COUNTIF($G318:$BP318,"p5,b5")/2</f>
        <v/>
      </c>
      <c r="BT318" s="195">
        <f>COUNTIF($G318:$BP318,"c")+COUNTIF($G318:$BP318,"r0,c5")/2+COUNTIF($G318:$BP318,"p5,c5")/2</f>
        <v/>
      </c>
      <c r="BU318" s="195">
        <f>COUNTIF($G318:$BP318,"KH")+COUNTIF($G318:$BP318,"TL")+COUNTIF($G318:$BP318,"L")</f>
        <v/>
      </c>
      <c r="BV318" s="202" t="n"/>
      <c r="BW318" s="195">
        <f>COUNTIF($G318:$BP318,"hh")</f>
        <v/>
      </c>
      <c r="BX318" s="196">
        <f>COUNTIF($G318:$BP318,"nt7")</f>
        <v/>
      </c>
      <c r="BY318" s="195">
        <f>COUNTIF($G318:$BP318,"P")+COUNTIF($G318:$BP318,"p5,a5")/2+COUNTIF($G318:$BP318,"p5,b5")/2+COUNTIF($G318:$BP318,"p5,c5")/2+COUNTIF($G318:$BP318,"p5,d5")/2</f>
        <v/>
      </c>
      <c r="BZ318" s="203">
        <f>SUBTOTAL(9,BQ318:BY318)</f>
        <v/>
      </c>
      <c r="CA318" s="54">
        <f>SUM(J318,L318,N318,P318,R318,T318,X318,Z318,AB318,AD318,AF318,AH318,AL318,AN318,AP318,AR318,AT318,AV318,AZ318,BB318,BD318,BF318,BH318,BP318)</f>
        <v/>
      </c>
      <c r="CB318" s="55">
        <f>SUM(H318,V318,AJ318,AX318,BL318)</f>
        <v/>
      </c>
      <c r="CC318" s="56">
        <f>SUM(BJ318,BN318)</f>
        <v/>
      </c>
      <c r="CD318" s="197" t="n"/>
      <c r="CE318" s="49" t="n"/>
      <c r="CF318" s="204">
        <f>CD318*CI318</f>
        <v/>
      </c>
      <c r="CG318" s="198" t="n">
        <v>0</v>
      </c>
      <c r="CH318" s="197">
        <f>CE318*16</f>
        <v/>
      </c>
      <c r="CI318" s="199">
        <f>VLOOKUP(A318,[1]DATA!$A$6:$AI$331,34,0)</f>
        <v/>
      </c>
      <c r="CJ318" s="200">
        <f>VLOOKUP(A318,[2]CHAMCONG!A$7:CI$333,79,0)</f>
        <v/>
      </c>
      <c r="CK318" s="201">
        <f>CJ318-CA318</f>
        <v/>
      </c>
      <c r="CL318" s="68" t="n"/>
      <c r="CM318" s="68" t="n"/>
    </row>
    <row r="319" ht="21.75" customFormat="1" customHeight="1" s="75">
      <c r="A319" s="139" t="n"/>
      <c r="B319" s="64" t="n"/>
      <c r="C319" s="115" t="n"/>
      <c r="D319" s="46" t="n"/>
      <c r="E319" s="47" t="n"/>
      <c r="F319" s="48" t="n"/>
      <c r="G319" s="49" t="n"/>
      <c r="H319" s="73" t="n"/>
      <c r="I319" s="73" t="n"/>
      <c r="J319" s="73" t="n"/>
      <c r="K319" s="73" t="n"/>
      <c r="L319" s="73" t="n"/>
      <c r="M319" s="73" t="n"/>
      <c r="N319" s="73" t="n"/>
      <c r="O319" s="50" t="n"/>
      <c r="P319" s="73" t="n"/>
      <c r="Q319" s="50" t="n"/>
      <c r="R319" s="67" t="n"/>
      <c r="S319" s="49" t="n"/>
      <c r="T319" s="73" t="n"/>
      <c r="U319" s="49" t="n"/>
      <c r="V319" s="73" t="n"/>
      <c r="W319" s="73" t="n"/>
      <c r="X319" s="73" t="n"/>
      <c r="Y319" s="73" t="n"/>
      <c r="Z319" s="73" t="n"/>
      <c r="AA319" s="73" t="n"/>
      <c r="AB319" s="73" t="n"/>
      <c r="AC319" s="73" t="n"/>
      <c r="AD319" s="73" t="n"/>
      <c r="AE319" s="73" t="n"/>
      <c r="AF319" s="73" t="n"/>
      <c r="AG319" s="73" t="n"/>
      <c r="AH319" s="73" t="n"/>
      <c r="AI319" s="73" t="n"/>
      <c r="AJ319" s="73" t="n"/>
      <c r="AK319" s="73" t="n"/>
      <c r="AL319" s="73" t="n"/>
      <c r="AM319" s="73" t="n"/>
      <c r="AN319" s="73" t="n"/>
      <c r="AO319" s="50" t="n"/>
      <c r="AP319" s="73" t="n"/>
      <c r="AQ319" s="50" t="n"/>
      <c r="AR319" s="73" t="n"/>
      <c r="AS319" s="50" t="n"/>
      <c r="AT319" s="67" t="n"/>
      <c r="AU319" s="50" t="n"/>
      <c r="AV319" s="73" t="n"/>
      <c r="AW319" s="73" t="n"/>
      <c r="AX319" s="73" t="n"/>
      <c r="AY319" s="73" t="n"/>
      <c r="AZ319" s="73" t="n"/>
      <c r="BA319" s="73" t="n"/>
      <c r="BB319" s="73" t="n"/>
      <c r="BC319" s="73" t="n"/>
      <c r="BD319" s="73" t="n"/>
      <c r="BE319" s="73" t="n"/>
      <c r="BF319" s="73" t="n"/>
      <c r="BG319" s="73" t="n"/>
      <c r="BH319" s="73" t="n"/>
      <c r="BI319" s="73" t="n"/>
      <c r="BJ319" s="73" t="n"/>
      <c r="BK319" s="73" t="n"/>
      <c r="BL319" s="73" t="n"/>
      <c r="BM319" s="73" t="n"/>
      <c r="BN319" s="73" t="n"/>
      <c r="BO319" s="73" t="n"/>
      <c r="BP319" s="73" t="n"/>
      <c r="BQ319" s="195">
        <f>COUNTIF($G319:$BP319,"a")+COUNTIF($G319:$BP319,"r0,a5")/2+COUNTIF($G319:$BP319,"p5,a5")/2</f>
        <v/>
      </c>
      <c r="BR319" s="195">
        <f>COUNTIF($G319:$BP319,"d")+COUNTIF($G319:$BP319,"r0,d5")/2+COUNTIF($G319:$BP319,"p5,d5")/2</f>
        <v/>
      </c>
      <c r="BS319" s="195">
        <f>COUNTIF($G319:$BP319,"b")+COUNTIF($G319:$BP319,"r0,b5")/2+COUNTIF($G319:$BP319,"p5,b5")/2</f>
        <v/>
      </c>
      <c r="BT319" s="195">
        <f>COUNTIF($G319:$BP319,"c")+COUNTIF($G319:$BP319,"r0,c5")/2+COUNTIF($G319:$BP319,"p5,c5")/2</f>
        <v/>
      </c>
      <c r="BU319" s="195">
        <f>COUNTIF($G319:$BP319,"KH")+COUNTIF($G319:$BP319,"TL")+COUNTIF($G319:$BP319,"L")</f>
        <v/>
      </c>
      <c r="BV319" s="202" t="n"/>
      <c r="BW319" s="195">
        <f>COUNTIF($G319:$BP319,"hh")</f>
        <v/>
      </c>
      <c r="BX319" s="195">
        <f>COUNTIF($G319:$BP319,"nt7")</f>
        <v/>
      </c>
      <c r="BY319" s="195">
        <f>COUNTIF($G319:$BP319,"P")+COUNTIF($G319:$BP319,"p5,a5")/2+COUNTIF($G319:$BP319,"p5,b5")/2+COUNTIF($G319:$BP319,"p5,c5")/2+COUNTIF($G319:$BP319,"p5,d5")/2</f>
        <v/>
      </c>
      <c r="BZ319" s="203">
        <f>SUBTOTAL(9,BQ319:BY319)</f>
        <v/>
      </c>
      <c r="CA319" s="54">
        <f>SUM(J319,L319,N319,P319,R319,T319,X319,Z319,AB319,AD319,AF319,AH319,AL319,AN319,AP319,AR319,AT319,AV319,AZ319,BB319,BD319,BF319,BH319,BP319)</f>
        <v/>
      </c>
      <c r="CB319" s="55">
        <f>SUM(H319,V319,AJ319,AX319,BL319)</f>
        <v/>
      </c>
      <c r="CC319" s="56">
        <f>SUM(BJ319,BN319)</f>
        <v/>
      </c>
      <c r="CD319" s="197">
        <f>IF(BZ319&gt;25,4,IF(BZ319&gt;18,3,IF(BZ319&gt;12,2,IF(BZ319&gt;4,1,0))))-BX319-2+1</f>
        <v/>
      </c>
      <c r="CE319" s="49" t="n"/>
      <c r="CF319" s="204">
        <f>CD319*CI319</f>
        <v/>
      </c>
      <c r="CG319" s="198" t="n">
        <v>0</v>
      </c>
      <c r="CH319" s="197">
        <f>CE319*16</f>
        <v/>
      </c>
      <c r="CI319" s="199">
        <f>VLOOKUP(A319,[1]DATA!$A$6:$AI$331,34,0)</f>
        <v/>
      </c>
      <c r="CJ319" s="200">
        <f>VLOOKUP(A319,[2]CHAMCONG!A$7:CI$333,79,0)</f>
        <v/>
      </c>
      <c r="CK319" s="201">
        <f>CJ319-CA319</f>
        <v/>
      </c>
      <c r="CL319" s="68" t="n"/>
      <c r="CM319" s="68" t="n"/>
    </row>
    <row r="320" ht="18" customFormat="1" customHeight="1" s="75">
      <c r="A320" s="139" t="n"/>
      <c r="B320" s="64" t="n"/>
      <c r="C320" s="115" t="n"/>
      <c r="D320" s="46" t="n"/>
      <c r="E320" s="47" t="n"/>
      <c r="F320" s="48" t="n"/>
      <c r="G320" s="49" t="n"/>
      <c r="H320" s="73" t="n"/>
      <c r="I320" s="49" t="n"/>
      <c r="J320" s="73" t="n"/>
      <c r="K320" s="49" t="n"/>
      <c r="L320" s="73" t="n"/>
      <c r="M320" s="49" t="n"/>
      <c r="N320" s="73" t="n"/>
      <c r="O320" s="49" t="n"/>
      <c r="P320" s="73" t="n"/>
      <c r="Q320" s="49" t="n"/>
      <c r="R320" s="73" t="n"/>
      <c r="S320" s="49" t="n"/>
      <c r="T320" s="73" t="n"/>
      <c r="U320" s="49" t="n"/>
      <c r="V320" s="73" t="n"/>
      <c r="W320" s="49" t="n"/>
      <c r="X320" s="73" t="n"/>
      <c r="Y320" s="49" t="n"/>
      <c r="Z320" s="73" t="n"/>
      <c r="AA320" s="49" t="n"/>
      <c r="AB320" s="73" t="n"/>
      <c r="AC320" s="49" t="n"/>
      <c r="AD320" s="73" t="n"/>
      <c r="AE320" s="49" t="n"/>
      <c r="AF320" s="73" t="n"/>
      <c r="AG320" s="73" t="n"/>
      <c r="AH320" s="73" t="n"/>
      <c r="AI320" s="49" t="n"/>
      <c r="AJ320" s="73" t="n"/>
      <c r="AK320" s="49" t="n"/>
      <c r="AL320" s="73" t="n"/>
      <c r="AM320" s="49" t="n"/>
      <c r="AN320" s="73" t="n"/>
      <c r="AO320" s="49" t="n"/>
      <c r="AP320" s="73" t="n"/>
      <c r="AQ320" s="49" t="n"/>
      <c r="AR320" s="73" t="n"/>
      <c r="AS320" s="49" t="n"/>
      <c r="AT320" s="73" t="n"/>
      <c r="AU320" s="49" t="n"/>
      <c r="AV320" s="73" t="n"/>
      <c r="AW320" s="49" t="n"/>
      <c r="AX320" s="73" t="n"/>
      <c r="AY320" s="49" t="n"/>
      <c r="AZ320" s="73" t="n"/>
      <c r="BA320" s="49" t="n"/>
      <c r="BB320" s="73" t="n"/>
      <c r="BC320" s="49" t="n"/>
      <c r="BD320" s="73" t="n"/>
      <c r="BE320" s="49" t="n"/>
      <c r="BF320" s="73" t="n"/>
      <c r="BG320" s="49" t="n"/>
      <c r="BH320" s="73" t="n"/>
      <c r="BI320" s="73" t="n"/>
      <c r="BJ320" s="73" t="n"/>
      <c r="BK320" s="73" t="n"/>
      <c r="BL320" s="73" t="n"/>
      <c r="BM320" s="73" t="n"/>
      <c r="BN320" s="73" t="n"/>
      <c r="BO320" s="73" t="n"/>
      <c r="BP320" s="73" t="n"/>
      <c r="BQ320" s="195">
        <f>COUNTIF($G320:$BP320,"a")+COUNTIF($G320:$BP320,"r0,a5")/2+COUNTIF($G320:$BP320,"p5,a5")/2</f>
        <v/>
      </c>
      <c r="BR320" s="195">
        <f>COUNTIF($G320:$BP320,"d")+COUNTIF($G320:$BP320,"r0,d5")/2+COUNTIF($G320:$BP320,"p5,d5")/2</f>
        <v/>
      </c>
      <c r="BS320" s="195">
        <f>COUNTIF($G320:$BP320,"b")+COUNTIF($G320:$BP320,"r0,b5")/2+COUNTIF($G320:$BP320,"p5,b5")/2</f>
        <v/>
      </c>
      <c r="BT320" s="195">
        <f>COUNTIF($G320:$BP320,"c")+COUNTIF($G320:$BP320,"r0,c5")/2+COUNTIF($G320:$BP320,"p5,c5")/2</f>
        <v/>
      </c>
      <c r="BU320" s="195">
        <f>COUNTIF($G320:$BP320,"KH")+COUNTIF($G320:$BP320,"TL")+COUNTIF($G320:$BP320,"L")</f>
        <v/>
      </c>
      <c r="BV320" s="202" t="n"/>
      <c r="BW320" s="195">
        <f>COUNTIF($G320:$BP320,"hh")</f>
        <v/>
      </c>
      <c r="BX320" s="195">
        <f>COUNTIF($G320:$BP320,"nt7")</f>
        <v/>
      </c>
      <c r="BY320" s="195">
        <f>COUNTIF($G320:$BP320,"P")+COUNTIF($G320:$BP320,"p5,a5")/2+COUNTIF($G320:$BP320,"p5,b5")/2+COUNTIF($G320:$BP320,"p5,c5")/2+COUNTIF($G320:$BP320,"p5,d5")/2</f>
        <v/>
      </c>
      <c r="BZ320" s="203">
        <f>SUBTOTAL(9,BQ320:BY320)</f>
        <v/>
      </c>
      <c r="CA320" s="54">
        <f>SUM(J320,L320,N320,P320,R320,T320,X320,Z320,AB320,AD320,AF320,AH320,AL320,AN320,AP320,AR320,AT320,AV320,AZ320,BB320,BD320,BF320,BH320,BP320)</f>
        <v/>
      </c>
      <c r="CB320" s="55">
        <f>SUM(H320,V320,AJ320,AX320,BL320)</f>
        <v/>
      </c>
      <c r="CC320" s="56">
        <f>SUM(BJ320,BN320)</f>
        <v/>
      </c>
      <c r="CD320" s="197">
        <f>IF(BZ320&gt;25,4,IF(BZ320&gt;18,3,IF(BZ320&gt;12,2,IF(BZ320&gt;4,1,0))))-BX320-2+1</f>
        <v/>
      </c>
      <c r="CE320" s="49" t="n"/>
      <c r="CF320" s="204">
        <f>CD320*CI320</f>
        <v/>
      </c>
      <c r="CG320" s="198" t="n">
        <v>0</v>
      </c>
      <c r="CH320" s="197">
        <f>CE320*16</f>
        <v/>
      </c>
      <c r="CI320" s="199">
        <f>VLOOKUP(A320,[1]DATA!$A$6:$AI$331,34,0)</f>
        <v/>
      </c>
      <c r="CJ320" s="200">
        <f>VLOOKUP(A320,[2]CHAMCONG!A$7:CI$333,79,0)</f>
        <v/>
      </c>
      <c r="CK320" s="201">
        <f>CJ320-CA320</f>
        <v/>
      </c>
      <c r="CL320" s="68" t="n"/>
      <c r="CM320" s="68" t="n"/>
    </row>
    <row r="321" ht="18" customFormat="1" customHeight="1" s="75">
      <c r="A321" s="139" t="n"/>
      <c r="B321" s="64" t="n"/>
      <c r="C321" s="115" t="n"/>
      <c r="D321" s="46" t="n"/>
      <c r="E321" s="47" t="n"/>
      <c r="F321" s="48" t="n"/>
      <c r="G321" s="49" t="n"/>
      <c r="H321" s="73" t="n"/>
      <c r="I321" s="49" t="n"/>
      <c r="J321" s="73" t="n"/>
      <c r="K321" s="49" t="n"/>
      <c r="L321" s="73" t="n"/>
      <c r="M321" s="73" t="n"/>
      <c r="N321" s="73" t="n"/>
      <c r="O321" s="49" t="n"/>
      <c r="P321" s="73" t="n"/>
      <c r="Q321" s="49" t="n"/>
      <c r="R321" s="73" t="n"/>
      <c r="S321" s="49" t="n"/>
      <c r="T321" s="73" t="n"/>
      <c r="U321" s="49" t="n"/>
      <c r="V321" s="73" t="n"/>
      <c r="W321" s="49" t="n"/>
      <c r="X321" s="73" t="n"/>
      <c r="Y321" s="49" t="n"/>
      <c r="Z321" s="73" t="n"/>
      <c r="AA321" s="73" t="n"/>
      <c r="AB321" s="73" t="n"/>
      <c r="AC321" s="49" t="n"/>
      <c r="AD321" s="73" t="n"/>
      <c r="AE321" s="49" t="n"/>
      <c r="AF321" s="73" t="n"/>
      <c r="AG321" s="49" t="n"/>
      <c r="AH321" s="73" t="n"/>
      <c r="AI321" s="49" t="n"/>
      <c r="AJ321" s="73" t="n"/>
      <c r="AK321" s="49" t="n"/>
      <c r="AL321" s="73" t="n"/>
      <c r="AM321" s="49" t="n"/>
      <c r="AN321" s="73" t="n"/>
      <c r="AO321" s="73" t="n"/>
      <c r="AP321" s="73" t="n"/>
      <c r="AQ321" s="49" t="n"/>
      <c r="AR321" s="73" t="n"/>
      <c r="AS321" s="49" t="n"/>
      <c r="AT321" s="73" t="n"/>
      <c r="AU321" s="49" t="n"/>
      <c r="AV321" s="73" t="n"/>
      <c r="AW321" s="49" t="n"/>
      <c r="AX321" s="73" t="n"/>
      <c r="AY321" s="49" t="n"/>
      <c r="AZ321" s="73" t="n"/>
      <c r="BA321" s="49" t="n"/>
      <c r="BB321" s="73" t="n"/>
      <c r="BC321" s="73" t="n"/>
      <c r="BD321" s="73" t="n"/>
      <c r="BE321" s="73" t="n"/>
      <c r="BF321" s="73" t="n"/>
      <c r="BG321" s="73" t="n"/>
      <c r="BH321" s="73" t="n"/>
      <c r="BI321" s="73" t="n"/>
      <c r="BJ321" s="73" t="n"/>
      <c r="BK321" s="73" t="n"/>
      <c r="BL321" s="73" t="n"/>
      <c r="BM321" s="73" t="n"/>
      <c r="BN321" s="73" t="n"/>
      <c r="BO321" s="73" t="n"/>
      <c r="BP321" s="73" t="n"/>
      <c r="BQ321" s="195">
        <f>COUNTIF($G321:$BP321,"a")+COUNTIF($G321:$BP321,"r0,a5")/2+COUNTIF($G321:$BP321,"p5,a5")/2</f>
        <v/>
      </c>
      <c r="BR321" s="195">
        <f>COUNTIF($G321:$BP321,"d")+COUNTIF($G321:$BP321,"r0,d5")/2+COUNTIF($G321:$BP321,"p5,d5")/2</f>
        <v/>
      </c>
      <c r="BS321" s="195">
        <f>COUNTIF($G321:$BP321,"b")+COUNTIF($G321:$BP321,"r0,b5")/2+COUNTIF($G321:$BP321,"p5,b5")/2</f>
        <v/>
      </c>
      <c r="BT321" s="195">
        <f>COUNTIF($G321:$BP321,"c")+COUNTIF($G321:$BP321,"r0,c5")/2+COUNTIF($G321:$BP321,"p5,c5")/2</f>
        <v/>
      </c>
      <c r="BU321" s="195">
        <f>COUNTIF($G321:$BP321,"KH")+COUNTIF($G321:$BP321,"TL")+COUNTIF($G321:$BP321,"L")</f>
        <v/>
      </c>
      <c r="BV321" s="202" t="n"/>
      <c r="BW321" s="195">
        <f>COUNTIF($G321:$BP321,"hh")</f>
        <v/>
      </c>
      <c r="BX321" s="195">
        <f>COUNTIF($G321:$BP321,"nt7")</f>
        <v/>
      </c>
      <c r="BY321" s="195">
        <f>COUNTIF($G321:$BP321,"P")+COUNTIF($G321:$BP321,"p5,a5")/2+COUNTIF($G321:$BP321,"p5,b5")/2+COUNTIF($G321:$BP321,"p5,c5")/2+COUNTIF($G321:$BP321,"p5,d5")/2</f>
        <v/>
      </c>
      <c r="BZ321" s="203">
        <f>SUBTOTAL(9,BQ321:BY321)</f>
        <v/>
      </c>
      <c r="CA321" s="54">
        <f>SUM(J321,L321,N321,P321,R321,T321,X321,Z321,AB321,AD321,AF321,AH321,AL321,AN321,AP321,AR321,AT321,AV321,AZ321,BB321,BD321,BF321,BH321,BP321)</f>
        <v/>
      </c>
      <c r="CB321" s="55">
        <f>SUM(H321,V321,AJ321,AX321,BL321)</f>
        <v/>
      </c>
      <c r="CC321" s="56">
        <f>SUM(BJ321,BN321)</f>
        <v/>
      </c>
      <c r="CD321" s="197">
        <f>IF(BZ321&gt;25,4,IF(BZ321&gt;18,3,IF(BZ321&gt;12,2,IF(BZ321&gt;4,1,0))))-BX321-2+1</f>
        <v/>
      </c>
      <c r="CE321" s="49" t="n"/>
      <c r="CF321" s="204">
        <f>CD321*CI321</f>
        <v/>
      </c>
      <c r="CG321" s="198" t="n">
        <v>0</v>
      </c>
      <c r="CH321" s="197">
        <f>CE321*16</f>
        <v/>
      </c>
      <c r="CI321" s="199">
        <f>VLOOKUP(A321,[1]DATA!$A$6:$AI$331,34,0)</f>
        <v/>
      </c>
      <c r="CJ321" s="200">
        <f>VLOOKUP(A321,[2]CHAMCONG!A$7:CI$333,79,0)</f>
        <v/>
      </c>
      <c r="CK321" s="201">
        <f>CJ321-CA321</f>
        <v/>
      </c>
      <c r="CL321" s="68" t="n"/>
      <c r="CM321" s="68" t="n"/>
    </row>
    <row r="322" ht="18" customFormat="1" customHeight="1" s="75">
      <c r="A322" s="69" t="n"/>
      <c r="B322" s="64" t="n"/>
      <c r="C322" s="115" t="n"/>
      <c r="D322" s="80" t="n"/>
      <c r="E322" s="81" t="n"/>
      <c r="F322" s="48" t="n"/>
      <c r="G322" s="49" t="n"/>
      <c r="H322" s="73" t="n"/>
      <c r="I322" s="73" t="n"/>
      <c r="J322" s="73" t="n"/>
      <c r="K322" s="73" t="n"/>
      <c r="L322" s="73" t="n"/>
      <c r="M322" s="73" t="n"/>
      <c r="N322" s="73" t="n"/>
      <c r="O322" s="73" t="n"/>
      <c r="P322" s="73" t="n"/>
      <c r="Q322" s="49" t="n"/>
      <c r="R322" s="73" t="n"/>
      <c r="S322" s="73" t="n"/>
      <c r="T322" s="73" t="n"/>
      <c r="U322" s="73" t="n"/>
      <c r="V322" s="73" t="n"/>
      <c r="W322" s="73" t="n"/>
      <c r="X322" s="73" t="n"/>
      <c r="Y322" s="73" t="n"/>
      <c r="Z322" s="73" t="n"/>
      <c r="AA322" s="73" t="n"/>
      <c r="AB322" s="73" t="n"/>
      <c r="AC322" s="73" t="n"/>
      <c r="AD322" s="73" t="n"/>
      <c r="AE322" s="49" t="n"/>
      <c r="AF322" s="73" t="n"/>
      <c r="AG322" s="73" t="n"/>
      <c r="AH322" s="73" t="n"/>
      <c r="AI322" s="73" t="n"/>
      <c r="AJ322" s="73" t="n"/>
      <c r="AK322" s="73" t="n"/>
      <c r="AL322" s="73" t="n"/>
      <c r="AM322" s="73" t="n"/>
      <c r="AN322" s="73" t="n"/>
      <c r="AO322" s="73" t="n"/>
      <c r="AP322" s="73" t="n"/>
      <c r="AQ322" s="49" t="n"/>
      <c r="AR322" s="73" t="n"/>
      <c r="AS322" s="49" t="n"/>
      <c r="AT322" s="73" t="n"/>
      <c r="AU322" s="49" t="n"/>
      <c r="AV322" s="73" t="n"/>
      <c r="AW322" s="49" t="n"/>
      <c r="AX322" s="73" t="n"/>
      <c r="AY322" s="49" t="n"/>
      <c r="AZ322" s="73" t="n"/>
      <c r="BA322" s="49" t="n"/>
      <c r="BB322" s="73" t="n"/>
      <c r="BC322" s="49" t="n"/>
      <c r="BD322" s="73" t="n"/>
      <c r="BE322" s="49" t="n"/>
      <c r="BF322" s="73" t="n"/>
      <c r="BG322" s="49" t="n"/>
      <c r="BH322" s="73" t="n"/>
      <c r="BI322" s="49" t="n"/>
      <c r="BJ322" s="73" t="n"/>
      <c r="BK322" s="49" t="n"/>
      <c r="BL322" s="73" t="n"/>
      <c r="BM322" s="73" t="n"/>
      <c r="BN322" s="73" t="n"/>
      <c r="BO322" s="73" t="n"/>
      <c r="BP322" s="73" t="n"/>
      <c r="BQ322" s="195">
        <f>COUNTIF($G322:$BP322,"a")+COUNTIF($G322:$BP322,"r0,a5")/2+COUNTIF($G322:$BP322,"p5,a5")/2</f>
        <v/>
      </c>
      <c r="BR322" s="195">
        <f>COUNTIF($G322:$BP322,"d")+COUNTIF($G322:$BP322,"r0,d5")/2+COUNTIF($G322:$BP322,"p5,d5")/2</f>
        <v/>
      </c>
      <c r="BS322" s="195">
        <f>COUNTIF($G322:$BP322,"b")+COUNTIF($G322:$BP322,"r0,b5")/2+COUNTIF($G322:$BP322,"p5,b5")/2</f>
        <v/>
      </c>
      <c r="BT322" s="195">
        <f>COUNTIF($G322:$BP322,"c")+COUNTIF($G322:$BP322,"r0,c5")/2+COUNTIF($G322:$BP322,"p5,c5")/2</f>
        <v/>
      </c>
      <c r="BU322" s="195">
        <f>COUNTIF($G322:$BP322,"KH")+COUNTIF($G322:$BP322,"TL")+COUNTIF($G322:$BP322,"L")</f>
        <v/>
      </c>
      <c r="BV322" s="202" t="n"/>
      <c r="BW322" s="195">
        <f>COUNTIF($G322:$BP322,"hh")</f>
        <v/>
      </c>
      <c r="BX322" s="195">
        <f>COUNTIF($G322:$BP322,"nt7")</f>
        <v/>
      </c>
      <c r="BY322" s="195">
        <f>COUNTIF($G322:$BP322,"P")+COUNTIF($G322:$BP322,"p5,a5")/2+COUNTIF($G322:$BP322,"p5,b5")/2+COUNTIF($G322:$BP322,"p5,c5")/2+COUNTIF($G322:$BP322,"p5,d5")/2</f>
        <v/>
      </c>
      <c r="BZ322" s="203">
        <f>SUBTOTAL(9,BQ322:BY322)</f>
        <v/>
      </c>
      <c r="CA322" s="54">
        <f>SUM(J322,L322,N322,P322,R322,T322,X322,Z322,AB322,AD322,AF322,AH322,AL322,AN322,AP322,AR322,AT322,AV322,AZ322,BB322,BD322,BF322,BH322,BP322)</f>
        <v/>
      </c>
      <c r="CB322" s="55">
        <f>SUM(H322,V322,AJ322,AX322,BL322)</f>
        <v/>
      </c>
      <c r="CC322" s="56">
        <f>SUM(BJ322,BN322)</f>
        <v/>
      </c>
      <c r="CD322" s="197">
        <f>IF(BZ322&gt;25,4,IF(BZ322&gt;18,3,IF(BZ322&gt;12,2,IF(BZ322&gt;4,1,0))))-BX322-2+1</f>
        <v/>
      </c>
      <c r="CE322" s="73" t="n"/>
      <c r="CF322" s="204">
        <f>CD322*CI322</f>
        <v/>
      </c>
      <c r="CG322" s="198" t="n">
        <v>0</v>
      </c>
      <c r="CH322" s="197">
        <f>CE322*16</f>
        <v/>
      </c>
      <c r="CI322" s="199">
        <f>VLOOKUP(A322,[1]DATA!$A$6:$AI$331,34,0)</f>
        <v/>
      </c>
      <c r="CJ322" s="200">
        <f>VLOOKUP(A322,[2]CHAMCONG!A$7:CI$333,79,0)</f>
        <v/>
      </c>
      <c r="CK322" s="201">
        <f>CJ322-CA322</f>
        <v/>
      </c>
      <c r="CL322" s="68" t="n"/>
      <c r="CM322" s="68" t="n"/>
    </row>
    <row r="323" ht="18" customFormat="1" customHeight="1" s="75">
      <c r="A323" s="69" t="n"/>
      <c r="B323" s="64" t="n"/>
      <c r="C323" s="115" t="n"/>
      <c r="D323" s="80" t="n"/>
      <c r="E323" s="81" t="n"/>
      <c r="F323" s="48" t="n"/>
      <c r="G323" s="49" t="n"/>
      <c r="H323" s="73" t="n"/>
      <c r="I323" s="50" t="n"/>
      <c r="J323" s="73" t="n"/>
      <c r="K323" s="50" t="n"/>
      <c r="L323" s="73" t="n"/>
      <c r="M323" s="50" t="n"/>
      <c r="N323" s="73" t="n"/>
      <c r="O323" s="50" t="n"/>
      <c r="P323" s="73" t="n"/>
      <c r="Q323" s="49" t="n"/>
      <c r="R323" s="73" t="n"/>
      <c r="S323" s="73" t="n"/>
      <c r="T323" s="73" t="n"/>
      <c r="U323" s="73" t="n"/>
      <c r="V323" s="73" t="n"/>
      <c r="W323" s="73" t="n"/>
      <c r="X323" s="73" t="n"/>
      <c r="Y323" s="73" t="n"/>
      <c r="Z323" s="73" t="n"/>
      <c r="AA323" s="73" t="n"/>
      <c r="AB323" s="73" t="n"/>
      <c r="AC323" s="73" t="n"/>
      <c r="AD323" s="73" t="n"/>
      <c r="AE323" s="49" t="n"/>
      <c r="AF323" s="73" t="n"/>
      <c r="AG323" s="73" t="n"/>
      <c r="AH323" s="73" t="n"/>
      <c r="AI323" s="73" t="n"/>
      <c r="AJ323" s="73" t="n"/>
      <c r="AK323" s="73" t="n"/>
      <c r="AL323" s="73" t="n"/>
      <c r="AM323" s="73" t="n"/>
      <c r="AN323" s="73" t="n"/>
      <c r="AO323" s="73" t="n"/>
      <c r="AP323" s="73" t="n"/>
      <c r="AQ323" s="49" t="n"/>
      <c r="AR323" s="73" t="n"/>
      <c r="AS323" s="49" t="n"/>
      <c r="AT323" s="73" t="n"/>
      <c r="AU323" s="49" t="n"/>
      <c r="AV323" s="73" t="n"/>
      <c r="AW323" s="49" t="n"/>
      <c r="AX323" s="73" t="n"/>
      <c r="AY323" s="49" t="n"/>
      <c r="AZ323" s="73" t="n"/>
      <c r="BA323" s="49" t="n"/>
      <c r="BB323" s="73" t="n"/>
      <c r="BC323" s="49" t="n"/>
      <c r="BD323" s="73" t="n"/>
      <c r="BE323" s="49" t="n"/>
      <c r="BF323" s="73" t="n"/>
      <c r="BG323" s="49" t="n"/>
      <c r="BH323" s="73" t="n"/>
      <c r="BI323" s="49" t="n"/>
      <c r="BJ323" s="73" t="n"/>
      <c r="BK323" s="49" t="n"/>
      <c r="BL323" s="73" t="n"/>
      <c r="BM323" s="49" t="n"/>
      <c r="BN323" s="73" t="n"/>
      <c r="BO323" s="73" t="n"/>
      <c r="BP323" s="73" t="n"/>
      <c r="BQ323" s="195">
        <f>COUNTIF($G323:$BP323,"a")+COUNTIF($G323:$BP323,"r0,a5")/2+COUNTIF($G323:$BP323,"p5,a5")/2</f>
        <v/>
      </c>
      <c r="BR323" s="195">
        <f>COUNTIF($G323:$BP323,"d")+COUNTIF($G323:$BP323,"r0,d5")/2+COUNTIF($G323:$BP323,"p5,d5")/2</f>
        <v/>
      </c>
      <c r="BS323" s="195">
        <f>COUNTIF($G323:$BP323,"b")+COUNTIF($G323:$BP323,"r0,b5")/2+COUNTIF($G323:$BP323,"p5,b5")/2</f>
        <v/>
      </c>
      <c r="BT323" s="195">
        <f>COUNTIF($G323:$BP323,"c")+COUNTIF($G323:$BP323,"r0,c5")/2+COUNTIF($G323:$BP323,"p5,c5")/2</f>
        <v/>
      </c>
      <c r="BU323" s="195">
        <f>COUNTIF($G323:$BP323,"KH")+COUNTIF($G323:$BP323,"TL")+COUNTIF($G323:$BP323,"L")</f>
        <v/>
      </c>
      <c r="BV323" s="202" t="n"/>
      <c r="BW323" s="195">
        <f>COUNTIF($G323:$BP323,"hh")</f>
        <v/>
      </c>
      <c r="BX323" s="195">
        <f>COUNTIF($G323:$BP323,"nt7")</f>
        <v/>
      </c>
      <c r="BY323" s="195">
        <f>COUNTIF($G323:$BP323,"P")+COUNTIF($G323:$BP323,"p5,a5")/2+COUNTIF($G323:$BP323,"p5,b5")/2+COUNTIF($G323:$BP323,"p5,c5")/2+COUNTIF($G323:$BP323,"p5,d5")/2</f>
        <v/>
      </c>
      <c r="BZ323" s="203">
        <f>SUBTOTAL(9,BQ323:BY323)</f>
        <v/>
      </c>
      <c r="CA323" s="54">
        <f>SUM(J323,L323,N323,P323,R323,T323,X323,Z323,AB323,AD323,AF323,AH323,AL323,AN323,AP323,AR323,AT323,AV323,AZ323,BB323,BD323,BF323,BH323,BP323)</f>
        <v/>
      </c>
      <c r="CB323" s="55">
        <f>SUM(H323,V323,AJ323,AX323,BL323)</f>
        <v/>
      </c>
      <c r="CC323" s="56">
        <f>SUM(BJ323,BN323)</f>
        <v/>
      </c>
      <c r="CD323" s="197">
        <f>IF(BZ323&gt;25,4,IF(BZ323&gt;18,3,IF(BZ323&gt;12,2,IF(BZ323&gt;4,1,0))))-BX323-2+1</f>
        <v/>
      </c>
      <c r="CE323" s="73" t="n"/>
      <c r="CF323" s="204">
        <f>CD323*CI323</f>
        <v/>
      </c>
      <c r="CG323" s="198" t="n">
        <v>0</v>
      </c>
      <c r="CH323" s="197">
        <f>CE323*16</f>
        <v/>
      </c>
      <c r="CI323" s="199">
        <f>VLOOKUP(A323,[1]DATA!$A$6:$AI$331,34,0)</f>
        <v/>
      </c>
      <c r="CJ323" s="200">
        <f>VLOOKUP(A323,[2]CHAMCONG!A$7:CI$333,79,0)</f>
        <v/>
      </c>
      <c r="CK323" s="201">
        <f>CJ323-CA323</f>
        <v/>
      </c>
      <c r="CL323" s="68" t="n"/>
      <c r="CM323" s="68" t="n"/>
    </row>
    <row r="324" ht="18" customFormat="1" customHeight="1" s="75">
      <c r="A324" s="69" t="n"/>
      <c r="B324" s="64" t="n"/>
      <c r="C324" s="115" t="n"/>
      <c r="D324" s="80" t="n"/>
      <c r="E324" s="81" t="n"/>
      <c r="F324" s="48" t="n"/>
      <c r="G324" s="49" t="n"/>
      <c r="H324" s="73" t="n"/>
      <c r="I324" s="49" t="n"/>
      <c r="J324" s="73" t="n"/>
      <c r="K324" s="49" t="n"/>
      <c r="L324" s="73" t="n"/>
      <c r="M324" s="49" t="n"/>
      <c r="N324" s="73" t="n"/>
      <c r="O324" s="49" t="n"/>
      <c r="P324" s="73" t="n"/>
      <c r="Q324" s="49" t="n"/>
      <c r="R324" s="73" t="n"/>
      <c r="S324" s="49" t="n"/>
      <c r="T324" s="49" t="n"/>
      <c r="U324" s="49" t="n"/>
      <c r="V324" s="49" t="n"/>
      <c r="W324" s="49" t="n"/>
      <c r="X324" s="49" t="n"/>
      <c r="Y324" s="49" t="n"/>
      <c r="Z324" s="49" t="n"/>
      <c r="AA324" s="49" t="n"/>
      <c r="AB324" s="49" t="n"/>
      <c r="AC324" s="49" t="n"/>
      <c r="AD324" s="49" t="n"/>
      <c r="AE324" s="49" t="n"/>
      <c r="AF324" s="73" t="n"/>
      <c r="AG324" s="49" t="n"/>
      <c r="AH324" s="49" t="n"/>
      <c r="AI324" s="49" t="n"/>
      <c r="AJ324" s="49" t="n"/>
      <c r="AK324" s="49" t="n"/>
      <c r="AL324" s="49" t="n"/>
      <c r="AM324" s="49" t="n"/>
      <c r="AN324" s="49" t="n"/>
      <c r="AO324" s="49" t="n"/>
      <c r="AP324" s="49" t="n"/>
      <c r="AQ324" s="73" t="n"/>
      <c r="AR324" s="73" t="n"/>
      <c r="AS324" s="73" t="n"/>
      <c r="AT324" s="73" t="n"/>
      <c r="AU324" s="73" t="n"/>
      <c r="AV324" s="73" t="n"/>
      <c r="AW324" s="49" t="n"/>
      <c r="AX324" s="73" t="n"/>
      <c r="AY324" s="73" t="n"/>
      <c r="AZ324" s="73" t="n"/>
      <c r="BA324" s="73" t="n"/>
      <c r="BB324" s="73" t="n"/>
      <c r="BC324" s="73" t="n"/>
      <c r="BD324" s="73" t="n"/>
      <c r="BE324" s="73" t="n"/>
      <c r="BF324" s="73" t="n"/>
      <c r="BG324" s="73" t="n"/>
      <c r="BH324" s="73" t="n"/>
      <c r="BI324" s="49" t="n"/>
      <c r="BJ324" s="73" t="n"/>
      <c r="BK324" s="49" t="n"/>
      <c r="BL324" s="73" t="n"/>
      <c r="BM324" s="49" t="n"/>
      <c r="BN324" s="73" t="n"/>
      <c r="BO324" s="73" t="n"/>
      <c r="BP324" s="73" t="n"/>
      <c r="BQ324" s="195">
        <f>COUNTIF($G324:$BP324,"a")+COUNTIF($G324:$BP324,"r0,a5")/2+COUNTIF($G324:$BP324,"p5,a5")/2</f>
        <v/>
      </c>
      <c r="BR324" s="195">
        <f>COUNTIF($G324:$BP324,"d")+COUNTIF($G324:$BP324,"r0,d5")/2+COUNTIF($G324:$BP324,"p5,d5")/2</f>
        <v/>
      </c>
      <c r="BS324" s="195">
        <f>COUNTIF($G324:$BP324,"b")+COUNTIF($G324:$BP324,"r0,b5")/2+COUNTIF($G324:$BP324,"p5,b5")/2</f>
        <v/>
      </c>
      <c r="BT324" s="195">
        <f>COUNTIF($G324:$BP324,"c")+COUNTIF($G324:$BP324,"r0,c5")/2+COUNTIF($G324:$BP324,"p5,c5")/2</f>
        <v/>
      </c>
      <c r="BU324" s="195">
        <f>COUNTIF($G324:$BP324,"KH")+COUNTIF($G324:$BP324,"TL")+COUNTIF($G324:$BP324,"L")</f>
        <v/>
      </c>
      <c r="BV324" s="202" t="n"/>
      <c r="BW324" s="195">
        <f>COUNTIF($G324:$BP324,"hh")</f>
        <v/>
      </c>
      <c r="BX324" s="195">
        <f>COUNTIF($G324:$BP324,"nt7")</f>
        <v/>
      </c>
      <c r="BY324" s="195">
        <f>COUNTIF($G324:$BP324,"P")+COUNTIF($G324:$BP324,"p5,a5")/2+COUNTIF($G324:$BP324,"p5,b5")/2+COUNTIF($G324:$BP324,"p5,c5")/2+COUNTIF($G324:$BP324,"p5,d5")/2</f>
        <v/>
      </c>
      <c r="BZ324" s="203">
        <f>SUBTOTAL(9,BQ324:BY324)</f>
        <v/>
      </c>
      <c r="CA324" s="54">
        <f>SUM(J324,L324,N324,P324,R324,T324,X324,Z324,AB324,AD324,AF324,AH324,AL324,AN324,AP324,AR324,AT324,AV324,AZ324,BB324,BD324,BF324,BH324,BP324)</f>
        <v/>
      </c>
      <c r="CB324" s="55">
        <f>SUM(H324,V324,AJ324,AX324,BL324)</f>
        <v/>
      </c>
      <c r="CC324" s="56">
        <f>SUM(BJ324,BN324)</f>
        <v/>
      </c>
      <c r="CD324" s="197">
        <f>IF(BZ324&gt;25,4,IF(BZ324&gt;18,3,IF(BZ324&gt;12,2,IF(BZ324&gt;4,1,0))))-BX324-2+1</f>
        <v/>
      </c>
      <c r="CE324" s="73" t="n">
        <v>2</v>
      </c>
      <c r="CF324" s="204">
        <f>CD324*CI324</f>
        <v/>
      </c>
      <c r="CG324" s="198" t="n">
        <v>0</v>
      </c>
      <c r="CH324" s="197">
        <f>CE324*16</f>
        <v/>
      </c>
      <c r="CI324" s="199">
        <f>VLOOKUP(A324,[1]DATA!$A$6:$AI$331,34,0)</f>
        <v/>
      </c>
      <c r="CJ324" s="200">
        <f>VLOOKUP(A324,[2]CHAMCONG!A$7:CI$333,79,0)</f>
        <v/>
      </c>
      <c r="CK324" s="201">
        <f>CJ324-CA324</f>
        <v/>
      </c>
      <c r="CL324" s="68" t="n"/>
      <c r="CM324" s="68" t="n"/>
    </row>
    <row r="325" ht="18" customFormat="1" customHeight="1" s="75">
      <c r="A325" s="82" t="n"/>
      <c r="B325" s="83" t="n"/>
      <c r="C325" s="125" t="n"/>
      <c r="D325" s="84" t="n"/>
      <c r="E325" s="85" t="n"/>
      <c r="F325" s="48" t="n"/>
      <c r="G325" s="49" t="n"/>
      <c r="H325" s="49" t="n"/>
      <c r="I325" s="49" t="n"/>
      <c r="J325" s="49" t="n"/>
      <c r="K325" s="49" t="n"/>
      <c r="L325" s="49" t="n"/>
      <c r="M325" s="49" t="n"/>
      <c r="N325" s="49" t="n"/>
      <c r="O325" s="49" t="n"/>
      <c r="P325" s="49" t="n"/>
      <c r="Q325" s="49" t="n"/>
      <c r="R325" s="49" t="n"/>
      <c r="S325" s="49" t="n"/>
      <c r="T325" s="49" t="n"/>
      <c r="U325" s="49" t="n"/>
      <c r="V325" s="49" t="n"/>
      <c r="W325" s="49" t="n"/>
      <c r="X325" s="49" t="n"/>
      <c r="Y325" s="49" t="n"/>
      <c r="Z325" s="49" t="n"/>
      <c r="AA325" s="49" t="n"/>
      <c r="AB325" s="49" t="n"/>
      <c r="AC325" s="49" t="n"/>
      <c r="AD325" s="49" t="n"/>
      <c r="AE325" s="49" t="n"/>
      <c r="AF325" s="49" t="n"/>
      <c r="AG325" s="49" t="n"/>
      <c r="AH325" s="49" t="n"/>
      <c r="AI325" s="49" t="n"/>
      <c r="AJ325" s="49" t="n"/>
      <c r="AK325" s="49" t="n"/>
      <c r="AL325" s="49" t="n"/>
      <c r="AM325" s="49" t="n"/>
      <c r="AN325" s="49" t="n"/>
      <c r="AO325" s="49" t="n"/>
      <c r="AP325" s="49" t="n"/>
      <c r="AQ325" s="49" t="n"/>
      <c r="AR325" s="49" t="n"/>
      <c r="AS325" s="49" t="n"/>
      <c r="AT325" s="49" t="n"/>
      <c r="AU325" s="49" t="n"/>
      <c r="AV325" s="49" t="n"/>
      <c r="AW325" s="49" t="n"/>
      <c r="AX325" s="49" t="n"/>
      <c r="AY325" s="49" t="n"/>
      <c r="AZ325" s="49" t="n"/>
      <c r="BA325" s="49" t="n"/>
      <c r="BB325" s="49" t="n"/>
      <c r="BC325" s="49" t="n"/>
      <c r="BD325" s="49" t="n"/>
      <c r="BE325" s="49" t="n"/>
      <c r="BF325" s="49" t="n"/>
      <c r="BG325" s="49" t="n"/>
      <c r="BH325" s="49" t="n"/>
      <c r="BI325" s="49" t="n"/>
      <c r="BJ325" s="49" t="n"/>
      <c r="BK325" s="49" t="n"/>
      <c r="BL325" s="49" t="n"/>
      <c r="BM325" s="49" t="n"/>
      <c r="BN325" s="49" t="n"/>
      <c r="BO325" s="49" t="n"/>
      <c r="BP325" s="49" t="n"/>
      <c r="BQ325" s="195">
        <f>COUNTIF($G325:$BP325,"a")+COUNTIF($G325:$BP325,"r0,a5")/2+COUNTIF($G325:$BP325,"p5,a5")/2</f>
        <v/>
      </c>
      <c r="BR325" s="195">
        <f>COUNTIF($G325:$BP325,"d")+COUNTIF($G325:$BP325,"r0,d5")/2+COUNTIF($G325:$BP325,"p5,d5")/2</f>
        <v/>
      </c>
      <c r="BS325" s="195">
        <f>COUNTIF($G325:$BP325,"b")+COUNTIF($G325:$BP325,"r0,b5")/2+COUNTIF($G325:$BP325,"p5,b5")/2</f>
        <v/>
      </c>
      <c r="BT325" s="195">
        <f>COUNTIF($G325:$BP325,"c")+COUNTIF($G325:$BP325,"r0,c5")/2+COUNTIF($G325:$BP325,"p5,c5")/2</f>
        <v/>
      </c>
      <c r="BU325" s="195">
        <f>COUNTIF($G325:$BP325,"KH")+COUNTIF($G325:$BP325,"TL")+COUNTIF($G325:$BP325,"L")</f>
        <v/>
      </c>
      <c r="BV325" s="202" t="n"/>
      <c r="BW325" s="195">
        <f>COUNTIF($G325:$BP325,"hh")</f>
        <v/>
      </c>
      <c r="BX325" s="195">
        <f>COUNTIF($G325:$BP325,"nt7")</f>
        <v/>
      </c>
      <c r="BY325" s="195">
        <f>COUNTIF($G325:$BP325,"P")+COUNTIF($G325:$BP325,"p5,a5")/2+COUNTIF($G325:$BP325,"p5,b5")/2+COUNTIF($G325:$BP325,"p5,c5")/2+COUNTIF($G325:$BP325,"p5,d5")/2</f>
        <v/>
      </c>
      <c r="BZ325" s="203">
        <f>SUBTOTAL(9,BQ325:BY325)</f>
        <v/>
      </c>
      <c r="CA325" s="54">
        <f>SUM(J325,L325,N325,P325,R325,T325,X325,Z325,AB325,AD325,AF325,AH325,AL325,AN325,AP325,AR325,AT325,AV325,AZ325,BB325,BD325,BF325,BH325,BP325)</f>
        <v/>
      </c>
      <c r="CB325" s="55">
        <f>SUM(H325,V325,AJ325,AX325,BL325)</f>
        <v/>
      </c>
      <c r="CC325" s="56">
        <f>SUM(BJ325,BN325)</f>
        <v/>
      </c>
      <c r="CD325" s="197">
        <f>IF(BZ325&gt;25,4,IF(BZ325&gt;18,3,IF(BZ325&gt;12,2,IF(BZ325&gt;4,1,0))))-BX325-2+1</f>
        <v/>
      </c>
      <c r="CE325" s="73" t="n"/>
      <c r="CF325" s="204">
        <f>CD325*CI325</f>
        <v/>
      </c>
      <c r="CG325" s="198" t="n">
        <v>0</v>
      </c>
      <c r="CH325" s="197">
        <f>CE325*16</f>
        <v/>
      </c>
      <c r="CI325" s="199" t="n">
        <v>70</v>
      </c>
      <c r="CJ325" s="200">
        <f>VLOOKUP(A325,[2]CHAMCONG!A$7:CI$333,79,0)</f>
        <v/>
      </c>
      <c r="CK325" s="201">
        <f>CJ325-CA325</f>
        <v/>
      </c>
      <c r="CL325" s="68" t="n"/>
      <c r="CM325" s="68" t="n"/>
    </row>
    <row r="326" ht="18" customFormat="1" customHeight="1" s="75">
      <c r="A326" s="69" t="n"/>
      <c r="B326" s="64" t="n"/>
      <c r="C326" s="115" t="n"/>
      <c r="D326" s="80" t="n"/>
      <c r="E326" s="86" t="n"/>
      <c r="F326" s="48" t="n"/>
      <c r="G326" s="49" t="n"/>
      <c r="H326" s="87" t="n"/>
      <c r="I326" s="73" t="n"/>
      <c r="J326" s="73" t="n"/>
      <c r="K326" s="73" t="n"/>
      <c r="L326" s="73" t="n"/>
      <c r="M326" s="73" t="n"/>
      <c r="N326" s="73" t="n"/>
      <c r="O326" s="87" t="n"/>
      <c r="P326" s="87" t="n"/>
      <c r="Q326" s="87" t="n"/>
      <c r="R326" s="87" t="n"/>
      <c r="S326" s="73" t="n"/>
      <c r="T326" s="73" t="n"/>
      <c r="U326" s="73" t="n"/>
      <c r="V326" s="73" t="n"/>
      <c r="W326" s="73" t="n"/>
      <c r="X326" s="73" t="n"/>
      <c r="Y326" s="73" t="n"/>
      <c r="Z326" s="73" t="n"/>
      <c r="AA326" s="73" t="n"/>
      <c r="AB326" s="73" t="n"/>
      <c r="AC326" s="73" t="n"/>
      <c r="AD326" s="73" t="n"/>
      <c r="AE326" s="87" t="n"/>
      <c r="AF326" s="87" t="n"/>
      <c r="AG326" s="87" t="n"/>
      <c r="AH326" s="87" t="n"/>
      <c r="AI326" s="73" t="n"/>
      <c r="AJ326" s="73" t="n"/>
      <c r="AK326" s="73" t="n"/>
      <c r="AL326" s="73" t="n"/>
      <c r="AM326" s="73" t="n"/>
      <c r="AN326" s="73" t="n"/>
      <c r="AO326" s="73" t="n"/>
      <c r="AP326" s="73" t="n"/>
      <c r="AQ326" s="87" t="n"/>
      <c r="AR326" s="87" t="n"/>
      <c r="AS326" s="87" t="n"/>
      <c r="AT326" s="87" t="n"/>
      <c r="AU326" s="87" t="n"/>
      <c r="AV326" s="87" t="n"/>
      <c r="AW326" s="87" t="n"/>
      <c r="AX326" s="87" t="n"/>
      <c r="AY326" s="87" t="n"/>
      <c r="AZ326" s="87" t="n"/>
      <c r="BA326" s="87" t="n"/>
      <c r="BB326" s="87" t="n"/>
      <c r="BC326" s="87" t="n"/>
      <c r="BD326" s="87" t="n"/>
      <c r="BE326" s="87" t="n"/>
      <c r="BF326" s="87" t="n"/>
      <c r="BG326" s="87" t="n"/>
      <c r="BH326" s="87" t="n"/>
      <c r="BI326" s="49" t="n"/>
      <c r="BJ326" s="87" t="n"/>
      <c r="BK326" s="49" t="n"/>
      <c r="BL326" s="87" t="n"/>
      <c r="BM326" s="49" t="n"/>
      <c r="BN326" s="87" t="n"/>
      <c r="BO326" s="87" t="n"/>
      <c r="BP326" s="87" t="n"/>
      <c r="BQ326" s="207">
        <f>COUNTIF($G326:$BP326,"a")+COUNTIF($G326:$BP326,"r0,a5")/2+COUNTIF($G326:$BP326,"p5,a5")/2</f>
        <v/>
      </c>
      <c r="BR326" s="207">
        <f>COUNTIF($G326:$BP326,"d")+COUNTIF($G326:$BP326,"r0,d5")/2+COUNTIF($G326:$BP326,"p5,d5")/2</f>
        <v/>
      </c>
      <c r="BS326" s="207">
        <f>COUNTIF($G326:$BP326,"b")+COUNTIF($G326:$BP326,"r0,b5")/2+COUNTIF($G326:$BP326,"p5,b5")/2</f>
        <v/>
      </c>
      <c r="BT326" s="207">
        <f>COUNTIF($G326:$BP326,"c")+COUNTIF($G326:$BP326,"r0,c5")/2+COUNTIF($G326:$BP326,"p5,c5")/2</f>
        <v/>
      </c>
      <c r="BU326" s="207">
        <f>COUNTIF($G326:$BP326,"KH")+COUNTIF($G326:$BP326,"TL")+COUNTIF($G326:$BP326,"L")</f>
        <v/>
      </c>
      <c r="BV326" s="208" t="n"/>
      <c r="BW326" s="207">
        <f>COUNTIF($G326:$BP326,"hh")</f>
        <v/>
      </c>
      <c r="BX326" s="207">
        <f>COUNTIF($G326:$BP326,"nt7")</f>
        <v/>
      </c>
      <c r="BY326" s="207">
        <f>COUNTIF($G326:$BP326,"P")+COUNTIF($G326:$BP326,"p5,a5")/2+COUNTIF($G326:$BP326,"p5,b5")/2+COUNTIF($G326:$BP326,"p5,c5")/2+COUNTIF($G326:$BP326,"p5,d5")/2</f>
        <v/>
      </c>
      <c r="BZ326" s="209">
        <f>SUBTOTAL(9,BQ326:BY326)</f>
        <v/>
      </c>
      <c r="CA326" s="91">
        <f>SUM(J326,L326,N326,P326,R326,T326,X326,Z326,AB326,AD326,AF326,AH326,AL326,AN326,AP326,AR326,AT326,AV326,AZ326,BB326,BD326,BF326,BH326,BP326)</f>
        <v/>
      </c>
      <c r="CB326" s="92">
        <f>SUM(H326,V326,AJ326,AX326,BL326)</f>
        <v/>
      </c>
      <c r="CC326" s="93">
        <f>SUM(BJ326,BN326)</f>
        <v/>
      </c>
      <c r="CD326" s="197">
        <f>IF(BZ326&gt;25,4,IF(BZ326&gt;18,3,IF(BZ326&gt;12,2,IF(BZ326&gt;4,1,0))))-BX326-2+1</f>
        <v/>
      </c>
      <c r="CE326" s="94" t="n"/>
      <c r="CF326" s="210">
        <f>CD326*CI326</f>
        <v/>
      </c>
      <c r="CG326" s="211" t="n">
        <v>0</v>
      </c>
      <c r="CH326" s="212">
        <f>CE326*16</f>
        <v/>
      </c>
      <c r="CI326" s="199" t="n">
        <v>150</v>
      </c>
      <c r="CJ326" s="200">
        <f>VLOOKUP(A326,[2]CHAMCONG!A$7:CI$333,79,0)</f>
        <v/>
      </c>
      <c r="CK326" s="201">
        <f>CJ326-CA326</f>
        <v/>
      </c>
      <c r="CL326" s="68" t="n"/>
      <c r="CM326" s="68" t="n"/>
    </row>
    <row r="327" ht="18" customFormat="1" customHeight="1" s="101">
      <c r="A327" s="69" t="n"/>
      <c r="B327" s="64" t="n"/>
      <c r="C327" s="115" t="n"/>
      <c r="D327" s="80" t="n"/>
      <c r="E327" s="81" t="n"/>
      <c r="F327" s="48" t="n"/>
      <c r="G327" s="49" t="n"/>
      <c r="H327" s="73" t="n"/>
      <c r="I327" s="73" t="n"/>
      <c r="J327" s="73" t="n"/>
      <c r="K327" s="73" t="n"/>
      <c r="L327" s="73" t="n"/>
      <c r="M327" s="73" t="n"/>
      <c r="N327" s="73" t="n"/>
      <c r="O327" s="73" t="n"/>
      <c r="P327" s="73" t="n"/>
      <c r="Q327" s="73" t="n"/>
      <c r="R327" s="73" t="n"/>
      <c r="S327" s="73" t="n"/>
      <c r="T327" s="73" t="n"/>
      <c r="U327" s="73" t="n"/>
      <c r="V327" s="73" t="n"/>
      <c r="W327" s="73" t="n"/>
      <c r="X327" s="73" t="n"/>
      <c r="Y327" s="73" t="n"/>
      <c r="Z327" s="73" t="n"/>
      <c r="AA327" s="73" t="n"/>
      <c r="AB327" s="73" t="n"/>
      <c r="AC327" s="73" t="n"/>
      <c r="AD327" s="73" t="n"/>
      <c r="AE327" s="73" t="n"/>
      <c r="AF327" s="73" t="n"/>
      <c r="AG327" s="73" t="n"/>
      <c r="AH327" s="73" t="n"/>
      <c r="AI327" s="73" t="n"/>
      <c r="AJ327" s="73" t="n"/>
      <c r="AK327" s="73" t="n"/>
      <c r="AL327" s="73" t="n"/>
      <c r="AM327" s="73" t="n"/>
      <c r="AN327" s="73" t="n"/>
      <c r="AO327" s="73" t="n"/>
      <c r="AP327" s="73" t="n"/>
      <c r="AQ327" s="73" t="n"/>
      <c r="AR327" s="73" t="n"/>
      <c r="AS327" s="73" t="n"/>
      <c r="AT327" s="73" t="n"/>
      <c r="AU327" s="73" t="n"/>
      <c r="AV327" s="73" t="n"/>
      <c r="AW327" s="73" t="n"/>
      <c r="AX327" s="73" t="n"/>
      <c r="AY327" s="73" t="n"/>
      <c r="AZ327" s="73" t="n"/>
      <c r="BA327" s="73" t="n"/>
      <c r="BB327" s="73" t="n"/>
      <c r="BC327" s="73" t="n"/>
      <c r="BD327" s="73" t="n"/>
      <c r="BE327" s="73" t="n"/>
      <c r="BF327" s="73" t="n"/>
      <c r="BG327" s="73" t="n"/>
      <c r="BH327" s="73" t="n"/>
      <c r="BI327" s="73" t="n"/>
      <c r="BJ327" s="73" t="n"/>
      <c r="BK327" s="73" t="n"/>
      <c r="BL327" s="73" t="n"/>
      <c r="BM327" s="73" t="n"/>
      <c r="BN327" s="73" t="n"/>
      <c r="BO327" s="73" t="n"/>
      <c r="BP327" s="73" t="n"/>
      <c r="BQ327" s="202">
        <f>COUNTIF($G327:$BP327,"a")+COUNTIF($G327:$BP327,"r0,a5")/2+COUNTIF($G327:$BP327,"p5,a5")/2</f>
        <v/>
      </c>
      <c r="BR327" s="202">
        <f>COUNTIF($G327:$BP327,"d")+COUNTIF($G327:$BP327,"r0,d5")/2+COUNTIF($G327:$BP327,"p5,d5")/2</f>
        <v/>
      </c>
      <c r="BS327" s="202">
        <f>COUNTIF($G327:$BP327,"b")+COUNTIF($G327:$BP327,"r0,b5")/2+COUNTIF($G327:$BP327,"p5,b5")/2</f>
        <v/>
      </c>
      <c r="BT327" s="202">
        <f>COUNTIF($G327:$BP327,"c")+COUNTIF($G327:$BP327,"r0,c5")/2+COUNTIF($G327:$BP327,"p5,c5")/2</f>
        <v/>
      </c>
      <c r="BU327" s="202">
        <f>COUNTIF($G327:$BP327,"KH")+COUNTIF($G327:$BP327,"TL")+COUNTIF($G327:$BP327,"L")</f>
        <v/>
      </c>
      <c r="BV327" s="202" t="n"/>
      <c r="BW327" s="202">
        <f>COUNTIF($G327:$BP327,"hh")</f>
        <v/>
      </c>
      <c r="BX327" s="202">
        <f>COUNTIF($G327:$BP327,"nt7")</f>
        <v/>
      </c>
      <c r="BY327" s="202">
        <f>COUNTIF($G327:$BP327,"P")+COUNTIF($G327:$BP327,"p5,a5")/2+COUNTIF($G327:$BP327,"p5,b5")/2+COUNTIF($G327:$BP327,"p5,c5")/2+COUNTIF($G327:$BP327,"p5,d5")/2</f>
        <v/>
      </c>
      <c r="BZ327" s="203">
        <f>SUBTOTAL(9,BQ327:BY327)</f>
        <v/>
      </c>
      <c r="CA327" s="54">
        <f>SUM(J327,L327,N327,P327,R327,T327,X327,Z327,AB327,AD327,AF327,AH327,AL327,AN327,AP327,AR327,AT327,AV327,AZ327,BB327,BD327,BF327,BH327,BP327)</f>
        <v/>
      </c>
      <c r="CB327" s="55">
        <f>SUM(H327,V327,AJ327,AX327,BL327)</f>
        <v/>
      </c>
      <c r="CC327" s="56">
        <f>SUM(BJ327,BN327)</f>
        <v/>
      </c>
      <c r="CD327" s="197">
        <f>IF(BZ327&gt;25,4,IF(BZ327&gt;18,3,IF(BZ327&gt;12,2,IF(BZ327&gt;4,1,0))))-BX327-2+1</f>
        <v/>
      </c>
      <c r="CE327" s="73" t="n"/>
      <c r="CF327" s="204">
        <f>CD327*CI327</f>
        <v/>
      </c>
      <c r="CG327" s="213" t="n">
        <v>0</v>
      </c>
      <c r="CH327" s="204">
        <f>CE327*16</f>
        <v/>
      </c>
      <c r="CI327" s="199" t="n">
        <v>150</v>
      </c>
      <c r="CJ327" s="214">
        <f>VLOOKUP(A327,[2]CHAMCONG!A$7:CI$333,79,0)</f>
        <v/>
      </c>
      <c r="CK327" s="215">
        <f>CJ327-CA327</f>
        <v/>
      </c>
      <c r="CL327" s="68" t="n"/>
      <c r="CM327" s="68" t="n"/>
    </row>
    <row r="328" ht="18" customFormat="1" customHeight="1" s="101">
      <c r="A328" s="69" t="n"/>
      <c r="B328" s="64" t="n"/>
      <c r="C328" s="115" t="n"/>
      <c r="D328" s="80" t="n"/>
      <c r="E328" s="81" t="n"/>
      <c r="F328" s="48" t="n"/>
      <c r="G328" s="49" t="n"/>
      <c r="H328" s="73" t="n"/>
      <c r="I328" s="73" t="n"/>
      <c r="J328" s="73" t="n"/>
      <c r="K328" s="73" t="n"/>
      <c r="L328" s="73" t="n"/>
      <c r="M328" s="73" t="n"/>
      <c r="N328" s="73" t="n"/>
      <c r="O328" s="73" t="n"/>
      <c r="P328" s="73" t="n"/>
      <c r="Q328" s="73" t="n"/>
      <c r="R328" s="73" t="n"/>
      <c r="S328" s="73" t="n"/>
      <c r="T328" s="73" t="n"/>
      <c r="U328" s="73" t="n"/>
      <c r="V328" s="73" t="n"/>
      <c r="W328" s="73" t="n"/>
      <c r="X328" s="73" t="n"/>
      <c r="Y328" s="73" t="n"/>
      <c r="Z328" s="73" t="n"/>
      <c r="AA328" s="73" t="n"/>
      <c r="AB328" s="73" t="n"/>
      <c r="AC328" s="73" t="n"/>
      <c r="AD328" s="73" t="n"/>
      <c r="AE328" s="73" t="n"/>
      <c r="AF328" s="73" t="n"/>
      <c r="AG328" s="73" t="n"/>
      <c r="AH328" s="73" t="n"/>
      <c r="AI328" s="73" t="n"/>
      <c r="AJ328" s="73" t="n"/>
      <c r="AK328" s="73" t="n"/>
      <c r="AL328" s="73" t="n"/>
      <c r="AM328" s="73" t="n"/>
      <c r="AN328" s="73" t="n"/>
      <c r="AO328" s="73" t="n"/>
      <c r="AP328" s="73" t="n"/>
      <c r="AQ328" s="73" t="n"/>
      <c r="AR328" s="73" t="n"/>
      <c r="AS328" s="73" t="n"/>
      <c r="AT328" s="73" t="n"/>
      <c r="AU328" s="73" t="n"/>
      <c r="AV328" s="73" t="n"/>
      <c r="AW328" s="73" t="n"/>
      <c r="AX328" s="73" t="n"/>
      <c r="AY328" s="73" t="n"/>
      <c r="AZ328" s="73" t="n"/>
      <c r="BA328" s="73" t="n"/>
      <c r="BB328" s="73" t="n"/>
      <c r="BC328" s="73" t="n"/>
      <c r="BD328" s="73" t="n"/>
      <c r="BE328" s="73" t="n"/>
      <c r="BF328" s="73" t="n"/>
      <c r="BG328" s="73" t="n"/>
      <c r="BH328" s="73" t="n"/>
      <c r="BI328" s="73" t="n"/>
      <c r="BJ328" s="73" t="n"/>
      <c r="BK328" s="73" t="n"/>
      <c r="BL328" s="73" t="n"/>
      <c r="BM328" s="73" t="n"/>
      <c r="BN328" s="73" t="n"/>
      <c r="BO328" s="73" t="n"/>
      <c r="BP328" s="73" t="n"/>
      <c r="BQ328" s="202">
        <f>COUNTIF($G328:$BP328,"a")+COUNTIF($G328:$BP328,"r0,a5")/2+COUNTIF($G328:$BP328,"p5,a5")/2</f>
        <v/>
      </c>
      <c r="BR328" s="202">
        <f>COUNTIF($G328:$BP328,"d")+COUNTIF($G328:$BP328,"r0,d5")/2+COUNTIF($G328:$BP328,"p5,d5")/2</f>
        <v/>
      </c>
      <c r="BS328" s="202">
        <f>COUNTIF($G328:$BP328,"b")+COUNTIF($G328:$BP328,"r0,b5")/2+COUNTIF($G328:$BP328,"p5,b5")/2</f>
        <v/>
      </c>
      <c r="BT328" s="202">
        <f>COUNTIF($G328:$BP328,"c")+COUNTIF($G328:$BP328,"r0,c5")/2+COUNTIF($G328:$BP328,"p5,c5")/2</f>
        <v/>
      </c>
      <c r="BU328" s="202">
        <f>COUNTIF($G328:$BP328,"KH")+COUNTIF($G328:$BP328,"TL")+COUNTIF($G328:$BP328,"L")</f>
        <v/>
      </c>
      <c r="BV328" s="202" t="n"/>
      <c r="BW328" s="202">
        <f>COUNTIF($G328:$BP328,"hh")</f>
        <v/>
      </c>
      <c r="BX328" s="202">
        <f>COUNTIF($G328:$BP328,"nt7")</f>
        <v/>
      </c>
      <c r="BY328" s="202">
        <f>COUNTIF($G328:$BP328,"P")+COUNTIF($G328:$BP328,"p5,a5")/2+COUNTIF($G328:$BP328,"p5,b5")/2+COUNTIF($G328:$BP328,"p5,c5")/2+COUNTIF($G328:$BP328,"p5,d5")/2</f>
        <v/>
      </c>
      <c r="BZ328" s="203">
        <f>SUBTOTAL(9,BQ328:BY328)</f>
        <v/>
      </c>
      <c r="CA328" s="54">
        <f>SUM(J328,L328,N328,P328,R328,T328,X328,Z328,AB328,AD328,AF328,AH328,AL328,AN328,AP328,AR328,AT328,AV328,AZ328,BB328,BD328,BF328,BH328,BP328)</f>
        <v/>
      </c>
      <c r="CB328" s="55">
        <f>SUM(H328,V328,AJ328,AX328,BL328)</f>
        <v/>
      </c>
      <c r="CC328" s="56">
        <f>SUM(BJ328,BN328)</f>
        <v/>
      </c>
      <c r="CD328" s="197">
        <f>IF(BZ328&gt;25,4,IF(BZ328&gt;18,3,IF(BZ328&gt;12,2,IF(BZ328&gt;4,1,0))))-BX328-2+1</f>
        <v/>
      </c>
      <c r="CE328" s="73" t="n"/>
      <c r="CF328" s="204">
        <f>CD328*CI328</f>
        <v/>
      </c>
      <c r="CG328" s="213" t="n">
        <v>0</v>
      </c>
      <c r="CH328" s="204">
        <f>CE328*16</f>
        <v/>
      </c>
      <c r="CI328" s="199" t="n">
        <v>150</v>
      </c>
      <c r="CJ328" s="214">
        <f>VLOOKUP(A328,[2]CHAMCONG!A$7:CI$333,79,0)</f>
        <v/>
      </c>
      <c r="CK328" s="215">
        <f>CJ328-CA328</f>
        <v/>
      </c>
      <c r="CL328" s="68" t="n"/>
      <c r="CM328" s="68" t="n"/>
    </row>
    <row r="329" ht="18" customFormat="1" customHeight="1" s="101">
      <c r="A329" s="69" t="n"/>
      <c r="B329" s="64" t="n"/>
      <c r="C329" s="115" t="n"/>
      <c r="D329" s="80" t="n"/>
      <c r="E329" s="81" t="n"/>
      <c r="F329" s="48" t="n"/>
      <c r="G329" s="49" t="n"/>
      <c r="H329" s="73" t="n"/>
      <c r="I329" s="73" t="n"/>
      <c r="J329" s="73" t="n"/>
      <c r="K329" s="73" t="n"/>
      <c r="L329" s="73" t="n"/>
      <c r="M329" s="73" t="n"/>
      <c r="N329" s="73" t="n"/>
      <c r="O329" s="73" t="n"/>
      <c r="P329" s="73" t="n"/>
      <c r="Q329" s="73" t="n"/>
      <c r="R329" s="73" t="n"/>
      <c r="S329" s="73" t="n"/>
      <c r="T329" s="73" t="n"/>
      <c r="U329" s="73" t="n"/>
      <c r="V329" s="73" t="n"/>
      <c r="W329" s="73" t="n"/>
      <c r="X329" s="73" t="n"/>
      <c r="Y329" s="73" t="n"/>
      <c r="Z329" s="73" t="n"/>
      <c r="AA329" s="73" t="n"/>
      <c r="AB329" s="73" t="n"/>
      <c r="AC329" s="73" t="n"/>
      <c r="AD329" s="73" t="n"/>
      <c r="AE329" s="73" t="n"/>
      <c r="AF329" s="73" t="n"/>
      <c r="AG329" s="73" t="n"/>
      <c r="AH329" s="73" t="n"/>
      <c r="AI329" s="73" t="n"/>
      <c r="AJ329" s="73" t="n"/>
      <c r="AK329" s="73" t="n"/>
      <c r="AL329" s="73" t="n"/>
      <c r="AM329" s="73" t="n"/>
      <c r="AN329" s="73" t="n"/>
      <c r="AO329" s="73" t="n"/>
      <c r="AP329" s="73" t="n"/>
      <c r="AQ329" s="73" t="n"/>
      <c r="AR329" s="73" t="n"/>
      <c r="AS329" s="73" t="n"/>
      <c r="AT329" s="73" t="n"/>
      <c r="AU329" s="73" t="n"/>
      <c r="AV329" s="73" t="n"/>
      <c r="AW329" s="73" t="n"/>
      <c r="AX329" s="73" t="n"/>
      <c r="AY329" s="73" t="n"/>
      <c r="AZ329" s="73" t="n"/>
      <c r="BA329" s="73" t="n"/>
      <c r="BB329" s="73" t="n"/>
      <c r="BC329" s="73" t="n"/>
      <c r="BD329" s="73" t="n"/>
      <c r="BE329" s="73" t="n"/>
      <c r="BF329" s="73" t="n"/>
      <c r="BG329" s="73" t="n"/>
      <c r="BH329" s="73" t="n"/>
      <c r="BI329" s="73" t="n"/>
      <c r="BJ329" s="73" t="n"/>
      <c r="BK329" s="73" t="n"/>
      <c r="BL329" s="73" t="n"/>
      <c r="BM329" s="73" t="n"/>
      <c r="BN329" s="73" t="n"/>
      <c r="BO329" s="73" t="n"/>
      <c r="BP329" s="73" t="n"/>
      <c r="BQ329" s="202">
        <f>COUNTIF($G329:$BP329,"a")+COUNTIF($G329:$BP329,"r0,a5")/2+COUNTIF($G329:$BP329,"p5,a5")/2</f>
        <v/>
      </c>
      <c r="BR329" s="202">
        <f>COUNTIF($G329:$BP329,"d")+COUNTIF($G329:$BP329,"r0,d5")/2+COUNTIF($G329:$BP329,"p5,d5")/2</f>
        <v/>
      </c>
      <c r="BS329" s="202">
        <f>COUNTIF($G329:$BP329,"b")+COUNTIF($G329:$BP329,"r0,b5")/2+COUNTIF($G329:$BP329,"p5,b5")/2</f>
        <v/>
      </c>
      <c r="BT329" s="202">
        <f>COUNTIF($G329:$BP329,"c")+COUNTIF($G329:$BP329,"r0,c5")/2+COUNTIF($G329:$BP329,"p5,c5")/2</f>
        <v/>
      </c>
      <c r="BU329" s="202">
        <f>COUNTIF($G329:$BP329,"KH")+COUNTIF($G329:$BP329,"TL")+COUNTIF($G329:$BP329,"L")</f>
        <v/>
      </c>
      <c r="BV329" s="202" t="n"/>
      <c r="BW329" s="202">
        <f>COUNTIF($G329:$BP329,"hh")</f>
        <v/>
      </c>
      <c r="BX329" s="202">
        <f>COUNTIF($G329:$BP329,"nt7")</f>
        <v/>
      </c>
      <c r="BY329" s="202">
        <f>COUNTIF($G329:$BP329,"P")+COUNTIF($G329:$BP329,"p5,a5")/2+COUNTIF($G329:$BP329,"p5,b5")/2+COUNTIF($G329:$BP329,"p5,c5")/2+COUNTIF($G329:$BP329,"p5,d5")/2</f>
        <v/>
      </c>
      <c r="BZ329" s="203">
        <f>SUBTOTAL(9,BQ329:BY329)</f>
        <v/>
      </c>
      <c r="CA329" s="54">
        <f>SUM(J329,L329,N329,P329,R329,T329,X329,Z329,AB329,AD329,AF329,AH329,AL329,AN329,AP329,AR329,AT329,AV329,AZ329,BB329,BD329,BF329,BH329,BP329)</f>
        <v/>
      </c>
      <c r="CB329" s="55">
        <f>SUM(H329,V329,AJ329,AX329,BL329)</f>
        <v/>
      </c>
      <c r="CC329" s="56">
        <f>SUM(BJ329,BN329)</f>
        <v/>
      </c>
      <c r="CD329" s="197">
        <f>IF(BZ329&gt;25,4,IF(BZ329&gt;18,3,IF(BZ329&gt;12,2,IF(BZ329&gt;4,1,0))))-BX329-2+1</f>
        <v/>
      </c>
      <c r="CE329" s="73" t="n"/>
      <c r="CF329" s="204">
        <f>CD329*CI329</f>
        <v/>
      </c>
      <c r="CG329" s="213" t="n">
        <v>0</v>
      </c>
      <c r="CH329" s="204">
        <f>CE329*16</f>
        <v/>
      </c>
      <c r="CI329" s="216" t="n">
        <v>150</v>
      </c>
      <c r="CJ329" s="214">
        <f>VLOOKUP(A329,[2]CHAMCONG!A$7:CI$333,79,0)</f>
        <v/>
      </c>
      <c r="CK329" s="215">
        <f>CJ329-CA329</f>
        <v/>
      </c>
      <c r="CL329" s="68" t="n"/>
      <c r="CM329" s="68" t="n"/>
    </row>
    <row r="330" ht="18" customFormat="1" customHeight="1" s="75">
      <c r="A330" s="69" t="n"/>
      <c r="B330" s="64" t="n"/>
      <c r="C330" s="115" t="n"/>
      <c r="D330" s="84" t="n"/>
      <c r="E330" s="85" t="n"/>
      <c r="F330" s="48" t="n"/>
      <c r="G330" s="49" t="n"/>
      <c r="H330" s="49" t="n"/>
      <c r="I330" s="49" t="n"/>
      <c r="J330" s="49" t="n"/>
      <c r="K330" s="49" t="n"/>
      <c r="L330" s="49" t="n"/>
      <c r="M330" s="49" t="n"/>
      <c r="N330" s="49" t="n"/>
      <c r="O330" s="49" t="n"/>
      <c r="P330" s="49" t="n"/>
      <c r="Q330" s="49" t="n"/>
      <c r="R330" s="49" t="n"/>
      <c r="S330" s="49" t="n"/>
      <c r="T330" s="49" t="n"/>
      <c r="U330" s="49" t="n"/>
      <c r="V330" s="49" t="n"/>
      <c r="W330" s="49" t="n"/>
      <c r="X330" s="49" t="n"/>
      <c r="Y330" s="49" t="n"/>
      <c r="Z330" s="49" t="n"/>
      <c r="AA330" s="49" t="n"/>
      <c r="AB330" s="49" t="n"/>
      <c r="AC330" s="49" t="n"/>
      <c r="AD330" s="49" t="n"/>
      <c r="AE330" s="49" t="n"/>
      <c r="AF330" s="49" t="n"/>
      <c r="AG330" s="49" t="n"/>
      <c r="AH330" s="49" t="n"/>
      <c r="AI330" s="49" t="n"/>
      <c r="AJ330" s="49" t="n"/>
      <c r="AK330" s="49" t="n"/>
      <c r="AL330" s="49" t="n"/>
      <c r="AM330" s="49" t="n"/>
      <c r="AN330" s="49" t="n"/>
      <c r="AO330" s="49" t="n"/>
      <c r="AP330" s="49" t="n"/>
      <c r="AQ330" s="49" t="n"/>
      <c r="AR330" s="49" t="n"/>
      <c r="AS330" s="49" t="n"/>
      <c r="AT330" s="49" t="n"/>
      <c r="AU330" s="49" t="n"/>
      <c r="AV330" s="49" t="n"/>
      <c r="AW330" s="49" t="n"/>
      <c r="AX330" s="49" t="n"/>
      <c r="AY330" s="49" t="n"/>
      <c r="AZ330" s="49" t="n"/>
      <c r="BA330" s="49" t="n"/>
      <c r="BB330" s="49" t="n"/>
      <c r="BC330" s="49" t="n"/>
      <c r="BD330" s="49" t="n"/>
      <c r="BE330" s="49" t="n"/>
      <c r="BF330" s="49" t="n"/>
      <c r="BG330" s="49" t="n"/>
      <c r="BH330" s="49" t="n"/>
      <c r="BI330" s="49" t="n"/>
      <c r="BJ330" s="49" t="n"/>
      <c r="BK330" s="49" t="n"/>
      <c r="BL330" s="49" t="n"/>
      <c r="BM330" s="49" t="n"/>
      <c r="BN330" s="49" t="n"/>
      <c r="BO330" s="49" t="n"/>
      <c r="BP330" s="49" t="n"/>
      <c r="BQ330" s="195">
        <f>COUNTIF($G330:$BP330,"a")+COUNTIF($G330:$BP330,"r0,a5")/2+COUNTIF($G330:$BP330,"p5,a5")/2</f>
        <v/>
      </c>
      <c r="BR330" s="195">
        <f>COUNTIF($G330:$BP330,"d")+COUNTIF($G330:$BP330,"r0,d5")/2+COUNTIF($G330:$BP330,"p5,d5")/2</f>
        <v/>
      </c>
      <c r="BS330" s="195">
        <f>COUNTIF($G330:$BP330,"b")+COUNTIF($G330:$BP330,"r0,b5")/2+COUNTIF($G330:$BP330,"p5,b5")/2</f>
        <v/>
      </c>
      <c r="BT330" s="195">
        <f>COUNTIF($G330:$BP330,"c")+COUNTIF($G330:$BP330,"r0,c5")/2+COUNTIF($G330:$BP330,"p5,c5")/2</f>
        <v/>
      </c>
      <c r="BU330" s="195">
        <f>COUNTIF($G330:$BP330,"KH")+COUNTIF($G330:$BP330,"TL")+COUNTIF($G330:$BP330,"L")</f>
        <v/>
      </c>
      <c r="BV330" s="195" t="n"/>
      <c r="BW330" s="195">
        <f>COUNTIF($G330:$BP330,"hh")</f>
        <v/>
      </c>
      <c r="BX330" s="195">
        <f>COUNTIF($G330:$BP330,"nt7")</f>
        <v/>
      </c>
      <c r="BY330" s="195">
        <f>COUNTIF($G330:$BP330,"P")+COUNTIF($G330:$BP330,"p5,a5")/2+COUNTIF($G330:$BP330,"p5,b5")/2+COUNTIF($G330:$BP330,"p5,c5")/2+COUNTIF($G330:$BP330,"p5,d5")/2</f>
        <v/>
      </c>
      <c r="BZ330" s="196">
        <f>SUBTOTAL(9,BQ330:BY330)</f>
        <v/>
      </c>
      <c r="CA330" s="103">
        <f>SUM(J330,L330,N330,P330,R330,T330,X330,Z330,AB330,AD330,AF330,AH330,AL330,AN330,AP330,AR330,AT330,AV330,AZ330,BB330,BD330,BF330,BH330,BP330)</f>
        <v/>
      </c>
      <c r="CB330" s="104">
        <f>SUM(H330,V330,AJ330,AX330,BL330)</f>
        <v/>
      </c>
      <c r="CC330" s="105">
        <f>SUM(BJ330,BN330)</f>
        <v/>
      </c>
      <c r="CD330" s="197">
        <f>IF(BZ330&gt;25,4,IF(BZ330&gt;18,3,IF(BZ330&gt;12,2,IF(BZ330&gt;4,1,0))))-BX330-2+1</f>
        <v/>
      </c>
      <c r="CE330" s="49" t="n"/>
      <c r="CF330" s="197">
        <f>CD330*CI330</f>
        <v/>
      </c>
      <c r="CG330" s="198" t="n">
        <v>0</v>
      </c>
      <c r="CH330" s="197">
        <f>CE330*16</f>
        <v/>
      </c>
      <c r="CI330" s="199" t="n">
        <v>70</v>
      </c>
      <c r="CJ330" s="200">
        <f>VLOOKUP(A330,[2]CHAMCONG!A$7:CI$333,79,0)</f>
        <v/>
      </c>
      <c r="CK330" s="201">
        <f>CJ330-CA330</f>
        <v/>
      </c>
      <c r="CL330" s="68" t="n"/>
      <c r="CM330" s="68" t="n"/>
    </row>
    <row r="331" ht="18" customFormat="1" customHeight="1" s="75">
      <c r="A331" s="107" t="n"/>
      <c r="B331" s="108" t="n"/>
      <c r="C331" s="125" t="n"/>
      <c r="D331" s="84" t="n"/>
      <c r="E331" s="85" t="n"/>
      <c r="F331" s="48" t="n"/>
      <c r="G331" s="49" t="n"/>
      <c r="H331" s="49" t="n"/>
      <c r="I331" s="49" t="n"/>
      <c r="J331" s="49" t="n"/>
      <c r="K331" s="49" t="n"/>
      <c r="L331" s="49" t="n"/>
      <c r="M331" s="49" t="n"/>
      <c r="N331" s="49" t="n"/>
      <c r="O331" s="49" t="n"/>
      <c r="P331" s="49" t="n"/>
      <c r="Q331" s="49" t="n"/>
      <c r="R331" s="49" t="n"/>
      <c r="S331" s="49" t="n"/>
      <c r="T331" s="49" t="n"/>
      <c r="U331" s="49" t="n"/>
      <c r="V331" s="49" t="n"/>
      <c r="W331" s="49" t="n"/>
      <c r="X331" s="49" t="n"/>
      <c r="Y331" s="49" t="n"/>
      <c r="Z331" s="49" t="n"/>
      <c r="AA331" s="49" t="n"/>
      <c r="AB331" s="49" t="n"/>
      <c r="AC331" s="49" t="n"/>
      <c r="AD331" s="49" t="n"/>
      <c r="AE331" s="49" t="n"/>
      <c r="AF331" s="49" t="n"/>
      <c r="AG331" s="49" t="n"/>
      <c r="AH331" s="49" t="n"/>
      <c r="AI331" s="49" t="n"/>
      <c r="AJ331" s="49" t="n"/>
      <c r="AK331" s="49" t="n"/>
      <c r="AL331" s="49" t="n"/>
      <c r="AM331" s="49" t="n"/>
      <c r="AN331" s="49" t="n"/>
      <c r="AO331" s="49" t="n"/>
      <c r="AP331" s="49" t="n"/>
      <c r="AQ331" s="49" t="n"/>
      <c r="AR331" s="49" t="n"/>
      <c r="AS331" s="49" t="n"/>
      <c r="AT331" s="49" t="n"/>
      <c r="AU331" s="49" t="n"/>
      <c r="AV331" s="49" t="n"/>
      <c r="AW331" s="49" t="n"/>
      <c r="AX331" s="49" t="n"/>
      <c r="AY331" s="49" t="n"/>
      <c r="AZ331" s="49" t="n"/>
      <c r="BA331" s="49" t="n"/>
      <c r="BB331" s="49" t="n"/>
      <c r="BC331" s="49" t="n"/>
      <c r="BD331" s="49" t="n"/>
      <c r="BE331" s="49" t="n"/>
      <c r="BF331" s="49" t="n"/>
      <c r="BG331" s="49" t="n"/>
      <c r="BH331" s="49" t="n"/>
      <c r="BI331" s="49" t="n"/>
      <c r="BJ331" s="49" t="n"/>
      <c r="BK331" s="49" t="n"/>
      <c r="BL331" s="49" t="n"/>
      <c r="BM331" s="49" t="n"/>
      <c r="BN331" s="49" t="n"/>
      <c r="BO331" s="49" t="n"/>
      <c r="BP331" s="49" t="n"/>
      <c r="BQ331" s="195" t="n"/>
      <c r="BR331" s="195" t="n"/>
      <c r="BS331" s="195" t="n"/>
      <c r="BT331" s="195" t="n"/>
      <c r="BU331" s="195" t="n"/>
      <c r="BV331" s="195" t="n"/>
      <c r="BW331" s="195" t="n"/>
      <c r="BX331" s="195" t="n"/>
      <c r="BY331" s="195" t="n"/>
      <c r="BZ331" s="196" t="n"/>
      <c r="CA331" s="103" t="n"/>
      <c r="CB331" s="104" t="n"/>
      <c r="CC331" s="105" t="n"/>
      <c r="CD331" s="197" t="n"/>
      <c r="CE331" s="49" t="n"/>
      <c r="CF331" s="197" t="n"/>
      <c r="CG331" s="198" t="n"/>
      <c r="CH331" s="197" t="n"/>
      <c r="CI331" s="199" t="n"/>
      <c r="CJ331" s="200" t="n"/>
      <c r="CK331" s="201" t="n"/>
      <c r="CL331" s="68" t="n"/>
      <c r="CM331" s="68" t="n"/>
    </row>
    <row r="332" ht="18" customFormat="1" customHeight="1" s="75">
      <c r="A332" s="107" t="n"/>
      <c r="B332" s="108" t="n"/>
      <c r="C332" s="115" t="n"/>
      <c r="D332" s="84" t="n"/>
      <c r="E332" s="85" t="n"/>
      <c r="F332" s="137" t="n"/>
      <c r="G332" s="49" t="n"/>
      <c r="H332" s="49" t="n"/>
      <c r="I332" s="49" t="n"/>
      <c r="J332" s="49" t="n"/>
      <c r="K332" s="49" t="n"/>
      <c r="L332" s="49" t="n"/>
      <c r="M332" s="49" t="n"/>
      <c r="N332" s="49" t="n"/>
      <c r="O332" s="49" t="n"/>
      <c r="P332" s="49" t="n"/>
      <c r="Q332" s="49" t="n"/>
      <c r="R332" s="49" t="n"/>
      <c r="S332" s="49" t="n"/>
      <c r="T332" s="49" t="n"/>
      <c r="U332" s="49" t="n"/>
      <c r="V332" s="49" t="n"/>
      <c r="W332" s="49" t="n"/>
      <c r="X332" s="49" t="n"/>
      <c r="Y332" s="49" t="n"/>
      <c r="Z332" s="49" t="n"/>
      <c r="AA332" s="49" t="n"/>
      <c r="AB332" s="49" t="n"/>
      <c r="AC332" s="49" t="n"/>
      <c r="AD332" s="49" t="n"/>
      <c r="AE332" s="49" t="n"/>
      <c r="AF332" s="49" t="n"/>
      <c r="AG332" s="49" t="n"/>
      <c r="AH332" s="49" t="n"/>
      <c r="AI332" s="49" t="n"/>
      <c r="AJ332" s="49" t="n"/>
      <c r="AK332" s="49" t="n"/>
      <c r="AL332" s="49" t="n"/>
      <c r="AM332" s="49" t="n"/>
      <c r="AN332" s="49" t="n"/>
      <c r="AO332" s="49" t="n"/>
      <c r="AP332" s="49" t="n"/>
      <c r="AQ332" s="49" t="n"/>
      <c r="AR332" s="49" t="n"/>
      <c r="AS332" s="49" t="n"/>
      <c r="AT332" s="49" t="n"/>
      <c r="AU332" s="49" t="n"/>
      <c r="AV332" s="49" t="n"/>
      <c r="AW332" s="49" t="n"/>
      <c r="AX332" s="49" t="n"/>
      <c r="AY332" s="49" t="n"/>
      <c r="AZ332" s="49" t="n"/>
      <c r="BA332" s="49" t="n"/>
      <c r="BB332" s="49" t="n"/>
      <c r="BC332" s="49" t="n"/>
      <c r="BD332" s="49" t="n"/>
      <c r="BE332" s="49" t="n"/>
      <c r="BF332" s="49" t="n"/>
      <c r="BG332" s="49" t="n"/>
      <c r="BH332" s="49" t="n"/>
      <c r="BI332" s="49" t="n"/>
      <c r="BJ332" s="49" t="n"/>
      <c r="BK332" s="49" t="n"/>
      <c r="BL332" s="49" t="n"/>
      <c r="BM332" s="49" t="n"/>
      <c r="BN332" s="49" t="n"/>
      <c r="BO332" s="49" t="n"/>
      <c r="BP332" s="49" t="n"/>
      <c r="BQ332" s="195" t="n"/>
      <c r="BR332" s="195" t="n"/>
      <c r="BS332" s="195" t="n"/>
      <c r="BT332" s="195" t="n"/>
      <c r="BU332" s="195" t="n"/>
      <c r="BV332" s="195" t="n"/>
      <c r="BW332" s="195" t="n"/>
      <c r="BX332" s="195" t="n"/>
      <c r="BY332" s="195" t="n"/>
      <c r="BZ332" s="196" t="n"/>
      <c r="CA332" s="103" t="n"/>
      <c r="CB332" s="104" t="n"/>
      <c r="CC332" s="105" t="n"/>
      <c r="CD332" s="197" t="n"/>
      <c r="CE332" s="49" t="n"/>
      <c r="CF332" s="197" t="n"/>
      <c r="CG332" s="198" t="n"/>
      <c r="CH332" s="197" t="n"/>
      <c r="CI332" s="199" t="n"/>
      <c r="CJ332" s="200" t="n"/>
      <c r="CK332" s="201" t="n"/>
      <c r="CL332" s="68" t="n"/>
      <c r="CM332" s="68" t="n"/>
    </row>
    <row r="333" ht="18" customFormat="1" customHeight="1" s="75">
      <c r="A333" s="107" t="n"/>
      <c r="B333" s="108" t="n"/>
      <c r="C333" s="125" t="n"/>
      <c r="D333" s="84" t="n"/>
      <c r="E333" s="85" t="n"/>
      <c r="F333" s="137" t="n"/>
      <c r="G333" s="49" t="n"/>
      <c r="H333" s="49" t="n"/>
      <c r="I333" s="49" t="n"/>
      <c r="J333" s="49" t="n"/>
      <c r="K333" s="49" t="n"/>
      <c r="L333" s="49" t="n"/>
      <c r="M333" s="49" t="n"/>
      <c r="N333" s="49" t="n"/>
      <c r="O333" s="49" t="n"/>
      <c r="P333" s="49" t="n"/>
      <c r="Q333" s="49" t="n"/>
      <c r="R333" s="49" t="n"/>
      <c r="S333" s="49" t="n"/>
      <c r="T333" s="49" t="n"/>
      <c r="U333" s="49" t="n"/>
      <c r="V333" s="49" t="n"/>
      <c r="W333" s="49" t="n"/>
      <c r="X333" s="49" t="n"/>
      <c r="Y333" s="49" t="n"/>
      <c r="Z333" s="49" t="n"/>
      <c r="AA333" s="49" t="n"/>
      <c r="AB333" s="49" t="n"/>
      <c r="AC333" s="49" t="n"/>
      <c r="AD333" s="49" t="n"/>
      <c r="AE333" s="49" t="n"/>
      <c r="AF333" s="49" t="n"/>
      <c r="AG333" s="49" t="n"/>
      <c r="AH333" s="49" t="n"/>
      <c r="AI333" s="49" t="n"/>
      <c r="AJ333" s="49" t="n"/>
      <c r="AK333" s="49" t="n"/>
      <c r="AL333" s="49" t="n"/>
      <c r="AM333" s="49" t="n"/>
      <c r="AN333" s="49" t="n"/>
      <c r="AO333" s="49" t="n"/>
      <c r="AP333" s="49" t="n"/>
      <c r="AQ333" s="49" t="n"/>
      <c r="AR333" s="49" t="n"/>
      <c r="AS333" s="49" t="n"/>
      <c r="AT333" s="49" t="n"/>
      <c r="AU333" s="49" t="n"/>
      <c r="AV333" s="49" t="n"/>
      <c r="AW333" s="49" t="n"/>
      <c r="AX333" s="49" t="n"/>
      <c r="AY333" s="49" t="n"/>
      <c r="AZ333" s="49" t="n"/>
      <c r="BA333" s="49" t="n"/>
      <c r="BB333" s="49" t="n"/>
      <c r="BC333" s="49" t="n"/>
      <c r="BD333" s="49" t="n"/>
      <c r="BE333" s="49" t="n"/>
      <c r="BF333" s="49" t="n"/>
      <c r="BG333" s="49" t="n"/>
      <c r="BH333" s="49" t="n"/>
      <c r="BI333" s="49" t="n"/>
      <c r="BJ333" s="49" t="n"/>
      <c r="BK333" s="49" t="n"/>
      <c r="BL333" s="49" t="n"/>
      <c r="BM333" s="49" t="n"/>
      <c r="BN333" s="49" t="n"/>
      <c r="BO333" s="49" t="n"/>
      <c r="BP333" s="49" t="n"/>
      <c r="BQ333" s="195" t="n"/>
      <c r="BR333" s="195" t="n"/>
      <c r="BS333" s="195" t="n"/>
      <c r="BT333" s="195" t="n"/>
      <c r="BU333" s="195" t="n"/>
      <c r="BV333" s="195" t="n"/>
      <c r="BW333" s="195" t="n"/>
      <c r="BX333" s="195" t="n"/>
      <c r="BY333" s="195" t="n"/>
      <c r="BZ333" s="196" t="n"/>
      <c r="CA333" s="103" t="n"/>
      <c r="CB333" s="104" t="n"/>
      <c r="CC333" s="105" t="n"/>
      <c r="CD333" s="197" t="n"/>
      <c r="CE333" s="49" t="n"/>
      <c r="CF333" s="197" t="n"/>
      <c r="CG333" s="198" t="n"/>
      <c r="CH333" s="197" t="n"/>
      <c r="CI333" s="199" t="n"/>
      <c r="CJ333" s="200" t="n"/>
      <c r="CK333" s="201" t="n"/>
      <c r="CL333" s="68" t="n"/>
      <c r="CM333" s="68" t="n"/>
    </row>
    <row r="334" ht="18" customFormat="1" customHeight="1" s="75">
      <c r="A334" s="107" t="n"/>
      <c r="B334" s="108" t="n"/>
      <c r="C334" s="125" t="n"/>
      <c r="D334" s="84" t="n"/>
      <c r="E334" s="85" t="n"/>
      <c r="F334" s="137" t="n"/>
      <c r="G334" s="49" t="n"/>
      <c r="H334" s="49" t="n"/>
      <c r="I334" s="49" t="n"/>
      <c r="J334" s="49" t="n"/>
      <c r="K334" s="49" t="n"/>
      <c r="L334" s="49" t="n"/>
      <c r="M334" s="49" t="n"/>
      <c r="N334" s="49" t="n"/>
      <c r="O334" s="49" t="n"/>
      <c r="P334" s="49" t="n"/>
      <c r="Q334" s="49" t="n"/>
      <c r="R334" s="49" t="n"/>
      <c r="S334" s="49" t="n"/>
      <c r="T334" s="49" t="n"/>
      <c r="U334" s="49" t="n"/>
      <c r="V334" s="49" t="n"/>
      <c r="W334" s="49" t="n"/>
      <c r="X334" s="49" t="n"/>
      <c r="Y334" s="49" t="n"/>
      <c r="Z334" s="49" t="n"/>
      <c r="AA334" s="49" t="n"/>
      <c r="AB334" s="103" t="n"/>
      <c r="AC334" s="49" t="n"/>
      <c r="AD334" s="49" t="n"/>
      <c r="AE334" s="49" t="n"/>
      <c r="AF334" s="49" t="n"/>
      <c r="AG334" s="49" t="n"/>
      <c r="AH334" s="49" t="n"/>
      <c r="AI334" s="49" t="n"/>
      <c r="AJ334" s="49" t="n"/>
      <c r="AK334" s="49" t="n"/>
      <c r="AL334" s="49" t="n"/>
      <c r="AM334" s="49" t="n"/>
      <c r="AN334" s="49" t="n"/>
      <c r="AO334" s="49" t="n"/>
      <c r="AP334" s="49" t="n"/>
      <c r="AQ334" s="49" t="n"/>
      <c r="AR334" s="49" t="n"/>
      <c r="AS334" s="49" t="n"/>
      <c r="AT334" s="49" t="n"/>
      <c r="AU334" s="49" t="n"/>
      <c r="AV334" s="49" t="n"/>
      <c r="AW334" s="49" t="n"/>
      <c r="AX334" s="49" t="n"/>
      <c r="AY334" s="49" t="n"/>
      <c r="AZ334" s="49" t="n"/>
      <c r="BA334" s="49" t="n"/>
      <c r="BB334" s="49" t="n"/>
      <c r="BC334" s="49" t="n"/>
      <c r="BD334" s="49" t="n"/>
      <c r="BE334" s="49" t="n"/>
      <c r="BF334" s="49" t="n"/>
      <c r="BG334" s="49" t="n"/>
      <c r="BH334" s="49" t="n"/>
      <c r="BI334" s="49" t="n"/>
      <c r="BJ334" s="49" t="n"/>
      <c r="BK334" s="49" t="n"/>
      <c r="BL334" s="49" t="n"/>
      <c r="BM334" s="49" t="n"/>
      <c r="BN334" s="49" t="n"/>
      <c r="BO334" s="49" t="n"/>
      <c r="BP334" s="49" t="n"/>
      <c r="BQ334" s="195">
        <f>COUNTIF($G334:$BP334,"a")+COUNTIF($G334:$BP334,"r0,a5")/2+COUNTIF($G334:$BP334,"p5,a5")/2</f>
        <v/>
      </c>
      <c r="BR334" s="195">
        <f>COUNTIF($G334:$BP334,"d")+COUNTIF($G334:$BP334,"r0,d5")/2+COUNTIF($G334:$BP334,"p5,d5")/2</f>
        <v/>
      </c>
      <c r="BS334" s="195">
        <f>COUNTIF($G334:$BP334,"b")+COUNTIF($G334:$BP334,"r0,b5")/2+COUNTIF($G334:$BP334,"p5,b5")/2</f>
        <v/>
      </c>
      <c r="BT334" s="195">
        <f>COUNTIF($G334:$BP334,"c")+COUNTIF($G334:$BP334,"r0,c5")/2+COUNTIF($G334:$BP334,"p5,c5")/2</f>
        <v/>
      </c>
      <c r="BU334" s="195">
        <f>COUNTIF($G334:$BP334,"KH")+COUNTIF($G334:$BP334,"TL")+COUNTIF($G334:$BP334,"L")</f>
        <v/>
      </c>
      <c r="BV334" s="202" t="n"/>
      <c r="BW334" s="195">
        <f>COUNTIF($G334:$BP334,"hh")</f>
        <v/>
      </c>
      <c r="BX334" s="195">
        <f>COUNTIF($G334:$BP334,"nt7")</f>
        <v/>
      </c>
      <c r="BY334" s="195">
        <f>COUNTIF($G334:$BP334,"P")+COUNTIF($G334:$BP334,"p5,a5")/2+COUNTIF($G334:$BP334,"p5,b5")/2+COUNTIF($G334:$BP334,"p5,c5")/2+COUNTIF($G334:$BP334,"p5,d5")/2</f>
        <v/>
      </c>
      <c r="BZ334" s="203">
        <f>SUBTOTAL(9,BQ334:BY334)</f>
        <v/>
      </c>
      <c r="CA334" s="54">
        <f>SUM(J334,L334,N334,P334,R334,T334,X334,Z334,AB334,AD334,AF334,AH334,AL334,AN334,AP334,AR334,AT334,AV334,AZ334,BB334,BD334,BF334,BH334,BP334)</f>
        <v/>
      </c>
      <c r="CB334" s="55">
        <f>SUM(H334,V334,AJ334,AX334,BL334)</f>
        <v/>
      </c>
      <c r="CC334" s="56">
        <f>SUM(BJ334,BN334)</f>
        <v/>
      </c>
      <c r="CD334" s="197" t="n"/>
      <c r="CE334" s="73" t="n"/>
      <c r="CF334" s="204">
        <f>CD334*CI334</f>
        <v/>
      </c>
      <c r="CG334" s="198" t="n">
        <v>0</v>
      </c>
      <c r="CH334" s="197">
        <f>CE334*16</f>
        <v/>
      </c>
      <c r="CI334" s="199" t="n"/>
      <c r="CJ334" s="200">
        <f>VLOOKUP(A334,[2]CHAMCONG!A$7:CI$333,79,0)</f>
        <v/>
      </c>
      <c r="CK334" s="201">
        <f>CJ334-CA334</f>
        <v/>
      </c>
      <c r="CM334" s="68" t="n"/>
    </row>
    <row r="335" ht="18" customFormat="1" customHeight="1" s="111">
      <c r="A335" s="107" t="n"/>
      <c r="B335" s="108" t="n"/>
      <c r="C335" s="107" t="n"/>
      <c r="D335" s="107" t="n"/>
      <c r="E335" s="48" t="n"/>
      <c r="F335" s="193" t="n"/>
      <c r="G335" s="48" t="n"/>
      <c r="H335" s="48" t="n"/>
      <c r="I335" s="48" t="n"/>
      <c r="J335" s="50" t="n"/>
      <c r="K335" s="48" t="n"/>
      <c r="L335" s="48" t="n"/>
      <c r="M335" s="48" t="n"/>
      <c r="N335" s="48" t="n"/>
      <c r="O335" s="48" t="n"/>
      <c r="P335" s="50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  <c r="Z335" s="48" t="n"/>
      <c r="AA335" s="48" t="n"/>
      <c r="AB335" s="109" t="n"/>
      <c r="AC335" s="48" t="n"/>
      <c r="AD335" s="48" t="n"/>
      <c r="AE335" s="48" t="n"/>
      <c r="AF335" s="48" t="n"/>
      <c r="AG335" s="48" t="n"/>
      <c r="AH335" s="48" t="n"/>
      <c r="AI335" s="48" t="n"/>
      <c r="AJ335" s="48" t="n"/>
      <c r="AK335" s="48" t="n"/>
      <c r="AL335" s="48" t="n"/>
      <c r="AM335" s="48" t="n"/>
      <c r="AN335" s="48" t="n"/>
      <c r="AO335" s="48" t="n"/>
      <c r="AP335" s="48" t="n"/>
      <c r="AQ335" s="48" t="n"/>
      <c r="AR335" s="48" t="n"/>
      <c r="AS335" s="48" t="n"/>
      <c r="AT335" s="48" t="n"/>
      <c r="AU335" s="48" t="n"/>
      <c r="AV335" s="48" t="n"/>
      <c r="AW335" s="48" t="n"/>
      <c r="AX335" s="48" t="n"/>
      <c r="AY335" s="48" t="n"/>
      <c r="AZ335" s="48" t="n"/>
      <c r="BA335" s="48" t="n"/>
      <c r="BB335" s="48" t="n"/>
      <c r="BC335" s="48" t="n"/>
      <c r="BD335" s="48" t="n"/>
      <c r="BE335" s="48" t="n"/>
      <c r="BF335" s="48" t="n"/>
      <c r="BG335" s="48" t="n"/>
      <c r="BH335" s="48" t="n"/>
      <c r="BI335" s="48" t="n"/>
      <c r="BJ335" s="48" t="n"/>
      <c r="BK335" s="48" t="n"/>
      <c r="BL335" s="48" t="n"/>
      <c r="BM335" s="48" t="n"/>
      <c r="BN335" s="48" t="n"/>
      <c r="BO335" s="48" t="n"/>
      <c r="BP335" s="48" t="n"/>
      <c r="BQ335" s="217">
        <f>SUM(BQ11:BQ324)</f>
        <v/>
      </c>
      <c r="BR335" s="217">
        <f>SUM(BR11:BR324)</f>
        <v/>
      </c>
      <c r="BS335" s="217">
        <f>SUM(BS11:BS324)</f>
        <v/>
      </c>
      <c r="BT335" s="217">
        <f>SUM(BT11:BT324)</f>
        <v/>
      </c>
      <c r="BU335" s="217">
        <f>SUM(BU11:BU324)</f>
        <v/>
      </c>
      <c r="BV335" s="217">
        <f>SUM(BV11:BV300)</f>
        <v/>
      </c>
      <c r="BW335" s="217">
        <f>SUM(BW11:BW324)</f>
        <v/>
      </c>
      <c r="BX335" s="217">
        <f>SUM(BX11:BX324)</f>
        <v/>
      </c>
      <c r="BY335" s="217">
        <f>SUM(BY11:BY324)</f>
        <v/>
      </c>
      <c r="BZ335" s="217">
        <f>SUM(BZ11:BZ324)</f>
        <v/>
      </c>
      <c r="CA335" s="217">
        <f>SUM(CA11:CA324)</f>
        <v/>
      </c>
      <c r="CB335" s="217">
        <f>SUM(CB11:CB324)</f>
        <v/>
      </c>
      <c r="CC335" s="217">
        <f>SUM(CC11:CC324)</f>
        <v/>
      </c>
      <c r="CD335" s="217">
        <f>SUM(CD11:CD324)</f>
        <v/>
      </c>
      <c r="CE335" s="217">
        <f>SUM(CE11:CE324)</f>
        <v/>
      </c>
      <c r="CF335" s="217">
        <f>SUM(CF11:CF324)</f>
        <v/>
      </c>
      <c r="CG335" s="217">
        <f>SUM(CG11:CG324)</f>
        <v/>
      </c>
      <c r="CH335" s="217">
        <f>SUM(CH11:CH324)</f>
        <v/>
      </c>
      <c r="CI335" s="217">
        <f>SUM(CI11:CI324)</f>
        <v/>
      </c>
      <c r="CJ335" s="200">
        <f>VLOOKUP(A335,[2]CHAMCONG!A$7:CI$333,79,0)</f>
        <v/>
      </c>
      <c r="CK335" s="201">
        <f>CJ335-CA335</f>
        <v/>
      </c>
    </row>
    <row r="336" ht="18" customFormat="1" customHeight="1" s="111">
      <c r="A336" s="107" t="n"/>
      <c r="B336" s="108" t="n"/>
      <c r="C336" s="107" t="n"/>
      <c r="D336" s="107" t="n"/>
      <c r="E336" s="69" t="n"/>
      <c r="F336" s="181" t="n"/>
      <c r="G336" s="115" t="n"/>
      <c r="H336" s="115" t="n"/>
      <c r="I336" s="115" t="n"/>
      <c r="J336" s="73" t="n"/>
      <c r="K336" s="115" t="n"/>
      <c r="L336" s="73" t="n"/>
      <c r="M336" s="115" t="n"/>
      <c r="N336" s="73" t="n"/>
      <c r="O336" s="115" t="n"/>
      <c r="P336" s="73" t="n"/>
      <c r="Q336" s="115" t="n"/>
      <c r="R336" s="115" t="n"/>
      <c r="S336" s="115" t="n"/>
      <c r="T336" s="73" t="n"/>
      <c r="U336" s="115" t="n"/>
      <c r="V336" s="73" t="n"/>
      <c r="W336" s="115" t="n"/>
      <c r="X336" s="73" t="n"/>
      <c r="Y336" s="115" t="n"/>
      <c r="Z336" s="73" t="n"/>
      <c r="AA336" s="115" t="n"/>
      <c r="AB336" s="73" t="n"/>
      <c r="AC336" s="115" t="n"/>
      <c r="AD336" s="73" t="n"/>
      <c r="AE336" s="115" t="n"/>
      <c r="AF336" s="115" t="n"/>
      <c r="AG336" s="115" t="n"/>
      <c r="AH336" s="73" t="n"/>
      <c r="AI336" s="115" t="n"/>
      <c r="AJ336" s="73" t="n"/>
      <c r="AK336" s="115" t="n"/>
      <c r="AL336" s="73" t="n"/>
      <c r="AM336" s="115" t="n"/>
      <c r="AN336" s="73" t="n"/>
      <c r="AO336" s="115" t="n"/>
      <c r="AP336" s="73" t="n"/>
      <c r="AQ336" s="115" t="n"/>
      <c r="AR336" s="73" t="n"/>
      <c r="AS336" s="115" t="n"/>
      <c r="AT336" s="115" t="n"/>
      <c r="AU336" s="115" t="n"/>
      <c r="AV336" s="73" t="n"/>
      <c r="AW336" s="115" t="n"/>
      <c r="AX336" s="73" t="n"/>
      <c r="AY336" s="115" t="n"/>
      <c r="AZ336" s="73" t="n"/>
      <c r="BA336" s="115" t="n"/>
      <c r="BB336" s="73" t="n"/>
      <c r="BC336" s="115" t="n"/>
      <c r="BD336" s="73" t="n"/>
      <c r="BE336" s="115" t="n"/>
      <c r="BF336" s="73" t="n"/>
      <c r="BG336" s="115" t="n"/>
      <c r="BH336" s="115" t="n"/>
      <c r="BI336" s="115" t="n"/>
      <c r="BJ336" s="73" t="n"/>
      <c r="BK336" s="115" t="n"/>
      <c r="BL336" s="73" t="n"/>
      <c r="BM336" s="115" t="n"/>
      <c r="BN336" s="73" t="n"/>
      <c r="BO336" s="115" t="n"/>
      <c r="BP336" s="73" t="n"/>
      <c r="BQ336" s="218" t="n"/>
      <c r="BR336" s="107" t="n"/>
      <c r="BS336" s="107" t="n"/>
      <c r="BT336" s="107" t="n"/>
      <c r="BU336" s="107" t="n"/>
      <c r="BV336" s="107" t="n"/>
      <c r="BW336" s="107" t="n"/>
      <c r="BX336" s="107" t="n"/>
      <c r="BY336" s="107" t="n"/>
      <c r="BZ336" s="118" t="n"/>
      <c r="CA336" s="107" t="n"/>
      <c r="CB336" s="118" t="n"/>
      <c r="CC336" s="107" t="n"/>
      <c r="CD336" s="197" t="n"/>
      <c r="CE336" s="107" t="n"/>
      <c r="CF336" s="107" t="n"/>
      <c r="CG336" s="107" t="n"/>
      <c r="CH336" s="219" t="n"/>
      <c r="CI336" s="114" t="n"/>
      <c r="CJ336" s="200">
        <f>VLOOKUP(A336,[2]CHAMCONG!A$7:CI$333,79,0)</f>
        <v/>
      </c>
      <c r="CK336" s="201">
        <f>CJ336-CA336</f>
        <v/>
      </c>
    </row>
    <row r="337" ht="18" customFormat="1" customHeight="1" s="111">
      <c r="A337" s="107" t="n"/>
      <c r="B337" s="108" t="n"/>
      <c r="C337" s="107" t="n"/>
      <c r="D337" s="107" t="n"/>
      <c r="E337" s="220" t="n"/>
      <c r="F337" s="181" t="n"/>
      <c r="G337" s="115" t="n"/>
      <c r="H337" s="115" t="n"/>
      <c r="I337" s="67" t="n"/>
      <c r="J337" s="73" t="n"/>
      <c r="K337" s="115" t="n"/>
      <c r="L337" s="73" t="n"/>
      <c r="M337" s="115" t="n"/>
      <c r="N337" s="73" t="n"/>
      <c r="O337" s="67" t="n"/>
      <c r="P337" s="73" t="n"/>
      <c r="Q337" s="115" t="n"/>
      <c r="R337" s="115" t="n"/>
      <c r="S337" s="115" t="n"/>
      <c r="T337" s="73" t="n"/>
      <c r="U337" s="115" t="n"/>
      <c r="V337" s="73" t="n"/>
      <c r="W337" s="115" t="n"/>
      <c r="X337" s="73" t="n"/>
      <c r="Y337" s="115" t="n"/>
      <c r="Z337" s="73" t="n"/>
      <c r="AA337" s="115" t="n"/>
      <c r="AB337" s="73" t="n"/>
      <c r="AC337" s="115" t="n"/>
      <c r="AD337" s="73" t="n"/>
      <c r="AE337" s="115" t="n"/>
      <c r="AF337" s="115" t="n"/>
      <c r="AG337" s="115" t="n"/>
      <c r="AH337" s="73" t="n"/>
      <c r="AI337" s="115" t="n"/>
      <c r="AJ337" s="73" t="n"/>
      <c r="AK337" s="115" t="n"/>
      <c r="AL337" s="73" t="n"/>
      <c r="AM337" s="115" t="n"/>
      <c r="AN337" s="73" t="n"/>
      <c r="AO337" s="115" t="n"/>
      <c r="AP337" s="73" t="n"/>
      <c r="AQ337" s="115" t="n"/>
      <c r="AR337" s="73" t="n"/>
      <c r="AS337" s="115" t="n"/>
      <c r="AT337" s="115" t="n"/>
      <c r="AU337" s="115" t="n"/>
      <c r="AV337" s="73" t="n"/>
      <c r="AW337" s="115" t="n"/>
      <c r="AX337" s="73" t="n"/>
      <c r="AY337" s="115" t="n"/>
      <c r="AZ337" s="73" t="n"/>
      <c r="BA337" s="115" t="n"/>
      <c r="BB337" s="73" t="n"/>
      <c r="BC337" s="115" t="n"/>
      <c r="BD337" s="73" t="n"/>
      <c r="BE337" s="115" t="n"/>
      <c r="BF337" s="73" t="n"/>
      <c r="BG337" s="115" t="n"/>
      <c r="BH337" s="115" t="n"/>
      <c r="BI337" s="115" t="n"/>
      <c r="BJ337" s="73" t="n"/>
      <c r="BK337" s="115" t="n"/>
      <c r="BL337" s="73" t="n"/>
      <c r="BM337" s="115" t="n"/>
      <c r="BN337" s="73" t="n"/>
      <c r="BO337" s="115" t="n"/>
      <c r="BP337" s="73" t="n"/>
      <c r="BQ337" s="221" t="n"/>
      <c r="BR337" s="222" t="n"/>
      <c r="BS337" s="107" t="n"/>
      <c r="BT337" s="107" t="n"/>
      <c r="BU337" s="107" t="n"/>
      <c r="BV337" s="107" t="n"/>
      <c r="BW337" s="107" t="n"/>
      <c r="BX337" s="107" t="n"/>
      <c r="BY337" s="107" t="n"/>
      <c r="BZ337" s="118" t="n"/>
      <c r="CA337" s="107" t="n"/>
      <c r="CB337" s="118" t="n"/>
      <c r="CC337" s="107" t="n"/>
      <c r="CD337" s="197" t="n"/>
      <c r="CE337" s="107" t="n"/>
      <c r="CF337" s="107" t="n"/>
      <c r="CG337" s="107" t="n"/>
      <c r="CH337" s="107" t="n"/>
      <c r="CI337" s="114" t="n"/>
      <c r="CJ337" s="200">
        <f>VLOOKUP(A337,[2]CHAMCONG!A$7:CI$333,79,0)</f>
        <v/>
      </c>
      <c r="CK337" s="201">
        <f>CJ337-CA337</f>
        <v/>
      </c>
    </row>
    <row r="338" ht="15" customFormat="1" customHeight="1" s="127">
      <c r="A338" s="119" t="n"/>
      <c r="B338" s="108" t="n"/>
      <c r="C338" s="107" t="n"/>
      <c r="D338" s="120" t="n"/>
      <c r="E338" s="107" t="n"/>
      <c r="F338" s="107" t="n"/>
      <c r="G338" s="125" t="n"/>
      <c r="H338" s="125" t="n"/>
      <c r="I338" s="122" t="n"/>
      <c r="J338" s="122" t="n"/>
      <c r="K338" s="125" t="n"/>
      <c r="L338" s="125" t="n"/>
      <c r="M338" s="125" t="n"/>
      <c r="N338" s="125" t="n"/>
      <c r="O338" s="122" t="n"/>
      <c r="P338" s="122" t="n"/>
      <c r="Q338" s="125" t="n"/>
      <c r="R338" s="125" t="n"/>
      <c r="S338" s="125" t="n"/>
      <c r="T338" s="125" t="n"/>
      <c r="U338" s="125" t="n"/>
      <c r="V338" s="125" t="n"/>
      <c r="W338" s="125" t="n"/>
      <c r="X338" s="125" t="n"/>
      <c r="Y338" s="125" t="n"/>
      <c r="Z338" s="125" t="n"/>
      <c r="AA338" s="125" t="n"/>
      <c r="AB338" s="123" t="n"/>
      <c r="AC338" s="125" t="n"/>
      <c r="AD338" s="125" t="n"/>
      <c r="AE338" s="125" t="n"/>
      <c r="AF338" s="125" t="n"/>
      <c r="AG338" s="125" t="n"/>
      <c r="AH338" s="125" t="n"/>
      <c r="AI338" s="125" t="n"/>
      <c r="AJ338" s="125" t="n"/>
      <c r="AK338" s="125" t="n"/>
      <c r="AL338" s="125" t="n"/>
      <c r="AM338" s="125" t="n"/>
      <c r="AN338" s="123" t="n"/>
      <c r="AO338" s="125" t="n"/>
      <c r="AP338" s="124" t="n"/>
      <c r="AQ338" s="125" t="n"/>
      <c r="AR338" s="123" t="n"/>
      <c r="AS338" s="125" t="n"/>
      <c r="AT338" s="125" t="n"/>
      <c r="AU338" s="125" t="n"/>
      <c r="AV338" s="125" t="n"/>
      <c r="AW338" s="125" t="n"/>
      <c r="AX338" s="125" t="n"/>
      <c r="AY338" s="125" t="n"/>
      <c r="AZ338" s="125" t="n"/>
      <c r="BA338" s="125" t="n"/>
      <c r="BB338" s="125" t="n"/>
      <c r="BC338" s="125" t="n"/>
      <c r="BD338" s="124" t="n"/>
      <c r="BE338" s="125" t="n"/>
      <c r="BF338" s="125" t="n"/>
      <c r="BG338" s="125" t="n"/>
      <c r="BH338" s="125" t="n"/>
      <c r="BI338" s="125" t="n"/>
      <c r="BJ338" s="125" t="n"/>
      <c r="BK338" s="125" t="n"/>
      <c r="BL338" s="125" t="n"/>
      <c r="BM338" s="125" t="n"/>
      <c r="BN338" s="125" t="n"/>
      <c r="BO338" s="125" t="n"/>
      <c r="BP338" s="125" t="n"/>
      <c r="BQ338" s="107" t="n"/>
      <c r="BR338" s="223" t="n"/>
      <c r="BS338" s="107" t="n"/>
      <c r="BT338" s="107" t="n"/>
      <c r="BU338" s="107" t="n"/>
      <c r="BV338" s="107" t="n"/>
      <c r="BW338" s="107" t="n"/>
      <c r="BX338" s="107" t="n"/>
      <c r="BY338" s="107" t="n"/>
      <c r="BZ338" s="118" t="n"/>
      <c r="CA338" s="107" t="n"/>
      <c r="CB338" s="118" t="n"/>
      <c r="CC338" s="107" t="n"/>
      <c r="CD338" s="197" t="n"/>
      <c r="CE338" s="107" t="n"/>
      <c r="CF338" s="107" t="n"/>
      <c r="CG338" s="107" t="n"/>
      <c r="CH338" s="107" t="n"/>
      <c r="CI338" s="114" t="n"/>
      <c r="CJ338" s="200">
        <f>VLOOKUP(A338,[2]CHAMCONG!A$7:CI$333,79,0)</f>
        <v/>
      </c>
      <c r="CK338" s="201">
        <f>CJ338-CA338</f>
        <v/>
      </c>
    </row>
    <row r="339" ht="15" customFormat="1" customHeight="1" s="127">
      <c r="A339" s="119" t="n"/>
      <c r="B339" s="108" t="n"/>
      <c r="C339" s="107" t="n"/>
      <c r="D339" s="120" t="n"/>
      <c r="E339" s="128" t="n"/>
      <c r="F339" s="107" t="n"/>
      <c r="G339" s="125" t="n"/>
      <c r="H339" s="125" t="n"/>
      <c r="I339" s="122" t="n"/>
      <c r="J339" s="122" t="n"/>
      <c r="K339" s="125" t="n"/>
      <c r="L339" s="125" t="n"/>
      <c r="M339" s="125" t="n"/>
      <c r="N339" s="125" t="n"/>
      <c r="O339" s="122" t="n"/>
      <c r="P339" s="122" t="n"/>
      <c r="Q339" s="125" t="n"/>
      <c r="R339" s="125" t="n"/>
      <c r="S339" s="125" t="n"/>
      <c r="T339" s="125" t="n"/>
      <c r="U339" s="125" t="n"/>
      <c r="V339" s="125" t="n"/>
      <c r="W339" s="125" t="n"/>
      <c r="X339" s="125" t="n"/>
      <c r="Y339" s="125" t="n"/>
      <c r="Z339" s="125" t="n"/>
      <c r="AA339" s="125" t="n"/>
      <c r="AB339" s="123" t="n"/>
      <c r="AC339" s="125" t="n"/>
      <c r="AD339" s="125" t="n"/>
      <c r="AE339" s="125" t="n"/>
      <c r="AF339" s="125" t="n"/>
      <c r="AG339" s="125" t="n"/>
      <c r="AH339" s="125" t="n"/>
      <c r="AI339" s="125" t="n"/>
      <c r="AJ339" s="125" t="n"/>
      <c r="AK339" s="125" t="n"/>
      <c r="AL339" s="125" t="n"/>
      <c r="AM339" s="125" t="n"/>
      <c r="AN339" s="125" t="n"/>
      <c r="AO339" s="125" t="n"/>
      <c r="AP339" s="124" t="n"/>
      <c r="AQ339" s="125" t="n"/>
      <c r="AR339" s="125" t="n"/>
      <c r="AS339" s="125" t="n"/>
      <c r="AT339" s="125" t="n"/>
      <c r="AU339" s="125" t="n"/>
      <c r="AV339" s="125" t="n"/>
      <c r="AW339" s="125" t="n"/>
      <c r="AX339" s="125" t="n"/>
      <c r="AY339" s="125" t="n"/>
      <c r="AZ339" s="125" t="n"/>
      <c r="BA339" s="125" t="n"/>
      <c r="BB339" s="125" t="n"/>
      <c r="BC339" s="125" t="n"/>
      <c r="BD339" s="124" t="n"/>
      <c r="BE339" s="125" t="n"/>
      <c r="BF339" s="125" t="n"/>
      <c r="BG339" s="125" t="n"/>
      <c r="BH339" s="125" t="n"/>
      <c r="BI339" s="125" t="n"/>
      <c r="BJ339" s="125" t="n"/>
      <c r="BK339" s="125" t="n"/>
      <c r="BL339" s="125" t="n"/>
      <c r="BM339" s="125" t="n"/>
      <c r="BN339" s="125" t="n"/>
      <c r="BO339" s="125" t="n"/>
      <c r="BP339" s="125" t="n"/>
      <c r="BQ339" s="128">
        <f>BQ340+BQ341</f>
        <v/>
      </c>
      <c r="BR339" s="107" t="n"/>
      <c r="BS339" s="107" t="n"/>
      <c r="BT339" s="107" t="n"/>
      <c r="BU339" s="107" t="n"/>
      <c r="BV339" s="107" t="n"/>
      <c r="BW339" s="107" t="n"/>
      <c r="BX339" s="107" t="n"/>
      <c r="BY339" s="107" t="n"/>
      <c r="BZ339" s="118" t="n"/>
      <c r="CA339" s="107" t="n"/>
      <c r="CB339" s="118" t="n"/>
      <c r="CC339" s="107" t="n"/>
      <c r="CD339" s="197" t="n"/>
      <c r="CE339" s="107" t="n"/>
      <c r="CF339" s="107" t="n"/>
      <c r="CG339" s="107" t="n"/>
      <c r="CH339" s="107" t="n"/>
      <c r="CI339" s="114" t="n"/>
      <c r="CJ339" s="200">
        <f>VLOOKUP(A339,[2]CHAMCONG!A$7:CI$333,79,0)</f>
        <v/>
      </c>
      <c r="CK339" s="201">
        <f>CJ339-CA339</f>
        <v/>
      </c>
    </row>
    <row r="340" ht="15" customFormat="1" customHeight="1" s="127">
      <c r="A340" s="129" t="n"/>
      <c r="B340" s="108" t="n"/>
      <c r="C340" s="107" t="n"/>
      <c r="D340" s="120" t="n"/>
      <c r="E340" s="107" t="n"/>
      <c r="F340" s="107" t="n"/>
      <c r="G340" s="125" t="n"/>
      <c r="H340" s="125" t="n"/>
      <c r="I340" s="122" t="n"/>
      <c r="J340" s="122" t="n"/>
      <c r="K340" s="125" t="n"/>
      <c r="L340" s="125" t="n"/>
      <c r="M340" s="125" t="n"/>
      <c r="N340" s="125" t="n"/>
      <c r="O340" s="122" t="n"/>
      <c r="P340" s="122" t="n"/>
      <c r="Q340" s="125" t="n"/>
      <c r="R340" s="125" t="n"/>
      <c r="S340" s="125" t="n"/>
      <c r="T340" s="125" t="n"/>
      <c r="U340" s="125" t="n"/>
      <c r="V340" s="125" t="n"/>
      <c r="W340" s="125" t="n"/>
      <c r="X340" s="125" t="n"/>
      <c r="Y340" s="125" t="n"/>
      <c r="Z340" s="125" t="n"/>
      <c r="AA340" s="125" t="n"/>
      <c r="AB340" s="123" t="n"/>
      <c r="AC340" s="125" t="n"/>
      <c r="AD340" s="125" t="n"/>
      <c r="AE340" s="125" t="n"/>
      <c r="AF340" s="125" t="n"/>
      <c r="AG340" s="125" t="n"/>
      <c r="AH340" s="125" t="n"/>
      <c r="AI340" s="125" t="n"/>
      <c r="AJ340" s="125" t="n"/>
      <c r="AK340" s="125" t="n"/>
      <c r="AL340" s="125" t="n"/>
      <c r="AM340" s="125" t="n"/>
      <c r="AN340" s="123" t="n"/>
      <c r="AO340" s="125" t="n"/>
      <c r="AP340" s="124" t="n"/>
      <c r="AQ340" s="125" t="n"/>
      <c r="AR340" s="123" t="n"/>
      <c r="AS340" s="125" t="n"/>
      <c r="AT340" s="125" t="n"/>
      <c r="AU340" s="125" t="n"/>
      <c r="AV340" s="125" t="n"/>
      <c r="AW340" s="125" t="n"/>
      <c r="AX340" s="125" t="n"/>
      <c r="AY340" s="125" t="n"/>
      <c r="AZ340" s="125" t="n"/>
      <c r="BA340" s="125" t="n"/>
      <c r="BB340" s="125" t="n"/>
      <c r="BC340" s="125" t="n"/>
      <c r="BD340" s="124" t="n"/>
      <c r="BE340" s="125" t="n"/>
      <c r="BF340" s="125" t="n"/>
      <c r="BG340" s="125" t="n"/>
      <c r="BH340" s="125" t="n"/>
      <c r="BI340" s="125" t="n"/>
      <c r="BJ340" s="125" t="n"/>
      <c r="BK340" s="125" t="n"/>
      <c r="BL340" s="125" t="n"/>
      <c r="BM340" s="125" t="n"/>
      <c r="BN340" s="125" t="n"/>
      <c r="BO340" s="125" t="n"/>
      <c r="BP340" s="125" t="n"/>
      <c r="BQ340" s="107" t="n"/>
      <c r="BR340" s="107" t="n"/>
      <c r="BS340" s="107" t="n"/>
      <c r="BT340" s="107" t="n"/>
      <c r="BU340" s="107" t="n"/>
      <c r="BV340" s="107" t="n"/>
      <c r="BW340" s="107" t="n"/>
      <c r="BX340" s="107" t="n"/>
      <c r="BY340" s="107" t="n"/>
      <c r="BZ340" s="118" t="n"/>
      <c r="CA340" s="107" t="n"/>
      <c r="CB340" s="118" t="n"/>
      <c r="CC340" s="107" t="n"/>
      <c r="CD340" s="197" t="n"/>
      <c r="CE340" s="107" t="n"/>
      <c r="CF340" s="107" t="n"/>
      <c r="CG340" s="107" t="n"/>
      <c r="CH340" s="107" t="n"/>
      <c r="CI340" s="114" t="n"/>
      <c r="CJ340" s="200">
        <f>VLOOKUP(A340,[2]CHAMCONG!A$7:CI$333,79,0)</f>
        <v/>
      </c>
      <c r="CK340" s="201">
        <f>CJ340-CA340</f>
        <v/>
      </c>
    </row>
    <row r="341" ht="15" customFormat="1" customHeight="1" s="127">
      <c r="A341" s="119" t="n"/>
      <c r="B341" s="108" t="n"/>
      <c r="C341" s="107" t="n"/>
      <c r="D341" s="120" t="n"/>
      <c r="E341" s="107" t="n"/>
      <c r="F341" s="107" t="n"/>
      <c r="G341" s="125" t="n"/>
      <c r="H341" s="125" t="n"/>
      <c r="I341" s="122" t="n"/>
      <c r="J341" s="122" t="n"/>
      <c r="K341" s="125" t="n"/>
      <c r="L341" s="125" t="n"/>
      <c r="M341" s="125" t="n"/>
      <c r="N341" s="125" t="n"/>
      <c r="O341" s="122" t="n"/>
      <c r="P341" s="122" t="n"/>
      <c r="Q341" s="125" t="n"/>
      <c r="R341" s="125" t="n"/>
      <c r="S341" s="125" t="n"/>
      <c r="T341" s="125" t="n"/>
      <c r="U341" s="125" t="n"/>
      <c r="V341" s="125" t="n"/>
      <c r="W341" s="125" t="n"/>
      <c r="X341" s="125" t="n"/>
      <c r="Y341" s="125" t="n"/>
      <c r="Z341" s="125" t="n"/>
      <c r="AA341" s="125" t="n"/>
      <c r="AB341" s="123" t="n"/>
      <c r="AC341" s="125" t="n"/>
      <c r="AD341" s="125" t="n"/>
      <c r="AE341" s="125" t="n"/>
      <c r="AF341" s="125" t="n"/>
      <c r="AG341" s="125" t="n"/>
      <c r="AH341" s="125" t="n"/>
      <c r="AI341" s="125" t="n"/>
      <c r="AJ341" s="125" t="n"/>
      <c r="AK341" s="125" t="n"/>
      <c r="AL341" s="125" t="n"/>
      <c r="AM341" s="125" t="n"/>
      <c r="AN341" s="123" t="n"/>
      <c r="AO341" s="125" t="n"/>
      <c r="AP341" s="124" t="n"/>
      <c r="AQ341" s="125" t="n"/>
      <c r="AR341" s="123" t="n"/>
      <c r="AS341" s="125" t="n"/>
      <c r="AT341" s="125" t="n"/>
      <c r="AU341" s="125" t="n"/>
      <c r="AV341" s="125" t="n"/>
      <c r="AW341" s="125" t="n"/>
      <c r="AX341" s="125" t="n"/>
      <c r="AY341" s="125" t="n"/>
      <c r="AZ341" s="125" t="n"/>
      <c r="BA341" s="125" t="n"/>
      <c r="BB341" s="125" t="n"/>
      <c r="BC341" s="125" t="n"/>
      <c r="BD341" s="124" t="n"/>
      <c r="BE341" s="125" t="n"/>
      <c r="BF341" s="125" t="n"/>
      <c r="BG341" s="125" t="n"/>
      <c r="BH341" s="125" t="n"/>
      <c r="BI341" s="125" t="n"/>
      <c r="BJ341" s="125" t="n"/>
      <c r="BK341" s="125" t="n"/>
      <c r="BL341" s="125" t="n"/>
      <c r="BM341" s="125" t="n"/>
      <c r="BN341" s="125" t="n"/>
      <c r="BO341" s="125" t="n"/>
      <c r="BP341" s="125" t="n"/>
      <c r="BQ341" s="107" t="n"/>
      <c r="BR341" s="107" t="n"/>
      <c r="BS341" s="107" t="n"/>
      <c r="BT341" s="107" t="n"/>
      <c r="BU341" s="107" t="n"/>
      <c r="BV341" s="107" t="n"/>
      <c r="BW341" s="107" t="n"/>
      <c r="BX341" s="107" t="n"/>
      <c r="BY341" s="107" t="n"/>
      <c r="BZ341" s="118" t="n"/>
      <c r="CA341" s="107" t="n"/>
      <c r="CB341" s="118" t="n"/>
      <c r="CC341" s="107" t="n"/>
      <c r="CD341" s="197" t="n"/>
      <c r="CE341" s="107" t="n"/>
      <c r="CF341" s="107" t="n"/>
      <c r="CG341" s="107" t="n"/>
      <c r="CH341" s="107" t="n"/>
      <c r="CI341" s="114" t="n"/>
      <c r="CJ341" s="200">
        <f>VLOOKUP(A341,[2]CHAMCONG!A$7:CI$333,79,0)</f>
        <v/>
      </c>
      <c r="CK341" s="201">
        <f>CJ341-CA341</f>
        <v/>
      </c>
    </row>
    <row r="342" ht="15" customFormat="1" customHeight="1" s="127">
      <c r="A342" s="119" t="n"/>
      <c r="B342" s="108" t="n"/>
      <c r="C342" s="107" t="n"/>
      <c r="D342" s="120" t="n"/>
      <c r="E342" s="107" t="n"/>
      <c r="F342" s="107" t="n"/>
      <c r="G342" s="125" t="n"/>
      <c r="H342" s="125" t="n"/>
      <c r="I342" s="122" t="n"/>
      <c r="J342" s="122" t="n"/>
      <c r="K342" s="125" t="n"/>
      <c r="L342" s="125" t="n"/>
      <c r="M342" s="125" t="n"/>
      <c r="N342" s="125" t="n"/>
      <c r="O342" s="122" t="n"/>
      <c r="P342" s="122" t="n"/>
      <c r="Q342" s="125" t="n"/>
      <c r="R342" s="125" t="n"/>
      <c r="S342" s="125" t="n"/>
      <c r="T342" s="125" t="n"/>
      <c r="U342" s="125" t="n"/>
      <c r="V342" s="125" t="n"/>
      <c r="W342" s="125" t="n"/>
      <c r="X342" s="125" t="n"/>
      <c r="Y342" s="125" t="n"/>
      <c r="Z342" s="125" t="n"/>
      <c r="AA342" s="125" t="n"/>
      <c r="AB342" s="123" t="n"/>
      <c r="AC342" s="125" t="n"/>
      <c r="AD342" s="125" t="n"/>
      <c r="AE342" s="125" t="n"/>
      <c r="AF342" s="125" t="n"/>
      <c r="AG342" s="125" t="n"/>
      <c r="AH342" s="125" t="n"/>
      <c r="AI342" s="125" t="n"/>
      <c r="AJ342" s="125" t="n"/>
      <c r="AK342" s="125" t="n"/>
      <c r="AL342" s="125" t="n"/>
      <c r="AM342" s="125" t="n"/>
      <c r="AN342" s="123" t="n"/>
      <c r="AO342" s="125" t="n"/>
      <c r="AP342" s="124" t="n"/>
      <c r="AQ342" s="125" t="n"/>
      <c r="AR342" s="123" t="n"/>
      <c r="AS342" s="125" t="n"/>
      <c r="AT342" s="125" t="n"/>
      <c r="AU342" s="125" t="n"/>
      <c r="AV342" s="125" t="n"/>
      <c r="AW342" s="125" t="n"/>
      <c r="AX342" s="125" t="n"/>
      <c r="AY342" s="125" t="n"/>
      <c r="AZ342" s="125" t="n"/>
      <c r="BA342" s="125" t="n"/>
      <c r="BB342" s="125" t="n"/>
      <c r="BC342" s="125" t="n"/>
      <c r="BD342" s="124" t="n"/>
      <c r="BE342" s="125" t="n"/>
      <c r="BF342" s="125" t="n"/>
      <c r="BG342" s="125" t="n"/>
      <c r="BH342" s="125" t="n"/>
      <c r="BI342" s="125" t="n"/>
      <c r="BJ342" s="125" t="n"/>
      <c r="BK342" s="125" t="n"/>
      <c r="BL342" s="125" t="n"/>
      <c r="BM342" s="125" t="n"/>
      <c r="BN342" s="125" t="n"/>
      <c r="BO342" s="125" t="n"/>
      <c r="BP342" s="125" t="n"/>
      <c r="BQ342" s="107" t="n"/>
      <c r="BR342" s="107" t="n"/>
      <c r="BS342" s="107" t="n"/>
      <c r="BT342" s="107" t="n"/>
      <c r="BU342" s="107" t="n"/>
      <c r="BV342" s="107" t="n"/>
      <c r="BW342" s="107" t="n"/>
      <c r="BX342" s="107" t="n"/>
      <c r="BY342" s="107" t="n"/>
      <c r="BZ342" s="118" t="n"/>
      <c r="CA342" s="107" t="n"/>
      <c r="CB342" s="118" t="n"/>
      <c r="CC342" s="107" t="n"/>
      <c r="CD342" s="197" t="n"/>
      <c r="CE342" s="107" t="n"/>
      <c r="CF342" s="107" t="n"/>
      <c r="CG342" s="107" t="n"/>
      <c r="CH342" s="107" t="n"/>
      <c r="CI342" s="114" t="n"/>
      <c r="CJ342" s="200">
        <f>VLOOKUP(A342,[2]CHAMCONG!A$7:CI$333,79,0)</f>
        <v/>
      </c>
      <c r="CK342" s="201">
        <f>CJ342-CA342</f>
        <v/>
      </c>
    </row>
    <row r="343" ht="15" customFormat="1" customHeight="1" s="127">
      <c r="A343" s="119" t="n"/>
      <c r="B343" s="108" t="n"/>
      <c r="C343" s="107" t="n"/>
      <c r="D343" s="120" t="n"/>
      <c r="E343" s="107" t="n"/>
      <c r="F343" s="107" t="n"/>
      <c r="G343" s="125" t="n"/>
      <c r="H343" s="125" t="n"/>
      <c r="I343" s="122" t="n"/>
      <c r="J343" s="122" t="n"/>
      <c r="K343" s="125" t="n"/>
      <c r="L343" s="125" t="n"/>
      <c r="M343" s="125" t="n"/>
      <c r="N343" s="125" t="n"/>
      <c r="O343" s="122" t="n"/>
      <c r="P343" s="122" t="n"/>
      <c r="Q343" s="125" t="n"/>
      <c r="R343" s="125" t="n"/>
      <c r="S343" s="125" t="n"/>
      <c r="T343" s="125" t="n"/>
      <c r="U343" s="125" t="n"/>
      <c r="V343" s="125" t="n"/>
      <c r="W343" s="125" t="n"/>
      <c r="X343" s="125" t="n"/>
      <c r="Y343" s="125" t="n"/>
      <c r="Z343" s="125" t="n"/>
      <c r="AA343" s="125" t="n"/>
      <c r="AB343" s="123" t="n"/>
      <c r="AC343" s="125" t="n"/>
      <c r="AD343" s="125" t="n"/>
      <c r="AE343" s="125" t="n"/>
      <c r="AF343" s="125" t="n"/>
      <c r="AG343" s="125" t="n"/>
      <c r="AH343" s="125" t="n"/>
      <c r="AI343" s="125" t="n"/>
      <c r="AJ343" s="125" t="n"/>
      <c r="AK343" s="125" t="n"/>
      <c r="AL343" s="125" t="n"/>
      <c r="AM343" s="125" t="n"/>
      <c r="AN343" s="123" t="n"/>
      <c r="AO343" s="125" t="n"/>
      <c r="AP343" s="124" t="n"/>
      <c r="AQ343" s="125" t="n"/>
      <c r="AR343" s="123" t="n"/>
      <c r="AS343" s="125" t="n"/>
      <c r="AT343" s="125" t="n"/>
      <c r="AU343" s="125" t="n"/>
      <c r="AV343" s="125" t="n"/>
      <c r="AW343" s="125" t="n"/>
      <c r="AX343" s="125" t="n"/>
      <c r="AY343" s="125" t="n"/>
      <c r="AZ343" s="125" t="n"/>
      <c r="BA343" s="125" t="n"/>
      <c r="BB343" s="125" t="n"/>
      <c r="BC343" s="125" t="n"/>
      <c r="BD343" s="124" t="n"/>
      <c r="BE343" s="125" t="n"/>
      <c r="BF343" s="125" t="n"/>
      <c r="BG343" s="125" t="n"/>
      <c r="BH343" s="125" t="n"/>
      <c r="BI343" s="125" t="n"/>
      <c r="BJ343" s="125" t="n"/>
      <c r="BK343" s="125" t="n"/>
      <c r="BL343" s="125" t="n"/>
      <c r="BM343" s="125" t="n"/>
      <c r="BN343" s="125" t="n"/>
      <c r="BO343" s="125" t="n"/>
      <c r="BP343" s="125" t="n"/>
      <c r="BQ343" s="107" t="n"/>
      <c r="BR343" s="107" t="n"/>
      <c r="BS343" s="107" t="n"/>
      <c r="BT343" s="107" t="n"/>
      <c r="BU343" s="107" t="n"/>
      <c r="BV343" s="107" t="n"/>
      <c r="BW343" s="107" t="n"/>
      <c r="BX343" s="107" t="n"/>
      <c r="BY343" s="107" t="n"/>
      <c r="BZ343" s="118" t="n"/>
      <c r="CA343" s="107" t="n"/>
      <c r="CB343" s="118" t="n"/>
      <c r="CC343" s="107" t="n"/>
      <c r="CD343" s="125" t="n"/>
      <c r="CE343" s="107" t="n"/>
      <c r="CF343" s="107" t="n"/>
      <c r="CG343" s="107" t="n"/>
      <c r="CH343" s="107" t="n"/>
      <c r="CI343" s="114" t="n"/>
      <c r="CJ343" s="200">
        <f>VLOOKUP(A343,[2]CHAMCONG!A$7:CI$333,79,0)</f>
        <v/>
      </c>
      <c r="CK343" s="201">
        <f>CJ343-CA343</f>
        <v/>
      </c>
    </row>
    <row r="344" ht="15" customFormat="1" customHeight="1" s="127">
      <c r="A344" s="119" t="n"/>
      <c r="B344" s="108" t="n"/>
      <c r="C344" s="107" t="n"/>
      <c r="D344" s="120" t="n"/>
      <c r="E344" s="107" t="n"/>
      <c r="F344" s="107" t="n"/>
      <c r="G344" s="125" t="n"/>
      <c r="H344" s="125" t="n"/>
      <c r="I344" s="122" t="n"/>
      <c r="J344" s="122" t="n"/>
      <c r="K344" s="125" t="n"/>
      <c r="L344" s="125" t="n"/>
      <c r="M344" s="125" t="n"/>
      <c r="N344" s="125" t="n"/>
      <c r="O344" s="122" t="n"/>
      <c r="P344" s="122" t="n"/>
      <c r="Q344" s="125" t="n"/>
      <c r="R344" s="125" t="n"/>
      <c r="S344" s="125" t="n"/>
      <c r="T344" s="125" t="n"/>
      <c r="U344" s="125" t="n"/>
      <c r="V344" s="125" t="n"/>
      <c r="W344" s="125" t="n"/>
      <c r="X344" s="125" t="n"/>
      <c r="Y344" s="125" t="n"/>
      <c r="Z344" s="125" t="n"/>
      <c r="AA344" s="125" t="n"/>
      <c r="AB344" s="123" t="n"/>
      <c r="AC344" s="125" t="n"/>
      <c r="AD344" s="125" t="n"/>
      <c r="AE344" s="125" t="n"/>
      <c r="AF344" s="125" t="n"/>
      <c r="AG344" s="125" t="n"/>
      <c r="AH344" s="125" t="n"/>
      <c r="AI344" s="125" t="n"/>
      <c r="AJ344" s="125" t="n"/>
      <c r="AK344" s="125" t="n"/>
      <c r="AL344" s="125" t="n"/>
      <c r="AM344" s="125" t="n"/>
      <c r="AN344" s="123" t="n"/>
      <c r="AO344" s="125" t="n"/>
      <c r="AP344" s="124" t="n"/>
      <c r="AQ344" s="125" t="n"/>
      <c r="AR344" s="123" t="n"/>
      <c r="AS344" s="125" t="n"/>
      <c r="AT344" s="125" t="n"/>
      <c r="AU344" s="125" t="n"/>
      <c r="AV344" s="125" t="n"/>
      <c r="AW344" s="125" t="n"/>
      <c r="AX344" s="125" t="n"/>
      <c r="AY344" s="125" t="n"/>
      <c r="AZ344" s="125" t="n"/>
      <c r="BA344" s="125" t="n"/>
      <c r="BB344" s="125" t="n"/>
      <c r="BC344" s="125" t="n"/>
      <c r="BD344" s="124" t="n"/>
      <c r="BE344" s="125" t="n"/>
      <c r="BF344" s="125" t="n"/>
      <c r="BG344" s="125" t="n"/>
      <c r="BH344" s="125" t="n"/>
      <c r="BI344" s="125" t="n"/>
      <c r="BJ344" s="125" t="n"/>
      <c r="BK344" s="125" t="n"/>
      <c r="BL344" s="125" t="n"/>
      <c r="BM344" s="125" t="n"/>
      <c r="BN344" s="125" t="n"/>
      <c r="BO344" s="125" t="n"/>
      <c r="BP344" s="125" t="n"/>
      <c r="BQ344" s="107" t="n"/>
      <c r="BR344" s="107" t="n"/>
      <c r="BS344" s="107" t="n"/>
      <c r="BT344" s="107" t="n"/>
      <c r="BU344" s="107" t="n"/>
      <c r="BV344" s="107" t="n"/>
      <c r="BW344" s="107" t="n"/>
      <c r="BX344" s="107" t="n"/>
      <c r="BY344" s="107" t="n"/>
      <c r="BZ344" s="118" t="n"/>
      <c r="CA344" s="107" t="n"/>
      <c r="CB344" s="118" t="n"/>
      <c r="CC344" s="107" t="n"/>
      <c r="CD344" s="125" t="n"/>
      <c r="CE344" s="107" t="n"/>
      <c r="CF344" s="107" t="n"/>
      <c r="CG344" s="107" t="n"/>
      <c r="CH344" s="107" t="n"/>
      <c r="CI344" s="114" t="n"/>
      <c r="CJ344" s="200">
        <f>VLOOKUP(A344,[2]CHAMCONG!A$7:CI$333,79,0)</f>
        <v/>
      </c>
      <c r="CK344" s="201">
        <f>CJ344-CA344</f>
        <v/>
      </c>
    </row>
    <row r="345" customFormat="1" s="127">
      <c r="A345" s="119" t="n"/>
      <c r="B345" s="108" t="n"/>
      <c r="C345" s="107" t="n"/>
      <c r="D345" s="120" t="n"/>
      <c r="E345" s="107" t="n"/>
      <c r="F345" s="107" t="n"/>
      <c r="G345" s="125" t="n"/>
      <c r="H345" s="125" t="n"/>
      <c r="I345" s="122" t="n"/>
      <c r="J345" s="122" t="n"/>
      <c r="K345" s="125" t="n"/>
      <c r="L345" s="125" t="n"/>
      <c r="M345" s="125" t="n"/>
      <c r="N345" s="125" t="n"/>
      <c r="O345" s="122" t="n"/>
      <c r="P345" s="122" t="n"/>
      <c r="Q345" s="125" t="n"/>
      <c r="R345" s="125" t="n"/>
      <c r="S345" s="125" t="n"/>
      <c r="T345" s="125" t="n"/>
      <c r="U345" s="125" t="n"/>
      <c r="V345" s="125" t="n"/>
      <c r="W345" s="125" t="n"/>
      <c r="X345" s="125" t="n"/>
      <c r="Y345" s="125" t="n"/>
      <c r="Z345" s="125" t="n"/>
      <c r="AA345" s="125" t="n"/>
      <c r="AB345" s="123" t="n"/>
      <c r="AC345" s="125" t="n"/>
      <c r="AD345" s="125" t="n"/>
      <c r="AE345" s="125" t="n"/>
      <c r="AF345" s="125" t="n"/>
      <c r="AG345" s="125" t="n"/>
      <c r="AH345" s="125" t="n"/>
      <c r="AI345" s="125" t="n"/>
      <c r="AJ345" s="125" t="n"/>
      <c r="AK345" s="125" t="n"/>
      <c r="AL345" s="125" t="n"/>
      <c r="AM345" s="125" t="n"/>
      <c r="AN345" s="123" t="n"/>
      <c r="AO345" s="125" t="n"/>
      <c r="AP345" s="124" t="n"/>
      <c r="AQ345" s="125" t="n"/>
      <c r="AR345" s="123" t="n"/>
      <c r="AS345" s="125" t="n"/>
      <c r="AT345" s="125" t="n"/>
      <c r="AU345" s="125" t="n"/>
      <c r="AV345" s="125" t="n"/>
      <c r="AW345" s="125" t="n"/>
      <c r="AX345" s="125" t="n"/>
      <c r="AY345" s="125" t="n"/>
      <c r="AZ345" s="125" t="n"/>
      <c r="BA345" s="125" t="n"/>
      <c r="BB345" s="125" t="n"/>
      <c r="BC345" s="125" t="n"/>
      <c r="BD345" s="124" t="n"/>
      <c r="BE345" s="125" t="n"/>
      <c r="BF345" s="125" t="n"/>
      <c r="BG345" s="125" t="n"/>
      <c r="BH345" s="125" t="n"/>
      <c r="BI345" s="125" t="n"/>
      <c r="BJ345" s="125" t="n"/>
      <c r="BK345" s="125" t="n"/>
      <c r="BL345" s="125" t="n"/>
      <c r="BM345" s="125" t="n"/>
      <c r="BN345" s="125" t="n"/>
      <c r="BO345" s="125" t="n"/>
      <c r="BP345" s="125" t="n"/>
      <c r="BQ345" s="107" t="n"/>
      <c r="BR345" s="107" t="n"/>
      <c r="BS345" s="107" t="n"/>
      <c r="BT345" s="107" t="n"/>
      <c r="BU345" s="107" t="n"/>
      <c r="BV345" s="107" t="n"/>
      <c r="BW345" s="107" t="n"/>
      <c r="BX345" s="107" t="n"/>
      <c r="BY345" s="107" t="n"/>
      <c r="BZ345" s="118" t="n"/>
      <c r="CA345" s="107" t="n"/>
      <c r="CB345" s="118" t="n"/>
      <c r="CC345" s="107" t="n"/>
      <c r="CD345" s="125" t="n"/>
      <c r="CE345" s="107" t="n"/>
      <c r="CF345" s="107" t="n"/>
      <c r="CG345" s="107" t="n"/>
      <c r="CH345" s="107" t="n"/>
      <c r="CI345" s="114" t="n"/>
      <c r="CJ345" s="200">
        <f>VLOOKUP(A345,[2]CHAMCONG!A$7:CI$333,79,0)</f>
        <v/>
      </c>
      <c r="CK345" s="201">
        <f>CJ345-CA345</f>
        <v/>
      </c>
    </row>
    <row r="346" customFormat="1" s="127">
      <c r="A346" s="119" t="n"/>
      <c r="B346" s="108" t="n"/>
      <c r="C346" s="107" t="n"/>
      <c r="D346" s="120" t="n"/>
      <c r="E346" s="107" t="n"/>
      <c r="F346" s="107" t="n"/>
      <c r="G346" s="125" t="n"/>
      <c r="H346" s="125" t="n"/>
      <c r="I346" s="122" t="n"/>
      <c r="J346" s="122" t="n"/>
      <c r="K346" s="125" t="n"/>
      <c r="L346" s="125" t="n"/>
      <c r="M346" s="125" t="n"/>
      <c r="N346" s="125" t="n"/>
      <c r="O346" s="122" t="n"/>
      <c r="P346" s="122" t="n"/>
      <c r="Q346" s="125" t="n"/>
      <c r="R346" s="125" t="n"/>
      <c r="S346" s="125" t="n"/>
      <c r="T346" s="125" t="n"/>
      <c r="U346" s="125" t="n"/>
      <c r="V346" s="125" t="n"/>
      <c r="W346" s="125" t="n"/>
      <c r="X346" s="125" t="n"/>
      <c r="Y346" s="125" t="n"/>
      <c r="Z346" s="125" t="n"/>
      <c r="AA346" s="125" t="n"/>
      <c r="AB346" s="123" t="n"/>
      <c r="AC346" s="125" t="n"/>
      <c r="AD346" s="125" t="n"/>
      <c r="AE346" s="125" t="n"/>
      <c r="AF346" s="125" t="n"/>
      <c r="AG346" s="125" t="n"/>
      <c r="AH346" s="125" t="n"/>
      <c r="AI346" s="125" t="n"/>
      <c r="AJ346" s="125" t="n"/>
      <c r="AK346" s="125" t="n"/>
      <c r="AL346" s="125" t="n"/>
      <c r="AM346" s="125" t="n"/>
      <c r="AN346" s="123" t="n"/>
      <c r="AO346" s="125" t="n"/>
      <c r="AP346" s="124" t="n"/>
      <c r="AQ346" s="125" t="n"/>
      <c r="AR346" s="123" t="n"/>
      <c r="AS346" s="125" t="n"/>
      <c r="AT346" s="125" t="n"/>
      <c r="AU346" s="125" t="n"/>
      <c r="AV346" s="125" t="n"/>
      <c r="AW346" s="125" t="n"/>
      <c r="AX346" s="125" t="n"/>
      <c r="AY346" s="125" t="n"/>
      <c r="AZ346" s="125" t="n"/>
      <c r="BA346" s="125" t="n"/>
      <c r="BB346" s="125" t="n"/>
      <c r="BC346" s="125" t="n"/>
      <c r="BD346" s="124" t="n"/>
      <c r="BE346" s="125" t="n"/>
      <c r="BF346" s="125" t="n"/>
      <c r="BG346" s="125" t="n"/>
      <c r="BH346" s="125" t="n"/>
      <c r="BI346" s="125" t="n"/>
      <c r="BJ346" s="125" t="n"/>
      <c r="BK346" s="125" t="n"/>
      <c r="BL346" s="125" t="n"/>
      <c r="BM346" s="125" t="n"/>
      <c r="BN346" s="125" t="n"/>
      <c r="BO346" s="125" t="n"/>
      <c r="BP346" s="125" t="n"/>
      <c r="BQ346" s="107" t="n"/>
      <c r="BR346" s="107" t="n"/>
      <c r="BS346" s="107" t="n"/>
      <c r="BT346" s="107" t="n"/>
      <c r="BU346" s="107" t="n"/>
      <c r="BV346" s="107" t="n"/>
      <c r="BW346" s="107" t="n"/>
      <c r="BX346" s="107" t="n"/>
      <c r="BY346" s="107" t="n"/>
      <c r="BZ346" s="118" t="n"/>
      <c r="CA346" s="107" t="n"/>
      <c r="CB346" s="118" t="n"/>
      <c r="CC346" s="107" t="n"/>
      <c r="CD346" s="125" t="n"/>
      <c r="CE346" s="107" t="n"/>
      <c r="CF346" s="107" t="n"/>
      <c r="CG346" s="107" t="n"/>
      <c r="CH346" s="107" t="n"/>
      <c r="CI346" s="114" t="n"/>
      <c r="CJ346" s="200">
        <f>VLOOKUP(A346,[2]CHAMCONG!A$7:CI$333,79,0)</f>
        <v/>
      </c>
      <c r="CK346" s="201">
        <f>CJ346-CA346</f>
        <v/>
      </c>
    </row>
    <row r="347" customFormat="1" s="127">
      <c r="A347" s="119" t="n"/>
      <c r="B347" s="108" t="n"/>
      <c r="C347" s="107" t="n"/>
      <c r="D347" s="120" t="n"/>
      <c r="E347" s="107" t="n"/>
      <c r="F347" s="107" t="n"/>
      <c r="G347" s="125" t="n"/>
      <c r="H347" s="125" t="n"/>
      <c r="I347" s="122" t="n"/>
      <c r="J347" s="122" t="n"/>
      <c r="K347" s="125" t="n"/>
      <c r="L347" s="125" t="n"/>
      <c r="M347" s="125" t="n"/>
      <c r="N347" s="125" t="n"/>
      <c r="O347" s="122" t="n"/>
      <c r="P347" s="122" t="n"/>
      <c r="Q347" s="125" t="n"/>
      <c r="R347" s="125" t="n"/>
      <c r="S347" s="125" t="n"/>
      <c r="T347" s="125" t="n"/>
      <c r="U347" s="125" t="n"/>
      <c r="V347" s="125" t="n"/>
      <c r="W347" s="125" t="n"/>
      <c r="X347" s="125" t="n"/>
      <c r="Y347" s="125" t="n"/>
      <c r="Z347" s="125" t="n"/>
      <c r="AA347" s="125" t="n"/>
      <c r="AB347" s="123" t="n"/>
      <c r="AC347" s="125" t="n"/>
      <c r="AD347" s="125" t="n"/>
      <c r="AE347" s="125" t="n"/>
      <c r="AF347" s="125" t="n"/>
      <c r="AG347" s="125" t="n"/>
      <c r="AH347" s="125" t="n"/>
      <c r="AI347" s="125" t="n"/>
      <c r="AJ347" s="125" t="n"/>
      <c r="AK347" s="125" t="n"/>
      <c r="AL347" s="125" t="n"/>
      <c r="AM347" s="125" t="n"/>
      <c r="AN347" s="123" t="n"/>
      <c r="AO347" s="125" t="n"/>
      <c r="AP347" s="124" t="n"/>
      <c r="AQ347" s="125" t="n"/>
      <c r="AR347" s="123" t="n"/>
      <c r="AS347" s="125" t="n"/>
      <c r="AT347" s="125" t="n"/>
      <c r="AU347" s="125" t="n"/>
      <c r="AV347" s="125" t="n"/>
      <c r="AW347" s="125" t="n"/>
      <c r="AX347" s="125" t="n"/>
      <c r="AY347" s="125" t="n"/>
      <c r="AZ347" s="125" t="n"/>
      <c r="BA347" s="125" t="n"/>
      <c r="BB347" s="125" t="n"/>
      <c r="BC347" s="125" t="n"/>
      <c r="BD347" s="124" t="n"/>
      <c r="BE347" s="125" t="n"/>
      <c r="BF347" s="125" t="n"/>
      <c r="BG347" s="125" t="n"/>
      <c r="BH347" s="125" t="n"/>
      <c r="BI347" s="125" t="n"/>
      <c r="BJ347" s="125" t="n"/>
      <c r="BK347" s="125" t="n"/>
      <c r="BL347" s="125" t="n"/>
      <c r="BM347" s="125" t="n"/>
      <c r="BN347" s="125" t="n"/>
      <c r="BO347" s="125" t="n"/>
      <c r="BP347" s="125" t="n"/>
      <c r="BQ347" s="107" t="n"/>
      <c r="BR347" s="107" t="n"/>
      <c r="BS347" s="107" t="n"/>
      <c r="BT347" s="107" t="n"/>
      <c r="BU347" s="107" t="n"/>
      <c r="BV347" s="107" t="n"/>
      <c r="BW347" s="107" t="n"/>
      <c r="BX347" s="107" t="n"/>
      <c r="BY347" s="107" t="n"/>
      <c r="BZ347" s="118" t="n"/>
      <c r="CA347" s="107" t="n"/>
      <c r="CB347" s="118" t="n"/>
      <c r="CC347" s="107" t="n"/>
      <c r="CD347" s="125" t="n"/>
      <c r="CE347" s="107" t="n"/>
      <c r="CF347" s="107" t="n"/>
      <c r="CG347" s="107" t="n"/>
      <c r="CH347" s="107" t="n"/>
      <c r="CI347" s="114" t="n"/>
      <c r="CJ347" s="200">
        <f>VLOOKUP(A347,[2]CHAMCONG!A$7:CI$333,79,0)</f>
        <v/>
      </c>
      <c r="CK347" s="201">
        <f>CJ347-CA347</f>
        <v/>
      </c>
    </row>
    <row r="348" customFormat="1" s="127">
      <c r="A348" s="129" t="n"/>
      <c r="B348" s="108" t="n"/>
      <c r="C348" s="107" t="n"/>
      <c r="D348" s="120" t="n"/>
      <c r="E348" s="107" t="n"/>
      <c r="F348" s="107" t="n"/>
      <c r="G348" s="125" t="n"/>
      <c r="H348" s="125" t="n"/>
      <c r="I348" s="122" t="n"/>
      <c r="J348" s="122" t="n"/>
      <c r="K348" s="125" t="n"/>
      <c r="L348" s="125" t="n"/>
      <c r="M348" s="125" t="n"/>
      <c r="N348" s="125" t="n"/>
      <c r="O348" s="122" t="n"/>
      <c r="P348" s="122" t="n"/>
      <c r="Q348" s="125" t="n"/>
      <c r="R348" s="125" t="n"/>
      <c r="S348" s="125" t="n"/>
      <c r="T348" s="125" t="n"/>
      <c r="U348" s="125" t="n"/>
      <c r="V348" s="125" t="n"/>
      <c r="W348" s="125" t="n"/>
      <c r="X348" s="125" t="n"/>
      <c r="Y348" s="125" t="n"/>
      <c r="Z348" s="125" t="n"/>
      <c r="AA348" s="125" t="n"/>
      <c r="AB348" s="123" t="n"/>
      <c r="AC348" s="125" t="n"/>
      <c r="AD348" s="125" t="n"/>
      <c r="AE348" s="125" t="n"/>
      <c r="AF348" s="125" t="n"/>
      <c r="AG348" s="125" t="n"/>
      <c r="AH348" s="125" t="n"/>
      <c r="AI348" s="125" t="n"/>
      <c r="AJ348" s="125" t="n"/>
      <c r="AK348" s="125" t="n"/>
      <c r="AL348" s="125" t="n"/>
      <c r="AM348" s="125" t="n"/>
      <c r="AN348" s="123" t="n"/>
      <c r="AO348" s="125" t="n"/>
      <c r="AP348" s="124" t="n"/>
      <c r="AQ348" s="125" t="n"/>
      <c r="AR348" s="123" t="n"/>
      <c r="AS348" s="125" t="n"/>
      <c r="AT348" s="125" t="n"/>
      <c r="AU348" s="125" t="n"/>
      <c r="AV348" s="125" t="n"/>
      <c r="AW348" s="125" t="n"/>
      <c r="AX348" s="125" t="n"/>
      <c r="AY348" s="125" t="n"/>
      <c r="AZ348" s="125" t="n"/>
      <c r="BA348" s="125" t="n"/>
      <c r="BB348" s="125" t="n"/>
      <c r="BC348" s="125" t="n"/>
      <c r="BD348" s="124" t="n"/>
      <c r="BE348" s="125" t="n"/>
      <c r="BF348" s="125" t="n"/>
      <c r="BG348" s="125" t="n"/>
      <c r="BH348" s="125" t="n"/>
      <c r="BI348" s="125" t="n"/>
      <c r="BJ348" s="125" t="n"/>
      <c r="BK348" s="125" t="n"/>
      <c r="BL348" s="125" t="n"/>
      <c r="BM348" s="125" t="n"/>
      <c r="BN348" s="125" t="n"/>
      <c r="BO348" s="125" t="n"/>
      <c r="BP348" s="125" t="n"/>
      <c r="BQ348" s="107" t="n"/>
      <c r="BR348" s="107" t="n"/>
      <c r="BS348" s="107" t="n"/>
      <c r="BT348" s="107" t="n"/>
      <c r="BU348" s="107" t="n"/>
      <c r="BV348" s="107" t="n"/>
      <c r="BW348" s="107" t="n"/>
      <c r="BX348" s="107" t="n"/>
      <c r="BY348" s="107" t="n"/>
      <c r="BZ348" s="118" t="n"/>
      <c r="CA348" s="107" t="n"/>
      <c r="CB348" s="118" t="n"/>
      <c r="CC348" s="107" t="n"/>
      <c r="CD348" s="125" t="n"/>
      <c r="CE348" s="107" t="n"/>
      <c r="CF348" s="107" t="n"/>
      <c r="CG348" s="107" t="n"/>
      <c r="CH348" s="107" t="n"/>
      <c r="CI348" s="114" t="n"/>
      <c r="CJ348" s="200">
        <f>VLOOKUP(A348,[2]CHAMCONG!A$7:CI$333,79,0)</f>
        <v/>
      </c>
      <c r="CK348" s="201">
        <f>CJ348-CA348</f>
        <v/>
      </c>
    </row>
    <row r="349" customFormat="1" s="127">
      <c r="A349" s="119" t="n"/>
      <c r="B349" s="108" t="n"/>
      <c r="C349" s="107" t="n"/>
      <c r="D349" s="120" t="n"/>
      <c r="E349" s="107" t="n"/>
      <c r="F349" s="107" t="n"/>
      <c r="G349" s="125" t="n"/>
      <c r="H349" s="125" t="n"/>
      <c r="I349" s="122" t="n"/>
      <c r="J349" s="122" t="n"/>
      <c r="K349" s="125" t="n"/>
      <c r="L349" s="125" t="n"/>
      <c r="M349" s="125" t="n"/>
      <c r="N349" s="125" t="n"/>
      <c r="O349" s="122" t="n"/>
      <c r="P349" s="122" t="n"/>
      <c r="Q349" s="125" t="n"/>
      <c r="R349" s="125" t="n"/>
      <c r="S349" s="125" t="n"/>
      <c r="T349" s="125" t="n"/>
      <c r="U349" s="125" t="n"/>
      <c r="V349" s="125" t="n"/>
      <c r="W349" s="125" t="n"/>
      <c r="X349" s="125" t="n"/>
      <c r="Y349" s="125" t="n"/>
      <c r="Z349" s="125" t="n"/>
      <c r="AA349" s="125" t="n"/>
      <c r="AB349" s="123" t="n"/>
      <c r="AC349" s="125" t="n"/>
      <c r="AD349" s="125" t="n"/>
      <c r="AE349" s="125" t="n"/>
      <c r="AF349" s="125" t="n"/>
      <c r="AG349" s="125" t="n"/>
      <c r="AH349" s="125" t="n"/>
      <c r="AI349" s="125" t="n"/>
      <c r="AJ349" s="125" t="n"/>
      <c r="AK349" s="125" t="n"/>
      <c r="AL349" s="125" t="n"/>
      <c r="AM349" s="125" t="n"/>
      <c r="AN349" s="123" t="n"/>
      <c r="AO349" s="125" t="n"/>
      <c r="AP349" s="124" t="n"/>
      <c r="AQ349" s="125" t="n"/>
      <c r="AR349" s="123" t="n"/>
      <c r="AS349" s="125" t="n"/>
      <c r="AT349" s="125" t="n"/>
      <c r="AU349" s="125" t="n"/>
      <c r="AV349" s="125" t="n"/>
      <c r="AW349" s="125" t="n"/>
      <c r="AX349" s="125" t="n"/>
      <c r="AY349" s="125" t="n"/>
      <c r="AZ349" s="125" t="n"/>
      <c r="BA349" s="125" t="n"/>
      <c r="BB349" s="125" t="n"/>
      <c r="BC349" s="125" t="n"/>
      <c r="BD349" s="124" t="n"/>
      <c r="BE349" s="125" t="n"/>
      <c r="BF349" s="125" t="n"/>
      <c r="BG349" s="125" t="n"/>
      <c r="BH349" s="125" t="n"/>
      <c r="BI349" s="125" t="n"/>
      <c r="BJ349" s="125" t="n"/>
      <c r="BK349" s="125" t="n"/>
      <c r="BL349" s="125" t="n"/>
      <c r="BM349" s="125" t="n"/>
      <c r="BN349" s="125" t="n"/>
      <c r="BO349" s="125" t="n"/>
      <c r="BP349" s="125" t="n"/>
      <c r="BQ349" s="107" t="n"/>
      <c r="BR349" s="107" t="n"/>
      <c r="BS349" s="107" t="n"/>
      <c r="BT349" s="107" t="n"/>
      <c r="BU349" s="107" t="n"/>
      <c r="BV349" s="107" t="n"/>
      <c r="BW349" s="107" t="n"/>
      <c r="BX349" s="107" t="n"/>
      <c r="BY349" s="107" t="n"/>
      <c r="BZ349" s="118" t="n"/>
      <c r="CA349" s="107" t="n"/>
      <c r="CB349" s="118" t="n"/>
      <c r="CC349" s="107" t="n"/>
      <c r="CD349" s="125" t="n"/>
      <c r="CE349" s="107" t="n"/>
      <c r="CF349" s="107" t="n"/>
      <c r="CG349" s="107" t="n"/>
      <c r="CH349" s="107" t="n"/>
      <c r="CI349" s="114" t="n"/>
      <c r="CJ349" s="200">
        <f>VLOOKUP(A349,[2]CHAMCONG!A$7:CI$333,79,0)</f>
        <v/>
      </c>
      <c r="CK349" s="201">
        <f>CJ349-CA349</f>
        <v/>
      </c>
    </row>
    <row r="350" customFormat="1" s="127">
      <c r="A350" s="119" t="n"/>
      <c r="B350" s="108" t="n"/>
      <c r="C350" s="107" t="n"/>
      <c r="D350" s="120" t="n"/>
      <c r="E350" s="107" t="n"/>
      <c r="F350" s="107" t="n"/>
      <c r="G350" s="125" t="n"/>
      <c r="H350" s="125" t="n"/>
      <c r="I350" s="122" t="n"/>
      <c r="J350" s="122" t="n"/>
      <c r="K350" s="125" t="n"/>
      <c r="L350" s="125" t="n"/>
      <c r="M350" s="125" t="n"/>
      <c r="N350" s="125" t="n"/>
      <c r="O350" s="122" t="n"/>
      <c r="P350" s="122" t="n"/>
      <c r="Q350" s="125" t="n"/>
      <c r="R350" s="125" t="n"/>
      <c r="S350" s="125" t="n"/>
      <c r="T350" s="125" t="n"/>
      <c r="U350" s="125" t="n"/>
      <c r="V350" s="125" t="n"/>
      <c r="W350" s="125" t="n"/>
      <c r="X350" s="125" t="n"/>
      <c r="Y350" s="125" t="n"/>
      <c r="Z350" s="125" t="n"/>
      <c r="AA350" s="125" t="n"/>
      <c r="AB350" s="123" t="n"/>
      <c r="AC350" s="125" t="n"/>
      <c r="AD350" s="125" t="n"/>
      <c r="AE350" s="125" t="n"/>
      <c r="AF350" s="125" t="n"/>
      <c r="AG350" s="125" t="n"/>
      <c r="AH350" s="125" t="n"/>
      <c r="AI350" s="125" t="n"/>
      <c r="AJ350" s="125" t="n"/>
      <c r="AK350" s="125" t="n"/>
      <c r="AL350" s="125" t="n"/>
      <c r="AM350" s="125" t="n"/>
      <c r="AN350" s="123" t="n"/>
      <c r="AO350" s="125" t="n"/>
      <c r="AP350" s="124" t="n"/>
      <c r="AQ350" s="125" t="n"/>
      <c r="AR350" s="123" t="n"/>
      <c r="AS350" s="125" t="n"/>
      <c r="AT350" s="125" t="n"/>
      <c r="AU350" s="125" t="n"/>
      <c r="AV350" s="125" t="n"/>
      <c r="AW350" s="125" t="n"/>
      <c r="AX350" s="125" t="n"/>
      <c r="AY350" s="125" t="n"/>
      <c r="AZ350" s="125" t="n"/>
      <c r="BA350" s="125" t="n"/>
      <c r="BB350" s="125" t="n"/>
      <c r="BC350" s="125" t="n"/>
      <c r="BD350" s="124" t="n"/>
      <c r="BE350" s="125" t="n"/>
      <c r="BF350" s="125" t="n"/>
      <c r="BG350" s="125" t="n"/>
      <c r="BH350" s="125" t="n"/>
      <c r="BI350" s="125" t="n"/>
      <c r="BJ350" s="125" t="n"/>
      <c r="BK350" s="125" t="n"/>
      <c r="BL350" s="125" t="n"/>
      <c r="BM350" s="125" t="n"/>
      <c r="BN350" s="125" t="n"/>
      <c r="BO350" s="125" t="n"/>
      <c r="BP350" s="125" t="n"/>
      <c r="BQ350" s="107" t="n"/>
      <c r="BR350" s="107" t="n"/>
      <c r="BS350" s="107" t="n"/>
      <c r="BT350" s="107" t="n"/>
      <c r="BU350" s="107" t="n"/>
      <c r="BV350" s="107" t="n"/>
      <c r="BW350" s="107" t="n"/>
      <c r="BX350" s="107" t="n"/>
      <c r="BY350" s="107" t="n"/>
      <c r="BZ350" s="118" t="n"/>
      <c r="CA350" s="107" t="n"/>
      <c r="CB350" s="118" t="n"/>
      <c r="CC350" s="107" t="n"/>
      <c r="CD350" s="125" t="n"/>
      <c r="CE350" s="107" t="n"/>
      <c r="CF350" s="107" t="n"/>
      <c r="CG350" s="107" t="n"/>
      <c r="CH350" s="107" t="n"/>
      <c r="CI350" s="114" t="n"/>
      <c r="CJ350" s="200">
        <f>VLOOKUP(A350,[2]CHAMCONG!A$7:CI$333,79,0)</f>
        <v/>
      </c>
      <c r="CK350" s="201">
        <f>CJ350-CA350</f>
        <v/>
      </c>
    </row>
    <row r="351" customFormat="1" s="127">
      <c r="A351" s="119" t="n"/>
      <c r="B351" s="108" t="n"/>
      <c r="C351" s="107" t="n"/>
      <c r="D351" s="120" t="n"/>
      <c r="E351" s="107" t="n"/>
      <c r="F351" s="107" t="n"/>
      <c r="G351" s="125" t="n"/>
      <c r="H351" s="125" t="n"/>
      <c r="I351" s="122" t="n"/>
      <c r="J351" s="122" t="n"/>
      <c r="K351" s="125" t="n"/>
      <c r="L351" s="125" t="n"/>
      <c r="M351" s="125" t="n"/>
      <c r="N351" s="125" t="n"/>
      <c r="O351" s="122" t="n"/>
      <c r="P351" s="122" t="n"/>
      <c r="Q351" s="125" t="n"/>
      <c r="R351" s="125" t="n"/>
      <c r="S351" s="125" t="n"/>
      <c r="T351" s="125" t="n"/>
      <c r="U351" s="125" t="n"/>
      <c r="V351" s="125" t="n"/>
      <c r="W351" s="125" t="n"/>
      <c r="X351" s="125" t="n"/>
      <c r="Y351" s="125" t="n"/>
      <c r="Z351" s="125" t="n"/>
      <c r="AA351" s="125" t="n"/>
      <c r="AB351" s="123" t="n"/>
      <c r="AC351" s="125" t="n"/>
      <c r="AD351" s="125" t="n"/>
      <c r="AE351" s="125" t="n"/>
      <c r="AF351" s="125" t="n"/>
      <c r="AG351" s="125" t="n"/>
      <c r="AH351" s="125" t="n"/>
      <c r="AI351" s="125" t="n"/>
      <c r="AJ351" s="125" t="n"/>
      <c r="AK351" s="125" t="n"/>
      <c r="AL351" s="125" t="n"/>
      <c r="AM351" s="125" t="n"/>
      <c r="AN351" s="123" t="n"/>
      <c r="AO351" s="125" t="n"/>
      <c r="AP351" s="124" t="n"/>
      <c r="AQ351" s="125" t="n"/>
      <c r="AR351" s="123" t="n"/>
      <c r="AS351" s="125" t="n"/>
      <c r="AT351" s="125" t="n"/>
      <c r="AU351" s="125" t="n"/>
      <c r="AV351" s="125" t="n"/>
      <c r="AW351" s="125" t="n"/>
      <c r="AX351" s="125" t="n"/>
      <c r="AY351" s="125" t="n"/>
      <c r="AZ351" s="125" t="n"/>
      <c r="BA351" s="125" t="n"/>
      <c r="BB351" s="125" t="n"/>
      <c r="BC351" s="125" t="n"/>
      <c r="BD351" s="124" t="n"/>
      <c r="BE351" s="125" t="n"/>
      <c r="BF351" s="125" t="n"/>
      <c r="BG351" s="125" t="n"/>
      <c r="BH351" s="125" t="n"/>
      <c r="BI351" s="125" t="n"/>
      <c r="BJ351" s="125" t="n"/>
      <c r="BK351" s="125" t="n"/>
      <c r="BL351" s="125" t="n"/>
      <c r="BM351" s="125" t="n"/>
      <c r="BN351" s="125" t="n"/>
      <c r="BO351" s="125" t="n"/>
      <c r="BP351" s="125" t="n"/>
      <c r="BQ351" s="107" t="n"/>
      <c r="BR351" s="107" t="n"/>
      <c r="BS351" s="107" t="n"/>
      <c r="BT351" s="107" t="n"/>
      <c r="BU351" s="107" t="n"/>
      <c r="BV351" s="107" t="n"/>
      <c r="BW351" s="107" t="n"/>
      <c r="BX351" s="107" t="n"/>
      <c r="BY351" s="107" t="n"/>
      <c r="BZ351" s="118" t="n"/>
      <c r="CA351" s="107" t="n"/>
      <c r="CB351" s="118" t="n"/>
      <c r="CC351" s="107" t="n"/>
      <c r="CD351" s="125" t="n"/>
      <c r="CE351" s="107" t="n"/>
      <c r="CF351" s="107" t="n"/>
      <c r="CG351" s="107" t="n"/>
      <c r="CH351" s="107" t="n"/>
      <c r="CI351" s="114" t="n"/>
      <c r="CJ351" s="200">
        <f>VLOOKUP(A351,[2]CHAMCONG!A$7:CI$333,79,0)</f>
        <v/>
      </c>
      <c r="CK351" s="201">
        <f>CJ351-CA351</f>
        <v/>
      </c>
    </row>
    <row r="352" customFormat="1" s="127">
      <c r="A352" s="119" t="n"/>
      <c r="B352" s="108" t="n"/>
      <c r="C352" s="107" t="n"/>
      <c r="D352" s="120" t="n"/>
      <c r="E352" s="107" t="n"/>
      <c r="F352" s="107" t="n"/>
      <c r="G352" s="125" t="n"/>
      <c r="H352" s="125" t="n"/>
      <c r="I352" s="122" t="n"/>
      <c r="J352" s="122" t="n"/>
      <c r="K352" s="125" t="n"/>
      <c r="L352" s="125" t="n"/>
      <c r="M352" s="125" t="n"/>
      <c r="N352" s="125" t="n"/>
      <c r="O352" s="122" t="n"/>
      <c r="P352" s="122" t="n"/>
      <c r="Q352" s="125" t="n"/>
      <c r="R352" s="125" t="n"/>
      <c r="S352" s="125" t="n"/>
      <c r="T352" s="125" t="n"/>
      <c r="U352" s="125" t="n"/>
      <c r="V352" s="125" t="n"/>
      <c r="W352" s="125" t="n"/>
      <c r="X352" s="125" t="n"/>
      <c r="Y352" s="125" t="n"/>
      <c r="Z352" s="125" t="n"/>
      <c r="AA352" s="125" t="n"/>
      <c r="AB352" s="123" t="n"/>
      <c r="AC352" s="125" t="n"/>
      <c r="AD352" s="125" t="n"/>
      <c r="AE352" s="125" t="n"/>
      <c r="AF352" s="125" t="n"/>
      <c r="AG352" s="125" t="n"/>
      <c r="AH352" s="125" t="n"/>
      <c r="AI352" s="125" t="n"/>
      <c r="AJ352" s="125" t="n"/>
      <c r="AK352" s="125" t="n"/>
      <c r="AL352" s="125" t="n"/>
      <c r="AM352" s="125" t="n"/>
      <c r="AN352" s="123" t="n"/>
      <c r="AO352" s="125" t="n"/>
      <c r="AP352" s="124" t="n"/>
      <c r="AQ352" s="125" t="n"/>
      <c r="AR352" s="123" t="n"/>
      <c r="AS352" s="125" t="n"/>
      <c r="AT352" s="125" t="n"/>
      <c r="AU352" s="125" t="n"/>
      <c r="AV352" s="125" t="n"/>
      <c r="AW352" s="125" t="n"/>
      <c r="AX352" s="125" t="n"/>
      <c r="AY352" s="125" t="n"/>
      <c r="AZ352" s="125" t="n"/>
      <c r="BA352" s="125" t="n"/>
      <c r="BB352" s="125" t="n"/>
      <c r="BC352" s="125" t="n"/>
      <c r="BD352" s="124" t="n"/>
      <c r="BE352" s="125" t="n"/>
      <c r="BF352" s="125" t="n"/>
      <c r="BG352" s="125" t="n"/>
      <c r="BH352" s="125" t="n"/>
      <c r="BI352" s="125" t="n"/>
      <c r="BJ352" s="125" t="n"/>
      <c r="BK352" s="125" t="n"/>
      <c r="BL352" s="125" t="n"/>
      <c r="BM352" s="125" t="n"/>
      <c r="BN352" s="125" t="n"/>
      <c r="BO352" s="125" t="n"/>
      <c r="BP352" s="125" t="n"/>
      <c r="BQ352" s="107" t="n"/>
      <c r="BR352" s="107" t="n"/>
      <c r="BS352" s="107" t="n"/>
      <c r="BT352" s="107" t="n"/>
      <c r="BU352" s="107" t="n"/>
      <c r="BV352" s="107" t="n"/>
      <c r="BW352" s="107" t="n"/>
      <c r="BX352" s="107" t="n"/>
      <c r="BY352" s="107" t="n"/>
      <c r="BZ352" s="118" t="n"/>
      <c r="CA352" s="107" t="n"/>
      <c r="CB352" s="118" t="n"/>
      <c r="CC352" s="107" t="n"/>
      <c r="CD352" s="125" t="n"/>
      <c r="CE352" s="107" t="n"/>
      <c r="CF352" s="107" t="n"/>
      <c r="CG352" s="107" t="n"/>
      <c r="CH352" s="107" t="n"/>
      <c r="CI352" s="114" t="n"/>
      <c r="CJ352" s="200">
        <f>VLOOKUP(A352,[2]CHAMCONG!A$7:CI$333,79,0)</f>
        <v/>
      </c>
      <c r="CK352" s="201">
        <f>CJ352-CA352</f>
        <v/>
      </c>
    </row>
    <row r="353" customFormat="1" s="127">
      <c r="A353" s="119" t="n"/>
      <c r="B353" s="108" t="n"/>
      <c r="C353" s="107" t="n"/>
      <c r="D353" s="120" t="n"/>
      <c r="E353" s="107" t="n"/>
      <c r="F353" s="107" t="n"/>
      <c r="G353" s="125" t="n"/>
      <c r="H353" s="125" t="n"/>
      <c r="I353" s="122" t="n"/>
      <c r="J353" s="122" t="n"/>
      <c r="K353" s="125" t="n"/>
      <c r="L353" s="125" t="n"/>
      <c r="M353" s="125" t="n"/>
      <c r="N353" s="125" t="n"/>
      <c r="O353" s="122" t="n"/>
      <c r="P353" s="122" t="n"/>
      <c r="Q353" s="125" t="n"/>
      <c r="R353" s="125" t="n"/>
      <c r="S353" s="125" t="n"/>
      <c r="T353" s="125" t="n"/>
      <c r="U353" s="125" t="n"/>
      <c r="V353" s="125" t="n"/>
      <c r="W353" s="125" t="n"/>
      <c r="X353" s="125" t="n"/>
      <c r="Y353" s="125" t="n"/>
      <c r="Z353" s="125" t="n"/>
      <c r="AA353" s="125" t="n"/>
      <c r="AB353" s="123" t="n"/>
      <c r="AC353" s="125" t="n"/>
      <c r="AD353" s="125" t="n"/>
      <c r="AE353" s="125" t="n"/>
      <c r="AF353" s="125" t="n"/>
      <c r="AG353" s="125" t="n"/>
      <c r="AH353" s="125" t="n"/>
      <c r="AI353" s="125" t="n"/>
      <c r="AJ353" s="125" t="n"/>
      <c r="AK353" s="125" t="n"/>
      <c r="AL353" s="125" t="n"/>
      <c r="AM353" s="125" t="n"/>
      <c r="AN353" s="123" t="n"/>
      <c r="AO353" s="125" t="n"/>
      <c r="AP353" s="124" t="n"/>
      <c r="AQ353" s="125" t="n"/>
      <c r="AR353" s="123" t="n"/>
      <c r="AS353" s="125" t="n"/>
      <c r="AT353" s="125" t="n"/>
      <c r="AU353" s="125" t="n"/>
      <c r="AV353" s="125" t="n"/>
      <c r="AW353" s="125" t="n"/>
      <c r="AX353" s="125" t="n"/>
      <c r="AY353" s="125" t="n"/>
      <c r="AZ353" s="125" t="n"/>
      <c r="BA353" s="125" t="n"/>
      <c r="BB353" s="125" t="n"/>
      <c r="BC353" s="125" t="n"/>
      <c r="BD353" s="124" t="n"/>
      <c r="BE353" s="125" t="n"/>
      <c r="BF353" s="125" t="n"/>
      <c r="BG353" s="125" t="n"/>
      <c r="BH353" s="125" t="n"/>
      <c r="BI353" s="125" t="n"/>
      <c r="BJ353" s="125" t="n"/>
      <c r="BK353" s="125" t="n"/>
      <c r="BL353" s="125" t="n"/>
      <c r="BM353" s="125" t="n"/>
      <c r="BN353" s="125" t="n"/>
      <c r="BO353" s="125" t="n"/>
      <c r="BP353" s="125" t="n"/>
      <c r="BQ353" s="107" t="n"/>
      <c r="BR353" s="107" t="n"/>
      <c r="BS353" s="107" t="n"/>
      <c r="BT353" s="107" t="n"/>
      <c r="BU353" s="107" t="n"/>
      <c r="BV353" s="107" t="n"/>
      <c r="BW353" s="107" t="n"/>
      <c r="BX353" s="107" t="n"/>
      <c r="BY353" s="107" t="n"/>
      <c r="BZ353" s="118" t="n"/>
      <c r="CA353" s="107" t="n"/>
      <c r="CB353" s="118" t="n"/>
      <c r="CC353" s="107" t="n"/>
      <c r="CD353" s="125" t="n"/>
      <c r="CE353" s="107" t="n"/>
      <c r="CF353" s="107" t="n"/>
      <c r="CG353" s="107" t="n"/>
      <c r="CH353" s="107" t="n"/>
      <c r="CI353" s="114" t="n"/>
      <c r="CK353" s="201">
        <f>CJ353-CA353</f>
        <v/>
      </c>
    </row>
    <row r="354" customFormat="1" s="127">
      <c r="A354" s="119" t="n"/>
      <c r="B354" s="108" t="n"/>
      <c r="C354" s="107" t="n"/>
      <c r="D354" s="120" t="n"/>
      <c r="E354" s="107" t="n"/>
      <c r="F354" s="107" t="n"/>
      <c r="G354" s="125" t="n"/>
      <c r="H354" s="125" t="n"/>
      <c r="I354" s="122" t="n"/>
      <c r="J354" s="122" t="n"/>
      <c r="K354" s="125" t="n"/>
      <c r="L354" s="125" t="n"/>
      <c r="M354" s="125" t="n"/>
      <c r="N354" s="125" t="n"/>
      <c r="O354" s="122" t="n"/>
      <c r="P354" s="122" t="n"/>
      <c r="Q354" s="125" t="n"/>
      <c r="R354" s="125" t="n"/>
      <c r="S354" s="125" t="n"/>
      <c r="T354" s="125" t="n"/>
      <c r="U354" s="125" t="n"/>
      <c r="V354" s="125" t="n"/>
      <c r="W354" s="125" t="n"/>
      <c r="X354" s="125" t="n"/>
      <c r="Y354" s="125" t="n"/>
      <c r="Z354" s="125" t="n"/>
      <c r="AA354" s="125" t="n"/>
      <c r="AB354" s="123" t="n"/>
      <c r="AC354" s="125" t="n"/>
      <c r="AD354" s="125" t="n"/>
      <c r="AE354" s="125" t="n"/>
      <c r="AF354" s="125" t="n"/>
      <c r="AG354" s="125" t="n"/>
      <c r="AH354" s="125" t="n"/>
      <c r="AI354" s="125" t="n"/>
      <c r="AJ354" s="125" t="n"/>
      <c r="AK354" s="125" t="n"/>
      <c r="AL354" s="125" t="n"/>
      <c r="AM354" s="125" t="n"/>
      <c r="AN354" s="123" t="n"/>
      <c r="AO354" s="125" t="n"/>
      <c r="AP354" s="124" t="n"/>
      <c r="AQ354" s="125" t="n"/>
      <c r="AR354" s="123" t="n"/>
      <c r="AS354" s="125" t="n"/>
      <c r="AT354" s="125" t="n"/>
      <c r="AU354" s="125" t="n"/>
      <c r="AV354" s="125" t="n"/>
      <c r="AW354" s="125" t="n"/>
      <c r="AX354" s="125" t="n"/>
      <c r="AY354" s="125" t="n"/>
      <c r="AZ354" s="125" t="n"/>
      <c r="BA354" s="125" t="n"/>
      <c r="BB354" s="125" t="n"/>
      <c r="BC354" s="125" t="n"/>
      <c r="BD354" s="124" t="n"/>
      <c r="BE354" s="125" t="n"/>
      <c r="BF354" s="125" t="n"/>
      <c r="BG354" s="125" t="n"/>
      <c r="BH354" s="125" t="n"/>
      <c r="BI354" s="125" t="n"/>
      <c r="BJ354" s="125" t="n"/>
      <c r="BK354" s="125" t="n"/>
      <c r="BL354" s="125" t="n"/>
      <c r="BM354" s="125" t="n"/>
      <c r="BN354" s="125" t="n"/>
      <c r="BO354" s="125" t="n"/>
      <c r="BP354" s="125" t="n"/>
      <c r="BQ354" s="107" t="n"/>
      <c r="BR354" s="107" t="n"/>
      <c r="BS354" s="107" t="n"/>
      <c r="BT354" s="107" t="n"/>
      <c r="BU354" s="107" t="n"/>
      <c r="BV354" s="107" t="n"/>
      <c r="BW354" s="107" t="n"/>
      <c r="BX354" s="107" t="n"/>
      <c r="BY354" s="107" t="n"/>
      <c r="BZ354" s="118" t="n"/>
      <c r="CA354" s="107" t="n"/>
      <c r="CB354" s="118" t="n"/>
      <c r="CC354" s="107" t="n"/>
      <c r="CD354" s="125" t="n"/>
      <c r="CE354" s="107" t="n"/>
      <c r="CF354" s="107" t="n"/>
      <c r="CG354" s="107" t="n"/>
      <c r="CH354" s="107" t="n"/>
      <c r="CI354" s="114" t="n"/>
      <c r="CK354" s="201">
        <f>CJ354-CA354</f>
        <v/>
      </c>
    </row>
    <row r="355" customFormat="1" s="127">
      <c r="A355" s="119" t="n"/>
      <c r="B355" s="108" t="n"/>
      <c r="C355" s="107" t="n"/>
      <c r="D355" s="120" t="n"/>
      <c r="E355" s="107" t="n"/>
      <c r="F355" s="107" t="n"/>
      <c r="G355" s="125" t="n"/>
      <c r="H355" s="125" t="n"/>
      <c r="I355" s="122" t="n"/>
      <c r="J355" s="122" t="n"/>
      <c r="K355" s="125" t="n"/>
      <c r="L355" s="125" t="n"/>
      <c r="M355" s="125" t="n"/>
      <c r="N355" s="125" t="n"/>
      <c r="O355" s="122" t="n"/>
      <c r="P355" s="122" t="n"/>
      <c r="Q355" s="125" t="n"/>
      <c r="R355" s="125" t="n"/>
      <c r="S355" s="125" t="n"/>
      <c r="T355" s="125" t="n"/>
      <c r="U355" s="125" t="n"/>
      <c r="V355" s="125" t="n"/>
      <c r="W355" s="125" t="n"/>
      <c r="X355" s="125" t="n"/>
      <c r="Y355" s="125" t="n"/>
      <c r="Z355" s="125" t="n"/>
      <c r="AA355" s="125" t="n"/>
      <c r="AB355" s="123" t="n"/>
      <c r="AC355" s="125" t="n"/>
      <c r="AD355" s="125" t="n"/>
      <c r="AE355" s="125" t="n"/>
      <c r="AF355" s="125" t="n"/>
      <c r="AG355" s="125" t="n"/>
      <c r="AH355" s="125" t="n"/>
      <c r="AI355" s="125" t="n"/>
      <c r="AJ355" s="125" t="n"/>
      <c r="AK355" s="125" t="n"/>
      <c r="AL355" s="125" t="n"/>
      <c r="AM355" s="125" t="n"/>
      <c r="AN355" s="123" t="n"/>
      <c r="AO355" s="125" t="n"/>
      <c r="AP355" s="124" t="n"/>
      <c r="AQ355" s="125" t="n"/>
      <c r="AR355" s="123" t="n"/>
      <c r="AS355" s="125" t="n"/>
      <c r="AT355" s="125" t="n"/>
      <c r="AU355" s="125" t="n"/>
      <c r="AV355" s="125" t="n"/>
      <c r="AW355" s="125" t="n"/>
      <c r="AX355" s="125" t="n"/>
      <c r="AY355" s="125" t="n"/>
      <c r="AZ355" s="125" t="n"/>
      <c r="BA355" s="125" t="n"/>
      <c r="BB355" s="125" t="n"/>
      <c r="BC355" s="125" t="n"/>
      <c r="BD355" s="124" t="n"/>
      <c r="BE355" s="125" t="n"/>
      <c r="BF355" s="125" t="n"/>
      <c r="BG355" s="125" t="n"/>
      <c r="BH355" s="125" t="n"/>
      <c r="BI355" s="125" t="n"/>
      <c r="BJ355" s="125" t="n"/>
      <c r="BK355" s="125" t="n"/>
      <c r="BL355" s="125" t="n"/>
      <c r="BM355" s="125" t="n"/>
      <c r="BN355" s="125" t="n"/>
      <c r="BO355" s="125" t="n"/>
      <c r="BP355" s="125" t="n"/>
      <c r="BQ355" s="107" t="n"/>
      <c r="BR355" s="107" t="n"/>
      <c r="BS355" s="107" t="n"/>
      <c r="BT355" s="107" t="n"/>
      <c r="BU355" s="107" t="n"/>
      <c r="BV355" s="107" t="n"/>
      <c r="BW355" s="107" t="n"/>
      <c r="BX355" s="107" t="n"/>
      <c r="BY355" s="107" t="n"/>
      <c r="BZ355" s="118" t="n"/>
      <c r="CA355" s="107" t="n"/>
      <c r="CB355" s="118" t="n"/>
      <c r="CC355" s="107" t="n"/>
      <c r="CD355" s="125" t="n"/>
      <c r="CE355" s="107" t="n"/>
      <c r="CF355" s="107" t="n"/>
      <c r="CG355" s="107" t="n"/>
      <c r="CH355" s="107" t="n"/>
      <c r="CI355" s="114" t="n"/>
      <c r="CK355" s="201">
        <f>CJ355-CA355</f>
        <v/>
      </c>
    </row>
    <row r="356" customFormat="1" s="127">
      <c r="A356" s="119" t="n"/>
      <c r="B356" s="108" t="n"/>
      <c r="C356" s="107" t="n"/>
      <c r="D356" s="120" t="n"/>
      <c r="E356" s="107" t="n"/>
      <c r="F356" s="107" t="n"/>
      <c r="G356" s="125" t="n"/>
      <c r="H356" s="125" t="n"/>
      <c r="I356" s="122" t="n"/>
      <c r="J356" s="122" t="n"/>
      <c r="K356" s="125" t="n"/>
      <c r="L356" s="125" t="n"/>
      <c r="M356" s="125" t="n"/>
      <c r="N356" s="125" t="n"/>
      <c r="O356" s="122" t="n"/>
      <c r="P356" s="122" t="n"/>
      <c r="Q356" s="125" t="n"/>
      <c r="R356" s="125" t="n"/>
      <c r="S356" s="125" t="n"/>
      <c r="T356" s="125" t="n"/>
      <c r="U356" s="125" t="n"/>
      <c r="V356" s="125" t="n"/>
      <c r="W356" s="125" t="n"/>
      <c r="X356" s="125" t="n"/>
      <c r="Y356" s="125" t="n"/>
      <c r="Z356" s="125" t="n"/>
      <c r="AA356" s="125" t="n"/>
      <c r="AB356" s="123" t="n"/>
      <c r="AC356" s="125" t="n"/>
      <c r="AD356" s="125" t="n"/>
      <c r="AE356" s="125" t="n"/>
      <c r="AF356" s="125" t="n"/>
      <c r="AG356" s="125" t="n"/>
      <c r="AH356" s="125" t="n"/>
      <c r="AI356" s="125" t="n"/>
      <c r="AJ356" s="125" t="n"/>
      <c r="AK356" s="125" t="n"/>
      <c r="AL356" s="125" t="n"/>
      <c r="AM356" s="125" t="n"/>
      <c r="AN356" s="123" t="n"/>
      <c r="AO356" s="125" t="n"/>
      <c r="AP356" s="124" t="n"/>
      <c r="AQ356" s="125" t="n"/>
      <c r="AR356" s="123" t="n"/>
      <c r="AS356" s="125" t="n"/>
      <c r="AT356" s="125" t="n"/>
      <c r="AU356" s="125" t="n"/>
      <c r="AV356" s="125" t="n"/>
      <c r="AW356" s="125" t="n"/>
      <c r="AX356" s="125" t="n"/>
      <c r="AY356" s="125" t="n"/>
      <c r="AZ356" s="125" t="n"/>
      <c r="BA356" s="125" t="n"/>
      <c r="BB356" s="125" t="n"/>
      <c r="BC356" s="125" t="n"/>
      <c r="BD356" s="124" t="n"/>
      <c r="BE356" s="125" t="n"/>
      <c r="BF356" s="125" t="n"/>
      <c r="BG356" s="125" t="n"/>
      <c r="BH356" s="125" t="n"/>
      <c r="BI356" s="125" t="n"/>
      <c r="BJ356" s="125" t="n"/>
      <c r="BK356" s="125" t="n"/>
      <c r="BL356" s="125" t="n"/>
      <c r="BM356" s="125" t="n"/>
      <c r="BN356" s="125" t="n"/>
      <c r="BO356" s="125" t="n"/>
      <c r="BP356" s="125" t="n"/>
      <c r="BQ356" s="107" t="n"/>
      <c r="BR356" s="107" t="n"/>
      <c r="BS356" s="107" t="n"/>
      <c r="BT356" s="107" t="n"/>
      <c r="BU356" s="107" t="n"/>
      <c r="BV356" s="107" t="n"/>
      <c r="BW356" s="107" t="n"/>
      <c r="BX356" s="107" t="n"/>
      <c r="BY356" s="107" t="n"/>
      <c r="BZ356" s="118" t="n"/>
      <c r="CA356" s="107" t="n"/>
      <c r="CB356" s="118" t="n"/>
      <c r="CC356" s="107" t="n"/>
      <c r="CD356" s="125" t="n"/>
      <c r="CE356" s="107" t="n"/>
      <c r="CF356" s="107" t="n"/>
      <c r="CG356" s="107" t="n"/>
      <c r="CH356" s="107" t="n"/>
      <c r="CI356" s="114" t="n"/>
      <c r="CK356" s="201">
        <f>CJ356-CA356</f>
        <v/>
      </c>
    </row>
    <row r="357" customFormat="1" s="127">
      <c r="A357" s="119" t="n"/>
      <c r="B357" s="108" t="n"/>
      <c r="C357" s="107" t="n"/>
      <c r="D357" s="120" t="n"/>
      <c r="E357" s="107" t="n"/>
      <c r="F357" s="107" t="n"/>
      <c r="G357" s="125" t="n"/>
      <c r="H357" s="125" t="n"/>
      <c r="I357" s="122" t="n"/>
      <c r="J357" s="122" t="n"/>
      <c r="K357" s="125" t="n"/>
      <c r="L357" s="125" t="n"/>
      <c r="M357" s="125" t="n"/>
      <c r="N357" s="125" t="n"/>
      <c r="O357" s="122" t="n"/>
      <c r="P357" s="122" t="n"/>
      <c r="Q357" s="125" t="n"/>
      <c r="R357" s="125" t="n"/>
      <c r="S357" s="125" t="n"/>
      <c r="T357" s="125" t="n"/>
      <c r="U357" s="125" t="n"/>
      <c r="V357" s="125" t="n"/>
      <c r="W357" s="125" t="n"/>
      <c r="X357" s="125" t="n"/>
      <c r="Y357" s="125" t="n"/>
      <c r="Z357" s="125" t="n"/>
      <c r="AA357" s="125" t="n"/>
      <c r="AB357" s="123" t="n"/>
      <c r="AC357" s="125" t="n"/>
      <c r="AD357" s="125" t="n"/>
      <c r="AE357" s="125" t="n"/>
      <c r="AF357" s="125" t="n"/>
      <c r="AG357" s="125" t="n"/>
      <c r="AH357" s="125" t="n"/>
      <c r="AI357" s="125" t="n"/>
      <c r="AJ357" s="125" t="n"/>
      <c r="AK357" s="125" t="n"/>
      <c r="AL357" s="125" t="n"/>
      <c r="AM357" s="125" t="n"/>
      <c r="AN357" s="123" t="n"/>
      <c r="AO357" s="125" t="n"/>
      <c r="AP357" s="124" t="n"/>
      <c r="AQ357" s="125" t="n"/>
      <c r="AR357" s="123" t="n"/>
      <c r="AS357" s="125" t="n"/>
      <c r="AT357" s="125" t="n"/>
      <c r="AU357" s="125" t="n"/>
      <c r="AV357" s="125" t="n"/>
      <c r="AW357" s="125" t="n"/>
      <c r="AX357" s="125" t="n"/>
      <c r="AY357" s="125" t="n"/>
      <c r="AZ357" s="125" t="n"/>
      <c r="BA357" s="125" t="n"/>
      <c r="BB357" s="125" t="n"/>
      <c r="BC357" s="125" t="n"/>
      <c r="BD357" s="124" t="n"/>
      <c r="BE357" s="125" t="n"/>
      <c r="BF357" s="125" t="n"/>
      <c r="BG357" s="125" t="n"/>
      <c r="BH357" s="125" t="n"/>
      <c r="BI357" s="125" t="n"/>
      <c r="BJ357" s="125" t="n"/>
      <c r="BK357" s="125" t="n"/>
      <c r="BL357" s="125" t="n"/>
      <c r="BM357" s="125" t="n"/>
      <c r="BN357" s="125" t="n"/>
      <c r="BO357" s="125" t="n"/>
      <c r="BP357" s="125" t="n"/>
      <c r="BQ357" s="107" t="n"/>
      <c r="BR357" s="107" t="n"/>
      <c r="BS357" s="107" t="n"/>
      <c r="BT357" s="107" t="n"/>
      <c r="BU357" s="107" t="n"/>
      <c r="BV357" s="107" t="n"/>
      <c r="BW357" s="107" t="n"/>
      <c r="BX357" s="107" t="n"/>
      <c r="BY357" s="107" t="n"/>
      <c r="BZ357" s="118" t="n"/>
      <c r="CA357" s="107" t="n"/>
      <c r="CB357" s="118" t="n"/>
      <c r="CC357" s="107" t="n"/>
      <c r="CD357" s="125" t="n"/>
      <c r="CE357" s="107" t="n"/>
      <c r="CF357" s="107" t="n"/>
      <c r="CG357" s="107" t="n"/>
      <c r="CH357" s="107" t="n"/>
      <c r="CI357" s="114" t="n"/>
      <c r="CK357" s="201">
        <f>CJ357-CA357</f>
        <v/>
      </c>
    </row>
    <row r="358" customFormat="1" s="127">
      <c r="A358" s="119" t="n"/>
      <c r="B358" s="108" t="n"/>
      <c r="C358" s="107" t="n"/>
      <c r="D358" s="120" t="n"/>
      <c r="E358" s="107" t="n"/>
      <c r="F358" s="107" t="n"/>
      <c r="G358" s="125" t="n"/>
      <c r="H358" s="125" t="n"/>
      <c r="I358" s="122" t="n"/>
      <c r="J358" s="122" t="n"/>
      <c r="K358" s="125" t="n"/>
      <c r="L358" s="125" t="n"/>
      <c r="M358" s="125" t="n"/>
      <c r="N358" s="125" t="n"/>
      <c r="O358" s="122" t="n"/>
      <c r="P358" s="122" t="n"/>
      <c r="Q358" s="125" t="n"/>
      <c r="R358" s="125" t="n"/>
      <c r="S358" s="125" t="n"/>
      <c r="T358" s="125" t="n"/>
      <c r="U358" s="125" t="n"/>
      <c r="V358" s="125" t="n"/>
      <c r="W358" s="125" t="n"/>
      <c r="X358" s="125" t="n"/>
      <c r="Y358" s="125" t="n"/>
      <c r="Z358" s="125" t="n"/>
      <c r="AA358" s="125" t="n"/>
      <c r="AB358" s="123" t="n"/>
      <c r="AC358" s="125" t="n"/>
      <c r="AD358" s="125" t="n"/>
      <c r="AE358" s="125" t="n"/>
      <c r="AF358" s="125" t="n"/>
      <c r="AG358" s="125" t="n"/>
      <c r="AH358" s="125" t="n"/>
      <c r="AI358" s="125" t="n"/>
      <c r="AJ358" s="125" t="n"/>
      <c r="AK358" s="125" t="n"/>
      <c r="AL358" s="125" t="n"/>
      <c r="AM358" s="125" t="n"/>
      <c r="AN358" s="123" t="n"/>
      <c r="AO358" s="125" t="n"/>
      <c r="AP358" s="124" t="n"/>
      <c r="AQ358" s="125" t="n"/>
      <c r="AR358" s="123" t="n"/>
      <c r="AS358" s="125" t="n"/>
      <c r="AT358" s="125" t="n"/>
      <c r="AU358" s="125" t="n"/>
      <c r="AV358" s="125" t="n"/>
      <c r="AW358" s="125" t="n"/>
      <c r="AX358" s="125" t="n"/>
      <c r="AY358" s="125" t="n"/>
      <c r="AZ358" s="125" t="n"/>
      <c r="BA358" s="125" t="n"/>
      <c r="BB358" s="125" t="n"/>
      <c r="BC358" s="125" t="n"/>
      <c r="BD358" s="124" t="n"/>
      <c r="BE358" s="125" t="n"/>
      <c r="BF358" s="125" t="n"/>
      <c r="BG358" s="125" t="n"/>
      <c r="BH358" s="125" t="n"/>
      <c r="BI358" s="125" t="n"/>
      <c r="BJ358" s="125" t="n"/>
      <c r="BK358" s="125" t="n"/>
      <c r="BL358" s="125" t="n"/>
      <c r="BM358" s="125" t="n"/>
      <c r="BN358" s="125" t="n"/>
      <c r="BO358" s="125" t="n"/>
      <c r="BP358" s="125" t="n"/>
      <c r="BQ358" s="107" t="n"/>
      <c r="BR358" s="107" t="n"/>
      <c r="BS358" s="107" t="n"/>
      <c r="BT358" s="107" t="n"/>
      <c r="BU358" s="107" t="n"/>
      <c r="BV358" s="107" t="n"/>
      <c r="BW358" s="107" t="n"/>
      <c r="BX358" s="107" t="n"/>
      <c r="BY358" s="107" t="n"/>
      <c r="BZ358" s="118" t="n"/>
      <c r="CA358" s="107" t="n"/>
      <c r="CB358" s="118" t="n"/>
      <c r="CC358" s="107" t="n"/>
      <c r="CD358" s="125" t="n"/>
      <c r="CE358" s="107" t="n"/>
      <c r="CF358" s="107" t="n"/>
      <c r="CG358" s="107" t="n"/>
      <c r="CH358" s="107" t="n"/>
      <c r="CI358" s="114" t="n"/>
      <c r="CK358" s="201">
        <f>CJ358-CA358</f>
        <v/>
      </c>
    </row>
    <row r="359" customFormat="1" s="127">
      <c r="A359" s="119" t="n"/>
      <c r="B359" s="108" t="n"/>
      <c r="C359" s="107" t="n"/>
      <c r="D359" s="120" t="n"/>
      <c r="E359" s="107" t="n"/>
      <c r="F359" s="107" t="n"/>
      <c r="G359" s="125" t="n"/>
      <c r="H359" s="125" t="n"/>
      <c r="I359" s="122" t="n"/>
      <c r="J359" s="122" t="n"/>
      <c r="K359" s="125" t="n"/>
      <c r="L359" s="125" t="n"/>
      <c r="M359" s="125" t="n"/>
      <c r="N359" s="125" t="n"/>
      <c r="O359" s="122" t="n"/>
      <c r="P359" s="122" t="n"/>
      <c r="Q359" s="125" t="n"/>
      <c r="R359" s="125" t="n"/>
      <c r="S359" s="125" t="n"/>
      <c r="T359" s="125" t="n"/>
      <c r="U359" s="125" t="n"/>
      <c r="V359" s="125" t="n"/>
      <c r="W359" s="125" t="n"/>
      <c r="X359" s="125" t="n"/>
      <c r="Y359" s="125" t="n"/>
      <c r="Z359" s="125" t="n"/>
      <c r="AA359" s="125" t="n"/>
      <c r="AB359" s="123" t="n"/>
      <c r="AC359" s="125" t="n"/>
      <c r="AD359" s="125" t="n"/>
      <c r="AE359" s="125" t="n"/>
      <c r="AF359" s="125" t="n"/>
      <c r="AG359" s="125" t="n"/>
      <c r="AH359" s="125" t="n"/>
      <c r="AI359" s="125" t="n"/>
      <c r="AJ359" s="125" t="n"/>
      <c r="AK359" s="125" t="n"/>
      <c r="AL359" s="125" t="n"/>
      <c r="AM359" s="125" t="n"/>
      <c r="AN359" s="123" t="n"/>
      <c r="AO359" s="125" t="n"/>
      <c r="AP359" s="124" t="n"/>
      <c r="AQ359" s="125" t="n"/>
      <c r="AR359" s="123" t="n"/>
      <c r="AS359" s="125" t="n"/>
      <c r="AT359" s="125" t="n"/>
      <c r="AU359" s="125" t="n"/>
      <c r="AV359" s="125" t="n"/>
      <c r="AW359" s="125" t="n"/>
      <c r="AX359" s="125" t="n"/>
      <c r="AY359" s="125" t="n"/>
      <c r="AZ359" s="125" t="n"/>
      <c r="BA359" s="125" t="n"/>
      <c r="BB359" s="125" t="n"/>
      <c r="BC359" s="125" t="n"/>
      <c r="BD359" s="124" t="n"/>
      <c r="BE359" s="125" t="n"/>
      <c r="BF359" s="125" t="n"/>
      <c r="BG359" s="125" t="n"/>
      <c r="BH359" s="125" t="n"/>
      <c r="BI359" s="125" t="n"/>
      <c r="BJ359" s="125" t="n"/>
      <c r="BK359" s="125" t="n"/>
      <c r="BL359" s="125" t="n"/>
      <c r="BM359" s="125" t="n"/>
      <c r="BN359" s="125" t="n"/>
      <c r="BO359" s="125" t="n"/>
      <c r="BP359" s="125" t="n"/>
      <c r="BQ359" s="224" t="n"/>
      <c r="BR359" s="107" t="n"/>
      <c r="BS359" s="107" t="n"/>
      <c r="BT359" s="107" t="n"/>
      <c r="BU359" s="107" t="n"/>
      <c r="BV359" s="107" t="n"/>
      <c r="BW359" s="107" t="n"/>
      <c r="BX359" s="107" t="n"/>
      <c r="BY359" s="107" t="n"/>
      <c r="BZ359" s="118" t="n"/>
      <c r="CA359" s="107" t="n"/>
      <c r="CB359" s="118" t="n"/>
      <c r="CC359" s="107" t="n"/>
      <c r="CD359" s="125" t="n"/>
      <c r="CE359" s="107" t="n"/>
      <c r="CF359" s="107" t="n"/>
      <c r="CG359" s="107" t="n"/>
      <c r="CH359" s="107" t="n"/>
      <c r="CI359" s="114" t="n"/>
      <c r="CK359" s="201">
        <f>CJ359-CA359</f>
        <v/>
      </c>
    </row>
    <row r="360" customFormat="1" s="127">
      <c r="A360" s="119" t="n"/>
      <c r="B360" s="108" t="n"/>
      <c r="C360" s="107" t="n"/>
      <c r="D360" s="120" t="n"/>
      <c r="E360" s="107" t="n"/>
      <c r="F360" s="107" t="n"/>
      <c r="G360" s="125" t="n"/>
      <c r="H360" s="125" t="n"/>
      <c r="I360" s="122" t="n"/>
      <c r="J360" s="122" t="n"/>
      <c r="K360" s="125" t="n"/>
      <c r="L360" s="125" t="n"/>
      <c r="M360" s="125" t="n"/>
      <c r="N360" s="125" t="n"/>
      <c r="O360" s="122" t="n"/>
      <c r="P360" s="122" t="n"/>
      <c r="Q360" s="125" t="n"/>
      <c r="R360" s="125" t="n"/>
      <c r="S360" s="125" t="n"/>
      <c r="T360" s="125" t="n"/>
      <c r="U360" s="125" t="n"/>
      <c r="V360" s="125" t="n"/>
      <c r="W360" s="125" t="n"/>
      <c r="X360" s="125" t="n"/>
      <c r="Y360" s="125" t="n"/>
      <c r="Z360" s="125" t="n"/>
      <c r="AA360" s="125" t="n"/>
      <c r="AB360" s="123" t="n"/>
      <c r="AC360" s="125" t="n"/>
      <c r="AD360" s="125" t="n"/>
      <c r="AE360" s="125" t="n"/>
      <c r="AF360" s="125" t="n"/>
      <c r="AG360" s="125" t="n"/>
      <c r="AH360" s="125" t="n"/>
      <c r="AI360" s="125" t="n"/>
      <c r="AJ360" s="125" t="n"/>
      <c r="AK360" s="125" t="n"/>
      <c r="AL360" s="125" t="n"/>
      <c r="AM360" s="125" t="n"/>
      <c r="AN360" s="123" t="n"/>
      <c r="AO360" s="125" t="n"/>
      <c r="AP360" s="124" t="n"/>
      <c r="AQ360" s="125" t="n"/>
      <c r="AR360" s="123" t="n"/>
      <c r="AS360" s="125" t="n"/>
      <c r="AT360" s="125" t="n"/>
      <c r="AU360" s="125" t="n"/>
      <c r="AV360" s="125" t="n"/>
      <c r="AW360" s="125" t="n"/>
      <c r="AX360" s="125" t="n"/>
      <c r="AY360" s="125" t="n"/>
      <c r="AZ360" s="125" t="n"/>
      <c r="BA360" s="125" t="n"/>
      <c r="BB360" s="125" t="n"/>
      <c r="BC360" s="125" t="n"/>
      <c r="BD360" s="124" t="n"/>
      <c r="BE360" s="125" t="n"/>
      <c r="BF360" s="125" t="n"/>
      <c r="BG360" s="125" t="n"/>
      <c r="BH360" s="125" t="n"/>
      <c r="BI360" s="125" t="n"/>
      <c r="BJ360" s="125" t="n"/>
      <c r="BK360" s="125" t="n"/>
      <c r="BL360" s="125" t="n"/>
      <c r="BM360" s="125" t="n"/>
      <c r="BN360" s="125" t="n"/>
      <c r="BO360" s="125" t="n"/>
      <c r="BP360" s="125" t="n"/>
      <c r="BQ360" s="107" t="n"/>
      <c r="BR360" s="107" t="n"/>
      <c r="BS360" s="107" t="n"/>
      <c r="BT360" s="107" t="n"/>
      <c r="BU360" s="107" t="n"/>
      <c r="BV360" s="107" t="n"/>
      <c r="BW360" s="107" t="n"/>
      <c r="BX360" s="107" t="n"/>
      <c r="BY360" s="107" t="n"/>
      <c r="BZ360" s="118" t="n"/>
      <c r="CA360" s="107" t="n"/>
      <c r="CB360" s="118" t="n"/>
      <c r="CC360" s="107" t="n"/>
      <c r="CD360" s="125" t="n"/>
      <c r="CE360" s="107" t="n"/>
      <c r="CF360" s="107" t="n"/>
      <c r="CG360" s="107" t="n"/>
      <c r="CH360" s="107" t="n"/>
      <c r="CI360" s="114" t="n"/>
      <c r="CK360" s="201">
        <f>CJ360-CA360</f>
        <v/>
      </c>
    </row>
    <row r="361" customFormat="1" s="127">
      <c r="A361" s="119" t="n"/>
      <c r="B361" s="108" t="n"/>
      <c r="C361" s="107" t="n"/>
      <c r="D361" s="120" t="n"/>
      <c r="E361" s="107" t="n"/>
      <c r="F361" s="107" t="n"/>
      <c r="G361" s="125" t="n"/>
      <c r="H361" s="125" t="n"/>
      <c r="I361" s="122" t="n"/>
      <c r="J361" s="122" t="n"/>
      <c r="K361" s="125" t="n"/>
      <c r="L361" s="125" t="n"/>
      <c r="M361" s="125" t="n"/>
      <c r="N361" s="125" t="n"/>
      <c r="O361" s="122" t="n"/>
      <c r="P361" s="122" t="n"/>
      <c r="Q361" s="125" t="n"/>
      <c r="R361" s="125" t="n"/>
      <c r="S361" s="125" t="n"/>
      <c r="T361" s="125" t="n"/>
      <c r="U361" s="125" t="n"/>
      <c r="V361" s="125" t="n"/>
      <c r="W361" s="125" t="n"/>
      <c r="X361" s="125" t="n"/>
      <c r="Y361" s="125" t="n"/>
      <c r="Z361" s="125" t="n"/>
      <c r="AA361" s="125" t="n"/>
      <c r="AB361" s="123" t="n"/>
      <c r="AC361" s="125" t="n"/>
      <c r="AD361" s="125" t="n"/>
      <c r="AE361" s="125" t="n"/>
      <c r="AF361" s="125" t="n"/>
      <c r="AG361" s="125" t="n"/>
      <c r="AH361" s="125" t="n"/>
      <c r="AI361" s="125" t="n"/>
      <c r="AJ361" s="125" t="n"/>
      <c r="AK361" s="125" t="n"/>
      <c r="AL361" s="125" t="n"/>
      <c r="AM361" s="125" t="n"/>
      <c r="AN361" s="123" t="n"/>
      <c r="AO361" s="125" t="n"/>
      <c r="AP361" s="124" t="n"/>
      <c r="AQ361" s="125" t="n"/>
      <c r="AR361" s="123" t="n"/>
      <c r="AS361" s="125" t="n"/>
      <c r="AT361" s="125" t="n"/>
      <c r="AU361" s="125" t="n"/>
      <c r="AV361" s="125" t="n"/>
      <c r="AW361" s="125" t="n"/>
      <c r="AX361" s="125" t="n"/>
      <c r="AY361" s="125" t="n"/>
      <c r="AZ361" s="125" t="n"/>
      <c r="BA361" s="125" t="n"/>
      <c r="BB361" s="125" t="n"/>
      <c r="BC361" s="125" t="n"/>
      <c r="BD361" s="124" t="n"/>
      <c r="BE361" s="125" t="n"/>
      <c r="BF361" s="125" t="n"/>
      <c r="BG361" s="125" t="n"/>
      <c r="BH361" s="125" t="n"/>
      <c r="BI361" s="125" t="n"/>
      <c r="BJ361" s="125" t="n"/>
      <c r="BK361" s="125" t="n"/>
      <c r="BL361" s="125" t="n"/>
      <c r="BM361" s="125" t="n"/>
      <c r="BN361" s="125" t="n"/>
      <c r="BO361" s="125" t="n"/>
      <c r="BP361" s="125" t="n"/>
      <c r="BQ361" s="107" t="n"/>
      <c r="BR361" s="107" t="n"/>
      <c r="BS361" s="107" t="n"/>
      <c r="BT361" s="107" t="n"/>
      <c r="BU361" s="107" t="n"/>
      <c r="BV361" s="107" t="n"/>
      <c r="BW361" s="107" t="n"/>
      <c r="BX361" s="107" t="n"/>
      <c r="BY361" s="107" t="n"/>
      <c r="BZ361" s="118" t="n"/>
      <c r="CA361" s="107" t="n"/>
      <c r="CB361" s="118" t="n"/>
      <c r="CC361" s="107" t="n"/>
      <c r="CD361" s="125" t="n"/>
      <c r="CE361" s="107" t="n"/>
      <c r="CF361" s="107" t="n"/>
      <c r="CG361" s="107" t="n"/>
      <c r="CH361" s="107" t="n"/>
      <c r="CI361" s="114" t="n"/>
      <c r="CK361" s="201">
        <f>CJ361-CA361</f>
        <v/>
      </c>
    </row>
    <row r="362">
      <c r="A362" s="119" t="n"/>
      <c r="CK362" s="201">
        <f>CJ362-CA362</f>
        <v/>
      </c>
    </row>
    <row r="363">
      <c r="A363" s="119" t="n"/>
      <c r="CK363" s="201">
        <f>CJ363-CA363</f>
        <v/>
      </c>
    </row>
    <row r="364">
      <c r="A364" s="119" t="n"/>
      <c r="CK364" s="201">
        <f>CJ364-CA364</f>
        <v/>
      </c>
    </row>
    <row r="365">
      <c r="A365" s="119" t="n"/>
      <c r="CK365" s="201">
        <f>CJ365-CA365</f>
        <v/>
      </c>
    </row>
    <row r="366">
      <c r="A366" s="119" t="n"/>
      <c r="CK366" s="201">
        <f>CJ366-CA366</f>
        <v/>
      </c>
    </row>
    <row r="367">
      <c r="A367" s="119" t="n"/>
      <c r="CK367" s="201">
        <f>CJ367-CA367</f>
        <v/>
      </c>
    </row>
    <row r="368">
      <c r="A368" s="119" t="n"/>
      <c r="CK368" s="201">
        <f>CJ368-CA368</f>
        <v/>
      </c>
    </row>
    <row r="369">
      <c r="A369" s="119" t="n"/>
      <c r="CK369" s="201">
        <f>CJ369-CA369</f>
        <v/>
      </c>
    </row>
    <row r="370">
      <c r="A370" s="119" t="n"/>
      <c r="CK370" s="201">
        <f>CJ370-CA370</f>
        <v/>
      </c>
    </row>
    <row r="371">
      <c r="A371" s="119" t="n"/>
      <c r="CK371" s="201">
        <f>CJ371-CA371</f>
        <v/>
      </c>
    </row>
    <row r="372">
      <c r="A372" s="119" t="n"/>
      <c r="CK372" s="201">
        <f>CJ372-CA372</f>
        <v/>
      </c>
    </row>
    <row r="373">
      <c r="A373" s="119" t="n"/>
      <c r="CK373" s="201">
        <f>CJ373-CA373</f>
        <v/>
      </c>
    </row>
    <row r="374">
      <c r="A374" s="119" t="n"/>
      <c r="CK374" s="201">
        <f>CJ374-CA374</f>
        <v/>
      </c>
    </row>
    <row r="375">
      <c r="A375" s="129" t="n"/>
      <c r="CK375" s="201">
        <f>CJ375-CA375</f>
        <v/>
      </c>
    </row>
    <row r="376">
      <c r="A376" s="131" t="n"/>
      <c r="CK376" s="201">
        <f>CJ376-CA376</f>
        <v/>
      </c>
    </row>
    <row r="377">
      <c r="A377" s="119" t="n"/>
      <c r="CK377" s="201">
        <f>CJ377-CA377</f>
        <v/>
      </c>
    </row>
    <row r="378">
      <c r="A378" s="119" t="n"/>
      <c r="CK378" s="201">
        <f>CJ378-CA378</f>
        <v/>
      </c>
    </row>
    <row r="379">
      <c r="A379" s="132" t="n"/>
      <c r="CK379" s="201">
        <f>CJ379-CA379</f>
        <v/>
      </c>
    </row>
    <row r="380">
      <c r="A380" s="119" t="n"/>
      <c r="CK380" s="201">
        <f>CJ380-CA380</f>
        <v/>
      </c>
    </row>
    <row r="381">
      <c r="A381" s="119" t="n"/>
      <c r="CK381" s="201">
        <f>CJ381-CA381</f>
        <v/>
      </c>
    </row>
    <row r="382">
      <c r="A382" s="119" t="n"/>
      <c r="CK382" s="201">
        <f>CJ382-CA382</f>
        <v/>
      </c>
    </row>
    <row r="383">
      <c r="A383" s="119" t="n"/>
      <c r="CK383" s="201">
        <f>CJ383-CA383</f>
        <v/>
      </c>
    </row>
    <row r="384">
      <c r="A384" s="119" t="n"/>
      <c r="CK384" s="201">
        <f>CJ384-CA384</f>
        <v/>
      </c>
    </row>
    <row r="385">
      <c r="A385" s="119" t="n"/>
      <c r="CK385" s="201">
        <f>CJ385-CA385</f>
        <v/>
      </c>
    </row>
    <row r="386">
      <c r="A386" s="119" t="n"/>
      <c r="CK386" s="201">
        <f>CJ386-CA386</f>
        <v/>
      </c>
    </row>
    <row r="387">
      <c r="A387" s="119" t="n"/>
      <c r="CK387" s="201">
        <f>CJ387-CA387</f>
        <v/>
      </c>
    </row>
    <row r="388">
      <c r="A388" s="119" t="n"/>
      <c r="CK388" s="201">
        <f>CJ388-CA388</f>
        <v/>
      </c>
    </row>
    <row r="389">
      <c r="A389" s="119" t="n"/>
      <c r="CK389" s="201">
        <f>CJ389-CA389</f>
        <v/>
      </c>
    </row>
    <row r="390">
      <c r="A390" s="119" t="n"/>
      <c r="CK390" s="201">
        <f>CJ390-CA390</f>
        <v/>
      </c>
    </row>
    <row r="391">
      <c r="A391" s="119" t="n"/>
      <c r="CK391" s="201">
        <f>CJ391-CA391</f>
        <v/>
      </c>
    </row>
    <row r="392">
      <c r="A392" s="119" t="n"/>
      <c r="CK392" s="201">
        <f>CJ392-CA392</f>
        <v/>
      </c>
    </row>
    <row r="393">
      <c r="A393" s="119" t="n"/>
      <c r="CK393" s="201">
        <f>CJ393-CA393</f>
        <v/>
      </c>
    </row>
    <row r="394">
      <c r="A394" s="119" t="n"/>
      <c r="CK394" s="201">
        <f>CJ394-CA394</f>
        <v/>
      </c>
    </row>
    <row r="395">
      <c r="A395" s="119" t="n"/>
      <c r="CK395" s="201">
        <f>CJ395-CA395</f>
        <v/>
      </c>
    </row>
    <row r="396">
      <c r="A396" s="119" t="n"/>
      <c r="CK396" s="201">
        <f>CJ396-CA396</f>
        <v/>
      </c>
    </row>
    <row r="397">
      <c r="A397" s="119" t="n"/>
      <c r="CK397" s="201">
        <f>CJ397-CA397</f>
        <v/>
      </c>
    </row>
    <row r="398">
      <c r="A398" s="119" t="n"/>
      <c r="CK398" s="201">
        <f>CJ398-CA398</f>
        <v/>
      </c>
    </row>
    <row r="399">
      <c r="A399" s="119" t="n"/>
      <c r="CK399" s="201">
        <f>CJ399-CA399</f>
        <v/>
      </c>
    </row>
    <row r="400">
      <c r="A400" s="119" t="n"/>
      <c r="CK400" s="201">
        <f>CJ400-CA400</f>
        <v/>
      </c>
    </row>
    <row r="401">
      <c r="A401" s="119" t="n"/>
      <c r="CK401" s="201">
        <f>CJ401-CA401</f>
        <v/>
      </c>
    </row>
    <row r="402">
      <c r="A402" s="119" t="n"/>
      <c r="CK402" s="201">
        <f>CJ402-CA402</f>
        <v/>
      </c>
    </row>
    <row r="403">
      <c r="A403" s="119" t="n"/>
      <c r="CK403" s="201">
        <f>CJ403-CA403</f>
        <v/>
      </c>
    </row>
    <row r="404">
      <c r="A404" s="119" t="n"/>
      <c r="CK404" s="201">
        <f>CJ404-CA404</f>
        <v/>
      </c>
    </row>
    <row r="405">
      <c r="A405" s="133" t="n"/>
      <c r="CK405" s="201">
        <f>CJ405-CA405</f>
        <v/>
      </c>
    </row>
    <row r="406">
      <c r="A406" s="119" t="n"/>
      <c r="CK406" s="201">
        <f>CJ406-CA406</f>
        <v/>
      </c>
    </row>
    <row r="407">
      <c r="A407" s="119" t="n"/>
      <c r="CK407" s="201">
        <f>CJ407-CA407</f>
        <v/>
      </c>
    </row>
    <row r="408">
      <c r="A408" s="119" t="n"/>
      <c r="CK408" s="201">
        <f>CJ408-CA408</f>
        <v/>
      </c>
    </row>
    <row r="409">
      <c r="A409" s="119" t="n"/>
      <c r="CK409" s="201">
        <f>CJ409-CA409</f>
        <v/>
      </c>
    </row>
    <row r="410">
      <c r="A410" s="119" t="n"/>
      <c r="CK410" s="201">
        <f>CJ410-CA410</f>
        <v/>
      </c>
    </row>
    <row r="411">
      <c r="A411" s="119" t="n"/>
      <c r="CK411" s="201">
        <f>CJ411-CA411</f>
        <v/>
      </c>
    </row>
    <row r="412">
      <c r="A412" s="119" t="n"/>
      <c r="CK412" s="201">
        <f>CJ412-CA412</f>
        <v/>
      </c>
    </row>
    <row r="413">
      <c r="A413" s="119" t="n"/>
      <c r="CK413" s="201">
        <f>CJ413-CA413</f>
        <v/>
      </c>
    </row>
    <row r="414">
      <c r="A414" s="119" t="n"/>
      <c r="CK414" s="201">
        <f>CJ414-CA414</f>
        <v/>
      </c>
    </row>
    <row r="415">
      <c r="A415" s="119" t="n"/>
      <c r="CK415" s="201">
        <f>CJ415-CA415</f>
        <v/>
      </c>
    </row>
    <row r="416">
      <c r="A416" s="119" t="n"/>
      <c r="CK416" s="201">
        <f>CJ416-CA416</f>
        <v/>
      </c>
    </row>
    <row r="417">
      <c r="A417" s="119" t="n"/>
      <c r="CK417" s="201">
        <f>CJ417-CA417</f>
        <v/>
      </c>
    </row>
    <row r="418">
      <c r="A418" s="119" t="n"/>
      <c r="CK418" s="201">
        <f>CJ418-CA418</f>
        <v/>
      </c>
    </row>
    <row r="419">
      <c r="A419" s="119" t="n"/>
      <c r="CK419" s="201">
        <f>CJ419-CA419</f>
        <v/>
      </c>
    </row>
    <row r="420">
      <c r="A420" s="119" t="n"/>
      <c r="CK420" s="201">
        <f>CJ420-CA420</f>
        <v/>
      </c>
    </row>
    <row r="421">
      <c r="A421" s="119" t="n"/>
      <c r="CK421" s="201">
        <f>CJ421-CA421</f>
        <v/>
      </c>
    </row>
    <row r="422">
      <c r="A422" s="119" t="n"/>
      <c r="CK422" s="201">
        <f>CJ422-CA422</f>
        <v/>
      </c>
    </row>
    <row r="423">
      <c r="A423" s="119" t="n"/>
      <c r="CK423" s="201">
        <f>CJ423-CA423</f>
        <v/>
      </c>
    </row>
    <row r="424">
      <c r="A424" s="225" t="n"/>
      <c r="CK424" s="201">
        <f>CJ424-CA424</f>
        <v/>
      </c>
    </row>
    <row r="425">
      <c r="A425" s="119" t="n"/>
      <c r="CK425" s="201">
        <f>CJ425-CA425</f>
        <v/>
      </c>
    </row>
    <row r="426">
      <c r="A426" s="119" t="n"/>
      <c r="CK426" s="201">
        <f>CJ426-CA426</f>
        <v/>
      </c>
    </row>
    <row r="427">
      <c r="A427" s="119" t="n"/>
      <c r="CK427" s="201">
        <f>CJ427-CA427</f>
        <v/>
      </c>
    </row>
    <row r="428">
      <c r="A428" s="119" t="n"/>
      <c r="CK428" s="201">
        <f>CJ428-CA428</f>
        <v/>
      </c>
    </row>
    <row r="429">
      <c r="A429" s="119" t="n"/>
      <c r="CK429" s="201">
        <f>CJ429-CA429</f>
        <v/>
      </c>
    </row>
    <row r="430">
      <c r="A430" s="119" t="n"/>
      <c r="CK430" s="201">
        <f>CJ430-CA430</f>
        <v/>
      </c>
    </row>
    <row r="431">
      <c r="A431" s="119" t="n"/>
      <c r="CK431" s="201">
        <f>CJ431-CA431</f>
        <v/>
      </c>
    </row>
    <row r="432">
      <c r="A432" s="119" t="n"/>
      <c r="CK432" s="201">
        <f>CJ432-CA432</f>
        <v/>
      </c>
    </row>
    <row r="433">
      <c r="A433" s="119" t="n"/>
      <c r="CK433" s="201">
        <f>CJ433-CA433</f>
        <v/>
      </c>
    </row>
    <row r="434">
      <c r="A434" s="119" t="n"/>
      <c r="CK434" s="201">
        <f>CJ434-CA434</f>
        <v/>
      </c>
    </row>
    <row r="435">
      <c r="A435" s="119" t="n"/>
      <c r="CK435" s="201">
        <f>CJ435-CA435</f>
        <v/>
      </c>
    </row>
    <row r="436">
      <c r="A436" s="119" t="n"/>
      <c r="CK436" s="201">
        <f>CJ436-CA436</f>
        <v/>
      </c>
    </row>
    <row r="437">
      <c r="A437" s="119" t="n"/>
      <c r="CK437" s="201">
        <f>CJ437-CA437</f>
        <v/>
      </c>
    </row>
    <row r="438">
      <c r="A438" s="132" t="n"/>
      <c r="CK438" s="201">
        <f>CJ438-CA438</f>
        <v/>
      </c>
    </row>
    <row r="439">
      <c r="A439" s="119" t="n"/>
      <c r="CK439" s="201">
        <f>CJ439-CA439</f>
        <v/>
      </c>
    </row>
    <row r="440">
      <c r="A440" s="119" t="n"/>
      <c r="CK440" s="201">
        <f>CJ440-CA440</f>
        <v/>
      </c>
    </row>
    <row r="441">
      <c r="A441" s="132" t="n"/>
      <c r="CK441" s="201">
        <f>CJ441-CA441</f>
        <v/>
      </c>
    </row>
    <row r="442">
      <c r="A442" s="119" t="n"/>
      <c r="CK442" s="201">
        <f>CJ442-CA442</f>
        <v/>
      </c>
    </row>
    <row r="443">
      <c r="A443" s="119" t="n"/>
      <c r="CK443" s="201">
        <f>CJ443-CA443</f>
        <v/>
      </c>
    </row>
    <row r="444">
      <c r="A444" s="132" t="n"/>
      <c r="CK444" s="201">
        <f>CJ444-CA444</f>
        <v/>
      </c>
    </row>
    <row r="445">
      <c r="A445" s="119" t="n"/>
      <c r="CK445" s="201">
        <f>CJ445-CA445</f>
        <v/>
      </c>
    </row>
    <row r="446">
      <c r="A446" s="119" t="n"/>
      <c r="CK446" s="201">
        <f>CJ446-CA446</f>
        <v/>
      </c>
    </row>
    <row r="447">
      <c r="A447" s="132" t="n"/>
      <c r="CK447" s="201">
        <f>CJ447-CA447</f>
        <v/>
      </c>
    </row>
    <row r="448">
      <c r="A448" s="119" t="n"/>
      <c r="CK448" s="201">
        <f>CJ448-CA448</f>
        <v/>
      </c>
    </row>
    <row r="449">
      <c r="A449" s="132" t="n"/>
      <c r="CK449" s="201">
        <f>CJ449-CA449</f>
        <v/>
      </c>
    </row>
    <row r="450">
      <c r="A450" s="132" t="n"/>
      <c r="CK450" s="201">
        <f>CJ450-CA450</f>
        <v/>
      </c>
    </row>
    <row r="451">
      <c r="A451" s="132" t="n"/>
      <c r="CK451" s="201">
        <f>CJ451-CA451</f>
        <v/>
      </c>
    </row>
    <row r="452">
      <c r="A452" s="132" t="n"/>
      <c r="CK452" s="201">
        <f>CJ452-CA452</f>
        <v/>
      </c>
    </row>
    <row r="453">
      <c r="A453" s="132" t="n"/>
      <c r="CK453" s="201">
        <f>CJ453-CA453</f>
        <v/>
      </c>
    </row>
    <row r="454">
      <c r="A454" s="132" t="n"/>
      <c r="CK454" s="201">
        <f>CJ454-CA454</f>
        <v/>
      </c>
    </row>
    <row r="455">
      <c r="A455" s="132" t="n"/>
      <c r="CK455" s="201">
        <f>CJ455-CA455</f>
        <v/>
      </c>
    </row>
    <row r="456">
      <c r="A456" s="132" t="n"/>
      <c r="CK456" s="201">
        <f>CJ456-CA456</f>
        <v/>
      </c>
    </row>
    <row r="457">
      <c r="A457" s="132" t="n"/>
      <c r="CK457" s="201">
        <f>CJ457-CA457</f>
        <v/>
      </c>
    </row>
    <row r="458">
      <c r="A458" s="132" t="n"/>
      <c r="CK458" s="201">
        <f>CJ458-CA458</f>
        <v/>
      </c>
    </row>
    <row r="459">
      <c r="A459" s="132" t="n"/>
      <c r="CK459" s="201">
        <f>CJ459-CA459</f>
        <v/>
      </c>
    </row>
    <row r="460">
      <c r="A460" s="132" t="n"/>
      <c r="CK460" s="201">
        <f>CJ460-CA460</f>
        <v/>
      </c>
    </row>
    <row r="461">
      <c r="A461" s="132" t="n"/>
      <c r="CK461" s="201">
        <f>CJ461-CA461</f>
        <v/>
      </c>
    </row>
    <row r="462">
      <c r="A462" s="132" t="n"/>
      <c r="CK462" s="201">
        <f>CJ462-CA462</f>
        <v/>
      </c>
    </row>
    <row r="463">
      <c r="A463" s="132" t="n"/>
      <c r="CK463" s="201">
        <f>CJ463-CA463</f>
        <v/>
      </c>
    </row>
    <row r="464">
      <c r="A464" s="132" t="n"/>
      <c r="CK464" s="201">
        <f>CJ464-CA464</f>
        <v/>
      </c>
    </row>
    <row r="465">
      <c r="A465" s="132" t="n"/>
      <c r="CK465" s="201">
        <f>CJ465-CA465</f>
        <v/>
      </c>
    </row>
    <row r="466">
      <c r="A466" s="132" t="n"/>
      <c r="CK466" s="201">
        <f>CJ466-CA466</f>
        <v/>
      </c>
    </row>
    <row r="467">
      <c r="A467" s="132" t="n"/>
      <c r="CK467" s="201">
        <f>CJ467-CA467</f>
        <v/>
      </c>
    </row>
    <row r="468">
      <c r="A468" s="132" t="n"/>
      <c r="CK468" s="201">
        <f>CJ468-CA468</f>
        <v/>
      </c>
    </row>
    <row r="469">
      <c r="A469" s="132" t="n"/>
      <c r="CK469" s="201">
        <f>CJ469-CA469</f>
        <v/>
      </c>
    </row>
    <row r="470">
      <c r="A470" s="132" t="n"/>
      <c r="CK470" s="201">
        <f>CJ470-CA470</f>
        <v/>
      </c>
    </row>
    <row r="471">
      <c r="A471" s="132" t="n"/>
      <c r="CK471" s="201">
        <f>CJ471-CA471</f>
        <v/>
      </c>
    </row>
    <row r="472">
      <c r="A472" s="132" t="n"/>
      <c r="CK472" s="201">
        <f>CJ472-CA472</f>
        <v/>
      </c>
    </row>
    <row r="473">
      <c r="A473" s="132" t="n"/>
      <c r="CK473" s="201">
        <f>CJ473-CA473</f>
        <v/>
      </c>
    </row>
    <row r="474">
      <c r="A474" s="132" t="n"/>
      <c r="CK474" s="201">
        <f>CJ474-CA474</f>
        <v/>
      </c>
    </row>
    <row r="475">
      <c r="A475" s="132" t="n"/>
      <c r="CK475" s="201">
        <f>CJ475-CA475</f>
        <v/>
      </c>
    </row>
    <row r="476">
      <c r="A476" s="132" t="n"/>
      <c r="CK476" s="201">
        <f>CJ476-CA476</f>
        <v/>
      </c>
    </row>
    <row r="477">
      <c r="A477" s="132" t="n"/>
      <c r="CK477" s="201">
        <f>CJ477-CA477</f>
        <v/>
      </c>
    </row>
    <row r="478">
      <c r="A478" s="132" t="n"/>
      <c r="CK478" s="201">
        <f>CJ478-CA478</f>
        <v/>
      </c>
    </row>
    <row r="479">
      <c r="A479" s="132" t="n"/>
      <c r="CK479" s="201">
        <f>CJ479-CA479</f>
        <v/>
      </c>
    </row>
    <row r="480">
      <c r="A480" s="132" t="n"/>
      <c r="CK480" s="201">
        <f>CJ480-CA480</f>
        <v/>
      </c>
    </row>
    <row r="481">
      <c r="A481" s="132" t="n"/>
      <c r="CK481" s="201">
        <f>CJ481-CA481</f>
        <v/>
      </c>
    </row>
    <row r="482">
      <c r="A482" s="132" t="n"/>
      <c r="CK482" s="201">
        <f>CJ482-CA482</f>
        <v/>
      </c>
    </row>
    <row r="483">
      <c r="A483" s="132" t="n"/>
      <c r="CK483" s="201">
        <f>CJ483-CA483</f>
        <v/>
      </c>
    </row>
    <row r="484">
      <c r="A484" s="132" t="n"/>
      <c r="CK484" s="201">
        <f>CJ484-CA484</f>
        <v/>
      </c>
    </row>
    <row r="485">
      <c r="A485" s="132" t="n"/>
      <c r="CK485" s="201">
        <f>CJ485-CA485</f>
        <v/>
      </c>
    </row>
    <row r="486">
      <c r="A486" s="132" t="n"/>
      <c r="CK486" s="201">
        <f>CJ486-CA486</f>
        <v/>
      </c>
    </row>
    <row r="487">
      <c r="A487" s="132" t="n"/>
      <c r="CK487" s="201">
        <f>CJ487-CA487</f>
        <v/>
      </c>
    </row>
    <row r="488">
      <c r="A488" s="132" t="n"/>
      <c r="CK488" s="201">
        <f>CJ488-CA488</f>
        <v/>
      </c>
    </row>
    <row r="489">
      <c r="A489" s="132" t="n"/>
      <c r="CK489" s="201">
        <f>CJ489-CA489</f>
        <v/>
      </c>
    </row>
    <row r="490">
      <c r="A490" s="132" t="n"/>
      <c r="CK490" s="201">
        <f>CJ490-CA490</f>
        <v/>
      </c>
    </row>
    <row r="491">
      <c r="A491" s="132" t="n"/>
      <c r="CK491" s="201">
        <f>CJ491-CA491</f>
        <v/>
      </c>
    </row>
    <row r="492">
      <c r="A492" s="133" t="n"/>
      <c r="CK492" s="201">
        <f>CJ492-CA492</f>
        <v/>
      </c>
    </row>
    <row r="493">
      <c r="A493" s="132" t="n"/>
      <c r="CK493" s="201">
        <f>CJ493-CA493</f>
        <v/>
      </c>
    </row>
    <row r="494">
      <c r="A494" s="132" t="n"/>
      <c r="CK494" s="201">
        <f>CJ494-CA494</f>
        <v/>
      </c>
    </row>
    <row r="495">
      <c r="A495" s="132" t="n"/>
      <c r="CK495" s="201">
        <f>CJ495-CA495</f>
        <v/>
      </c>
    </row>
    <row r="496">
      <c r="A496" s="132" t="n"/>
      <c r="CK496" s="201">
        <f>CJ496-CA496</f>
        <v/>
      </c>
    </row>
    <row r="497">
      <c r="A497" s="132" t="n"/>
      <c r="CK497" s="201">
        <f>CJ497-CA497</f>
        <v/>
      </c>
    </row>
    <row r="498">
      <c r="A498" s="132" t="n"/>
      <c r="CK498" s="201">
        <f>CJ498-CA498</f>
        <v/>
      </c>
    </row>
    <row r="499">
      <c r="A499" s="132" t="n"/>
      <c r="CK499" s="201">
        <f>CJ499-CA499</f>
        <v/>
      </c>
    </row>
    <row r="500">
      <c r="A500" s="132" t="n"/>
      <c r="CK500" s="201">
        <f>CJ500-CA500</f>
        <v/>
      </c>
    </row>
    <row r="501">
      <c r="A501" s="132" t="n"/>
      <c r="CK501" s="201">
        <f>CJ501-CA501</f>
        <v/>
      </c>
    </row>
    <row r="502">
      <c r="A502" s="132" t="n"/>
      <c r="CK502" s="201">
        <f>CJ502-CA502</f>
        <v/>
      </c>
    </row>
    <row r="503">
      <c r="A503" s="132" t="n"/>
      <c r="CK503" s="201">
        <f>CJ503-CA503</f>
        <v/>
      </c>
    </row>
    <row r="504">
      <c r="A504" s="132" t="n"/>
      <c r="CK504" s="201">
        <f>CJ504-CA504</f>
        <v/>
      </c>
    </row>
    <row r="505">
      <c r="A505" s="132" t="n"/>
      <c r="CK505" s="201">
        <f>CJ505-CA505</f>
        <v/>
      </c>
    </row>
    <row r="506">
      <c r="A506" s="132" t="n"/>
      <c r="CK506" s="201">
        <f>CJ506-CA506</f>
        <v/>
      </c>
    </row>
    <row r="507">
      <c r="A507" s="132" t="n"/>
      <c r="CK507" s="201">
        <f>CJ507-CA507</f>
        <v/>
      </c>
    </row>
    <row r="508">
      <c r="A508" s="132" t="n"/>
      <c r="CK508" s="201">
        <f>CJ508-CA508</f>
        <v/>
      </c>
    </row>
    <row r="509">
      <c r="A509" s="132" t="n"/>
      <c r="CK509" s="201">
        <f>CJ509-CA509</f>
        <v/>
      </c>
    </row>
    <row r="510">
      <c r="A510" s="132" t="n"/>
      <c r="CK510" s="201">
        <f>CJ510-CA510</f>
        <v/>
      </c>
    </row>
    <row r="511">
      <c r="A511" s="132" t="n"/>
      <c r="CK511" s="201">
        <f>CJ511-CA511</f>
        <v/>
      </c>
    </row>
    <row r="512">
      <c r="A512" s="132" t="n"/>
      <c r="CK512" s="201">
        <f>CJ512-CA512</f>
        <v/>
      </c>
    </row>
    <row r="513">
      <c r="A513" s="132" t="n"/>
      <c r="CK513" s="201">
        <f>CJ513-CA513</f>
        <v/>
      </c>
    </row>
    <row r="514">
      <c r="A514" s="132" t="n"/>
      <c r="CK514" s="201">
        <f>CJ514-CA514</f>
        <v/>
      </c>
    </row>
    <row r="515">
      <c r="A515" s="132" t="n"/>
      <c r="CK515" s="201">
        <f>CJ515-CA515</f>
        <v/>
      </c>
    </row>
    <row r="516">
      <c r="A516" s="132" t="n"/>
      <c r="CK516" s="201">
        <f>CJ516-CA516</f>
        <v/>
      </c>
    </row>
    <row r="517">
      <c r="A517" s="132" t="n"/>
      <c r="CK517" s="201">
        <f>CJ517-CA517</f>
        <v/>
      </c>
    </row>
    <row r="518">
      <c r="A518" s="132" t="n"/>
      <c r="CK518" s="201">
        <f>CJ518-CA518</f>
        <v/>
      </c>
    </row>
    <row r="519">
      <c r="A519" s="132" t="n"/>
      <c r="CK519" s="201">
        <f>CJ519-CA519</f>
        <v/>
      </c>
    </row>
    <row r="520">
      <c r="A520" s="132" t="n"/>
      <c r="CK520" s="201">
        <f>CJ520-CA520</f>
        <v/>
      </c>
    </row>
    <row r="521">
      <c r="A521" s="132" t="n"/>
      <c r="CK521" s="201">
        <f>CJ521-CA521</f>
        <v/>
      </c>
    </row>
    <row r="522">
      <c r="A522" s="132" t="n"/>
      <c r="CK522" s="201">
        <f>CJ522-CA522</f>
        <v/>
      </c>
    </row>
    <row r="523">
      <c r="A523" s="132" t="n"/>
      <c r="CK523" s="201">
        <f>CJ523-CA523</f>
        <v/>
      </c>
    </row>
    <row r="524">
      <c r="A524" s="132" t="n"/>
      <c r="CK524" s="201">
        <f>CJ524-CA524</f>
        <v/>
      </c>
    </row>
    <row r="525">
      <c r="A525" s="132" t="n"/>
      <c r="CK525" s="201">
        <f>CJ525-CA525</f>
        <v/>
      </c>
    </row>
    <row r="526">
      <c r="A526" s="132" t="n"/>
      <c r="CK526" s="201">
        <f>CJ526-CA526</f>
        <v/>
      </c>
    </row>
    <row r="527">
      <c r="A527" s="132" t="n"/>
      <c r="CK527" s="201">
        <f>CJ527-CA527</f>
        <v/>
      </c>
    </row>
    <row r="528">
      <c r="A528" s="132" t="n"/>
      <c r="CK528" s="201">
        <f>CJ528-CA528</f>
        <v/>
      </c>
    </row>
    <row r="529">
      <c r="A529" s="132" t="n"/>
      <c r="CK529" s="201">
        <f>CJ529-CA529</f>
        <v/>
      </c>
    </row>
    <row r="530">
      <c r="A530" s="132" t="n"/>
      <c r="CK530" s="201">
        <f>CJ530-CA530</f>
        <v/>
      </c>
    </row>
    <row r="531">
      <c r="A531" s="132" t="n"/>
      <c r="CK531" s="201">
        <f>CJ531-CA531</f>
        <v/>
      </c>
    </row>
    <row r="532">
      <c r="A532" s="132" t="n"/>
      <c r="CK532" s="201">
        <f>CJ532-CA532</f>
        <v/>
      </c>
    </row>
    <row r="533">
      <c r="A533" s="132" t="n"/>
      <c r="CK533" s="201">
        <f>CJ533-CA533</f>
        <v/>
      </c>
    </row>
    <row r="534">
      <c r="A534" s="132" t="n"/>
      <c r="CK534" s="201">
        <f>CJ534-CA534</f>
        <v/>
      </c>
    </row>
    <row r="535">
      <c r="A535" s="132" t="n"/>
      <c r="CK535" s="201">
        <f>CJ535-CA535</f>
        <v/>
      </c>
    </row>
    <row r="536">
      <c r="A536" s="132" t="n"/>
      <c r="CK536" s="201">
        <f>CJ536-CA536</f>
        <v/>
      </c>
    </row>
    <row r="537">
      <c r="A537" s="132" t="n"/>
      <c r="CK537" s="201">
        <f>CJ537-CA537</f>
        <v/>
      </c>
    </row>
    <row r="538">
      <c r="A538" s="132" t="n"/>
      <c r="CK538" s="201">
        <f>CJ538-CA538</f>
        <v/>
      </c>
    </row>
    <row r="539">
      <c r="A539" s="132" t="n"/>
      <c r="CK539" s="201">
        <f>CJ539-CA539</f>
        <v/>
      </c>
    </row>
    <row r="540">
      <c r="A540" s="132" t="n"/>
      <c r="CK540" s="201">
        <f>CJ540-CA540</f>
        <v/>
      </c>
    </row>
    <row r="541">
      <c r="A541" s="132" t="n"/>
      <c r="CK541" s="201">
        <f>CJ541-CA541</f>
        <v/>
      </c>
    </row>
    <row r="542">
      <c r="A542" s="132" t="n"/>
      <c r="CK542" s="201">
        <f>CJ542-CA542</f>
        <v/>
      </c>
    </row>
    <row r="543">
      <c r="A543" s="132" t="n"/>
      <c r="CK543" s="201">
        <f>CJ543-CA543</f>
        <v/>
      </c>
    </row>
    <row r="544">
      <c r="A544" s="132" t="n"/>
      <c r="CK544" s="201">
        <f>CJ544-CA544</f>
        <v/>
      </c>
    </row>
    <row r="545">
      <c r="A545" s="132" t="n"/>
      <c r="CK545" s="201">
        <f>CJ545-CA545</f>
        <v/>
      </c>
    </row>
    <row r="546">
      <c r="A546" s="132" t="n"/>
      <c r="CK546" s="201">
        <f>CJ546-CA546</f>
        <v/>
      </c>
    </row>
    <row r="547">
      <c r="A547" s="132" t="n"/>
      <c r="CK547" s="201">
        <f>CJ547-CA547</f>
        <v/>
      </c>
    </row>
    <row r="548">
      <c r="A548" s="132" t="n"/>
      <c r="CK548" s="201">
        <f>CJ548-CA548</f>
        <v/>
      </c>
    </row>
    <row r="549">
      <c r="A549" s="132" t="n"/>
      <c r="CK549" s="201">
        <f>CJ549-CA549</f>
        <v/>
      </c>
    </row>
    <row r="550">
      <c r="A550" s="132" t="n"/>
      <c r="CK550" s="201">
        <f>CJ550-CA550</f>
        <v/>
      </c>
    </row>
    <row r="551">
      <c r="A551" s="132" t="n"/>
      <c r="CK551" s="201">
        <f>CJ551-CA551</f>
        <v/>
      </c>
    </row>
    <row r="552">
      <c r="A552" s="132" t="n"/>
      <c r="CK552" s="201">
        <f>CJ552-CA552</f>
        <v/>
      </c>
    </row>
    <row r="553">
      <c r="A553" s="132" t="n"/>
      <c r="CK553" s="201">
        <f>CJ553-CA553</f>
        <v/>
      </c>
    </row>
    <row r="554">
      <c r="A554" s="132" t="n"/>
      <c r="CK554" s="201">
        <f>CJ554-CA554</f>
        <v/>
      </c>
    </row>
    <row r="555">
      <c r="A555" s="132" t="n"/>
      <c r="CK555" s="201">
        <f>CJ555-CA555</f>
        <v/>
      </c>
    </row>
    <row r="556">
      <c r="A556" s="132" t="n"/>
      <c r="CK556" s="201">
        <f>CJ556-CA556</f>
        <v/>
      </c>
    </row>
    <row r="557">
      <c r="A557" s="132" t="n"/>
      <c r="CK557" s="201">
        <f>CJ557-CA557</f>
        <v/>
      </c>
    </row>
    <row r="558">
      <c r="A558" s="132" t="n"/>
      <c r="CK558" s="201">
        <f>CJ558-CA558</f>
        <v/>
      </c>
    </row>
    <row r="559">
      <c r="A559" s="132" t="n"/>
      <c r="CK559" s="201">
        <f>CJ559-CA559</f>
        <v/>
      </c>
    </row>
    <row r="560">
      <c r="A560" s="132" t="n"/>
      <c r="CK560" s="201">
        <f>CJ560-CA560</f>
        <v/>
      </c>
    </row>
    <row r="561">
      <c r="A561" s="132" t="n"/>
      <c r="CK561" s="201">
        <f>CJ561-CA561</f>
        <v/>
      </c>
    </row>
    <row r="562">
      <c r="A562" s="132" t="n"/>
      <c r="CK562" s="201">
        <f>CJ562-CA562</f>
        <v/>
      </c>
    </row>
    <row r="563">
      <c r="A563" s="132" t="n"/>
      <c r="CK563" s="201">
        <f>CJ563-CA563</f>
        <v/>
      </c>
    </row>
    <row r="564">
      <c r="A564" s="132" t="n"/>
      <c r="CK564" s="201">
        <f>CJ564-CA564</f>
        <v/>
      </c>
    </row>
    <row r="565">
      <c r="A565" s="132" t="n"/>
      <c r="CK565" s="201">
        <f>CJ565-CA565</f>
        <v/>
      </c>
    </row>
    <row r="566">
      <c r="A566" s="132" t="n"/>
      <c r="CK566" s="201">
        <f>CJ566-CA566</f>
        <v/>
      </c>
    </row>
    <row r="567">
      <c r="A567" s="132" t="n"/>
      <c r="CK567" s="201">
        <f>CJ567-CA567</f>
        <v/>
      </c>
    </row>
    <row r="568">
      <c r="A568" s="132" t="n"/>
      <c r="CK568" s="201">
        <f>CJ568-CA568</f>
        <v/>
      </c>
    </row>
    <row r="569">
      <c r="A569" s="132" t="n"/>
      <c r="CK569" s="201">
        <f>CJ569-CA569</f>
        <v/>
      </c>
    </row>
    <row r="570">
      <c r="A570" s="132" t="n"/>
      <c r="CK570" s="201">
        <f>CJ570-CA570</f>
        <v/>
      </c>
    </row>
    <row r="571">
      <c r="A571" s="132" t="n"/>
      <c r="CK571" s="201">
        <f>CJ571-CA571</f>
        <v/>
      </c>
    </row>
    <row r="572">
      <c r="A572" s="135" t="n"/>
      <c r="CK572" s="201">
        <f>CJ572-CA572</f>
        <v/>
      </c>
    </row>
    <row r="573">
      <c r="A573" s="135" t="n"/>
      <c r="CK573" s="201">
        <f>CJ573-CA573</f>
        <v/>
      </c>
    </row>
    <row r="574">
      <c r="A574" s="135" t="n"/>
      <c r="CK574" s="201">
        <f>CJ574-CA574</f>
        <v/>
      </c>
    </row>
    <row r="575">
      <c r="A575" s="135" t="n"/>
      <c r="CK575" s="201">
        <f>CJ575-CA575</f>
        <v/>
      </c>
    </row>
    <row r="576">
      <c r="A576" s="135" t="n"/>
      <c r="CK576" s="201">
        <f>CJ576-CA576</f>
        <v/>
      </c>
    </row>
    <row r="577">
      <c r="A577" s="135" t="n"/>
      <c r="CK577" s="201">
        <f>CJ577-CA577</f>
        <v/>
      </c>
    </row>
    <row r="578">
      <c r="A578" s="135" t="n"/>
      <c r="CK578" s="201">
        <f>CJ578-CA578</f>
        <v/>
      </c>
    </row>
    <row r="579">
      <c r="A579" s="135" t="n"/>
      <c r="CK579" s="201">
        <f>CJ579-CA579</f>
        <v/>
      </c>
    </row>
    <row r="580">
      <c r="A580" s="135" t="n"/>
      <c r="CK580" s="201">
        <f>CJ580-CA580</f>
        <v/>
      </c>
    </row>
    <row r="581">
      <c r="A581" s="135" t="n"/>
      <c r="CK581" s="201">
        <f>CJ581-CA581</f>
        <v/>
      </c>
    </row>
    <row r="582">
      <c r="A582" s="135" t="n"/>
      <c r="CK582" s="201">
        <f>CJ582-CA582</f>
        <v/>
      </c>
    </row>
    <row r="583">
      <c r="A583" s="135" t="n"/>
      <c r="CK583" s="201">
        <f>CJ583-CA583</f>
        <v/>
      </c>
    </row>
    <row r="584">
      <c r="A584" s="135" t="n"/>
      <c r="CK584" s="201">
        <f>CJ584-CA584</f>
        <v/>
      </c>
    </row>
    <row r="585">
      <c r="A585" s="135" t="n"/>
      <c r="CK585" s="201">
        <f>CJ585-CA585</f>
        <v/>
      </c>
    </row>
    <row r="586">
      <c r="A586" s="135" t="n"/>
      <c r="CK586" s="201">
        <f>CJ586-CA586</f>
        <v/>
      </c>
    </row>
    <row r="587">
      <c r="A587" s="135" t="n"/>
      <c r="CK587" s="201">
        <f>CJ587-CA587</f>
        <v/>
      </c>
    </row>
    <row r="588">
      <c r="A588" s="135" t="n"/>
      <c r="CK588" s="201">
        <f>CJ588-CA588</f>
        <v/>
      </c>
    </row>
    <row r="589">
      <c r="A589" s="135" t="n"/>
      <c r="CK589" s="201">
        <f>CJ589-CA589</f>
        <v/>
      </c>
    </row>
    <row r="590">
      <c r="A590" s="135" t="n"/>
      <c r="CK590" s="201">
        <f>CJ590-CA590</f>
        <v/>
      </c>
    </row>
    <row r="591">
      <c r="A591" s="135" t="n"/>
      <c r="CK591" s="201">
        <f>CJ591-CA591</f>
        <v/>
      </c>
    </row>
    <row r="592">
      <c r="A592" s="135" t="n"/>
      <c r="CK592" s="201">
        <f>CJ592-CA592</f>
        <v/>
      </c>
    </row>
    <row r="593">
      <c r="A593" s="135" t="n"/>
      <c r="CK593" s="201">
        <f>CJ593-CA593</f>
        <v/>
      </c>
    </row>
    <row r="594">
      <c r="A594" s="135" t="n"/>
      <c r="CK594" s="201">
        <f>CJ594-CA594</f>
        <v/>
      </c>
    </row>
    <row r="595">
      <c r="A595" s="135" t="n"/>
      <c r="CK595" s="201">
        <f>CJ595-CA595</f>
        <v/>
      </c>
    </row>
    <row r="596">
      <c r="A596" s="135" t="n"/>
      <c r="CK596" s="201">
        <f>CJ596-CA596</f>
        <v/>
      </c>
    </row>
    <row r="597">
      <c r="A597" s="135" t="n"/>
      <c r="CK597" s="201">
        <f>CJ597-CA597</f>
        <v/>
      </c>
    </row>
    <row r="598">
      <c r="A598" s="135" t="n"/>
      <c r="CK598" s="201">
        <f>CJ598-CA598</f>
        <v/>
      </c>
    </row>
    <row r="599">
      <c r="A599" s="135" t="n"/>
      <c r="CK599" s="201">
        <f>CJ599-CA599</f>
        <v/>
      </c>
    </row>
    <row r="600">
      <c r="A600" s="135" t="n"/>
      <c r="CK600" s="201">
        <f>CJ600-CA600</f>
        <v/>
      </c>
    </row>
    <row r="601">
      <c r="A601" s="135" t="n"/>
      <c r="CK601" s="201">
        <f>CJ601-CA601</f>
        <v/>
      </c>
    </row>
    <row r="602">
      <c r="A602" s="135" t="n"/>
      <c r="CK602" s="201">
        <f>CJ602-CA602</f>
        <v/>
      </c>
    </row>
    <row r="603">
      <c r="A603" s="135" t="n"/>
      <c r="CK603" s="201">
        <f>CJ603-CA603</f>
        <v/>
      </c>
    </row>
    <row r="604">
      <c r="A604" s="135" t="n"/>
      <c r="CK604" s="201">
        <f>CJ604-CA604</f>
        <v/>
      </c>
    </row>
    <row r="605">
      <c r="A605" s="135" t="n"/>
      <c r="CK605" s="201">
        <f>CJ605-CA605</f>
        <v/>
      </c>
    </row>
    <row r="606">
      <c r="A606" s="135" t="n"/>
      <c r="CK606" s="201">
        <f>CJ606-CA606</f>
        <v/>
      </c>
    </row>
    <row r="607">
      <c r="A607" s="135" t="n"/>
      <c r="CK607" s="201">
        <f>CJ607-CA607</f>
        <v/>
      </c>
    </row>
    <row r="608">
      <c r="A608" s="135" t="n"/>
      <c r="CK608" s="201">
        <f>CJ608-CA608</f>
        <v/>
      </c>
    </row>
    <row r="609">
      <c r="A609" s="135" t="n"/>
      <c r="CK609" s="201">
        <f>CJ609-CA609</f>
        <v/>
      </c>
    </row>
    <row r="610">
      <c r="A610" s="135" t="n"/>
      <c r="CK610" s="201">
        <f>CJ610-CA610</f>
        <v/>
      </c>
    </row>
    <row r="611">
      <c r="A611" s="135" t="n"/>
      <c r="CK611" s="201">
        <f>CJ611-CA611</f>
        <v/>
      </c>
    </row>
    <row r="612">
      <c r="A612" s="135" t="n"/>
      <c r="CK612" s="201">
        <f>CJ612-CA612</f>
        <v/>
      </c>
    </row>
    <row r="613">
      <c r="A613" s="135" t="n"/>
      <c r="CK613" s="201">
        <f>CJ613-CA613</f>
        <v/>
      </c>
    </row>
    <row r="614">
      <c r="A614" s="135" t="n"/>
      <c r="CK614" s="201">
        <f>CJ614-CA614</f>
        <v/>
      </c>
    </row>
    <row r="615">
      <c r="A615" s="135" t="n"/>
      <c r="CK615" s="201">
        <f>CJ615-CA615</f>
        <v/>
      </c>
    </row>
    <row r="616">
      <c r="A616" s="135" t="n"/>
      <c r="CK616" s="201">
        <f>CJ616-CA616</f>
        <v/>
      </c>
    </row>
    <row r="617">
      <c r="A617" s="135" t="n"/>
      <c r="CK617" s="201">
        <f>CJ617-CA617</f>
        <v/>
      </c>
    </row>
    <row r="618">
      <c r="A618" s="135" t="n"/>
      <c r="CK618" s="201">
        <f>CJ618-CA618</f>
        <v/>
      </c>
    </row>
    <row r="619">
      <c r="A619" s="135" t="n"/>
      <c r="CK619" s="201">
        <f>CJ619-CA619</f>
        <v/>
      </c>
    </row>
    <row r="620">
      <c r="A620" s="135" t="n"/>
      <c r="CK620" s="201">
        <f>CJ620-CA620</f>
        <v/>
      </c>
    </row>
    <row r="621">
      <c r="A621" s="135" t="n"/>
      <c r="CK621" s="201">
        <f>CJ621-CA621</f>
        <v/>
      </c>
    </row>
    <row r="622">
      <c r="A622" s="135" t="n"/>
      <c r="CK622" s="201">
        <f>CJ622-CA622</f>
        <v/>
      </c>
    </row>
    <row r="623">
      <c r="A623" s="135" t="n"/>
      <c r="CK623" s="201">
        <f>CJ623-CA623</f>
        <v/>
      </c>
    </row>
    <row r="624">
      <c r="A624" s="135" t="n"/>
      <c r="CK624" s="201">
        <f>CJ624-CA624</f>
        <v/>
      </c>
    </row>
    <row r="625">
      <c r="A625" s="135" t="n"/>
      <c r="CK625" s="201">
        <f>CJ625-CA625</f>
        <v/>
      </c>
    </row>
    <row r="626">
      <c r="A626" s="135" t="n"/>
      <c r="CK626" s="201">
        <f>CJ626-CA626</f>
        <v/>
      </c>
    </row>
    <row r="627">
      <c r="A627" s="135" t="n"/>
      <c r="CK627" s="201">
        <f>CJ627-CA627</f>
        <v/>
      </c>
    </row>
    <row r="628">
      <c r="A628" s="135" t="n"/>
      <c r="CK628" s="201">
        <f>CJ628-CA628</f>
        <v/>
      </c>
    </row>
    <row r="629">
      <c r="A629" s="135" t="n"/>
      <c r="CK629" s="201">
        <f>CJ629-CA629</f>
        <v/>
      </c>
    </row>
    <row r="630">
      <c r="A630" s="135" t="n"/>
      <c r="CK630" s="201">
        <f>CJ630-CA630</f>
        <v/>
      </c>
    </row>
    <row r="631">
      <c r="A631" s="135" t="n"/>
      <c r="CK631" s="201">
        <f>CJ631-CA631</f>
        <v/>
      </c>
    </row>
    <row r="632">
      <c r="A632" s="135" t="n"/>
      <c r="CK632" s="201">
        <f>CJ632-CA632</f>
        <v/>
      </c>
    </row>
    <row r="633">
      <c r="A633" s="135" t="n"/>
      <c r="CK633" s="201">
        <f>CJ633-CA633</f>
        <v/>
      </c>
    </row>
    <row r="634">
      <c r="A634" s="135" t="n"/>
      <c r="CK634" s="201">
        <f>CJ634-CA634</f>
        <v/>
      </c>
    </row>
    <row r="635">
      <c r="A635" s="135" t="n"/>
      <c r="CK635" s="201">
        <f>CJ635-CA635</f>
        <v/>
      </c>
    </row>
    <row r="636">
      <c r="A636" s="135" t="n"/>
      <c r="CK636" s="201">
        <f>CJ636-CA636</f>
        <v/>
      </c>
    </row>
    <row r="637">
      <c r="A637" s="135" t="n"/>
      <c r="CK637" s="201">
        <f>CJ637-CA637</f>
        <v/>
      </c>
    </row>
    <row r="638">
      <c r="A638" s="135" t="n"/>
      <c r="CK638" s="201">
        <f>CJ638-CA638</f>
        <v/>
      </c>
    </row>
    <row r="639">
      <c r="A639" s="135" t="n"/>
      <c r="CK639" s="201">
        <f>CJ639-CA639</f>
        <v/>
      </c>
    </row>
    <row r="640">
      <c r="A640" s="135" t="n"/>
      <c r="CK640" s="201">
        <f>CJ640-CA640</f>
        <v/>
      </c>
    </row>
    <row r="641">
      <c r="A641" s="135" t="n"/>
      <c r="CK641" s="201">
        <f>CJ641-CA641</f>
        <v/>
      </c>
    </row>
    <row r="642">
      <c r="A642" s="115" t="n"/>
      <c r="CK642" s="201">
        <f>CJ642-CA642</f>
        <v/>
      </c>
    </row>
    <row r="643">
      <c r="A643" s="115" t="n"/>
      <c r="CK643" s="201">
        <f>CJ643-CA643</f>
        <v/>
      </c>
    </row>
    <row r="644">
      <c r="A644" s="115" t="n"/>
      <c r="CK644" s="201">
        <f>CJ644-CA644</f>
        <v/>
      </c>
    </row>
    <row r="645">
      <c r="A645" s="115" t="n"/>
      <c r="CK645" s="201">
        <f>CJ645-CA645</f>
        <v/>
      </c>
    </row>
    <row r="646">
      <c r="A646" s="115" t="n"/>
      <c r="CK646" s="201">
        <f>CJ646-CA646</f>
        <v/>
      </c>
    </row>
    <row r="647">
      <c r="A647" s="115" t="n"/>
      <c r="CK647" s="201">
        <f>CJ647-CA647</f>
        <v/>
      </c>
    </row>
    <row r="648">
      <c r="A648" s="115" t="n"/>
      <c r="CK648" s="201">
        <f>CJ648-CA648</f>
        <v/>
      </c>
    </row>
    <row r="649">
      <c r="A649" s="115" t="n"/>
      <c r="CK649" s="201">
        <f>CJ649-CA649</f>
        <v/>
      </c>
    </row>
    <row r="650">
      <c r="A650" s="115" t="n"/>
      <c r="CK650" s="201">
        <f>CJ650-CA650</f>
        <v/>
      </c>
    </row>
    <row r="651">
      <c r="A651" s="115" t="n"/>
      <c r="CK651" s="201">
        <f>CJ651-CA651</f>
        <v/>
      </c>
    </row>
    <row r="652">
      <c r="A652" s="115" t="n"/>
      <c r="CK652" s="201">
        <f>CJ652-CA652</f>
        <v/>
      </c>
    </row>
    <row r="653">
      <c r="A653" s="115" t="n"/>
      <c r="CK653" s="201">
        <f>CJ653-CA653</f>
        <v/>
      </c>
    </row>
    <row r="654">
      <c r="A654" s="115" t="n"/>
      <c r="CK654" s="201">
        <f>CJ654-CA654</f>
        <v/>
      </c>
    </row>
    <row r="655">
      <c r="A655" s="115" t="n"/>
      <c r="CK655" s="201">
        <f>CJ655-CA655</f>
        <v/>
      </c>
    </row>
    <row r="656">
      <c r="A656" s="115" t="n"/>
      <c r="CK656" s="201">
        <f>CJ656-CA656</f>
        <v/>
      </c>
    </row>
    <row r="657">
      <c r="A657" s="115" t="n"/>
      <c r="CK657" s="201">
        <f>CJ657-CA657</f>
        <v/>
      </c>
    </row>
    <row r="658">
      <c r="A658" s="115" t="n"/>
      <c r="CK658" s="201">
        <f>CJ658-CA658</f>
        <v/>
      </c>
    </row>
    <row r="659">
      <c r="A659" s="115" t="n"/>
      <c r="CK659" s="201">
        <f>CJ659-CA659</f>
        <v/>
      </c>
    </row>
    <row r="660">
      <c r="A660" s="115" t="n"/>
      <c r="CK660" s="201">
        <f>CJ660-CA660</f>
        <v/>
      </c>
    </row>
    <row r="661">
      <c r="A661" s="115" t="n"/>
      <c r="CK661" s="201">
        <f>CJ661-CA661</f>
        <v/>
      </c>
    </row>
    <row r="662">
      <c r="A662" s="115" t="n"/>
      <c r="CK662" s="201">
        <f>CJ662-CA662</f>
        <v/>
      </c>
    </row>
    <row r="663">
      <c r="A663" s="115" t="n"/>
      <c r="CK663" s="201">
        <f>CJ663-CA663</f>
        <v/>
      </c>
    </row>
    <row r="664">
      <c r="A664" s="115" t="n"/>
      <c r="CK664" s="201">
        <f>CJ664-CA664</f>
        <v/>
      </c>
    </row>
    <row r="665">
      <c r="A665" s="115" t="n"/>
      <c r="CK665" s="201">
        <f>CJ665-CA665</f>
        <v/>
      </c>
    </row>
    <row r="666">
      <c r="A666" s="115" t="n"/>
      <c r="CK666" s="201">
        <f>CJ666-CA666</f>
        <v/>
      </c>
    </row>
    <row r="667">
      <c r="A667" s="115" t="n"/>
      <c r="CK667" s="201">
        <f>CJ667-CA667</f>
        <v/>
      </c>
    </row>
    <row r="668">
      <c r="A668" s="115" t="n"/>
      <c r="CK668" s="201">
        <f>CJ668-CA668</f>
        <v/>
      </c>
    </row>
  </sheetData>
  <mergeCells count="113">
    <mergeCell ref="I8:J8"/>
    <mergeCell ref="K8:L8"/>
    <mergeCell ref="M8:N8"/>
    <mergeCell ref="O8:P8"/>
    <mergeCell ref="Q8:R8"/>
    <mergeCell ref="S8:T8"/>
    <mergeCell ref="A8:A10"/>
    <mergeCell ref="B8:B10"/>
    <mergeCell ref="C8:C10"/>
    <mergeCell ref="E8:E10"/>
    <mergeCell ref="F8:F10"/>
    <mergeCell ref="G8:H8"/>
    <mergeCell ref="G9:G10"/>
    <mergeCell ref="H9:H10"/>
    <mergeCell ref="AM8:AN8"/>
    <mergeCell ref="AO8:AP8"/>
    <mergeCell ref="AQ8:AR8"/>
    <mergeCell ref="U8:V8"/>
    <mergeCell ref="W8:X8"/>
    <mergeCell ref="Y8:Z8"/>
    <mergeCell ref="AA8:AB8"/>
    <mergeCell ref="AC8:AD8"/>
    <mergeCell ref="AE8:AF8"/>
    <mergeCell ref="CG8:CG9"/>
    <mergeCell ref="CH8:CH9"/>
    <mergeCell ref="CI8:CI9"/>
    <mergeCell ref="BU8:BU9"/>
    <mergeCell ref="BW8:BW9"/>
    <mergeCell ref="BX8:BX9"/>
    <mergeCell ref="BY8:BY9"/>
    <mergeCell ref="BZ8:BZ9"/>
    <mergeCell ref="CA8:CC8"/>
    <mergeCell ref="I9:I10"/>
    <mergeCell ref="J9:J10"/>
    <mergeCell ref="K9:K10"/>
    <mergeCell ref="L9:L10"/>
    <mergeCell ref="M9:M10"/>
    <mergeCell ref="N9:N10"/>
    <mergeCell ref="CD8:CD9"/>
    <mergeCell ref="CE8:CE9"/>
    <mergeCell ref="CF8:CF9"/>
    <mergeCell ref="BE8:BF8"/>
    <mergeCell ref="BG8:BH8"/>
    <mergeCell ref="BI8:BJ8"/>
    <mergeCell ref="BK8:BL8"/>
    <mergeCell ref="BM8:BN8"/>
    <mergeCell ref="BO8:BP8"/>
    <mergeCell ref="AS8:AT8"/>
    <mergeCell ref="AU8:AV8"/>
    <mergeCell ref="AW8:AX8"/>
    <mergeCell ref="AY8:AZ8"/>
    <mergeCell ref="BA8:BB8"/>
    <mergeCell ref="BC8:BD8"/>
    <mergeCell ref="AG8:AH8"/>
    <mergeCell ref="AI8:AJ8"/>
    <mergeCell ref="AK8:AL8"/>
    <mergeCell ref="U9:U10"/>
    <mergeCell ref="V9:V10"/>
    <mergeCell ref="W9:W10"/>
    <mergeCell ref="X9:X10"/>
    <mergeCell ref="Y9:Y10"/>
    <mergeCell ref="Z9:Z10"/>
    <mergeCell ref="O9:O10"/>
    <mergeCell ref="P9:P10"/>
    <mergeCell ref="Q9:Q10"/>
    <mergeCell ref="R9:R10"/>
    <mergeCell ref="S9:S10"/>
    <mergeCell ref="T9:T10"/>
    <mergeCell ref="AG9:AG10"/>
    <mergeCell ref="AH9:AH10"/>
    <mergeCell ref="AI9:AI10"/>
    <mergeCell ref="AJ9:AJ10"/>
    <mergeCell ref="AK9:AK10"/>
    <mergeCell ref="AL9:AL10"/>
    <mergeCell ref="AA9:AA10"/>
    <mergeCell ref="AB9:AB10"/>
    <mergeCell ref="AC9:AC10"/>
    <mergeCell ref="AD9:AD10"/>
    <mergeCell ref="AE9:AE10"/>
    <mergeCell ref="AF9:AF10"/>
    <mergeCell ref="AV9:AV10"/>
    <mergeCell ref="AW9:AW10"/>
    <mergeCell ref="AX9:AX10"/>
    <mergeCell ref="AM9:AM10"/>
    <mergeCell ref="AN9:AN10"/>
    <mergeCell ref="AO9:AO10"/>
    <mergeCell ref="AP9:AP10"/>
    <mergeCell ref="AQ9:AQ10"/>
    <mergeCell ref="AR9:AR10"/>
    <mergeCell ref="E335:F335"/>
    <mergeCell ref="E336:F336"/>
    <mergeCell ref="E337:F337"/>
    <mergeCell ref="BK9:BK10"/>
    <mergeCell ref="BL9:BL10"/>
    <mergeCell ref="BM9:BM10"/>
    <mergeCell ref="BN9:BN10"/>
    <mergeCell ref="BO9:BO10"/>
    <mergeCell ref="BP9:BP10"/>
    <mergeCell ref="BE9:BE10"/>
    <mergeCell ref="BF9:BF10"/>
    <mergeCell ref="BG9:BG10"/>
    <mergeCell ref="BH9:BH10"/>
    <mergeCell ref="BI9:BI10"/>
    <mergeCell ref="BJ9:BJ10"/>
    <mergeCell ref="AY9:AY10"/>
    <mergeCell ref="AZ9:AZ10"/>
    <mergeCell ref="BA9:BA10"/>
    <mergeCell ref="BB9:BB10"/>
    <mergeCell ref="BC9:BC10"/>
    <mergeCell ref="BD9:BD10"/>
    <mergeCell ref="AS9:AS10"/>
    <mergeCell ref="AT9:AT10"/>
    <mergeCell ref="AU9:AU10"/>
  </mergeCells>
  <conditionalFormatting sqref="B8">
    <cfRule type="duplicateValues" priority="416" dxfId="3"/>
  </conditionalFormatting>
  <conditionalFormatting sqref="A8">
    <cfRule type="duplicateValues" priority="415" dxfId="3"/>
    <cfRule type="duplicateValues" priority="412" dxfId="3"/>
    <cfRule type="duplicateValues" priority="413" dxfId="3"/>
    <cfRule type="duplicateValues" priority="414" dxfId="3"/>
  </conditionalFormatting>
  <conditionalFormatting sqref="A175">
    <cfRule type="duplicateValues" priority="411" dxfId="3"/>
  </conditionalFormatting>
  <conditionalFormatting sqref="A174">
    <cfRule type="duplicateValues" priority="410" dxfId="3"/>
  </conditionalFormatting>
  <conditionalFormatting sqref="A179">
    <cfRule type="duplicateValues" priority="409" dxfId="3"/>
  </conditionalFormatting>
  <conditionalFormatting sqref="A234 A180:A181 A184:A196 A64:A65 A11:A14 A18:A34 A199 A112 A100:A102 A114:A123 A201:A205 A152:A153 A169:A170 A80:A81 A77:A78 A67:A75 A42:A48 A125:A126 A37:A39 A84:A85 A50:A62 A220 A109:A110 A130:A149 A213:A217 A104:A106 A209:A211 A155:A167">
    <cfRule type="duplicateValues" priority="408" dxfId="3"/>
    <cfRule type="duplicateValues" priority="405" dxfId="3"/>
    <cfRule type="duplicateValues" priority="406" dxfId="3"/>
    <cfRule type="duplicateValues" priority="407" dxfId="3"/>
  </conditionalFormatting>
  <conditionalFormatting sqref="A63">
    <cfRule type="duplicateValues" priority="404" dxfId="3"/>
    <cfRule type="expression" priority="417" dxfId="1">
      <formula>COUNTIF(A63:A268,A63)&gt;1</formula>
    </cfRule>
  </conditionalFormatting>
  <conditionalFormatting sqref="A111">
    <cfRule type="duplicateValues" priority="403" dxfId="3"/>
    <cfRule type="expression" priority="418" dxfId="1">
      <formula>COUNTIF(A111:A300,A111)&gt;1</formula>
    </cfRule>
  </conditionalFormatting>
  <conditionalFormatting sqref="A154">
    <cfRule type="duplicateValues" priority="402" dxfId="3"/>
    <cfRule type="expression" priority="424" dxfId="1">
      <formula>COUNTIF(A154:A361,A154)&gt;1</formula>
    </cfRule>
  </conditionalFormatting>
  <conditionalFormatting sqref="B153 B11:B13 B18:B34 B42:B46 B37:B39">
    <cfRule type="duplicateValues" priority="401" dxfId="3"/>
  </conditionalFormatting>
  <conditionalFormatting sqref="A7">
    <cfRule type="duplicateValues" priority="400" dxfId="3"/>
  </conditionalFormatting>
  <conditionalFormatting sqref="B210:B211">
    <cfRule type="duplicateValues" priority="399" dxfId="3"/>
  </conditionalFormatting>
  <conditionalFormatting sqref="A108">
    <cfRule type="duplicateValues" priority="398" dxfId="3"/>
    <cfRule type="duplicateValues" priority="395" dxfId="3"/>
    <cfRule type="duplicateValues" priority="396" dxfId="3"/>
    <cfRule type="duplicateValues" priority="397" dxfId="3"/>
  </conditionalFormatting>
  <conditionalFormatting sqref="B108">
    <cfRule type="duplicateValues" priority="394" dxfId="3"/>
  </conditionalFormatting>
  <conditionalFormatting sqref="B108:B109">
    <cfRule type="duplicateValues" priority="393" dxfId="3"/>
  </conditionalFormatting>
  <conditionalFormatting sqref="B233:B237 B224:B226 B47:B48 B64:B65 B14:B15 B112 B100:B102 B114:B123 B199:B205 B152 B80:B82 B77:B78 B67:B75 B125:B126 B84:B85 B50:B62 B230:B231 B173:B196 B154:B170 B109:B110 B219:B222 B130:B149 B213:B217 B104:B106 B209:B211">
    <cfRule type="duplicateValues" priority="392" dxfId="3"/>
  </conditionalFormatting>
  <conditionalFormatting sqref="B233:B237 B224:B226 B64:B65 B11:B15 B112 B100:B102 B18:B34 B114:B123 B199:B205 B80:B82 B77:B78 B67:B75 B42:B48 B125:B126 B37:B39 B84:B85 B50:B62 B230:B231 B173:B196 B152:B170 B109:B110 B219:B222 B130:B149 B213:B217 B104:B106 B209:B211">
    <cfRule type="duplicateValues" priority="391" dxfId="3"/>
  </conditionalFormatting>
  <conditionalFormatting sqref="A280:A281 A278 A276 A273:A274">
    <cfRule type="duplicateValues" priority="390" dxfId="3"/>
    <cfRule type="duplicateValues" priority="387" dxfId="3"/>
    <cfRule type="duplicateValues" priority="388" dxfId="3"/>
    <cfRule type="duplicateValues" priority="389" dxfId="3"/>
  </conditionalFormatting>
  <conditionalFormatting sqref="B227">
    <cfRule type="duplicateValues" priority="386" dxfId="3"/>
    <cfRule type="duplicateValues" priority="385" dxfId="3"/>
  </conditionalFormatting>
  <conditionalFormatting sqref="B272">
    <cfRule type="duplicateValues" priority="384" dxfId="3"/>
    <cfRule type="duplicateValues" priority="383" dxfId="3"/>
  </conditionalFormatting>
  <conditionalFormatting sqref="A103">
    <cfRule type="duplicateValues" priority="382" dxfId="3"/>
    <cfRule type="duplicateValues" priority="379" dxfId="3"/>
    <cfRule type="duplicateValues" priority="380" dxfId="3"/>
    <cfRule type="duplicateValues" priority="381" dxfId="3"/>
  </conditionalFormatting>
  <conditionalFormatting sqref="B103">
    <cfRule type="duplicateValues" priority="378" dxfId="3"/>
    <cfRule type="duplicateValues" priority="377" dxfId="3"/>
  </conditionalFormatting>
  <conditionalFormatting sqref="A282">
    <cfRule type="duplicateValues" priority="376" dxfId="3"/>
    <cfRule type="duplicateValues" priority="373" dxfId="3"/>
    <cfRule type="duplicateValues" priority="374" dxfId="3"/>
    <cfRule type="duplicateValues" priority="375" dxfId="3"/>
  </conditionalFormatting>
  <conditionalFormatting sqref="A283">
    <cfRule type="duplicateValues" priority="372" dxfId="3"/>
    <cfRule type="duplicateValues" priority="369" dxfId="3"/>
    <cfRule type="duplicateValues" priority="370" dxfId="3"/>
    <cfRule type="duplicateValues" priority="371" dxfId="3"/>
  </conditionalFormatting>
  <conditionalFormatting sqref="A284">
    <cfRule type="duplicateValues" priority="368" dxfId="3"/>
    <cfRule type="duplicateValues" priority="365" dxfId="3"/>
    <cfRule type="duplicateValues" priority="366" dxfId="3"/>
    <cfRule type="duplicateValues" priority="367" dxfId="3"/>
  </conditionalFormatting>
  <conditionalFormatting sqref="A124">
    <cfRule type="duplicateValues" priority="364" dxfId="3"/>
    <cfRule type="duplicateValues" priority="361" dxfId="3"/>
    <cfRule type="duplicateValues" priority="362" dxfId="3"/>
    <cfRule type="duplicateValues" priority="363" dxfId="3"/>
  </conditionalFormatting>
  <conditionalFormatting sqref="B124">
    <cfRule type="duplicateValues" priority="360" dxfId="3"/>
    <cfRule type="duplicateValues" priority="359" dxfId="3"/>
  </conditionalFormatting>
  <conditionalFormatting sqref="A290">
    <cfRule type="duplicateValues" priority="358" dxfId="3"/>
    <cfRule type="duplicateValues" priority="355" dxfId="3"/>
    <cfRule type="duplicateValues" priority="356" dxfId="3"/>
    <cfRule type="duplicateValues" priority="357" dxfId="3"/>
  </conditionalFormatting>
  <conditionalFormatting sqref="A291">
    <cfRule type="duplicateValues" priority="354" dxfId="3"/>
    <cfRule type="duplicateValues" priority="351" dxfId="3"/>
    <cfRule type="duplicateValues" priority="352" dxfId="3"/>
    <cfRule type="duplicateValues" priority="353" dxfId="3"/>
  </conditionalFormatting>
  <conditionalFormatting sqref="A292">
    <cfRule type="duplicateValues" priority="350" dxfId="3"/>
    <cfRule type="duplicateValues" priority="347" dxfId="3"/>
    <cfRule type="duplicateValues" priority="348" dxfId="3"/>
    <cfRule type="duplicateValues" priority="349" dxfId="3"/>
  </conditionalFormatting>
  <conditionalFormatting sqref="A293">
    <cfRule type="duplicateValues" priority="346" dxfId="3"/>
    <cfRule type="duplicateValues" priority="343" dxfId="3"/>
    <cfRule type="duplicateValues" priority="344" dxfId="3"/>
    <cfRule type="duplicateValues" priority="345" dxfId="3"/>
  </conditionalFormatting>
  <conditionalFormatting sqref="A295">
    <cfRule type="duplicateValues" priority="342" dxfId="3"/>
    <cfRule type="duplicateValues" priority="339" dxfId="3"/>
    <cfRule type="duplicateValues" priority="340" dxfId="3"/>
    <cfRule type="duplicateValues" priority="341" dxfId="3"/>
  </conditionalFormatting>
  <conditionalFormatting sqref="A296">
    <cfRule type="duplicateValues" priority="338" dxfId="3"/>
    <cfRule type="duplicateValues" priority="335" dxfId="3"/>
    <cfRule type="duplicateValues" priority="336" dxfId="3"/>
    <cfRule type="duplicateValues" priority="337" dxfId="3"/>
  </conditionalFormatting>
  <conditionalFormatting sqref="A297">
    <cfRule type="duplicateValues" priority="334" dxfId="3"/>
    <cfRule type="duplicateValues" priority="331" dxfId="3"/>
    <cfRule type="duplicateValues" priority="332" dxfId="3"/>
    <cfRule type="duplicateValues" priority="333" dxfId="3"/>
  </conditionalFormatting>
  <conditionalFormatting sqref="A294">
    <cfRule type="duplicateValues" priority="330" dxfId="3"/>
    <cfRule type="duplicateValues" priority="327" dxfId="3"/>
    <cfRule type="duplicateValues" priority="328" dxfId="3"/>
    <cfRule type="duplicateValues" priority="329" dxfId="3"/>
  </conditionalFormatting>
  <conditionalFormatting sqref="A298">
    <cfRule type="duplicateValues" priority="326" dxfId="3"/>
    <cfRule type="duplicateValues" priority="323" dxfId="3"/>
    <cfRule type="duplicateValues" priority="324" dxfId="3"/>
    <cfRule type="duplicateValues" priority="325" dxfId="3"/>
  </conditionalFormatting>
  <conditionalFormatting sqref="A299">
    <cfRule type="duplicateValues" priority="322" dxfId="3"/>
    <cfRule type="duplicateValues" priority="319" dxfId="3"/>
    <cfRule type="duplicateValues" priority="320" dxfId="3"/>
    <cfRule type="duplicateValues" priority="321" dxfId="3"/>
  </conditionalFormatting>
  <conditionalFormatting sqref="A300">
    <cfRule type="duplicateValues" priority="318" dxfId="3"/>
    <cfRule type="duplicateValues" priority="315" dxfId="3"/>
    <cfRule type="duplicateValues" priority="316" dxfId="3"/>
    <cfRule type="duplicateValues" priority="317" dxfId="3"/>
  </conditionalFormatting>
  <conditionalFormatting sqref="A335:A337 A669:A1048576 A5:A300">
    <cfRule type="duplicateValues" priority="314" dxfId="3"/>
  </conditionalFormatting>
  <conditionalFormatting sqref="A303">
    <cfRule type="duplicateValues" priority="313" dxfId="3"/>
    <cfRule type="duplicateValues" priority="310" dxfId="3"/>
    <cfRule type="duplicateValues" priority="311" dxfId="3"/>
    <cfRule type="duplicateValues" priority="312" dxfId="3"/>
    <cfRule type="duplicateValues" priority="309" dxfId="3"/>
  </conditionalFormatting>
  <conditionalFormatting sqref="A312">
    <cfRule type="duplicateValues" priority="308" dxfId="3"/>
    <cfRule type="duplicateValues" priority="305" dxfId="3"/>
    <cfRule type="duplicateValues" priority="306" dxfId="3"/>
    <cfRule type="duplicateValues" priority="307" dxfId="3"/>
    <cfRule type="duplicateValues" priority="304" dxfId="3"/>
  </conditionalFormatting>
  <conditionalFormatting sqref="A307">
    <cfRule type="duplicateValues" priority="303" dxfId="3"/>
    <cfRule type="duplicateValues" priority="300" dxfId="3"/>
    <cfRule type="duplicateValues" priority="301" dxfId="3"/>
    <cfRule type="duplicateValues" priority="302" dxfId="3"/>
    <cfRule type="duplicateValues" priority="299" dxfId="3"/>
  </conditionalFormatting>
  <conditionalFormatting sqref="A305">
    <cfRule type="duplicateValues" priority="298" dxfId="3"/>
    <cfRule type="duplicateValues" priority="295" dxfId="3"/>
    <cfRule type="duplicateValues" priority="296" dxfId="3"/>
    <cfRule type="duplicateValues" priority="297" dxfId="3"/>
    <cfRule type="duplicateValues" priority="294" dxfId="3"/>
  </conditionalFormatting>
  <conditionalFormatting sqref="A315">
    <cfRule type="duplicateValues" priority="293" dxfId="3"/>
    <cfRule type="duplicateValues" priority="290" dxfId="3"/>
    <cfRule type="duplicateValues" priority="291" dxfId="3"/>
    <cfRule type="duplicateValues" priority="292" dxfId="3"/>
    <cfRule type="duplicateValues" priority="289" dxfId="3"/>
  </conditionalFormatting>
  <conditionalFormatting sqref="B315">
    <cfRule type="duplicateValues" priority="288" dxfId="3"/>
  </conditionalFormatting>
  <conditionalFormatting sqref="A311">
    <cfRule type="duplicateValues" priority="287" dxfId="3"/>
    <cfRule type="duplicateValues" priority="284" dxfId="3"/>
    <cfRule type="duplicateValues" priority="285" dxfId="3"/>
    <cfRule type="duplicateValues" priority="286" dxfId="3"/>
    <cfRule type="duplicateValues" priority="283" dxfId="3"/>
  </conditionalFormatting>
  <conditionalFormatting sqref="B311">
    <cfRule type="duplicateValues" priority="282" dxfId="3"/>
  </conditionalFormatting>
  <conditionalFormatting sqref="A309">
    <cfRule type="duplicateValues" priority="281" dxfId="3"/>
    <cfRule type="duplicateValues" priority="278" dxfId="3"/>
    <cfRule type="duplicateValues" priority="279" dxfId="3"/>
    <cfRule type="duplicateValues" priority="280" dxfId="3"/>
    <cfRule type="duplicateValues" priority="277" dxfId="3"/>
  </conditionalFormatting>
  <conditionalFormatting sqref="B309">
    <cfRule type="duplicateValues" priority="276" dxfId="3"/>
  </conditionalFormatting>
  <conditionalFormatting sqref="A301">
    <cfRule type="duplicateValues" priority="275" dxfId="3"/>
    <cfRule type="duplicateValues" priority="272" dxfId="3"/>
    <cfRule type="duplicateValues" priority="273" dxfId="3"/>
    <cfRule type="duplicateValues" priority="274" dxfId="3"/>
    <cfRule type="duplicateValues" priority="271" dxfId="3"/>
  </conditionalFormatting>
  <conditionalFormatting sqref="B301">
    <cfRule type="duplicateValues" priority="270" dxfId="3"/>
  </conditionalFormatting>
  <conditionalFormatting sqref="A304">
    <cfRule type="duplicateValues" priority="269" dxfId="3"/>
    <cfRule type="duplicateValues" priority="266" dxfId="3"/>
    <cfRule type="duplicateValues" priority="267" dxfId="3"/>
    <cfRule type="duplicateValues" priority="268" dxfId="3"/>
    <cfRule type="duplicateValues" priority="265" dxfId="3"/>
  </conditionalFormatting>
  <conditionalFormatting sqref="B304">
    <cfRule type="duplicateValues" priority="264" dxfId="3"/>
  </conditionalFormatting>
  <conditionalFormatting sqref="A306">
    <cfRule type="duplicateValues" priority="263" dxfId="3"/>
    <cfRule type="duplicateValues" priority="260" dxfId="3"/>
    <cfRule type="duplicateValues" priority="261" dxfId="3"/>
    <cfRule type="duplicateValues" priority="262" dxfId="3"/>
    <cfRule type="duplicateValues" priority="259" dxfId="3"/>
  </conditionalFormatting>
  <conditionalFormatting sqref="B306">
    <cfRule type="duplicateValues" priority="258" dxfId="3"/>
  </conditionalFormatting>
  <conditionalFormatting sqref="A316">
    <cfRule type="duplicateValues" priority="257" dxfId="3"/>
    <cfRule type="duplicateValues" priority="254" dxfId="3"/>
    <cfRule type="duplicateValues" priority="255" dxfId="3"/>
    <cfRule type="duplicateValues" priority="256" dxfId="3"/>
    <cfRule type="duplicateValues" priority="253" dxfId="3"/>
  </conditionalFormatting>
  <conditionalFormatting sqref="B316">
    <cfRule type="duplicateValues" priority="252" dxfId="3"/>
  </conditionalFormatting>
  <conditionalFormatting sqref="A302">
    <cfRule type="duplicateValues" priority="251" dxfId="3"/>
    <cfRule type="duplicateValues" priority="248" dxfId="3"/>
    <cfRule type="duplicateValues" priority="249" dxfId="3"/>
    <cfRule type="duplicateValues" priority="250" dxfId="3"/>
    <cfRule type="duplicateValues" priority="247" dxfId="3"/>
  </conditionalFormatting>
  <conditionalFormatting sqref="B302">
    <cfRule type="duplicateValues" priority="246" dxfId="3"/>
  </conditionalFormatting>
  <conditionalFormatting sqref="A310">
    <cfRule type="duplicateValues" priority="245" dxfId="3"/>
    <cfRule type="duplicateValues" priority="242" dxfId="3"/>
    <cfRule type="duplicateValues" priority="243" dxfId="3"/>
    <cfRule type="duplicateValues" priority="244" dxfId="3"/>
    <cfRule type="duplicateValues" priority="241" dxfId="3"/>
  </conditionalFormatting>
  <conditionalFormatting sqref="B310">
    <cfRule type="duplicateValues" priority="240" dxfId="3"/>
  </conditionalFormatting>
  <conditionalFormatting sqref="A314">
    <cfRule type="duplicateValues" priority="239" dxfId="3"/>
    <cfRule type="duplicateValues" priority="236" dxfId="3"/>
    <cfRule type="duplicateValues" priority="237" dxfId="3"/>
    <cfRule type="duplicateValues" priority="238" dxfId="3"/>
    <cfRule type="duplicateValues" priority="235" dxfId="3"/>
  </conditionalFormatting>
  <conditionalFormatting sqref="B314">
    <cfRule type="duplicateValues" priority="234" dxfId="3"/>
  </conditionalFormatting>
  <conditionalFormatting sqref="B213:B215">
    <cfRule type="duplicateValues" priority="233" dxfId="3"/>
  </conditionalFormatting>
  <conditionalFormatting sqref="A285:A289">
    <cfRule type="duplicateValues" priority="232" dxfId="3"/>
    <cfRule type="duplicateValues" priority="229" dxfId="3"/>
    <cfRule type="duplicateValues" priority="230" dxfId="3"/>
    <cfRule type="duplicateValues" priority="231" dxfId="3"/>
  </conditionalFormatting>
  <conditionalFormatting sqref="A308">
    <cfRule type="duplicateValues" priority="228" dxfId="3"/>
    <cfRule type="duplicateValues" priority="225" dxfId="3"/>
    <cfRule type="duplicateValues" priority="226" dxfId="3"/>
    <cfRule type="duplicateValues" priority="227" dxfId="3"/>
    <cfRule type="duplicateValues" priority="224" dxfId="3"/>
  </conditionalFormatting>
  <conditionalFormatting sqref="B308">
    <cfRule type="duplicateValues" priority="223" dxfId="3"/>
  </conditionalFormatting>
  <conditionalFormatting sqref="A317:A319">
    <cfRule type="duplicateValues" priority="222" dxfId="3"/>
    <cfRule type="duplicateValues" priority="219" dxfId="3"/>
    <cfRule type="duplicateValues" priority="220" dxfId="3"/>
    <cfRule type="duplicateValues" priority="221" dxfId="3"/>
    <cfRule type="duplicateValues" priority="218" dxfId="3"/>
  </conditionalFormatting>
  <conditionalFormatting sqref="B335:B1048576 B317:B319 B5:B300 B305 B307 B312 B303">
    <cfRule type="duplicateValues" priority="217" dxfId="3"/>
  </conditionalFormatting>
  <conditionalFormatting sqref="A313">
    <cfRule type="duplicateValues" priority="216" dxfId="3"/>
    <cfRule type="duplicateValues" priority="213" dxfId="3"/>
    <cfRule type="duplicateValues" priority="214" dxfId="3"/>
    <cfRule type="duplicateValues" priority="215" dxfId="3"/>
    <cfRule type="duplicateValues" priority="212" dxfId="3"/>
  </conditionalFormatting>
  <conditionalFormatting sqref="B313">
    <cfRule type="duplicateValues" priority="211" dxfId="3"/>
  </conditionalFormatting>
  <conditionalFormatting sqref="A335:A337 A5:A319 A669:A1048576">
    <cfRule type="duplicateValues" priority="210" dxfId="3"/>
  </conditionalFormatting>
  <conditionalFormatting sqref="A320">
    <cfRule type="duplicateValues" priority="209" dxfId="3"/>
    <cfRule type="duplicateValues" priority="206" dxfId="3"/>
    <cfRule type="duplicateValues" priority="207" dxfId="3"/>
    <cfRule type="duplicateValues" priority="208" dxfId="3"/>
    <cfRule type="duplicateValues" priority="205" dxfId="3"/>
    <cfRule type="duplicateValues" priority="203" dxfId="3"/>
  </conditionalFormatting>
  <conditionalFormatting sqref="B320">
    <cfRule type="duplicateValues" priority="204" dxfId="3"/>
  </conditionalFormatting>
  <conditionalFormatting sqref="A321:A322">
    <cfRule type="duplicateValues" priority="202" dxfId="3"/>
    <cfRule type="duplicateValues" priority="199" dxfId="3"/>
    <cfRule type="duplicateValues" priority="200" dxfId="3"/>
    <cfRule type="duplicateValues" priority="201" dxfId="3"/>
    <cfRule type="duplicateValues" priority="198" dxfId="3"/>
    <cfRule type="duplicateValues" priority="196" dxfId="3"/>
  </conditionalFormatting>
  <conditionalFormatting sqref="B321:B322">
    <cfRule type="duplicateValues" priority="197" dxfId="3"/>
  </conditionalFormatting>
  <conditionalFormatting sqref="A323">
    <cfRule type="duplicateValues" priority="195" dxfId="3"/>
    <cfRule type="duplicateValues" priority="192" dxfId="3"/>
    <cfRule type="duplicateValues" priority="193" dxfId="3"/>
    <cfRule type="duplicateValues" priority="194" dxfId="3"/>
    <cfRule type="duplicateValues" priority="191" dxfId="3"/>
    <cfRule type="duplicateValues" priority="189" dxfId="3"/>
  </conditionalFormatting>
  <conditionalFormatting sqref="B323">
    <cfRule type="duplicateValues" priority="190" dxfId="3"/>
  </conditionalFormatting>
  <conditionalFormatting sqref="A376">
    <cfRule type="duplicateValues" priority="188" dxfId="3"/>
    <cfRule type="duplicateValues" priority="187" dxfId="3"/>
    <cfRule type="duplicateValues" priority="186" dxfId="3"/>
    <cfRule type="duplicateValues" priority="185" dxfId="3"/>
    <cfRule type="duplicateValues" priority="184" dxfId="3"/>
    <cfRule type="duplicateValues" priority="183" dxfId="3"/>
    <cfRule type="duplicateValues" priority="182" dxfId="3"/>
    <cfRule type="duplicateValues" priority="181" dxfId="3"/>
  </conditionalFormatting>
  <conditionalFormatting sqref="A338:A353 A508 A510:A511 A389:A506 A355:A387">
    <cfRule type="duplicateValues" priority="180" dxfId="3"/>
    <cfRule type="duplicateValues" priority="170" dxfId="3"/>
    <cfRule type="duplicateValues" priority="171" dxfId="3"/>
  </conditionalFormatting>
  <conditionalFormatting sqref="A338:A353 A377:A387 A389:A463 A355:A375">
    <cfRule type="duplicateValues" priority="178" dxfId="3"/>
    <cfRule type="duplicateValues" priority="179" dxfId="3"/>
    <cfRule type="duplicateValues" priority="177" dxfId="3"/>
  </conditionalFormatting>
  <conditionalFormatting sqref="A338:A353 A377:A387 A389:A487 A355:A375">
    <cfRule type="duplicateValues" priority="176" dxfId="3"/>
  </conditionalFormatting>
  <conditionalFormatting sqref="A377:A387 A338:A353 A389:A487 A355:A375">
    <cfRule type="duplicateValues" priority="175" dxfId="3"/>
  </conditionalFormatting>
  <conditionalFormatting sqref="A338:A353 A389:A487 A355:A387">
    <cfRule type="duplicateValues" priority="174" dxfId="3"/>
    <cfRule type="duplicateValues" priority="172" dxfId="3"/>
    <cfRule type="duplicateValues" priority="173" dxfId="3"/>
  </conditionalFormatting>
  <conditionalFormatting sqref="A338:A353">
    <cfRule type="duplicateValues" priority="169" dxfId="3"/>
    <cfRule type="duplicateValues" priority="150" dxfId="3"/>
  </conditionalFormatting>
  <conditionalFormatting sqref="A508 A338:A353 A510:A511 A389:A506 A355:A387">
    <cfRule type="duplicateValues" priority="168" dxfId="3"/>
  </conditionalFormatting>
  <conditionalFormatting sqref="A507">
    <cfRule type="duplicateValues" priority="167" dxfId="3"/>
    <cfRule type="duplicateValues" priority="165" dxfId="3"/>
    <cfRule type="duplicateValues" priority="166" dxfId="3"/>
    <cfRule type="duplicateValues" priority="164" dxfId="3"/>
    <cfRule type="duplicateValues" priority="163" dxfId="3"/>
    <cfRule type="duplicateValues" priority="162" dxfId="3"/>
    <cfRule type="duplicateValues" priority="160" dxfId="3"/>
    <cfRule type="duplicateValues" priority="161" dxfId="3"/>
  </conditionalFormatting>
  <conditionalFormatting sqref="A509">
    <cfRule type="duplicateValues" priority="159" dxfId="3"/>
    <cfRule type="duplicateValues" priority="157" dxfId="3"/>
    <cfRule type="duplicateValues" priority="158" dxfId="3"/>
    <cfRule type="duplicateValues" priority="156" dxfId="3"/>
    <cfRule type="duplicateValues" priority="155" dxfId="3"/>
    <cfRule type="duplicateValues" priority="154" dxfId="3"/>
    <cfRule type="duplicateValues" priority="152" dxfId="3"/>
    <cfRule type="duplicateValues" priority="153" dxfId="3"/>
  </conditionalFormatting>
  <conditionalFormatting sqref="A338:A353 A389:A511 A355:A387">
    <cfRule type="duplicateValues" priority="151" dxfId="3"/>
  </conditionalFormatting>
  <conditionalFormatting sqref="A478:A487">
    <cfRule type="duplicateValues" priority="149" dxfId="3"/>
  </conditionalFormatting>
  <conditionalFormatting sqref="A338:A353 A389:A524 A355:A387">
    <cfRule type="duplicateValues" priority="148" dxfId="3"/>
  </conditionalFormatting>
  <conditionalFormatting sqref="A388">
    <cfRule type="duplicateValues" priority="147" dxfId="3"/>
    <cfRule type="duplicateValues" priority="145" dxfId="3"/>
    <cfRule type="duplicateValues" priority="146" dxfId="3"/>
    <cfRule type="duplicateValues" priority="144" dxfId="3"/>
    <cfRule type="duplicateValues" priority="143" dxfId="3"/>
    <cfRule type="duplicateValues" priority="142" dxfId="3"/>
    <cfRule type="duplicateValues" priority="141" dxfId="3"/>
    <cfRule type="duplicateValues" priority="140" dxfId="3"/>
    <cfRule type="duplicateValues" priority="139" dxfId="3"/>
    <cfRule type="duplicateValues" priority="137" dxfId="3"/>
    <cfRule type="duplicateValues" priority="138" dxfId="3"/>
    <cfRule type="duplicateValues" priority="135" dxfId="3"/>
    <cfRule type="duplicateValues" priority="136" dxfId="3"/>
    <cfRule type="duplicateValues" priority="134" dxfId="3"/>
    <cfRule type="duplicateValues" priority="133" dxfId="3"/>
    <cfRule type="duplicateValues" priority="132" dxfId="3"/>
    <cfRule type="duplicateValues" priority="131" dxfId="3"/>
    <cfRule type="duplicateValues" priority="130" dxfId="3"/>
    <cfRule type="duplicateValues" priority="129" dxfId="3"/>
    <cfRule type="duplicateValues" priority="128" dxfId="3"/>
    <cfRule type="duplicateValues" priority="127" dxfId="3"/>
  </conditionalFormatting>
  <conditionalFormatting sqref="A525">
    <cfRule type="duplicateValues" priority="126" dxfId="3"/>
    <cfRule type="duplicateValues" priority="125" dxfId="3"/>
    <cfRule type="duplicateValues" priority="124" dxfId="3"/>
    <cfRule type="duplicateValues" priority="122" dxfId="3"/>
    <cfRule type="duplicateValues" priority="123" dxfId="3"/>
  </conditionalFormatting>
  <conditionalFormatting sqref="A338:A353 A355:A621">
    <cfRule type="duplicateValues" priority="121" dxfId="3"/>
  </conditionalFormatting>
  <conditionalFormatting sqref="A354">
    <cfRule type="duplicateValues" priority="120" dxfId="3"/>
    <cfRule type="duplicateValues" priority="118" dxfId="3"/>
    <cfRule type="duplicateValues" priority="119" dxfId="3"/>
    <cfRule type="duplicateValues" priority="117" dxfId="3"/>
    <cfRule type="duplicateValues" priority="116" dxfId="3"/>
    <cfRule type="duplicateValues" priority="115" dxfId="3"/>
    <cfRule type="duplicateValues" priority="114" dxfId="3"/>
    <cfRule type="duplicateValues" priority="113" dxfId="3"/>
    <cfRule type="duplicateValues" priority="112" dxfId="3"/>
    <cfRule type="duplicateValues" priority="110" dxfId="3"/>
    <cfRule type="duplicateValues" priority="111" dxfId="3"/>
    <cfRule type="duplicateValues" priority="108" dxfId="3"/>
    <cfRule type="duplicateValues" priority="109" dxfId="3"/>
    <cfRule type="duplicateValues" priority="107" dxfId="3"/>
    <cfRule type="duplicateValues" priority="106" dxfId="3"/>
    <cfRule type="duplicateValues" priority="105" dxfId="3"/>
    <cfRule type="duplicateValues" priority="104" dxfId="3"/>
    <cfRule type="duplicateValues" priority="103" dxfId="3"/>
    <cfRule type="duplicateValues" priority="102" dxfId="3"/>
    <cfRule type="duplicateValues" priority="101" dxfId="3"/>
    <cfRule type="duplicateValues" priority="100" dxfId="3"/>
    <cfRule type="duplicateValues" priority="99" dxfId="3"/>
    <cfRule type="duplicateValues" priority="98" dxfId="3"/>
    <cfRule type="duplicateValues" priority="97" dxfId="3"/>
    <cfRule type="duplicateValues" priority="96" dxfId="3"/>
    <cfRule type="duplicateValues" priority="95" dxfId="3"/>
  </conditionalFormatting>
  <conditionalFormatting sqref="A338:A621">
    <cfRule type="duplicateValues" priority="94" dxfId="3"/>
    <cfRule type="duplicateValues" priority="93" dxfId="3"/>
    <cfRule type="duplicateValues" priority="92" dxfId="3"/>
    <cfRule type="duplicateValues" priority="91" dxfId="3"/>
  </conditionalFormatting>
  <conditionalFormatting sqref="A510:A511 A508 A488:A506">
    <cfRule type="duplicateValues" priority="90" dxfId="3"/>
    <cfRule type="duplicateValues" priority="88" dxfId="3"/>
    <cfRule type="duplicateValues" priority="89" dxfId="3"/>
  </conditionalFormatting>
  <conditionalFormatting sqref="A622">
    <cfRule type="duplicateValues" priority="87" dxfId="3"/>
    <cfRule type="duplicateValues" priority="86" dxfId="3"/>
    <cfRule type="duplicateValues" priority="85" dxfId="3"/>
    <cfRule type="duplicateValues" priority="84" dxfId="3"/>
    <cfRule type="duplicateValues" priority="83" dxfId="3"/>
    <cfRule type="duplicateValues" priority="82" dxfId="3"/>
    <cfRule type="duplicateValues" priority="81" dxfId="3"/>
    <cfRule type="duplicateValues" priority="80" dxfId="3"/>
    <cfRule type="duplicateValues" priority="78" dxfId="3"/>
    <cfRule type="duplicateValues" priority="79" dxfId="3"/>
  </conditionalFormatting>
  <conditionalFormatting sqref="A338:A622">
    <cfRule type="duplicateValues" priority="77" dxfId="3"/>
    <cfRule type="duplicateValues" priority="76" dxfId="3"/>
  </conditionalFormatting>
  <conditionalFormatting sqref="A338:A630">
    <cfRule type="duplicateValues" priority="75" dxfId="3"/>
    <cfRule type="duplicateValues" priority="74" dxfId="3"/>
  </conditionalFormatting>
  <conditionalFormatting sqref="A624:A630">
    <cfRule type="duplicateValues" priority="73" dxfId="3"/>
    <cfRule type="duplicateValues" priority="71" dxfId="3"/>
    <cfRule type="duplicateValues" priority="72" dxfId="3"/>
  </conditionalFormatting>
  <conditionalFormatting sqref="A631">
    <cfRule type="duplicateValues" priority="70" dxfId="3"/>
    <cfRule type="duplicateValues" priority="69" dxfId="3"/>
    <cfRule type="duplicateValues" priority="68" dxfId="3"/>
    <cfRule type="duplicateValues" priority="66" dxfId="3"/>
    <cfRule type="duplicateValues" priority="67" dxfId="3"/>
  </conditionalFormatting>
  <conditionalFormatting sqref="A632">
    <cfRule type="duplicateValues" priority="65" dxfId="3"/>
    <cfRule type="duplicateValues" priority="64" dxfId="3"/>
    <cfRule type="duplicateValues" priority="63" dxfId="3"/>
    <cfRule type="duplicateValues" priority="61" dxfId="3"/>
    <cfRule type="duplicateValues" priority="62" dxfId="3"/>
  </conditionalFormatting>
  <conditionalFormatting sqref="A633">
    <cfRule type="duplicateValues" priority="60" dxfId="3"/>
    <cfRule type="duplicateValues" priority="59" dxfId="3"/>
    <cfRule type="duplicateValues" priority="58" dxfId="3"/>
    <cfRule type="duplicateValues" priority="56" dxfId="3"/>
    <cfRule type="duplicateValues" priority="57" dxfId="3"/>
  </conditionalFormatting>
  <conditionalFormatting sqref="A634">
    <cfRule type="duplicateValues" priority="55" dxfId="3"/>
    <cfRule type="duplicateValues" priority="54" dxfId="3"/>
    <cfRule type="duplicateValues" priority="53" dxfId="3"/>
    <cfRule type="duplicateValues" priority="51" dxfId="3"/>
    <cfRule type="duplicateValues" priority="52" dxfId="3"/>
  </conditionalFormatting>
  <conditionalFormatting sqref="A635">
    <cfRule type="duplicateValues" priority="50" dxfId="3"/>
    <cfRule type="duplicateValues" priority="49" dxfId="3"/>
    <cfRule type="duplicateValues" priority="48" dxfId="3"/>
    <cfRule type="duplicateValues" priority="46" dxfId="3"/>
    <cfRule type="duplicateValues" priority="47" dxfId="3"/>
  </conditionalFormatting>
  <conditionalFormatting sqref="A636">
    <cfRule type="duplicateValues" priority="45" dxfId="3"/>
    <cfRule type="duplicateValues" priority="44" dxfId="3"/>
    <cfRule type="duplicateValues" priority="43" dxfId="3"/>
    <cfRule type="duplicateValues" priority="41" dxfId="3"/>
    <cfRule type="duplicateValues" priority="42" dxfId="3"/>
  </conditionalFormatting>
  <conditionalFormatting sqref="A637">
    <cfRule type="duplicateValues" priority="40" dxfId="3"/>
    <cfRule type="duplicateValues" priority="39" dxfId="3"/>
    <cfRule type="duplicateValues" priority="38" dxfId="3"/>
    <cfRule type="duplicateValues" priority="36" dxfId="3"/>
    <cfRule type="duplicateValues" priority="37" dxfId="3"/>
  </conditionalFormatting>
  <conditionalFormatting sqref="A638">
    <cfRule type="duplicateValues" priority="35" dxfId="3"/>
    <cfRule type="duplicateValues" priority="34" dxfId="3"/>
    <cfRule type="duplicateValues" priority="33" dxfId="3"/>
    <cfRule type="duplicateValues" priority="31" dxfId="3"/>
    <cfRule type="duplicateValues" priority="32" dxfId="3"/>
  </conditionalFormatting>
  <conditionalFormatting sqref="A639">
    <cfRule type="duplicateValues" priority="30" dxfId="3"/>
    <cfRule type="duplicateValues" priority="29" dxfId="3"/>
    <cfRule type="duplicateValues" priority="28" dxfId="3"/>
    <cfRule type="duplicateValues" priority="26" dxfId="3"/>
    <cfRule type="duplicateValues" priority="27" dxfId="3"/>
  </conditionalFormatting>
  <conditionalFormatting sqref="A640">
    <cfRule type="duplicateValues" priority="25" dxfId="3"/>
    <cfRule type="duplicateValues" priority="24" dxfId="3"/>
    <cfRule type="duplicateValues" priority="23" dxfId="3"/>
    <cfRule type="duplicateValues" priority="21" dxfId="3"/>
    <cfRule type="duplicateValues" priority="22" dxfId="3"/>
  </conditionalFormatting>
  <conditionalFormatting sqref="A641">
    <cfRule type="duplicateValues" priority="20" dxfId="3"/>
    <cfRule type="duplicateValues" priority="19" dxfId="3"/>
    <cfRule type="duplicateValues" priority="18" dxfId="3"/>
    <cfRule type="duplicateValues" priority="16" dxfId="3"/>
    <cfRule type="duplicateValues" priority="17" dxfId="3"/>
  </conditionalFormatting>
  <conditionalFormatting sqref="A338:A641">
    <cfRule type="duplicateValues" priority="15" dxfId="3"/>
    <cfRule type="duplicateValues" priority="14" dxfId="3"/>
  </conditionalFormatting>
  <conditionalFormatting sqref="A623">
    <cfRule type="duplicateValues" priority="13" dxfId="3"/>
    <cfRule type="duplicateValues" priority="11" dxfId="3"/>
    <cfRule type="duplicateValues" priority="12" dxfId="3"/>
  </conditionalFormatting>
  <conditionalFormatting sqref="A525:A621">
    <cfRule type="duplicateValues" priority="10" dxfId="3"/>
  </conditionalFormatting>
  <conditionalFormatting sqref="A526:A621">
    <cfRule type="duplicateValues" priority="9" dxfId="3"/>
    <cfRule type="duplicateValues" priority="7" dxfId="3"/>
    <cfRule type="duplicateValues" priority="8" dxfId="3"/>
  </conditionalFormatting>
  <conditionalFormatting sqref="A512:A524">
    <cfRule type="duplicateValues" priority="6" dxfId="3"/>
    <cfRule type="duplicateValues" priority="4" dxfId="3"/>
    <cfRule type="duplicateValues" priority="5" dxfId="3"/>
  </conditionalFormatting>
  <conditionalFormatting sqref="A1:A1048576">
    <cfRule type="duplicateValues" priority="3" dxfId="3"/>
  </conditionalFormatting>
  <conditionalFormatting sqref="A324:A334">
    <cfRule type="duplicateValues" priority="419" dxfId="3"/>
    <cfRule type="duplicateValues" priority="420" dxfId="3"/>
    <cfRule type="duplicateValues" priority="421" dxfId="3"/>
    <cfRule type="duplicateValues" priority="422" dxfId="3"/>
  </conditionalFormatting>
  <conditionalFormatting sqref="B324:B334">
    <cfRule type="duplicateValues" priority="423" dxfId="3"/>
  </conditionalFormatting>
  <conditionalFormatting sqref="G8:BP8">
    <cfRule type="expression" priority="1" dxfId="1">
      <formula>G$9="CN"</formula>
    </cfRule>
    <cfRule type="expression" priority="2" dxfId="0">
      <formula>G$9=7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2021-12-25T00:55:03Z</dcterms:created>
  <dcterms:modified xmlns:dcterms="http://purl.org/dc/terms/" xmlns:xsi="http://www.w3.org/2001/XMLSchema-instance" xsi:type="dcterms:W3CDTF">2021-12-25T01:04:37Z</dcterms:modified>
  <cp:lastModifiedBy>Admin</cp:lastModifiedBy>
</cp:coreProperties>
</file>