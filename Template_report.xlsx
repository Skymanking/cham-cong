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Code\"/>
    </mc:Choice>
  </mc:AlternateContent>
  <bookViews>
    <workbookView xWindow="0" yWindow="0" windowWidth="28800" windowHeight="11685"/>
  </bookViews>
  <sheets>
    <sheet name="Sheet1" sheetId="1" r:id="rId1"/>
  </sheets>
  <externalReferences>
    <externalReference r:id="rId2"/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" i="1" l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CK668" i="1" l="1"/>
  <c r="CK667" i="1"/>
  <c r="CK666" i="1"/>
  <c r="CK665" i="1"/>
  <c r="CK664" i="1"/>
  <c r="CK663" i="1"/>
  <c r="CK662" i="1"/>
  <c r="CK661" i="1"/>
  <c r="CK660" i="1"/>
  <c r="CK659" i="1"/>
  <c r="CK658" i="1"/>
  <c r="CK657" i="1"/>
  <c r="CK656" i="1"/>
  <c r="CK655" i="1"/>
  <c r="CK654" i="1"/>
  <c r="CK653" i="1"/>
  <c r="CK652" i="1"/>
  <c r="CK651" i="1"/>
  <c r="CK650" i="1"/>
  <c r="CK649" i="1"/>
  <c r="CK648" i="1"/>
  <c r="CK647" i="1"/>
  <c r="CK646" i="1"/>
  <c r="CK645" i="1"/>
  <c r="CK644" i="1"/>
  <c r="CK643" i="1"/>
  <c r="CK642" i="1"/>
  <c r="CK641" i="1"/>
  <c r="CK640" i="1"/>
  <c r="CK639" i="1"/>
  <c r="CK638" i="1"/>
  <c r="CK637" i="1"/>
  <c r="CK636" i="1"/>
  <c r="CK635" i="1"/>
  <c r="CK634" i="1"/>
  <c r="CK633" i="1"/>
  <c r="CK632" i="1"/>
  <c r="CK631" i="1"/>
  <c r="CK630" i="1"/>
  <c r="CK629" i="1"/>
  <c r="CK628" i="1"/>
  <c r="CK627" i="1"/>
  <c r="CK626" i="1"/>
  <c r="CK625" i="1"/>
  <c r="CK624" i="1"/>
  <c r="CK623" i="1"/>
  <c r="CK622" i="1"/>
  <c r="CK621" i="1"/>
  <c r="CK620" i="1"/>
  <c r="CK619" i="1"/>
  <c r="CK618" i="1"/>
  <c r="CK617" i="1"/>
  <c r="CK616" i="1"/>
  <c r="CK615" i="1"/>
  <c r="CK614" i="1"/>
  <c r="CK613" i="1"/>
  <c r="CK612" i="1"/>
  <c r="CK611" i="1"/>
  <c r="CK610" i="1"/>
  <c r="CK609" i="1"/>
  <c r="CK608" i="1"/>
  <c r="CK607" i="1"/>
  <c r="CK606" i="1"/>
  <c r="CK605" i="1"/>
  <c r="CK604" i="1"/>
  <c r="CK603" i="1"/>
  <c r="CK602" i="1"/>
  <c r="CK601" i="1"/>
  <c r="CK600" i="1"/>
  <c r="CK599" i="1"/>
  <c r="CK598" i="1"/>
  <c r="CK597" i="1"/>
  <c r="CK596" i="1"/>
  <c r="CK595" i="1"/>
  <c r="CK594" i="1"/>
  <c r="CK593" i="1"/>
  <c r="CK592" i="1"/>
  <c r="CK591" i="1"/>
  <c r="CK590" i="1"/>
  <c r="CK589" i="1"/>
  <c r="CK588" i="1"/>
  <c r="CK587" i="1"/>
  <c r="CK586" i="1"/>
  <c r="CK585" i="1"/>
  <c r="CK584" i="1"/>
  <c r="CK583" i="1"/>
  <c r="CK582" i="1"/>
  <c r="CK581" i="1"/>
  <c r="CK580" i="1"/>
  <c r="CK579" i="1"/>
  <c r="CK578" i="1"/>
  <c r="CK577" i="1"/>
  <c r="CK576" i="1"/>
  <c r="CK575" i="1"/>
  <c r="CK574" i="1"/>
  <c r="CK573" i="1"/>
  <c r="CK572" i="1"/>
  <c r="CK571" i="1"/>
  <c r="CK570" i="1"/>
  <c r="CK569" i="1"/>
  <c r="CK568" i="1"/>
  <c r="CK567" i="1"/>
  <c r="CK566" i="1"/>
  <c r="CK565" i="1"/>
  <c r="CK564" i="1"/>
  <c r="CK563" i="1"/>
  <c r="CK562" i="1"/>
  <c r="CK561" i="1"/>
  <c r="CK560" i="1"/>
  <c r="CK559" i="1"/>
  <c r="CK558" i="1"/>
  <c r="CK557" i="1"/>
  <c r="CK556" i="1"/>
  <c r="CK555" i="1"/>
  <c r="CK554" i="1"/>
  <c r="CK553" i="1"/>
  <c r="CK552" i="1"/>
  <c r="CK551" i="1"/>
  <c r="CK550" i="1"/>
  <c r="CK549" i="1"/>
  <c r="CK548" i="1"/>
  <c r="CK547" i="1"/>
  <c r="CK546" i="1"/>
  <c r="CK545" i="1"/>
  <c r="CK544" i="1"/>
  <c r="CK543" i="1"/>
  <c r="CK542" i="1"/>
  <c r="CK541" i="1"/>
  <c r="CK540" i="1"/>
  <c r="CK539" i="1"/>
  <c r="CK538" i="1"/>
  <c r="CK537" i="1"/>
  <c r="CK536" i="1"/>
  <c r="CK535" i="1"/>
  <c r="CK534" i="1"/>
  <c r="CK533" i="1"/>
  <c r="CK532" i="1"/>
  <c r="CK531" i="1"/>
  <c r="CK530" i="1"/>
  <c r="CK529" i="1"/>
  <c r="CK528" i="1"/>
  <c r="CK527" i="1"/>
  <c r="CK526" i="1"/>
  <c r="CK525" i="1"/>
  <c r="CK524" i="1"/>
  <c r="CK523" i="1"/>
  <c r="CK522" i="1"/>
  <c r="CK521" i="1"/>
  <c r="CK520" i="1"/>
  <c r="CK519" i="1"/>
  <c r="CK518" i="1"/>
  <c r="CK517" i="1"/>
  <c r="CK516" i="1"/>
  <c r="CK515" i="1"/>
  <c r="CK514" i="1"/>
  <c r="CK513" i="1"/>
  <c r="CK512" i="1"/>
  <c r="CK511" i="1"/>
  <c r="CK510" i="1"/>
  <c r="CK509" i="1"/>
  <c r="CK508" i="1"/>
  <c r="CK507" i="1"/>
  <c r="CK506" i="1"/>
  <c r="CK505" i="1"/>
  <c r="CK504" i="1"/>
  <c r="CK503" i="1"/>
  <c r="CK502" i="1"/>
  <c r="CK501" i="1"/>
  <c r="CK500" i="1"/>
  <c r="CK499" i="1"/>
  <c r="CK498" i="1"/>
  <c r="CK497" i="1"/>
  <c r="CK496" i="1"/>
  <c r="CK495" i="1"/>
  <c r="CK494" i="1"/>
  <c r="CK493" i="1"/>
  <c r="CK492" i="1"/>
  <c r="CK491" i="1"/>
  <c r="CK490" i="1"/>
  <c r="CK489" i="1"/>
  <c r="CK488" i="1"/>
  <c r="CK487" i="1"/>
  <c r="CK486" i="1"/>
  <c r="CK485" i="1"/>
  <c r="CK484" i="1"/>
  <c r="CK483" i="1"/>
  <c r="CK482" i="1"/>
  <c r="CK481" i="1"/>
  <c r="CK480" i="1"/>
  <c r="CK479" i="1"/>
  <c r="CK478" i="1"/>
  <c r="CK477" i="1"/>
  <c r="CK476" i="1"/>
  <c r="CK475" i="1"/>
  <c r="CK474" i="1"/>
  <c r="CK473" i="1"/>
  <c r="CK472" i="1"/>
  <c r="CK471" i="1"/>
  <c r="CK470" i="1"/>
  <c r="CK469" i="1"/>
  <c r="CK468" i="1"/>
  <c r="CK467" i="1"/>
  <c r="CK466" i="1"/>
  <c r="CK465" i="1"/>
  <c r="CK464" i="1"/>
  <c r="CK463" i="1"/>
  <c r="CK462" i="1"/>
  <c r="CK461" i="1"/>
  <c r="CK460" i="1"/>
  <c r="CK459" i="1"/>
  <c r="CK458" i="1"/>
  <c r="CK457" i="1"/>
  <c r="CK456" i="1"/>
  <c r="CK455" i="1"/>
  <c r="CK454" i="1"/>
  <c r="CK453" i="1"/>
  <c r="CK452" i="1"/>
  <c r="CK451" i="1"/>
  <c r="CK450" i="1"/>
  <c r="CK449" i="1"/>
  <c r="CK448" i="1"/>
  <c r="CK447" i="1"/>
  <c r="CK446" i="1"/>
  <c r="CK445" i="1"/>
  <c r="CK444" i="1"/>
  <c r="CK443" i="1"/>
  <c r="CK442" i="1"/>
  <c r="CK441" i="1"/>
  <c r="CK440" i="1"/>
  <c r="CK439" i="1"/>
  <c r="CK438" i="1"/>
  <c r="CK437" i="1"/>
  <c r="CK436" i="1"/>
  <c r="CK435" i="1"/>
  <c r="CK434" i="1"/>
  <c r="CK433" i="1"/>
  <c r="CK432" i="1"/>
  <c r="CK431" i="1"/>
  <c r="CK430" i="1"/>
  <c r="CK429" i="1"/>
  <c r="CK428" i="1"/>
  <c r="CK427" i="1"/>
  <c r="CK426" i="1"/>
  <c r="CK425" i="1"/>
  <c r="CK424" i="1"/>
  <c r="CK423" i="1"/>
  <c r="CK422" i="1"/>
  <c r="CK421" i="1"/>
  <c r="CK420" i="1"/>
  <c r="CK419" i="1"/>
  <c r="CK418" i="1"/>
  <c r="CK417" i="1"/>
  <c r="CK416" i="1"/>
  <c r="CK415" i="1"/>
  <c r="CK414" i="1"/>
  <c r="CK413" i="1"/>
  <c r="CK412" i="1"/>
  <c r="CK411" i="1"/>
  <c r="CK410" i="1"/>
  <c r="CK409" i="1"/>
  <c r="CK408" i="1"/>
  <c r="CK407" i="1"/>
  <c r="CK406" i="1"/>
  <c r="CK405" i="1"/>
  <c r="CK404" i="1"/>
  <c r="CK403" i="1"/>
  <c r="CK402" i="1"/>
  <c r="CK401" i="1"/>
  <c r="CK400" i="1"/>
  <c r="CK399" i="1"/>
  <c r="CK398" i="1"/>
  <c r="CK397" i="1"/>
  <c r="CK396" i="1"/>
  <c r="CK395" i="1"/>
  <c r="CK394" i="1"/>
  <c r="CK393" i="1"/>
  <c r="CK392" i="1"/>
  <c r="CK391" i="1"/>
  <c r="CK390" i="1"/>
  <c r="CK389" i="1"/>
  <c r="CK388" i="1"/>
  <c r="CK387" i="1"/>
  <c r="CK386" i="1"/>
  <c r="CK385" i="1"/>
  <c r="CK384" i="1"/>
  <c r="CK383" i="1"/>
  <c r="CK382" i="1"/>
  <c r="CK381" i="1"/>
  <c r="CK380" i="1"/>
  <c r="CK379" i="1"/>
  <c r="CK378" i="1"/>
  <c r="CK377" i="1"/>
  <c r="CK376" i="1"/>
  <c r="CK375" i="1"/>
  <c r="CK374" i="1"/>
  <c r="CK373" i="1"/>
  <c r="CK372" i="1"/>
  <c r="CK371" i="1"/>
  <c r="CK370" i="1"/>
  <c r="CK369" i="1"/>
  <c r="CK368" i="1"/>
  <c r="CK367" i="1"/>
  <c r="CK366" i="1"/>
  <c r="CK365" i="1"/>
  <c r="CK364" i="1"/>
  <c r="CK363" i="1"/>
  <c r="CK362" i="1"/>
  <c r="CK361" i="1"/>
  <c r="CK360" i="1"/>
  <c r="CK359" i="1"/>
  <c r="CK358" i="1"/>
  <c r="CK357" i="1"/>
  <c r="CK356" i="1"/>
  <c r="CK355" i="1"/>
  <c r="CK354" i="1"/>
  <c r="CK353" i="1"/>
  <c r="CJ352" i="1"/>
  <c r="CK352" i="1" s="1"/>
  <c r="CJ351" i="1"/>
  <c r="CK351" i="1" s="1"/>
  <c r="CJ350" i="1"/>
  <c r="CK350" i="1" s="1"/>
  <c r="CJ349" i="1"/>
  <c r="CK349" i="1" s="1"/>
  <c r="CJ348" i="1"/>
  <c r="CK348" i="1" s="1"/>
  <c r="CJ347" i="1"/>
  <c r="CK347" i="1" s="1"/>
  <c r="CJ346" i="1"/>
  <c r="CK346" i="1" s="1"/>
  <c r="CJ345" i="1"/>
  <c r="CK345" i="1" s="1"/>
  <c r="CJ344" i="1"/>
  <c r="CK344" i="1" s="1"/>
  <c r="CJ343" i="1"/>
  <c r="CK343" i="1" s="1"/>
  <c r="CJ342" i="1"/>
  <c r="CK342" i="1" s="1"/>
  <c r="CJ341" i="1"/>
  <c r="CK341" i="1" s="1"/>
  <c r="CJ340" i="1"/>
  <c r="CK340" i="1" s="1"/>
  <c r="CJ339" i="1"/>
  <c r="CK339" i="1" s="1"/>
  <c r="BQ339" i="1"/>
  <c r="CJ338" i="1"/>
  <c r="CK338" i="1" s="1"/>
  <c r="CJ337" i="1"/>
  <c r="CK337" i="1" s="1"/>
  <c r="CJ336" i="1"/>
  <c r="CK336" i="1" s="1"/>
  <c r="CJ335" i="1"/>
  <c r="CE335" i="1"/>
  <c r="BV335" i="1"/>
  <c r="CJ334" i="1"/>
  <c r="CK334" i="1" s="1"/>
  <c r="CH334" i="1"/>
  <c r="CF334" i="1"/>
  <c r="CC334" i="1"/>
  <c r="CB334" i="1"/>
  <c r="CA334" i="1"/>
  <c r="BY334" i="1"/>
  <c r="BX334" i="1"/>
  <c r="BW334" i="1"/>
  <c r="BU334" i="1"/>
  <c r="BT334" i="1"/>
  <c r="BS334" i="1"/>
  <c r="BR334" i="1"/>
  <c r="BQ334" i="1"/>
  <c r="CJ330" i="1"/>
  <c r="CH330" i="1"/>
  <c r="CC330" i="1"/>
  <c r="CB330" i="1"/>
  <c r="CA330" i="1"/>
  <c r="BY330" i="1"/>
  <c r="BX330" i="1"/>
  <c r="BW330" i="1"/>
  <c r="BU330" i="1"/>
  <c r="BT330" i="1"/>
  <c r="BS330" i="1"/>
  <c r="BR330" i="1"/>
  <c r="BQ330" i="1"/>
  <c r="CJ329" i="1"/>
  <c r="CH329" i="1"/>
  <c r="CC329" i="1"/>
  <c r="CB329" i="1"/>
  <c r="CA329" i="1"/>
  <c r="BY329" i="1"/>
  <c r="BX329" i="1"/>
  <c r="BW329" i="1"/>
  <c r="BU329" i="1"/>
  <c r="BT329" i="1"/>
  <c r="BS329" i="1"/>
  <c r="BR329" i="1"/>
  <c r="BQ329" i="1"/>
  <c r="BZ329" i="1" s="1"/>
  <c r="CD329" i="1" s="1"/>
  <c r="CF329" i="1" s="1"/>
  <c r="CJ328" i="1"/>
  <c r="CH328" i="1"/>
  <c r="CC328" i="1"/>
  <c r="CB328" i="1"/>
  <c r="CA328" i="1"/>
  <c r="BY328" i="1"/>
  <c r="BX328" i="1"/>
  <c r="BW328" i="1"/>
  <c r="BU328" i="1"/>
  <c r="BT328" i="1"/>
  <c r="BS328" i="1"/>
  <c r="BR328" i="1"/>
  <c r="BQ328" i="1"/>
  <c r="CJ327" i="1"/>
  <c r="CH327" i="1"/>
  <c r="CC327" i="1"/>
  <c r="CB327" i="1"/>
  <c r="CA327" i="1"/>
  <c r="BY327" i="1"/>
  <c r="BX327" i="1"/>
  <c r="BW327" i="1"/>
  <c r="BU327" i="1"/>
  <c r="BT327" i="1"/>
  <c r="BS327" i="1"/>
  <c r="BR327" i="1"/>
  <c r="BQ327" i="1"/>
  <c r="CJ326" i="1"/>
  <c r="CH326" i="1"/>
  <c r="CC326" i="1"/>
  <c r="CB326" i="1"/>
  <c r="CA326" i="1"/>
  <c r="BY326" i="1"/>
  <c r="BX326" i="1"/>
  <c r="BW326" i="1"/>
  <c r="BU326" i="1"/>
  <c r="BT326" i="1"/>
  <c r="BS326" i="1"/>
  <c r="BR326" i="1"/>
  <c r="BQ326" i="1"/>
  <c r="CJ325" i="1"/>
  <c r="CH325" i="1"/>
  <c r="CC325" i="1"/>
  <c r="CB325" i="1"/>
  <c r="CA325" i="1"/>
  <c r="BY325" i="1"/>
  <c r="BX325" i="1"/>
  <c r="BW325" i="1"/>
  <c r="BU325" i="1"/>
  <c r="BT325" i="1"/>
  <c r="BS325" i="1"/>
  <c r="BR325" i="1"/>
  <c r="BQ325" i="1"/>
  <c r="CJ324" i="1"/>
  <c r="CI324" i="1"/>
  <c r="CH324" i="1"/>
  <c r="CC324" i="1"/>
  <c r="CB324" i="1"/>
  <c r="CA324" i="1"/>
  <c r="BY324" i="1"/>
  <c r="BX324" i="1"/>
  <c r="BW324" i="1"/>
  <c r="BU324" i="1"/>
  <c r="BT324" i="1"/>
  <c r="BS324" i="1"/>
  <c r="BR324" i="1"/>
  <c r="BQ324" i="1"/>
  <c r="BZ324" i="1" s="1"/>
  <c r="CD324" i="1" s="1"/>
  <c r="CF324" i="1" s="1"/>
  <c r="CJ323" i="1"/>
  <c r="CI323" i="1"/>
  <c r="CH323" i="1"/>
  <c r="CC323" i="1"/>
  <c r="CB323" i="1"/>
  <c r="CA323" i="1"/>
  <c r="BY323" i="1"/>
  <c r="BX323" i="1"/>
  <c r="BW323" i="1"/>
  <c r="BU323" i="1"/>
  <c r="BT323" i="1"/>
  <c r="BS323" i="1"/>
  <c r="BR323" i="1"/>
  <c r="BQ323" i="1"/>
  <c r="CJ322" i="1"/>
  <c r="CI322" i="1"/>
  <c r="CH322" i="1"/>
  <c r="CC322" i="1"/>
  <c r="CB322" i="1"/>
  <c r="CA322" i="1"/>
  <c r="BY322" i="1"/>
  <c r="BX322" i="1"/>
  <c r="BW322" i="1"/>
  <c r="BU322" i="1"/>
  <c r="BT322" i="1"/>
  <c r="BS322" i="1"/>
  <c r="BR322" i="1"/>
  <c r="BQ322" i="1"/>
  <c r="CJ321" i="1"/>
  <c r="CI321" i="1"/>
  <c r="CH321" i="1"/>
  <c r="CC321" i="1"/>
  <c r="CB321" i="1"/>
  <c r="CA321" i="1"/>
  <c r="BY321" i="1"/>
  <c r="BX321" i="1"/>
  <c r="BW321" i="1"/>
  <c r="BU321" i="1"/>
  <c r="BT321" i="1"/>
  <c r="BS321" i="1"/>
  <c r="BR321" i="1"/>
  <c r="BQ321" i="1"/>
  <c r="CJ320" i="1"/>
  <c r="CI320" i="1"/>
  <c r="CH320" i="1"/>
  <c r="CC320" i="1"/>
  <c r="CB320" i="1"/>
  <c r="CA320" i="1"/>
  <c r="BY320" i="1"/>
  <c r="BX320" i="1"/>
  <c r="BW320" i="1"/>
  <c r="BU320" i="1"/>
  <c r="BT320" i="1"/>
  <c r="BS320" i="1"/>
  <c r="BR320" i="1"/>
  <c r="BQ320" i="1"/>
  <c r="CJ319" i="1"/>
  <c r="CI319" i="1"/>
  <c r="CH319" i="1"/>
  <c r="CC319" i="1"/>
  <c r="CB319" i="1"/>
  <c r="CA319" i="1"/>
  <c r="BY319" i="1"/>
  <c r="BX319" i="1"/>
  <c r="BW319" i="1"/>
  <c r="BU319" i="1"/>
  <c r="BT319" i="1"/>
  <c r="BS319" i="1"/>
  <c r="BR319" i="1"/>
  <c r="BQ319" i="1"/>
  <c r="CJ318" i="1"/>
  <c r="CI318" i="1"/>
  <c r="CF318" i="1" s="1"/>
  <c r="CH318" i="1"/>
  <c r="CC318" i="1"/>
  <c r="CB318" i="1"/>
  <c r="CA318" i="1"/>
  <c r="BY318" i="1"/>
  <c r="BX318" i="1"/>
  <c r="BW318" i="1"/>
  <c r="BU318" i="1"/>
  <c r="BT318" i="1"/>
  <c r="BS318" i="1"/>
  <c r="BR318" i="1"/>
  <c r="BQ318" i="1"/>
  <c r="BZ318" i="1" s="1"/>
  <c r="CJ317" i="1"/>
  <c r="CI317" i="1"/>
  <c r="CH317" i="1"/>
  <c r="CC317" i="1"/>
  <c r="CB317" i="1"/>
  <c r="CA317" i="1"/>
  <c r="BY317" i="1"/>
  <c r="BX317" i="1"/>
  <c r="BW317" i="1"/>
  <c r="BU317" i="1"/>
  <c r="BT317" i="1"/>
  <c r="BS317" i="1"/>
  <c r="BR317" i="1"/>
  <c r="BQ317" i="1"/>
  <c r="CJ316" i="1"/>
  <c r="CI316" i="1"/>
  <c r="CH316" i="1"/>
  <c r="CC316" i="1"/>
  <c r="CB316" i="1"/>
  <c r="CA316" i="1"/>
  <c r="BY316" i="1"/>
  <c r="CG316" i="1" s="1"/>
  <c r="BX316" i="1"/>
  <c r="BW316" i="1"/>
  <c r="BU316" i="1"/>
  <c r="BT316" i="1"/>
  <c r="BS316" i="1"/>
  <c r="BR316" i="1"/>
  <c r="BQ316" i="1"/>
  <c r="CJ315" i="1"/>
  <c r="CI315" i="1"/>
  <c r="CH315" i="1"/>
  <c r="CC315" i="1"/>
  <c r="CB315" i="1"/>
  <c r="CA315" i="1"/>
  <c r="BY315" i="1"/>
  <c r="BX315" i="1"/>
  <c r="BW315" i="1"/>
  <c r="BU315" i="1"/>
  <c r="BT315" i="1"/>
  <c r="BS315" i="1"/>
  <c r="BR315" i="1"/>
  <c r="BQ315" i="1"/>
  <c r="CJ314" i="1"/>
  <c r="CI314" i="1"/>
  <c r="CH314" i="1"/>
  <c r="CC314" i="1"/>
  <c r="CB314" i="1"/>
  <c r="CA314" i="1"/>
  <c r="BY314" i="1"/>
  <c r="BX314" i="1"/>
  <c r="BW314" i="1"/>
  <c r="BU314" i="1"/>
  <c r="BT314" i="1"/>
  <c r="BS314" i="1"/>
  <c r="BR314" i="1"/>
  <c r="BQ314" i="1"/>
  <c r="CJ313" i="1"/>
  <c r="CI313" i="1"/>
  <c r="CH313" i="1"/>
  <c r="CC313" i="1"/>
  <c r="CB313" i="1"/>
  <c r="CA313" i="1"/>
  <c r="BY313" i="1"/>
  <c r="BX313" i="1"/>
  <c r="BW313" i="1"/>
  <c r="BU313" i="1"/>
  <c r="BT313" i="1"/>
  <c r="BS313" i="1"/>
  <c r="BR313" i="1"/>
  <c r="BQ313" i="1"/>
  <c r="CJ312" i="1"/>
  <c r="CI312" i="1"/>
  <c r="CH312" i="1"/>
  <c r="CC312" i="1"/>
  <c r="CB312" i="1"/>
  <c r="CA312" i="1"/>
  <c r="BY312" i="1"/>
  <c r="BX312" i="1"/>
  <c r="BW312" i="1"/>
  <c r="BU312" i="1"/>
  <c r="BT312" i="1"/>
  <c r="BS312" i="1"/>
  <c r="BR312" i="1"/>
  <c r="BQ312" i="1"/>
  <c r="CJ311" i="1"/>
  <c r="CI311" i="1"/>
  <c r="CH311" i="1"/>
  <c r="CC311" i="1"/>
  <c r="CB311" i="1"/>
  <c r="CA311" i="1"/>
  <c r="BY311" i="1"/>
  <c r="CG311" i="1" s="1"/>
  <c r="BX311" i="1"/>
  <c r="BW311" i="1"/>
  <c r="BU311" i="1"/>
  <c r="BT311" i="1"/>
  <c r="BS311" i="1"/>
  <c r="BR311" i="1"/>
  <c r="BQ311" i="1"/>
  <c r="BZ311" i="1" s="1"/>
  <c r="CD311" i="1" s="1"/>
  <c r="CF311" i="1" s="1"/>
  <c r="CJ310" i="1"/>
  <c r="CI310" i="1"/>
  <c r="CH310" i="1"/>
  <c r="CC310" i="1"/>
  <c r="CB310" i="1"/>
  <c r="CA310" i="1"/>
  <c r="BY310" i="1"/>
  <c r="BX310" i="1"/>
  <c r="BW310" i="1"/>
  <c r="BU310" i="1"/>
  <c r="BT310" i="1"/>
  <c r="BS310" i="1"/>
  <c r="BR310" i="1"/>
  <c r="BQ310" i="1"/>
  <c r="CJ309" i="1"/>
  <c r="CI309" i="1"/>
  <c r="CH309" i="1"/>
  <c r="CC309" i="1"/>
  <c r="CB309" i="1"/>
  <c r="CA309" i="1"/>
  <c r="BY309" i="1"/>
  <c r="BX309" i="1"/>
  <c r="BW309" i="1"/>
  <c r="BU309" i="1"/>
  <c r="BT309" i="1"/>
  <c r="BS309" i="1"/>
  <c r="BR309" i="1"/>
  <c r="BQ309" i="1"/>
  <c r="BZ309" i="1" s="1"/>
  <c r="CD309" i="1" s="1"/>
  <c r="CF309" i="1" s="1"/>
  <c r="CG309" i="1"/>
  <c r="CJ308" i="1"/>
  <c r="CI308" i="1"/>
  <c r="CH308" i="1"/>
  <c r="CC308" i="1"/>
  <c r="CB308" i="1"/>
  <c r="CA308" i="1"/>
  <c r="BY308" i="1"/>
  <c r="BX308" i="1"/>
  <c r="BW308" i="1"/>
  <c r="BU308" i="1"/>
  <c r="BT308" i="1"/>
  <c r="BS308" i="1"/>
  <c r="BR308" i="1"/>
  <c r="BQ308" i="1"/>
  <c r="CJ307" i="1"/>
  <c r="CI307" i="1"/>
  <c r="CH307" i="1"/>
  <c r="CC307" i="1"/>
  <c r="CB307" i="1"/>
  <c r="CA307" i="1"/>
  <c r="BY307" i="1"/>
  <c r="BX307" i="1"/>
  <c r="BW307" i="1"/>
  <c r="BU307" i="1"/>
  <c r="BT307" i="1"/>
  <c r="BS307" i="1"/>
  <c r="BR307" i="1"/>
  <c r="BQ307" i="1"/>
  <c r="CJ306" i="1"/>
  <c r="CK306" i="1" s="1"/>
  <c r="CI306" i="1"/>
  <c r="CH306" i="1"/>
  <c r="CC306" i="1"/>
  <c r="CB306" i="1"/>
  <c r="CA306" i="1"/>
  <c r="BY306" i="1"/>
  <c r="CG306" i="1" s="1"/>
  <c r="BX306" i="1"/>
  <c r="BW306" i="1"/>
  <c r="BU306" i="1"/>
  <c r="BT306" i="1"/>
  <c r="BS306" i="1"/>
  <c r="BR306" i="1"/>
  <c r="BQ306" i="1"/>
  <c r="CJ305" i="1"/>
  <c r="CI305" i="1"/>
  <c r="CH305" i="1"/>
  <c r="CC305" i="1"/>
  <c r="CB305" i="1"/>
  <c r="CA305" i="1"/>
  <c r="BY305" i="1"/>
  <c r="BX305" i="1"/>
  <c r="BW305" i="1"/>
  <c r="BU305" i="1"/>
  <c r="BT305" i="1"/>
  <c r="BS305" i="1"/>
  <c r="BR305" i="1"/>
  <c r="BQ305" i="1"/>
  <c r="CJ304" i="1"/>
  <c r="CK304" i="1" s="1"/>
  <c r="CI304" i="1"/>
  <c r="CH304" i="1"/>
  <c r="CC304" i="1"/>
  <c r="CB304" i="1"/>
  <c r="CA304" i="1"/>
  <c r="BY304" i="1"/>
  <c r="CG304" i="1" s="1"/>
  <c r="BX304" i="1"/>
  <c r="BW304" i="1"/>
  <c r="BU304" i="1"/>
  <c r="BT304" i="1"/>
  <c r="BS304" i="1"/>
  <c r="BR304" i="1"/>
  <c r="BQ304" i="1"/>
  <c r="CJ303" i="1"/>
  <c r="CI303" i="1"/>
  <c r="CH303" i="1"/>
  <c r="CC303" i="1"/>
  <c r="CB303" i="1"/>
  <c r="CA303" i="1"/>
  <c r="BY303" i="1"/>
  <c r="BX303" i="1"/>
  <c r="BW303" i="1"/>
  <c r="BU303" i="1"/>
  <c r="BT303" i="1"/>
  <c r="BS303" i="1"/>
  <c r="BR303" i="1"/>
  <c r="BQ303" i="1"/>
  <c r="CJ302" i="1"/>
  <c r="CI302" i="1"/>
  <c r="CH302" i="1"/>
  <c r="CC302" i="1"/>
  <c r="CB302" i="1"/>
  <c r="CA302" i="1"/>
  <c r="BY302" i="1"/>
  <c r="BX302" i="1"/>
  <c r="BW302" i="1"/>
  <c r="BU302" i="1"/>
  <c r="BT302" i="1"/>
  <c r="BS302" i="1"/>
  <c r="BR302" i="1"/>
  <c r="BQ302" i="1"/>
  <c r="CG302" i="1"/>
  <c r="CJ301" i="1"/>
  <c r="CI301" i="1"/>
  <c r="CH301" i="1"/>
  <c r="CC301" i="1"/>
  <c r="CB301" i="1"/>
  <c r="CA301" i="1"/>
  <c r="BY301" i="1"/>
  <c r="BX301" i="1"/>
  <c r="BW301" i="1"/>
  <c r="BU301" i="1"/>
  <c r="BT301" i="1"/>
  <c r="BS301" i="1"/>
  <c r="BR301" i="1"/>
  <c r="BQ301" i="1"/>
  <c r="CJ300" i="1"/>
  <c r="CI300" i="1"/>
  <c r="CH300" i="1"/>
  <c r="CC300" i="1"/>
  <c r="CB300" i="1"/>
  <c r="CA300" i="1"/>
  <c r="BY300" i="1"/>
  <c r="BX300" i="1"/>
  <c r="BW300" i="1"/>
  <c r="BU300" i="1"/>
  <c r="BT300" i="1"/>
  <c r="BS300" i="1"/>
  <c r="BR300" i="1"/>
  <c r="BQ300" i="1"/>
  <c r="CJ299" i="1"/>
  <c r="CI299" i="1"/>
  <c r="CH299" i="1"/>
  <c r="CC299" i="1"/>
  <c r="CB299" i="1"/>
  <c r="CA299" i="1"/>
  <c r="BY299" i="1"/>
  <c r="CG299" i="1" s="1"/>
  <c r="BX299" i="1"/>
  <c r="BW299" i="1"/>
  <c r="BU299" i="1"/>
  <c r="BT299" i="1"/>
  <c r="BS299" i="1"/>
  <c r="BR299" i="1"/>
  <c r="BQ299" i="1"/>
  <c r="CJ298" i="1"/>
  <c r="CI298" i="1"/>
  <c r="CH298" i="1"/>
  <c r="CC298" i="1"/>
  <c r="CB298" i="1"/>
  <c r="CA298" i="1"/>
  <c r="BY298" i="1"/>
  <c r="CG298" i="1" s="1"/>
  <c r="BX298" i="1"/>
  <c r="BW298" i="1"/>
  <c r="BU298" i="1"/>
  <c r="BT298" i="1"/>
  <c r="BS298" i="1"/>
  <c r="BR298" i="1"/>
  <c r="BQ298" i="1"/>
  <c r="CJ297" i="1"/>
  <c r="CI297" i="1"/>
  <c r="CH297" i="1"/>
  <c r="CC297" i="1"/>
  <c r="CB297" i="1"/>
  <c r="CA297" i="1"/>
  <c r="BY297" i="1"/>
  <c r="CG297" i="1" s="1"/>
  <c r="BX297" i="1"/>
  <c r="BW297" i="1"/>
  <c r="BU297" i="1"/>
  <c r="BT297" i="1"/>
  <c r="BS297" i="1"/>
  <c r="BR297" i="1"/>
  <c r="BQ297" i="1"/>
  <c r="CJ296" i="1"/>
  <c r="CI296" i="1"/>
  <c r="CH296" i="1"/>
  <c r="CC296" i="1"/>
  <c r="CB296" i="1"/>
  <c r="CA296" i="1"/>
  <c r="BY296" i="1"/>
  <c r="CG296" i="1" s="1"/>
  <c r="BX296" i="1"/>
  <c r="BW296" i="1"/>
  <c r="BU296" i="1"/>
  <c r="BT296" i="1"/>
  <c r="BS296" i="1"/>
  <c r="BR296" i="1"/>
  <c r="BQ296" i="1"/>
  <c r="CJ295" i="1"/>
  <c r="CI295" i="1"/>
  <c r="CH295" i="1"/>
  <c r="CC295" i="1"/>
  <c r="CB295" i="1"/>
  <c r="CA295" i="1"/>
  <c r="BY295" i="1"/>
  <c r="CG295" i="1" s="1"/>
  <c r="BX295" i="1"/>
  <c r="BW295" i="1"/>
  <c r="BU295" i="1"/>
  <c r="BT295" i="1"/>
  <c r="BS295" i="1"/>
  <c r="BR295" i="1"/>
  <c r="BQ295" i="1"/>
  <c r="CJ294" i="1"/>
  <c r="CI294" i="1"/>
  <c r="CH294" i="1"/>
  <c r="CC294" i="1"/>
  <c r="CB294" i="1"/>
  <c r="CA294" i="1"/>
  <c r="BY294" i="1"/>
  <c r="CG294" i="1" s="1"/>
  <c r="BX294" i="1"/>
  <c r="BW294" i="1"/>
  <c r="BU294" i="1"/>
  <c r="BT294" i="1"/>
  <c r="BS294" i="1"/>
  <c r="BR294" i="1"/>
  <c r="BQ294" i="1"/>
  <c r="CJ293" i="1"/>
  <c r="CI293" i="1"/>
  <c r="CF293" i="1" s="1"/>
  <c r="CH293" i="1"/>
  <c r="CC293" i="1"/>
  <c r="CB293" i="1"/>
  <c r="CA293" i="1"/>
  <c r="BY293" i="1"/>
  <c r="BX293" i="1"/>
  <c r="BW293" i="1"/>
  <c r="BU293" i="1"/>
  <c r="BT293" i="1"/>
  <c r="BS293" i="1"/>
  <c r="BR293" i="1"/>
  <c r="BQ293" i="1"/>
  <c r="CJ292" i="1"/>
  <c r="CI292" i="1"/>
  <c r="CF292" i="1" s="1"/>
  <c r="CH292" i="1"/>
  <c r="CC292" i="1"/>
  <c r="CB292" i="1"/>
  <c r="CA292" i="1"/>
  <c r="BY292" i="1"/>
  <c r="BX292" i="1"/>
  <c r="BW292" i="1"/>
  <c r="BU292" i="1"/>
  <c r="BT292" i="1"/>
  <c r="BS292" i="1"/>
  <c r="BR292" i="1"/>
  <c r="BQ292" i="1"/>
  <c r="CJ291" i="1"/>
  <c r="CI291" i="1"/>
  <c r="CH291" i="1"/>
  <c r="CC291" i="1"/>
  <c r="CB291" i="1"/>
  <c r="CA291" i="1"/>
  <c r="BY291" i="1"/>
  <c r="BX291" i="1"/>
  <c r="BW291" i="1"/>
  <c r="BU291" i="1"/>
  <c r="BT291" i="1"/>
  <c r="BS291" i="1"/>
  <c r="BR291" i="1"/>
  <c r="BQ291" i="1"/>
  <c r="CJ290" i="1"/>
  <c r="CI290" i="1"/>
  <c r="CH290" i="1"/>
  <c r="CC290" i="1"/>
  <c r="CB290" i="1"/>
  <c r="CA290" i="1"/>
  <c r="BY290" i="1"/>
  <c r="BX290" i="1"/>
  <c r="BW290" i="1"/>
  <c r="BU290" i="1"/>
  <c r="BT290" i="1"/>
  <c r="BS290" i="1"/>
  <c r="BR290" i="1"/>
  <c r="BQ290" i="1"/>
  <c r="CJ289" i="1"/>
  <c r="CI289" i="1"/>
  <c r="CH289" i="1"/>
  <c r="CC289" i="1"/>
  <c r="CB289" i="1"/>
  <c r="CA289" i="1"/>
  <c r="BY289" i="1"/>
  <c r="BX289" i="1"/>
  <c r="BW289" i="1"/>
  <c r="BU289" i="1"/>
  <c r="BT289" i="1"/>
  <c r="BS289" i="1"/>
  <c r="BR289" i="1"/>
  <c r="BQ289" i="1"/>
  <c r="CJ288" i="1"/>
  <c r="CI288" i="1"/>
  <c r="CH288" i="1"/>
  <c r="CC288" i="1"/>
  <c r="CB288" i="1"/>
  <c r="CA288" i="1"/>
  <c r="BY288" i="1"/>
  <c r="BX288" i="1"/>
  <c r="BW288" i="1"/>
  <c r="BU288" i="1"/>
  <c r="BT288" i="1"/>
  <c r="BS288" i="1"/>
  <c r="BR288" i="1"/>
  <c r="BQ288" i="1"/>
  <c r="CG288" i="1"/>
  <c r="CJ287" i="1"/>
  <c r="CI287" i="1"/>
  <c r="CH287" i="1"/>
  <c r="CC287" i="1"/>
  <c r="CB287" i="1"/>
  <c r="CA287" i="1"/>
  <c r="BY287" i="1"/>
  <c r="BX287" i="1"/>
  <c r="BW287" i="1"/>
  <c r="BU287" i="1"/>
  <c r="BT287" i="1"/>
  <c r="BS287" i="1"/>
  <c r="BR287" i="1"/>
  <c r="BQ287" i="1"/>
  <c r="CG287" i="1"/>
  <c r="CJ286" i="1"/>
  <c r="CI286" i="1"/>
  <c r="CH286" i="1"/>
  <c r="CC286" i="1"/>
  <c r="CB286" i="1"/>
  <c r="CA286" i="1"/>
  <c r="BY286" i="1"/>
  <c r="BX286" i="1"/>
  <c r="BW286" i="1"/>
  <c r="BU286" i="1"/>
  <c r="BT286" i="1"/>
  <c r="BS286" i="1"/>
  <c r="BR286" i="1"/>
  <c r="BQ286" i="1"/>
  <c r="CG286" i="1"/>
  <c r="CJ285" i="1"/>
  <c r="CK285" i="1" s="1"/>
  <c r="CI285" i="1"/>
  <c r="CH285" i="1"/>
  <c r="CC285" i="1"/>
  <c r="CB285" i="1"/>
  <c r="CA285" i="1"/>
  <c r="BY285" i="1"/>
  <c r="BX285" i="1"/>
  <c r="BW285" i="1"/>
  <c r="BU285" i="1"/>
  <c r="BT285" i="1"/>
  <c r="BS285" i="1"/>
  <c r="BR285" i="1"/>
  <c r="BQ285" i="1"/>
  <c r="CG285" i="1"/>
  <c r="CJ284" i="1"/>
  <c r="CI284" i="1"/>
  <c r="CH284" i="1"/>
  <c r="CC284" i="1"/>
  <c r="CB284" i="1"/>
  <c r="CA284" i="1"/>
  <c r="BY284" i="1"/>
  <c r="BX284" i="1"/>
  <c r="BW284" i="1"/>
  <c r="BU284" i="1"/>
  <c r="BT284" i="1"/>
  <c r="BS284" i="1"/>
  <c r="BR284" i="1"/>
  <c r="BQ284" i="1"/>
  <c r="CG284" i="1"/>
  <c r="CJ283" i="1"/>
  <c r="CI283" i="1"/>
  <c r="CH283" i="1"/>
  <c r="CC283" i="1"/>
  <c r="CB283" i="1"/>
  <c r="CA283" i="1"/>
  <c r="BY283" i="1"/>
  <c r="BX283" i="1"/>
  <c r="BW283" i="1"/>
  <c r="BU283" i="1"/>
  <c r="BT283" i="1"/>
  <c r="BS283" i="1"/>
  <c r="BR283" i="1"/>
  <c r="BQ283" i="1"/>
  <c r="CG283" i="1"/>
  <c r="CJ282" i="1"/>
  <c r="CI282" i="1"/>
  <c r="CH282" i="1"/>
  <c r="CC282" i="1"/>
  <c r="CB282" i="1"/>
  <c r="CA282" i="1"/>
  <c r="BY282" i="1"/>
  <c r="BX282" i="1"/>
  <c r="BW282" i="1"/>
  <c r="BU282" i="1"/>
  <c r="BT282" i="1"/>
  <c r="BS282" i="1"/>
  <c r="BR282" i="1"/>
  <c r="BQ282" i="1"/>
  <c r="CG282" i="1"/>
  <c r="CJ281" i="1"/>
  <c r="CI281" i="1"/>
  <c r="CH281" i="1"/>
  <c r="CC281" i="1"/>
  <c r="CB281" i="1"/>
  <c r="CA281" i="1"/>
  <c r="BY281" i="1"/>
  <c r="BX281" i="1"/>
  <c r="BW281" i="1"/>
  <c r="BU281" i="1"/>
  <c r="BT281" i="1"/>
  <c r="BS281" i="1"/>
  <c r="BR281" i="1"/>
  <c r="BQ281" i="1"/>
  <c r="CG281" i="1"/>
  <c r="CJ280" i="1"/>
  <c r="CI280" i="1"/>
  <c r="CH280" i="1"/>
  <c r="CC280" i="1"/>
  <c r="CB280" i="1"/>
  <c r="CA280" i="1"/>
  <c r="BY280" i="1"/>
  <c r="BX280" i="1"/>
  <c r="BW280" i="1"/>
  <c r="BU280" i="1"/>
  <c r="BT280" i="1"/>
  <c r="BS280" i="1"/>
  <c r="BR280" i="1"/>
  <c r="BQ280" i="1"/>
  <c r="CG280" i="1"/>
  <c r="CJ279" i="1"/>
  <c r="CI279" i="1"/>
  <c r="CH279" i="1"/>
  <c r="CC279" i="1"/>
  <c r="CB279" i="1"/>
  <c r="CA279" i="1"/>
  <c r="BY279" i="1"/>
  <c r="BX279" i="1"/>
  <c r="BW279" i="1"/>
  <c r="BU279" i="1"/>
  <c r="BT279" i="1"/>
  <c r="BS279" i="1"/>
  <c r="BR279" i="1"/>
  <c r="BQ279" i="1"/>
  <c r="CG279" i="1"/>
  <c r="CJ278" i="1"/>
  <c r="CI278" i="1"/>
  <c r="CH278" i="1"/>
  <c r="CC278" i="1"/>
  <c r="CB278" i="1"/>
  <c r="CA278" i="1"/>
  <c r="BY278" i="1"/>
  <c r="BX278" i="1"/>
  <c r="BW278" i="1"/>
  <c r="BU278" i="1"/>
  <c r="BT278" i="1"/>
  <c r="BS278" i="1"/>
  <c r="BR278" i="1"/>
  <c r="BQ278" i="1"/>
  <c r="CG278" i="1"/>
  <c r="CJ277" i="1"/>
  <c r="CI277" i="1"/>
  <c r="CH277" i="1"/>
  <c r="CC277" i="1"/>
  <c r="CB277" i="1"/>
  <c r="CA277" i="1"/>
  <c r="BY277" i="1"/>
  <c r="BX277" i="1"/>
  <c r="BW277" i="1"/>
  <c r="BU277" i="1"/>
  <c r="BT277" i="1"/>
  <c r="BS277" i="1"/>
  <c r="BR277" i="1"/>
  <c r="BQ277" i="1"/>
  <c r="CG277" i="1"/>
  <c r="CJ276" i="1"/>
  <c r="CI276" i="1"/>
  <c r="CH276" i="1"/>
  <c r="CC276" i="1"/>
  <c r="CB276" i="1"/>
  <c r="CA276" i="1"/>
  <c r="BY276" i="1"/>
  <c r="BX276" i="1"/>
  <c r="BW276" i="1"/>
  <c r="BU276" i="1"/>
  <c r="BT276" i="1"/>
  <c r="BS276" i="1"/>
  <c r="BR276" i="1"/>
  <c r="BQ276" i="1"/>
  <c r="CG276" i="1"/>
  <c r="CJ275" i="1"/>
  <c r="CI275" i="1"/>
  <c r="CH275" i="1"/>
  <c r="CC275" i="1"/>
  <c r="CB275" i="1"/>
  <c r="CA275" i="1"/>
  <c r="BY275" i="1"/>
  <c r="BX275" i="1"/>
  <c r="BW275" i="1"/>
  <c r="BU275" i="1"/>
  <c r="BT275" i="1"/>
  <c r="BS275" i="1"/>
  <c r="BR275" i="1"/>
  <c r="BQ275" i="1"/>
  <c r="BZ275" i="1" s="1"/>
  <c r="CD275" i="1" s="1"/>
  <c r="CF275" i="1" s="1"/>
  <c r="CG275" i="1"/>
  <c r="CJ274" i="1"/>
  <c r="CI274" i="1"/>
  <c r="CH274" i="1"/>
  <c r="CC274" i="1"/>
  <c r="CB274" i="1"/>
  <c r="CA274" i="1"/>
  <c r="BY274" i="1"/>
  <c r="BX274" i="1"/>
  <c r="BW274" i="1"/>
  <c r="BU274" i="1"/>
  <c r="BT274" i="1"/>
  <c r="BS274" i="1"/>
  <c r="BR274" i="1"/>
  <c r="BQ274" i="1"/>
  <c r="CG274" i="1"/>
  <c r="CJ273" i="1"/>
  <c r="CI273" i="1"/>
  <c r="CH273" i="1"/>
  <c r="CC273" i="1"/>
  <c r="CB273" i="1"/>
  <c r="CA273" i="1"/>
  <c r="BY273" i="1"/>
  <c r="BX273" i="1"/>
  <c r="BW273" i="1"/>
  <c r="BU273" i="1"/>
  <c r="BT273" i="1"/>
  <c r="BS273" i="1"/>
  <c r="BR273" i="1"/>
  <c r="BQ273" i="1"/>
  <c r="CG273" i="1"/>
  <c r="CJ272" i="1"/>
  <c r="CI272" i="1"/>
  <c r="CH272" i="1"/>
  <c r="CC272" i="1"/>
  <c r="CB272" i="1"/>
  <c r="CA272" i="1"/>
  <c r="BY272" i="1"/>
  <c r="BX272" i="1"/>
  <c r="BW272" i="1"/>
  <c r="BU272" i="1"/>
  <c r="BT272" i="1"/>
  <c r="BS272" i="1"/>
  <c r="BR272" i="1"/>
  <c r="BQ272" i="1"/>
  <c r="CG272" i="1"/>
  <c r="CJ271" i="1"/>
  <c r="CI271" i="1"/>
  <c r="CH271" i="1"/>
  <c r="CC271" i="1"/>
  <c r="CB271" i="1"/>
  <c r="CA271" i="1"/>
  <c r="BY271" i="1"/>
  <c r="BX271" i="1"/>
  <c r="BW271" i="1"/>
  <c r="BU271" i="1"/>
  <c r="BT271" i="1"/>
  <c r="BS271" i="1"/>
  <c r="BR271" i="1"/>
  <c r="BQ271" i="1"/>
  <c r="BZ271" i="1" s="1"/>
  <c r="CD271" i="1" s="1"/>
  <c r="CF271" i="1" s="1"/>
  <c r="CG271" i="1"/>
  <c r="CJ270" i="1"/>
  <c r="CI270" i="1"/>
  <c r="CH270" i="1"/>
  <c r="CC270" i="1"/>
  <c r="CB270" i="1"/>
  <c r="CA270" i="1"/>
  <c r="BY270" i="1"/>
  <c r="BX270" i="1"/>
  <c r="BW270" i="1"/>
  <c r="BU270" i="1"/>
  <c r="BT270" i="1"/>
  <c r="BS270" i="1"/>
  <c r="BR270" i="1"/>
  <c r="BQ270" i="1"/>
  <c r="CG270" i="1"/>
  <c r="CJ269" i="1"/>
  <c r="CI269" i="1"/>
  <c r="CH269" i="1"/>
  <c r="CC269" i="1"/>
  <c r="CB269" i="1"/>
  <c r="CA269" i="1"/>
  <c r="BY269" i="1"/>
  <c r="BX269" i="1"/>
  <c r="BW269" i="1"/>
  <c r="BU269" i="1"/>
  <c r="BT269" i="1"/>
  <c r="BS269" i="1"/>
  <c r="BR269" i="1"/>
  <c r="BQ269" i="1"/>
  <c r="CG269" i="1"/>
  <c r="CJ268" i="1"/>
  <c r="CI268" i="1"/>
  <c r="CH268" i="1"/>
  <c r="CC268" i="1"/>
  <c r="CB268" i="1"/>
  <c r="CA268" i="1"/>
  <c r="BY268" i="1"/>
  <c r="BX268" i="1"/>
  <c r="BW268" i="1"/>
  <c r="BU268" i="1"/>
  <c r="BT268" i="1"/>
  <c r="BS268" i="1"/>
  <c r="BR268" i="1"/>
  <c r="BQ268" i="1"/>
  <c r="CG268" i="1"/>
  <c r="CJ267" i="1"/>
  <c r="CI267" i="1"/>
  <c r="CH267" i="1"/>
  <c r="CC267" i="1"/>
  <c r="CB267" i="1"/>
  <c r="CA267" i="1"/>
  <c r="BY267" i="1"/>
  <c r="BX267" i="1"/>
  <c r="BW267" i="1"/>
  <c r="BU267" i="1"/>
  <c r="BT267" i="1"/>
  <c r="BS267" i="1"/>
  <c r="BR267" i="1"/>
  <c r="BQ267" i="1"/>
  <c r="CG267" i="1"/>
  <c r="CJ266" i="1"/>
  <c r="CI266" i="1"/>
  <c r="CH266" i="1"/>
  <c r="CC266" i="1"/>
  <c r="CB266" i="1"/>
  <c r="CA266" i="1"/>
  <c r="BY266" i="1"/>
  <c r="BX266" i="1"/>
  <c r="BW266" i="1"/>
  <c r="BU266" i="1"/>
  <c r="BT266" i="1"/>
  <c r="BS266" i="1"/>
  <c r="BR266" i="1"/>
  <c r="BQ266" i="1"/>
  <c r="CG266" i="1"/>
  <c r="CJ265" i="1"/>
  <c r="CI265" i="1"/>
  <c r="CH265" i="1"/>
  <c r="CC265" i="1"/>
  <c r="CB265" i="1"/>
  <c r="CA265" i="1"/>
  <c r="BY265" i="1"/>
  <c r="BX265" i="1"/>
  <c r="BW265" i="1"/>
  <c r="BU265" i="1"/>
  <c r="BT265" i="1"/>
  <c r="BS265" i="1"/>
  <c r="BR265" i="1"/>
  <c r="BQ265" i="1"/>
  <c r="CG265" i="1"/>
  <c r="CJ264" i="1"/>
  <c r="CI264" i="1"/>
  <c r="CH264" i="1"/>
  <c r="CC264" i="1"/>
  <c r="CB264" i="1"/>
  <c r="CA264" i="1"/>
  <c r="BY264" i="1"/>
  <c r="BX264" i="1"/>
  <c r="BW264" i="1"/>
  <c r="BU264" i="1"/>
  <c r="BT264" i="1"/>
  <c r="BS264" i="1"/>
  <c r="BR264" i="1"/>
  <c r="BQ264" i="1"/>
  <c r="CG264" i="1"/>
  <c r="CJ263" i="1"/>
  <c r="CI263" i="1"/>
  <c r="CH263" i="1"/>
  <c r="CC263" i="1"/>
  <c r="CB263" i="1"/>
  <c r="CA263" i="1"/>
  <c r="BY263" i="1"/>
  <c r="CG263" i="1" s="1"/>
  <c r="BX263" i="1"/>
  <c r="BW263" i="1"/>
  <c r="BU263" i="1"/>
  <c r="BT263" i="1"/>
  <c r="BS263" i="1"/>
  <c r="BR263" i="1"/>
  <c r="BQ263" i="1"/>
  <c r="CJ262" i="1"/>
  <c r="CK262" i="1" s="1"/>
  <c r="CI262" i="1"/>
  <c r="CH262" i="1"/>
  <c r="CC262" i="1"/>
  <c r="CB262" i="1"/>
  <c r="CA262" i="1"/>
  <c r="BY262" i="1"/>
  <c r="CG262" i="1" s="1"/>
  <c r="BX262" i="1"/>
  <c r="BW262" i="1"/>
  <c r="BU262" i="1"/>
  <c r="BT262" i="1"/>
  <c r="BS262" i="1"/>
  <c r="BR262" i="1"/>
  <c r="BQ262" i="1"/>
  <c r="CJ261" i="1"/>
  <c r="CI261" i="1"/>
  <c r="CH261" i="1"/>
  <c r="CC261" i="1"/>
  <c r="CB261" i="1"/>
  <c r="CA261" i="1"/>
  <c r="BY261" i="1"/>
  <c r="CG261" i="1" s="1"/>
  <c r="BX261" i="1"/>
  <c r="BW261" i="1"/>
  <c r="BU261" i="1"/>
  <c r="BT261" i="1"/>
  <c r="BS261" i="1"/>
  <c r="BR261" i="1"/>
  <c r="BQ261" i="1"/>
  <c r="CJ260" i="1"/>
  <c r="CK260" i="1" s="1"/>
  <c r="CI260" i="1"/>
  <c r="CH260" i="1"/>
  <c r="CC260" i="1"/>
  <c r="CB260" i="1"/>
  <c r="CA260" i="1"/>
  <c r="BY260" i="1"/>
  <c r="CG260" i="1" s="1"/>
  <c r="BX260" i="1"/>
  <c r="BW260" i="1"/>
  <c r="BU260" i="1"/>
  <c r="BT260" i="1"/>
  <c r="BS260" i="1"/>
  <c r="BR260" i="1"/>
  <c r="BQ260" i="1"/>
  <c r="CJ259" i="1"/>
  <c r="CI259" i="1"/>
  <c r="CH259" i="1"/>
  <c r="CC259" i="1"/>
  <c r="CB259" i="1"/>
  <c r="CA259" i="1"/>
  <c r="BY259" i="1"/>
  <c r="BX259" i="1"/>
  <c r="BW259" i="1"/>
  <c r="BU259" i="1"/>
  <c r="BT259" i="1"/>
  <c r="BS259" i="1"/>
  <c r="BR259" i="1"/>
  <c r="BQ259" i="1"/>
  <c r="CG259" i="1"/>
  <c r="CJ258" i="1"/>
  <c r="CK258" i="1" s="1"/>
  <c r="CI258" i="1"/>
  <c r="CH258" i="1"/>
  <c r="CC258" i="1"/>
  <c r="CB258" i="1"/>
  <c r="CA258" i="1"/>
  <c r="BY258" i="1"/>
  <c r="BX258" i="1"/>
  <c r="BW258" i="1"/>
  <c r="BU258" i="1"/>
  <c r="BT258" i="1"/>
  <c r="BS258" i="1"/>
  <c r="BR258" i="1"/>
  <c r="BQ258" i="1"/>
  <c r="CG258" i="1"/>
  <c r="CJ257" i="1"/>
  <c r="CI257" i="1"/>
  <c r="CH257" i="1"/>
  <c r="CC257" i="1"/>
  <c r="CB257" i="1"/>
  <c r="CA257" i="1"/>
  <c r="BY257" i="1"/>
  <c r="BX257" i="1"/>
  <c r="BW257" i="1"/>
  <c r="BU257" i="1"/>
  <c r="BT257" i="1"/>
  <c r="BS257" i="1"/>
  <c r="BR257" i="1"/>
  <c r="BQ257" i="1"/>
  <c r="CG257" i="1"/>
  <c r="CJ256" i="1"/>
  <c r="CI256" i="1"/>
  <c r="CF256" i="1" s="1"/>
  <c r="CH256" i="1"/>
  <c r="CC256" i="1"/>
  <c r="CB256" i="1"/>
  <c r="CA256" i="1"/>
  <c r="BY256" i="1"/>
  <c r="BX256" i="1"/>
  <c r="BW256" i="1"/>
  <c r="BU256" i="1"/>
  <c r="BT256" i="1"/>
  <c r="BS256" i="1"/>
  <c r="BR256" i="1"/>
  <c r="BQ256" i="1"/>
  <c r="BZ256" i="1" s="1"/>
  <c r="CG256" i="1"/>
  <c r="CJ255" i="1"/>
  <c r="CI255" i="1"/>
  <c r="CH255" i="1"/>
  <c r="CC255" i="1"/>
  <c r="CB255" i="1"/>
  <c r="CA255" i="1"/>
  <c r="BY255" i="1"/>
  <c r="BX255" i="1"/>
  <c r="BW255" i="1"/>
  <c r="BU255" i="1"/>
  <c r="BT255" i="1"/>
  <c r="BS255" i="1"/>
  <c r="BR255" i="1"/>
  <c r="BQ255" i="1"/>
  <c r="CG255" i="1"/>
  <c r="CJ254" i="1"/>
  <c r="CK254" i="1" s="1"/>
  <c r="CI254" i="1"/>
  <c r="CH254" i="1"/>
  <c r="CC254" i="1"/>
  <c r="CB254" i="1"/>
  <c r="CA254" i="1"/>
  <c r="BY254" i="1"/>
  <c r="BX254" i="1"/>
  <c r="BW254" i="1"/>
  <c r="BU254" i="1"/>
  <c r="BT254" i="1"/>
  <c r="BS254" i="1"/>
  <c r="BR254" i="1"/>
  <c r="BQ254" i="1"/>
  <c r="CG254" i="1"/>
  <c r="CJ253" i="1"/>
  <c r="CI253" i="1"/>
  <c r="CH253" i="1"/>
  <c r="CC253" i="1"/>
  <c r="CB253" i="1"/>
  <c r="CA253" i="1"/>
  <c r="BY253" i="1"/>
  <c r="BX253" i="1"/>
  <c r="BW253" i="1"/>
  <c r="BU253" i="1"/>
  <c r="BT253" i="1"/>
  <c r="BS253" i="1"/>
  <c r="BR253" i="1"/>
  <c r="BQ253" i="1"/>
  <c r="CG253" i="1"/>
  <c r="CJ252" i="1"/>
  <c r="CI252" i="1"/>
  <c r="CH252" i="1"/>
  <c r="CC252" i="1"/>
  <c r="CB252" i="1"/>
  <c r="CA252" i="1"/>
  <c r="BY252" i="1"/>
  <c r="BX252" i="1"/>
  <c r="BW252" i="1"/>
  <c r="BU252" i="1"/>
  <c r="BT252" i="1"/>
  <c r="BS252" i="1"/>
  <c r="BR252" i="1"/>
  <c r="BQ252" i="1"/>
  <c r="CG252" i="1"/>
  <c r="CJ251" i="1"/>
  <c r="CI251" i="1"/>
  <c r="CH251" i="1"/>
  <c r="CC251" i="1"/>
  <c r="CB251" i="1"/>
  <c r="CA251" i="1"/>
  <c r="BY251" i="1"/>
  <c r="BX251" i="1"/>
  <c r="BW251" i="1"/>
  <c r="BU251" i="1"/>
  <c r="BT251" i="1"/>
  <c r="BS251" i="1"/>
  <c r="BR251" i="1"/>
  <c r="BQ251" i="1"/>
  <c r="CG251" i="1"/>
  <c r="CJ250" i="1"/>
  <c r="CI250" i="1"/>
  <c r="CH250" i="1"/>
  <c r="CC250" i="1"/>
  <c r="CB250" i="1"/>
  <c r="CA250" i="1"/>
  <c r="BY250" i="1"/>
  <c r="BX250" i="1"/>
  <c r="BW250" i="1"/>
  <c r="BU250" i="1"/>
  <c r="BT250" i="1"/>
  <c r="BS250" i="1"/>
  <c r="BR250" i="1"/>
  <c r="BQ250" i="1"/>
  <c r="CG250" i="1"/>
  <c r="CJ249" i="1"/>
  <c r="CI249" i="1"/>
  <c r="CH249" i="1"/>
  <c r="CC249" i="1"/>
  <c r="CB249" i="1"/>
  <c r="CA249" i="1"/>
  <c r="BY249" i="1"/>
  <c r="BX249" i="1"/>
  <c r="BW249" i="1"/>
  <c r="BU249" i="1"/>
  <c r="BT249" i="1"/>
  <c r="BS249" i="1"/>
  <c r="BR249" i="1"/>
  <c r="BQ249" i="1"/>
  <c r="CG249" i="1"/>
  <c r="CJ248" i="1"/>
  <c r="CI248" i="1"/>
  <c r="CH248" i="1"/>
  <c r="CC248" i="1"/>
  <c r="CB248" i="1"/>
  <c r="CA248" i="1"/>
  <c r="BY248" i="1"/>
  <c r="BX248" i="1"/>
  <c r="BW248" i="1"/>
  <c r="BU248" i="1"/>
  <c r="BT248" i="1"/>
  <c r="BS248" i="1"/>
  <c r="BR248" i="1"/>
  <c r="BQ248" i="1"/>
  <c r="CG248" i="1"/>
  <c r="CJ247" i="1"/>
  <c r="CI247" i="1"/>
  <c r="CH247" i="1"/>
  <c r="CC247" i="1"/>
  <c r="CB247" i="1"/>
  <c r="CA247" i="1"/>
  <c r="BY247" i="1"/>
  <c r="BX247" i="1"/>
  <c r="BW247" i="1"/>
  <c r="BU247" i="1"/>
  <c r="BT247" i="1"/>
  <c r="BS247" i="1"/>
  <c r="BR247" i="1"/>
  <c r="BQ247" i="1"/>
  <c r="CG247" i="1"/>
  <c r="CJ246" i="1"/>
  <c r="CI246" i="1"/>
  <c r="CH246" i="1"/>
  <c r="CC246" i="1"/>
  <c r="CB246" i="1"/>
  <c r="CA246" i="1"/>
  <c r="BY246" i="1"/>
  <c r="BX246" i="1"/>
  <c r="BW246" i="1"/>
  <c r="BU246" i="1"/>
  <c r="BT246" i="1"/>
  <c r="BS246" i="1"/>
  <c r="BR246" i="1"/>
  <c r="BQ246" i="1"/>
  <c r="CG246" i="1"/>
  <c r="CJ245" i="1"/>
  <c r="CI245" i="1"/>
  <c r="CH245" i="1"/>
  <c r="CC245" i="1"/>
  <c r="CB245" i="1"/>
  <c r="CA245" i="1"/>
  <c r="BY245" i="1"/>
  <c r="BX245" i="1"/>
  <c r="BW245" i="1"/>
  <c r="BU245" i="1"/>
  <c r="BT245" i="1"/>
  <c r="BS245" i="1"/>
  <c r="BR245" i="1"/>
  <c r="BQ245" i="1"/>
  <c r="CG245" i="1"/>
  <c r="CJ244" i="1"/>
  <c r="CI244" i="1"/>
  <c r="CH244" i="1"/>
  <c r="CC244" i="1"/>
  <c r="CB244" i="1"/>
  <c r="CA244" i="1"/>
  <c r="BY244" i="1"/>
  <c r="BX244" i="1"/>
  <c r="BW244" i="1"/>
  <c r="BU244" i="1"/>
  <c r="BT244" i="1"/>
  <c r="BS244" i="1"/>
  <c r="BR244" i="1"/>
  <c r="BQ244" i="1"/>
  <c r="CG244" i="1"/>
  <c r="CJ243" i="1"/>
  <c r="CI243" i="1"/>
  <c r="CH243" i="1"/>
  <c r="CC243" i="1"/>
  <c r="CB243" i="1"/>
  <c r="CA243" i="1"/>
  <c r="BY243" i="1"/>
  <c r="BX243" i="1"/>
  <c r="BW243" i="1"/>
  <c r="BU243" i="1"/>
  <c r="BT243" i="1"/>
  <c r="BS243" i="1"/>
  <c r="BR243" i="1"/>
  <c r="BQ243" i="1"/>
  <c r="CG243" i="1"/>
  <c r="CJ242" i="1"/>
  <c r="CI242" i="1"/>
  <c r="CH242" i="1"/>
  <c r="CC242" i="1"/>
  <c r="CB242" i="1"/>
  <c r="CA242" i="1"/>
  <c r="BY242" i="1"/>
  <c r="BX242" i="1"/>
  <c r="BW242" i="1"/>
  <c r="BU242" i="1"/>
  <c r="BT242" i="1"/>
  <c r="BS242" i="1"/>
  <c r="BR242" i="1"/>
  <c r="BQ242" i="1"/>
  <c r="CG242" i="1"/>
  <c r="CJ241" i="1"/>
  <c r="CI241" i="1"/>
  <c r="CH241" i="1"/>
  <c r="CC241" i="1"/>
  <c r="CB241" i="1"/>
  <c r="CA241" i="1"/>
  <c r="BY241" i="1"/>
  <c r="BX241" i="1"/>
  <c r="BW241" i="1"/>
  <c r="BU241" i="1"/>
  <c r="BT241" i="1"/>
  <c r="BS241" i="1"/>
  <c r="BR241" i="1"/>
  <c r="BQ241" i="1"/>
  <c r="CG241" i="1"/>
  <c r="CJ240" i="1"/>
  <c r="CI240" i="1"/>
  <c r="CH240" i="1"/>
  <c r="CC240" i="1"/>
  <c r="CB240" i="1"/>
  <c r="CA240" i="1"/>
  <c r="BY240" i="1"/>
  <c r="BX240" i="1"/>
  <c r="BW240" i="1"/>
  <c r="BU240" i="1"/>
  <c r="BT240" i="1"/>
  <c r="BS240" i="1"/>
  <c r="BR240" i="1"/>
  <c r="BQ240" i="1"/>
  <c r="CG240" i="1"/>
  <c r="CJ239" i="1"/>
  <c r="CI239" i="1"/>
  <c r="CH239" i="1"/>
  <c r="CC239" i="1"/>
  <c r="CB239" i="1"/>
  <c r="CA239" i="1"/>
  <c r="BY239" i="1"/>
  <c r="BX239" i="1"/>
  <c r="BW239" i="1"/>
  <c r="BU239" i="1"/>
  <c r="BT239" i="1"/>
  <c r="BS239" i="1"/>
  <c r="BR239" i="1"/>
  <c r="BQ239" i="1"/>
  <c r="CG239" i="1"/>
  <c r="CJ238" i="1"/>
  <c r="CI238" i="1"/>
  <c r="CH238" i="1"/>
  <c r="CC238" i="1"/>
  <c r="CB238" i="1"/>
  <c r="CA238" i="1"/>
  <c r="BY238" i="1"/>
  <c r="BX238" i="1"/>
  <c r="BW238" i="1"/>
  <c r="BU238" i="1"/>
  <c r="BT238" i="1"/>
  <c r="BS238" i="1"/>
  <c r="BR238" i="1"/>
  <c r="BQ238" i="1"/>
  <c r="CG238" i="1"/>
  <c r="CJ237" i="1"/>
  <c r="CI237" i="1"/>
  <c r="CF237" i="1" s="1"/>
  <c r="CH237" i="1"/>
  <c r="CC237" i="1"/>
  <c r="CB237" i="1"/>
  <c r="CA237" i="1"/>
  <c r="BY237" i="1"/>
  <c r="BX237" i="1"/>
  <c r="BW237" i="1"/>
  <c r="BU237" i="1"/>
  <c r="BT237" i="1"/>
  <c r="BS237" i="1"/>
  <c r="BR237" i="1"/>
  <c r="BQ237" i="1"/>
  <c r="BZ237" i="1" s="1"/>
  <c r="CG237" i="1"/>
  <c r="CJ236" i="1"/>
  <c r="CI236" i="1"/>
  <c r="CF236" i="1" s="1"/>
  <c r="CH236" i="1"/>
  <c r="CC236" i="1"/>
  <c r="CB236" i="1"/>
  <c r="CA236" i="1"/>
  <c r="BY236" i="1"/>
  <c r="BX236" i="1"/>
  <c r="BW236" i="1"/>
  <c r="BU236" i="1"/>
  <c r="BT236" i="1"/>
  <c r="BS236" i="1"/>
  <c r="BR236" i="1"/>
  <c r="BQ236" i="1"/>
  <c r="CG236" i="1"/>
  <c r="CJ235" i="1"/>
  <c r="CI235" i="1"/>
  <c r="CH235" i="1"/>
  <c r="CC235" i="1"/>
  <c r="CB235" i="1"/>
  <c r="CA235" i="1"/>
  <c r="BY235" i="1"/>
  <c r="BX235" i="1"/>
  <c r="BW235" i="1"/>
  <c r="BU235" i="1"/>
  <c r="BT235" i="1"/>
  <c r="BS235" i="1"/>
  <c r="BR235" i="1"/>
  <c r="BQ235" i="1"/>
  <c r="CG235" i="1"/>
  <c r="CJ234" i="1"/>
  <c r="CK234" i="1" s="1"/>
  <c r="CI234" i="1"/>
  <c r="CH234" i="1"/>
  <c r="CC234" i="1"/>
  <c r="CB234" i="1"/>
  <c r="CA234" i="1"/>
  <c r="BY234" i="1"/>
  <c r="BX234" i="1"/>
  <c r="BW234" i="1"/>
  <c r="BU234" i="1"/>
  <c r="BT234" i="1"/>
  <c r="BS234" i="1"/>
  <c r="BR234" i="1"/>
  <c r="BQ234" i="1"/>
  <c r="CG234" i="1"/>
  <c r="CJ233" i="1"/>
  <c r="CI233" i="1"/>
  <c r="CH233" i="1"/>
  <c r="CC233" i="1"/>
  <c r="CB233" i="1"/>
  <c r="CA233" i="1"/>
  <c r="BY233" i="1"/>
  <c r="BX233" i="1"/>
  <c r="BW233" i="1"/>
  <c r="BU233" i="1"/>
  <c r="BT233" i="1"/>
  <c r="BS233" i="1"/>
  <c r="BR233" i="1"/>
  <c r="BQ233" i="1"/>
  <c r="CG233" i="1"/>
  <c r="CJ232" i="1"/>
  <c r="CI232" i="1"/>
  <c r="CH232" i="1"/>
  <c r="CC232" i="1"/>
  <c r="CB232" i="1"/>
  <c r="CA232" i="1"/>
  <c r="BY232" i="1"/>
  <c r="BX232" i="1"/>
  <c r="BW232" i="1"/>
  <c r="BU232" i="1"/>
  <c r="BT232" i="1"/>
  <c r="BS232" i="1"/>
  <c r="BR232" i="1"/>
  <c r="BQ232" i="1"/>
  <c r="CG232" i="1"/>
  <c r="CJ231" i="1"/>
  <c r="CI231" i="1"/>
  <c r="CH231" i="1"/>
  <c r="CC231" i="1"/>
  <c r="CB231" i="1"/>
  <c r="CA231" i="1"/>
  <c r="BY231" i="1"/>
  <c r="BX231" i="1"/>
  <c r="BW231" i="1"/>
  <c r="BU231" i="1"/>
  <c r="BT231" i="1"/>
  <c r="BS231" i="1"/>
  <c r="BR231" i="1"/>
  <c r="BQ231" i="1"/>
  <c r="CG231" i="1"/>
  <c r="CJ230" i="1"/>
  <c r="CK230" i="1" s="1"/>
  <c r="CI230" i="1"/>
  <c r="CH230" i="1"/>
  <c r="CC230" i="1"/>
  <c r="CB230" i="1"/>
  <c r="CA230" i="1"/>
  <c r="BY230" i="1"/>
  <c r="BX230" i="1"/>
  <c r="BW230" i="1"/>
  <c r="BU230" i="1"/>
  <c r="BT230" i="1"/>
  <c r="BS230" i="1"/>
  <c r="BR230" i="1"/>
  <c r="BQ230" i="1"/>
  <c r="CG230" i="1"/>
  <c r="CJ229" i="1"/>
  <c r="CI229" i="1"/>
  <c r="CH229" i="1"/>
  <c r="CC229" i="1"/>
  <c r="CB229" i="1"/>
  <c r="CA229" i="1"/>
  <c r="BY229" i="1"/>
  <c r="BX229" i="1"/>
  <c r="BW229" i="1"/>
  <c r="BU229" i="1"/>
  <c r="BT229" i="1"/>
  <c r="BS229" i="1"/>
  <c r="BR229" i="1"/>
  <c r="BQ229" i="1"/>
  <c r="CG229" i="1"/>
  <c r="CJ228" i="1"/>
  <c r="CI228" i="1"/>
  <c r="CH228" i="1"/>
  <c r="CC228" i="1"/>
  <c r="CB228" i="1"/>
  <c r="CA228" i="1"/>
  <c r="BY228" i="1"/>
  <c r="BX228" i="1"/>
  <c r="BW228" i="1"/>
  <c r="BU228" i="1"/>
  <c r="BT228" i="1"/>
  <c r="BS228" i="1"/>
  <c r="BR228" i="1"/>
  <c r="BQ228" i="1"/>
  <c r="CG228" i="1"/>
  <c r="CJ227" i="1"/>
  <c r="CI227" i="1"/>
  <c r="CH227" i="1"/>
  <c r="CC227" i="1"/>
  <c r="CB227" i="1"/>
  <c r="CA227" i="1"/>
  <c r="BY227" i="1"/>
  <c r="BX227" i="1"/>
  <c r="BW227" i="1"/>
  <c r="BU227" i="1"/>
  <c r="BT227" i="1"/>
  <c r="BS227" i="1"/>
  <c r="BR227" i="1"/>
  <c r="BQ227" i="1"/>
  <c r="CG227" i="1"/>
  <c r="CJ226" i="1"/>
  <c r="CK226" i="1" s="1"/>
  <c r="CI226" i="1"/>
  <c r="CH226" i="1"/>
  <c r="CC226" i="1"/>
  <c r="CB226" i="1"/>
  <c r="CA226" i="1"/>
  <c r="BY226" i="1"/>
  <c r="BX226" i="1"/>
  <c r="BW226" i="1"/>
  <c r="BU226" i="1"/>
  <c r="BT226" i="1"/>
  <c r="BS226" i="1"/>
  <c r="BR226" i="1"/>
  <c r="BQ226" i="1"/>
  <c r="CG226" i="1"/>
  <c r="CJ225" i="1"/>
  <c r="CI225" i="1"/>
  <c r="CH225" i="1"/>
  <c r="CC225" i="1"/>
  <c r="CB225" i="1"/>
  <c r="CA225" i="1"/>
  <c r="BY225" i="1"/>
  <c r="BX225" i="1"/>
  <c r="BW225" i="1"/>
  <c r="BU225" i="1"/>
  <c r="BT225" i="1"/>
  <c r="BS225" i="1"/>
  <c r="BR225" i="1"/>
  <c r="BQ225" i="1"/>
  <c r="CG225" i="1"/>
  <c r="CJ224" i="1"/>
  <c r="CI224" i="1"/>
  <c r="CH224" i="1"/>
  <c r="CC224" i="1"/>
  <c r="CB224" i="1"/>
  <c r="CA224" i="1"/>
  <c r="BY224" i="1"/>
  <c r="BX224" i="1"/>
  <c r="BW224" i="1"/>
  <c r="BU224" i="1"/>
  <c r="BT224" i="1"/>
  <c r="BS224" i="1"/>
  <c r="BR224" i="1"/>
  <c r="BQ224" i="1"/>
  <c r="CG224" i="1"/>
  <c r="CJ223" i="1"/>
  <c r="CI223" i="1"/>
  <c r="CH223" i="1"/>
  <c r="CC223" i="1"/>
  <c r="CB223" i="1"/>
  <c r="CA223" i="1"/>
  <c r="BY223" i="1"/>
  <c r="BX223" i="1"/>
  <c r="BW223" i="1"/>
  <c r="BU223" i="1"/>
  <c r="BT223" i="1"/>
  <c r="BS223" i="1"/>
  <c r="BR223" i="1"/>
  <c r="BQ223" i="1"/>
  <c r="CG223" i="1"/>
  <c r="CJ222" i="1"/>
  <c r="CK222" i="1" s="1"/>
  <c r="CI222" i="1"/>
  <c r="CH222" i="1"/>
  <c r="CC222" i="1"/>
  <c r="CB222" i="1"/>
  <c r="CA222" i="1"/>
  <c r="BY222" i="1"/>
  <c r="BX222" i="1"/>
  <c r="BW222" i="1"/>
  <c r="BU222" i="1"/>
  <c r="BT222" i="1"/>
  <c r="BS222" i="1"/>
  <c r="BR222" i="1"/>
  <c r="BQ222" i="1"/>
  <c r="CG222" i="1"/>
  <c r="CJ221" i="1"/>
  <c r="CI221" i="1"/>
  <c r="CH221" i="1"/>
  <c r="CC221" i="1"/>
  <c r="CB221" i="1"/>
  <c r="CA221" i="1"/>
  <c r="BY221" i="1"/>
  <c r="BX221" i="1"/>
  <c r="BW221" i="1"/>
  <c r="BU221" i="1"/>
  <c r="BT221" i="1"/>
  <c r="BS221" i="1"/>
  <c r="BR221" i="1"/>
  <c r="BQ221" i="1"/>
  <c r="CG221" i="1"/>
  <c r="CJ220" i="1"/>
  <c r="CI220" i="1"/>
  <c r="CH220" i="1"/>
  <c r="CC220" i="1"/>
  <c r="CB220" i="1"/>
  <c r="CA220" i="1"/>
  <c r="BY220" i="1"/>
  <c r="BX220" i="1"/>
  <c r="BW220" i="1"/>
  <c r="BU220" i="1"/>
  <c r="BT220" i="1"/>
  <c r="BS220" i="1"/>
  <c r="BR220" i="1"/>
  <c r="BQ220" i="1"/>
  <c r="CG220" i="1"/>
  <c r="CJ219" i="1"/>
  <c r="CI219" i="1"/>
  <c r="CH219" i="1"/>
  <c r="CC219" i="1"/>
  <c r="CB219" i="1"/>
  <c r="CA219" i="1"/>
  <c r="BY219" i="1"/>
  <c r="BX219" i="1"/>
  <c r="BW219" i="1"/>
  <c r="BU219" i="1"/>
  <c r="BT219" i="1"/>
  <c r="BS219" i="1"/>
  <c r="BR219" i="1"/>
  <c r="BQ219" i="1"/>
  <c r="CG219" i="1"/>
  <c r="CJ218" i="1"/>
  <c r="CI218" i="1"/>
  <c r="CH218" i="1"/>
  <c r="CC218" i="1"/>
  <c r="CB218" i="1"/>
  <c r="CA218" i="1"/>
  <c r="BY218" i="1"/>
  <c r="BX218" i="1"/>
  <c r="BW218" i="1"/>
  <c r="BU218" i="1"/>
  <c r="BT218" i="1"/>
  <c r="BS218" i="1"/>
  <c r="BR218" i="1"/>
  <c r="BQ218" i="1"/>
  <c r="CG218" i="1"/>
  <c r="CJ217" i="1"/>
  <c r="CI217" i="1"/>
  <c r="CH217" i="1"/>
  <c r="CC217" i="1"/>
  <c r="CB217" i="1"/>
  <c r="CA217" i="1"/>
  <c r="BY217" i="1"/>
  <c r="BX217" i="1"/>
  <c r="BW217" i="1"/>
  <c r="BU217" i="1"/>
  <c r="BT217" i="1"/>
  <c r="BS217" i="1"/>
  <c r="BR217" i="1"/>
  <c r="BQ217" i="1"/>
  <c r="BZ217" i="1" s="1"/>
  <c r="CD217" i="1" s="1"/>
  <c r="CF217" i="1" s="1"/>
  <c r="CG217" i="1"/>
  <c r="CJ216" i="1"/>
  <c r="CI216" i="1"/>
  <c r="CH216" i="1"/>
  <c r="CC216" i="1"/>
  <c r="CB216" i="1"/>
  <c r="CA216" i="1"/>
  <c r="BY216" i="1"/>
  <c r="BX216" i="1"/>
  <c r="BW216" i="1"/>
  <c r="BU216" i="1"/>
  <c r="BT216" i="1"/>
  <c r="BS216" i="1"/>
  <c r="BR216" i="1"/>
  <c r="BQ216" i="1"/>
  <c r="CG216" i="1"/>
  <c r="CJ215" i="1"/>
  <c r="CI215" i="1"/>
  <c r="CH215" i="1"/>
  <c r="CC215" i="1"/>
  <c r="CB215" i="1"/>
  <c r="CA215" i="1"/>
  <c r="BY215" i="1"/>
  <c r="BX215" i="1"/>
  <c r="BW215" i="1"/>
  <c r="BU215" i="1"/>
  <c r="BT215" i="1"/>
  <c r="BS215" i="1"/>
  <c r="BR215" i="1"/>
  <c r="BQ215" i="1"/>
  <c r="CG215" i="1"/>
  <c r="CJ214" i="1"/>
  <c r="CI214" i="1"/>
  <c r="CH214" i="1"/>
  <c r="CC214" i="1"/>
  <c r="CB214" i="1"/>
  <c r="CA214" i="1"/>
  <c r="BY214" i="1"/>
  <c r="BX214" i="1"/>
  <c r="BW214" i="1"/>
  <c r="BU214" i="1"/>
  <c r="BT214" i="1"/>
  <c r="BS214" i="1"/>
  <c r="BR214" i="1"/>
  <c r="BQ214" i="1"/>
  <c r="CG214" i="1"/>
  <c r="CJ213" i="1"/>
  <c r="CI213" i="1"/>
  <c r="CH213" i="1"/>
  <c r="CC213" i="1"/>
  <c r="CB213" i="1"/>
  <c r="CA213" i="1"/>
  <c r="BY213" i="1"/>
  <c r="BX213" i="1"/>
  <c r="BW213" i="1"/>
  <c r="BU213" i="1"/>
  <c r="BT213" i="1"/>
  <c r="BS213" i="1"/>
  <c r="BR213" i="1"/>
  <c r="BQ213" i="1"/>
  <c r="BZ213" i="1" s="1"/>
  <c r="CD213" i="1" s="1"/>
  <c r="CF213" i="1" s="1"/>
  <c r="CG213" i="1"/>
  <c r="CJ212" i="1"/>
  <c r="CI212" i="1"/>
  <c r="CH212" i="1"/>
  <c r="CC212" i="1"/>
  <c r="CB212" i="1"/>
  <c r="CA212" i="1"/>
  <c r="BY212" i="1"/>
  <c r="BX212" i="1"/>
  <c r="BW212" i="1"/>
  <c r="BU212" i="1"/>
  <c r="BT212" i="1"/>
  <c r="BS212" i="1"/>
  <c r="BR212" i="1"/>
  <c r="BQ212" i="1"/>
  <c r="CG212" i="1"/>
  <c r="CJ211" i="1"/>
  <c r="CI211" i="1"/>
  <c r="CH211" i="1"/>
  <c r="CC211" i="1"/>
  <c r="CB211" i="1"/>
  <c r="CA211" i="1"/>
  <c r="BY211" i="1"/>
  <c r="BX211" i="1"/>
  <c r="BW211" i="1"/>
  <c r="BU211" i="1"/>
  <c r="BT211" i="1"/>
  <c r="BS211" i="1"/>
  <c r="BR211" i="1"/>
  <c r="BQ211" i="1"/>
  <c r="CG211" i="1"/>
  <c r="CJ210" i="1"/>
  <c r="CI210" i="1"/>
  <c r="CH210" i="1"/>
  <c r="CC210" i="1"/>
  <c r="CB210" i="1"/>
  <c r="CA210" i="1"/>
  <c r="BY210" i="1"/>
  <c r="BX210" i="1"/>
  <c r="BW210" i="1"/>
  <c r="BU210" i="1"/>
  <c r="BT210" i="1"/>
  <c r="BS210" i="1"/>
  <c r="BR210" i="1"/>
  <c r="BQ210" i="1"/>
  <c r="CG210" i="1"/>
  <c r="CJ209" i="1"/>
  <c r="CI209" i="1"/>
  <c r="CH209" i="1"/>
  <c r="CC209" i="1"/>
  <c r="CB209" i="1"/>
  <c r="CA209" i="1"/>
  <c r="BY209" i="1"/>
  <c r="BX209" i="1"/>
  <c r="BW209" i="1"/>
  <c r="BU209" i="1"/>
  <c r="BT209" i="1"/>
  <c r="BS209" i="1"/>
  <c r="BR209" i="1"/>
  <c r="BQ209" i="1"/>
  <c r="BZ209" i="1" s="1"/>
  <c r="CD209" i="1" s="1"/>
  <c r="CF209" i="1" s="1"/>
  <c r="CG209" i="1"/>
  <c r="CJ208" i="1"/>
  <c r="CI208" i="1"/>
  <c r="CH208" i="1"/>
  <c r="CC208" i="1"/>
  <c r="CB208" i="1"/>
  <c r="CA208" i="1"/>
  <c r="BY208" i="1"/>
  <c r="BX208" i="1"/>
  <c r="BW208" i="1"/>
  <c r="BU208" i="1"/>
  <c r="BT208" i="1"/>
  <c r="BS208" i="1"/>
  <c r="BR208" i="1"/>
  <c r="BQ208" i="1"/>
  <c r="CG208" i="1"/>
  <c r="CJ207" i="1"/>
  <c r="CI207" i="1"/>
  <c r="CH207" i="1"/>
  <c r="CC207" i="1"/>
  <c r="CB207" i="1"/>
  <c r="CA207" i="1"/>
  <c r="BY207" i="1"/>
  <c r="BX207" i="1"/>
  <c r="BW207" i="1"/>
  <c r="BU207" i="1"/>
  <c r="BT207" i="1"/>
  <c r="BS207" i="1"/>
  <c r="BR207" i="1"/>
  <c r="BQ207" i="1"/>
  <c r="CG207" i="1"/>
  <c r="CJ206" i="1"/>
  <c r="CI206" i="1"/>
  <c r="CH206" i="1"/>
  <c r="CC206" i="1"/>
  <c r="CB206" i="1"/>
  <c r="CA206" i="1"/>
  <c r="BY206" i="1"/>
  <c r="BX206" i="1"/>
  <c r="BW206" i="1"/>
  <c r="BU206" i="1"/>
  <c r="BT206" i="1"/>
  <c r="BS206" i="1"/>
  <c r="BR206" i="1"/>
  <c r="BQ206" i="1"/>
  <c r="CG206" i="1"/>
  <c r="CJ205" i="1"/>
  <c r="CI205" i="1"/>
  <c r="CH205" i="1"/>
  <c r="CC205" i="1"/>
  <c r="CB205" i="1"/>
  <c r="CA205" i="1"/>
  <c r="BY205" i="1"/>
  <c r="BX205" i="1"/>
  <c r="BW205" i="1"/>
  <c r="BU205" i="1"/>
  <c r="BT205" i="1"/>
  <c r="BS205" i="1"/>
  <c r="BR205" i="1"/>
  <c r="BQ205" i="1"/>
  <c r="BZ205" i="1" s="1"/>
  <c r="CD205" i="1" s="1"/>
  <c r="CF205" i="1" s="1"/>
  <c r="CG205" i="1"/>
  <c r="CJ204" i="1"/>
  <c r="CI204" i="1"/>
  <c r="CH204" i="1"/>
  <c r="CC204" i="1"/>
  <c r="CB204" i="1"/>
  <c r="CA204" i="1"/>
  <c r="BY204" i="1"/>
  <c r="BX204" i="1"/>
  <c r="BW204" i="1"/>
  <c r="BU204" i="1"/>
  <c r="BT204" i="1"/>
  <c r="BS204" i="1"/>
  <c r="BR204" i="1"/>
  <c r="BQ204" i="1"/>
  <c r="CG204" i="1"/>
  <c r="CJ203" i="1"/>
  <c r="CI203" i="1"/>
  <c r="CH203" i="1"/>
  <c r="CC203" i="1"/>
  <c r="CB203" i="1"/>
  <c r="CA203" i="1"/>
  <c r="BY203" i="1"/>
  <c r="BX203" i="1"/>
  <c r="BW203" i="1"/>
  <c r="BU203" i="1"/>
  <c r="BT203" i="1"/>
  <c r="BS203" i="1"/>
  <c r="BR203" i="1"/>
  <c r="BQ203" i="1"/>
  <c r="CG203" i="1"/>
  <c r="CJ202" i="1"/>
  <c r="CI202" i="1"/>
  <c r="CH202" i="1"/>
  <c r="CC202" i="1"/>
  <c r="CB202" i="1"/>
  <c r="CA202" i="1"/>
  <c r="BY202" i="1"/>
  <c r="BX202" i="1"/>
  <c r="BW202" i="1"/>
  <c r="BU202" i="1"/>
  <c r="BT202" i="1"/>
  <c r="BS202" i="1"/>
  <c r="BR202" i="1"/>
  <c r="BQ202" i="1"/>
  <c r="CG202" i="1"/>
  <c r="CJ201" i="1"/>
  <c r="CI201" i="1"/>
  <c r="CH201" i="1"/>
  <c r="CC201" i="1"/>
  <c r="CB201" i="1"/>
  <c r="CA201" i="1"/>
  <c r="BY201" i="1"/>
  <c r="BX201" i="1"/>
  <c r="BW201" i="1"/>
  <c r="BU201" i="1"/>
  <c r="BT201" i="1"/>
  <c r="BS201" i="1"/>
  <c r="BR201" i="1"/>
  <c r="BQ201" i="1"/>
  <c r="BZ201" i="1" s="1"/>
  <c r="CD201" i="1" s="1"/>
  <c r="CF201" i="1" s="1"/>
  <c r="CG201" i="1"/>
  <c r="CJ200" i="1"/>
  <c r="CI200" i="1"/>
  <c r="CH200" i="1"/>
  <c r="CC200" i="1"/>
  <c r="CB200" i="1"/>
  <c r="CA200" i="1"/>
  <c r="BY200" i="1"/>
  <c r="BX200" i="1"/>
  <c r="BW200" i="1"/>
  <c r="BU200" i="1"/>
  <c r="BT200" i="1"/>
  <c r="BS200" i="1"/>
  <c r="BR200" i="1"/>
  <c r="BQ200" i="1"/>
  <c r="CG200" i="1"/>
  <c r="CJ199" i="1"/>
  <c r="CI199" i="1"/>
  <c r="CH199" i="1"/>
  <c r="CC199" i="1"/>
  <c r="CB199" i="1"/>
  <c r="CA199" i="1"/>
  <c r="BY199" i="1"/>
  <c r="BX199" i="1"/>
  <c r="BW199" i="1"/>
  <c r="BU199" i="1"/>
  <c r="BT199" i="1"/>
  <c r="BS199" i="1"/>
  <c r="BR199" i="1"/>
  <c r="BQ199" i="1"/>
  <c r="CG199" i="1"/>
  <c r="CJ198" i="1"/>
  <c r="CI198" i="1"/>
  <c r="CH198" i="1"/>
  <c r="CC198" i="1"/>
  <c r="CB198" i="1"/>
  <c r="CA198" i="1"/>
  <c r="BY198" i="1"/>
  <c r="BX198" i="1"/>
  <c r="BW198" i="1"/>
  <c r="BU198" i="1"/>
  <c r="BT198" i="1"/>
  <c r="BS198" i="1"/>
  <c r="BR198" i="1"/>
  <c r="BQ198" i="1"/>
  <c r="CG198" i="1"/>
  <c r="CJ197" i="1"/>
  <c r="CI197" i="1"/>
  <c r="CH197" i="1"/>
  <c r="CC197" i="1"/>
  <c r="CB197" i="1"/>
  <c r="CA197" i="1"/>
  <c r="BY197" i="1"/>
  <c r="BX197" i="1"/>
  <c r="BW197" i="1"/>
  <c r="BU197" i="1"/>
  <c r="BT197" i="1"/>
  <c r="BS197" i="1"/>
  <c r="BR197" i="1"/>
  <c r="BQ197" i="1"/>
  <c r="BZ197" i="1" s="1"/>
  <c r="CD197" i="1" s="1"/>
  <c r="CF197" i="1" s="1"/>
  <c r="CG197" i="1"/>
  <c r="CJ196" i="1"/>
  <c r="CI196" i="1"/>
  <c r="CH196" i="1"/>
  <c r="CC196" i="1"/>
  <c r="CB196" i="1"/>
  <c r="CA196" i="1"/>
  <c r="BY196" i="1"/>
  <c r="BX196" i="1"/>
  <c r="BW196" i="1"/>
  <c r="BU196" i="1"/>
  <c r="BT196" i="1"/>
  <c r="BS196" i="1"/>
  <c r="BR196" i="1"/>
  <c r="BQ196" i="1"/>
  <c r="CG196" i="1"/>
  <c r="CJ195" i="1"/>
  <c r="CI195" i="1"/>
  <c r="CH195" i="1"/>
  <c r="CC195" i="1"/>
  <c r="CB195" i="1"/>
  <c r="CA195" i="1"/>
  <c r="BY195" i="1"/>
  <c r="BX195" i="1"/>
  <c r="BW195" i="1"/>
  <c r="BU195" i="1"/>
  <c r="BT195" i="1"/>
  <c r="BS195" i="1"/>
  <c r="BR195" i="1"/>
  <c r="BQ195" i="1"/>
  <c r="CG195" i="1"/>
  <c r="CJ194" i="1"/>
  <c r="CI194" i="1"/>
  <c r="CH194" i="1"/>
  <c r="CC194" i="1"/>
  <c r="CB194" i="1"/>
  <c r="CA194" i="1"/>
  <c r="BY194" i="1"/>
  <c r="BX194" i="1"/>
  <c r="BW194" i="1"/>
  <c r="BU194" i="1"/>
  <c r="BT194" i="1"/>
  <c r="BS194" i="1"/>
  <c r="BR194" i="1"/>
  <c r="BQ194" i="1"/>
  <c r="CG194" i="1"/>
  <c r="CJ193" i="1"/>
  <c r="CI193" i="1"/>
  <c r="CH193" i="1"/>
  <c r="CC193" i="1"/>
  <c r="CB193" i="1"/>
  <c r="CA193" i="1"/>
  <c r="BY193" i="1"/>
  <c r="CG193" i="1" s="1"/>
  <c r="BX193" i="1"/>
  <c r="BW193" i="1"/>
  <c r="BU193" i="1"/>
  <c r="BT193" i="1"/>
  <c r="BS193" i="1"/>
  <c r="BR193" i="1"/>
  <c r="BQ193" i="1"/>
  <c r="CJ192" i="1"/>
  <c r="CI192" i="1"/>
  <c r="CH192" i="1"/>
  <c r="CC192" i="1"/>
  <c r="CB192" i="1"/>
  <c r="CA192" i="1"/>
  <c r="BY192" i="1"/>
  <c r="CG192" i="1" s="1"/>
  <c r="BX192" i="1"/>
  <c r="BW192" i="1"/>
  <c r="BU192" i="1"/>
  <c r="BT192" i="1"/>
  <c r="BS192" i="1"/>
  <c r="BR192" i="1"/>
  <c r="BQ192" i="1"/>
  <c r="CJ191" i="1"/>
  <c r="CI191" i="1"/>
  <c r="CH191" i="1"/>
  <c r="CC191" i="1"/>
  <c r="CB191" i="1"/>
  <c r="CA191" i="1"/>
  <c r="BY191" i="1"/>
  <c r="CG191" i="1" s="1"/>
  <c r="BX191" i="1"/>
  <c r="BW191" i="1"/>
  <c r="BU191" i="1"/>
  <c r="BT191" i="1"/>
  <c r="BS191" i="1"/>
  <c r="BR191" i="1"/>
  <c r="BQ191" i="1"/>
  <c r="CJ190" i="1"/>
  <c r="CI190" i="1"/>
  <c r="CH190" i="1"/>
  <c r="CC190" i="1"/>
  <c r="CB190" i="1"/>
  <c r="CA190" i="1"/>
  <c r="BY190" i="1"/>
  <c r="CG190" i="1" s="1"/>
  <c r="BX190" i="1"/>
  <c r="BW190" i="1"/>
  <c r="BU190" i="1"/>
  <c r="BT190" i="1"/>
  <c r="BS190" i="1"/>
  <c r="BR190" i="1"/>
  <c r="BQ190" i="1"/>
  <c r="CJ189" i="1"/>
  <c r="CI189" i="1"/>
  <c r="CH189" i="1"/>
  <c r="CC189" i="1"/>
  <c r="CB189" i="1"/>
  <c r="CA189" i="1"/>
  <c r="BY189" i="1"/>
  <c r="CG189" i="1" s="1"/>
  <c r="BX189" i="1"/>
  <c r="BW189" i="1"/>
  <c r="BU189" i="1"/>
  <c r="BT189" i="1"/>
  <c r="BS189" i="1"/>
  <c r="BR189" i="1"/>
  <c r="BQ189" i="1"/>
  <c r="CJ188" i="1"/>
  <c r="CI188" i="1"/>
  <c r="CH188" i="1"/>
  <c r="CC188" i="1"/>
  <c r="CB188" i="1"/>
  <c r="CA188" i="1"/>
  <c r="BY188" i="1"/>
  <c r="CG188" i="1" s="1"/>
  <c r="BX188" i="1"/>
  <c r="BW188" i="1"/>
  <c r="BU188" i="1"/>
  <c r="BT188" i="1"/>
  <c r="BS188" i="1"/>
  <c r="BR188" i="1"/>
  <c r="BQ188" i="1"/>
  <c r="CJ187" i="1"/>
  <c r="CI187" i="1"/>
  <c r="CH187" i="1"/>
  <c r="CC187" i="1"/>
  <c r="CB187" i="1"/>
  <c r="CA187" i="1"/>
  <c r="BY187" i="1"/>
  <c r="CG187" i="1" s="1"/>
  <c r="BX187" i="1"/>
  <c r="BW187" i="1"/>
  <c r="BU187" i="1"/>
  <c r="BT187" i="1"/>
  <c r="BS187" i="1"/>
  <c r="BR187" i="1"/>
  <c r="BQ187" i="1"/>
  <c r="CJ186" i="1"/>
  <c r="CK186" i="1" s="1"/>
  <c r="CI186" i="1"/>
  <c r="CH186" i="1"/>
  <c r="CC186" i="1"/>
  <c r="CB186" i="1"/>
  <c r="CA186" i="1"/>
  <c r="BY186" i="1"/>
  <c r="CG186" i="1" s="1"/>
  <c r="BX186" i="1"/>
  <c r="BW186" i="1"/>
  <c r="BU186" i="1"/>
  <c r="BT186" i="1"/>
  <c r="BS186" i="1"/>
  <c r="BR186" i="1"/>
  <c r="BQ186" i="1"/>
  <c r="CJ185" i="1"/>
  <c r="CI185" i="1"/>
  <c r="CH185" i="1"/>
  <c r="CC185" i="1"/>
  <c r="CB185" i="1"/>
  <c r="CA185" i="1"/>
  <c r="BY185" i="1"/>
  <c r="CG185" i="1" s="1"/>
  <c r="BX185" i="1"/>
  <c r="BW185" i="1"/>
  <c r="BU185" i="1"/>
  <c r="BT185" i="1"/>
  <c r="BS185" i="1"/>
  <c r="BR185" i="1"/>
  <c r="BQ185" i="1"/>
  <c r="CJ184" i="1"/>
  <c r="CK184" i="1" s="1"/>
  <c r="CI184" i="1"/>
  <c r="CH184" i="1"/>
  <c r="CC184" i="1"/>
  <c r="CB184" i="1"/>
  <c r="CA184" i="1"/>
  <c r="BY184" i="1"/>
  <c r="CG184" i="1" s="1"/>
  <c r="BX184" i="1"/>
  <c r="BW184" i="1"/>
  <c r="BU184" i="1"/>
  <c r="BT184" i="1"/>
  <c r="BS184" i="1"/>
  <c r="BR184" i="1"/>
  <c r="BQ184" i="1"/>
  <c r="CJ183" i="1"/>
  <c r="CK183" i="1" s="1"/>
  <c r="CI183" i="1"/>
  <c r="CH183" i="1"/>
  <c r="CC183" i="1"/>
  <c r="CB183" i="1"/>
  <c r="CA183" i="1"/>
  <c r="BY183" i="1"/>
  <c r="CG183" i="1" s="1"/>
  <c r="BX183" i="1"/>
  <c r="BW183" i="1"/>
  <c r="BU183" i="1"/>
  <c r="BT183" i="1"/>
  <c r="BS183" i="1"/>
  <c r="BR183" i="1"/>
  <c r="BQ183" i="1"/>
  <c r="CJ182" i="1"/>
  <c r="CK182" i="1" s="1"/>
  <c r="CI182" i="1"/>
  <c r="CH182" i="1"/>
  <c r="CC182" i="1"/>
  <c r="CB182" i="1"/>
  <c r="CA182" i="1"/>
  <c r="BY182" i="1"/>
  <c r="CG182" i="1" s="1"/>
  <c r="BX182" i="1"/>
  <c r="BW182" i="1"/>
  <c r="BU182" i="1"/>
  <c r="BT182" i="1"/>
  <c r="BS182" i="1"/>
  <c r="BR182" i="1"/>
  <c r="BQ182" i="1"/>
  <c r="CJ181" i="1"/>
  <c r="CK181" i="1" s="1"/>
  <c r="CI181" i="1"/>
  <c r="CH181" i="1"/>
  <c r="CC181" i="1"/>
  <c r="CB181" i="1"/>
  <c r="CA181" i="1"/>
  <c r="BY181" i="1"/>
  <c r="CG181" i="1" s="1"/>
  <c r="BX181" i="1"/>
  <c r="BW181" i="1"/>
  <c r="BU181" i="1"/>
  <c r="BT181" i="1"/>
  <c r="BS181" i="1"/>
  <c r="BR181" i="1"/>
  <c r="BQ181" i="1"/>
  <c r="CJ180" i="1"/>
  <c r="CK180" i="1" s="1"/>
  <c r="CI180" i="1"/>
  <c r="CH180" i="1"/>
  <c r="CC180" i="1"/>
  <c r="CB180" i="1"/>
  <c r="CA180" i="1"/>
  <c r="BY180" i="1"/>
  <c r="CG180" i="1" s="1"/>
  <c r="BX180" i="1"/>
  <c r="BW180" i="1"/>
  <c r="BU180" i="1"/>
  <c r="BT180" i="1"/>
  <c r="BS180" i="1"/>
  <c r="BR180" i="1"/>
  <c r="BQ180" i="1"/>
  <c r="CJ179" i="1"/>
  <c r="CK179" i="1" s="1"/>
  <c r="CI179" i="1"/>
  <c r="CH179" i="1"/>
  <c r="CC179" i="1"/>
  <c r="CB179" i="1"/>
  <c r="CA179" i="1"/>
  <c r="BY179" i="1"/>
  <c r="CG179" i="1" s="1"/>
  <c r="BX179" i="1"/>
  <c r="BW179" i="1"/>
  <c r="BU179" i="1"/>
  <c r="BT179" i="1"/>
  <c r="BS179" i="1"/>
  <c r="BR179" i="1"/>
  <c r="BQ179" i="1"/>
  <c r="CJ178" i="1"/>
  <c r="CK178" i="1" s="1"/>
  <c r="CI178" i="1"/>
  <c r="CH178" i="1"/>
  <c r="CC178" i="1"/>
  <c r="CB178" i="1"/>
  <c r="CA178" i="1"/>
  <c r="BY178" i="1"/>
  <c r="CG178" i="1" s="1"/>
  <c r="BX178" i="1"/>
  <c r="BW178" i="1"/>
  <c r="BU178" i="1"/>
  <c r="BT178" i="1"/>
  <c r="BS178" i="1"/>
  <c r="BR178" i="1"/>
  <c r="BQ178" i="1"/>
  <c r="CJ177" i="1"/>
  <c r="CK177" i="1" s="1"/>
  <c r="CI177" i="1"/>
  <c r="CH177" i="1"/>
  <c r="CC177" i="1"/>
  <c r="CB177" i="1"/>
  <c r="CA177" i="1"/>
  <c r="BY177" i="1"/>
  <c r="CG177" i="1" s="1"/>
  <c r="BX177" i="1"/>
  <c r="BW177" i="1"/>
  <c r="BU177" i="1"/>
  <c r="BT177" i="1"/>
  <c r="BS177" i="1"/>
  <c r="BR177" i="1"/>
  <c r="BQ177" i="1"/>
  <c r="CJ176" i="1"/>
  <c r="CK176" i="1" s="1"/>
  <c r="CI176" i="1"/>
  <c r="CH176" i="1"/>
  <c r="CC176" i="1"/>
  <c r="CB176" i="1"/>
  <c r="CA176" i="1"/>
  <c r="BY176" i="1"/>
  <c r="CG176" i="1" s="1"/>
  <c r="BX176" i="1"/>
  <c r="BW176" i="1"/>
  <c r="BU176" i="1"/>
  <c r="BT176" i="1"/>
  <c r="BS176" i="1"/>
  <c r="BR176" i="1"/>
  <c r="BQ176" i="1"/>
  <c r="CJ175" i="1"/>
  <c r="CK175" i="1" s="1"/>
  <c r="CI175" i="1"/>
  <c r="CH175" i="1"/>
  <c r="CC175" i="1"/>
  <c r="CB175" i="1"/>
  <c r="CA175" i="1"/>
  <c r="BY175" i="1"/>
  <c r="CG175" i="1" s="1"/>
  <c r="BX175" i="1"/>
  <c r="BW175" i="1"/>
  <c r="BU175" i="1"/>
  <c r="BT175" i="1"/>
  <c r="BS175" i="1"/>
  <c r="BR175" i="1"/>
  <c r="BQ175" i="1"/>
  <c r="CJ174" i="1"/>
  <c r="CK174" i="1" s="1"/>
  <c r="CI174" i="1"/>
  <c r="CH174" i="1"/>
  <c r="CC174" i="1"/>
  <c r="CB174" i="1"/>
  <c r="CA174" i="1"/>
  <c r="BY174" i="1"/>
  <c r="CG174" i="1" s="1"/>
  <c r="BX174" i="1"/>
  <c r="BW174" i="1"/>
  <c r="BU174" i="1"/>
  <c r="BT174" i="1"/>
  <c r="BS174" i="1"/>
  <c r="BR174" i="1"/>
  <c r="BQ174" i="1"/>
  <c r="CJ173" i="1"/>
  <c r="CK173" i="1" s="1"/>
  <c r="CI173" i="1"/>
  <c r="CH173" i="1"/>
  <c r="CC173" i="1"/>
  <c r="CB173" i="1"/>
  <c r="CA173" i="1"/>
  <c r="BY173" i="1"/>
  <c r="CG173" i="1" s="1"/>
  <c r="BX173" i="1"/>
  <c r="BW173" i="1"/>
  <c r="BU173" i="1"/>
  <c r="BT173" i="1"/>
  <c r="BS173" i="1"/>
  <c r="BR173" i="1"/>
  <c r="BQ173" i="1"/>
  <c r="CJ172" i="1"/>
  <c r="CK172" i="1" s="1"/>
  <c r="CI172" i="1"/>
  <c r="CH172" i="1"/>
  <c r="CC172" i="1"/>
  <c r="CB172" i="1"/>
  <c r="CA172" i="1"/>
  <c r="BY172" i="1"/>
  <c r="CG172" i="1" s="1"/>
  <c r="BX172" i="1"/>
  <c r="BW172" i="1"/>
  <c r="BU172" i="1"/>
  <c r="BT172" i="1"/>
  <c r="BS172" i="1"/>
  <c r="BR172" i="1"/>
  <c r="BQ172" i="1"/>
  <c r="CJ171" i="1"/>
  <c r="CK171" i="1" s="1"/>
  <c r="CI171" i="1"/>
  <c r="CH171" i="1"/>
  <c r="CC171" i="1"/>
  <c r="CB171" i="1"/>
  <c r="CA171" i="1"/>
  <c r="BY171" i="1"/>
  <c r="CG171" i="1" s="1"/>
  <c r="BX171" i="1"/>
  <c r="BW171" i="1"/>
  <c r="BU171" i="1"/>
  <c r="BT171" i="1"/>
  <c r="BS171" i="1"/>
  <c r="BR171" i="1"/>
  <c r="BQ171" i="1"/>
  <c r="CJ170" i="1"/>
  <c r="CK170" i="1" s="1"/>
  <c r="CI170" i="1"/>
  <c r="CH170" i="1"/>
  <c r="CC170" i="1"/>
  <c r="CB170" i="1"/>
  <c r="CA170" i="1"/>
  <c r="BY170" i="1"/>
  <c r="CG170" i="1" s="1"/>
  <c r="BX170" i="1"/>
  <c r="BW170" i="1"/>
  <c r="BU170" i="1"/>
  <c r="BT170" i="1"/>
  <c r="BS170" i="1"/>
  <c r="BR170" i="1"/>
  <c r="BQ170" i="1"/>
  <c r="CJ169" i="1"/>
  <c r="CK169" i="1" s="1"/>
  <c r="CI169" i="1"/>
  <c r="CH169" i="1"/>
  <c r="CC169" i="1"/>
  <c r="CB169" i="1"/>
  <c r="CA169" i="1"/>
  <c r="BY169" i="1"/>
  <c r="CG169" i="1" s="1"/>
  <c r="BX169" i="1"/>
  <c r="BW169" i="1"/>
  <c r="BU169" i="1"/>
  <c r="BT169" i="1"/>
  <c r="BS169" i="1"/>
  <c r="BR169" i="1"/>
  <c r="BQ169" i="1"/>
  <c r="CJ168" i="1"/>
  <c r="CK168" i="1" s="1"/>
  <c r="CI168" i="1"/>
  <c r="CH168" i="1"/>
  <c r="CC168" i="1"/>
  <c r="CB168" i="1"/>
  <c r="CA168" i="1"/>
  <c r="BY168" i="1"/>
  <c r="CG168" i="1" s="1"/>
  <c r="BX168" i="1"/>
  <c r="BW168" i="1"/>
  <c r="BU168" i="1"/>
  <c r="BT168" i="1"/>
  <c r="BS168" i="1"/>
  <c r="BR168" i="1"/>
  <c r="BQ168" i="1"/>
  <c r="CJ167" i="1"/>
  <c r="CK167" i="1" s="1"/>
  <c r="CI167" i="1"/>
  <c r="CH167" i="1"/>
  <c r="CC167" i="1"/>
  <c r="CB167" i="1"/>
  <c r="CA167" i="1"/>
  <c r="BY167" i="1"/>
  <c r="CG167" i="1" s="1"/>
  <c r="BX167" i="1"/>
  <c r="BW167" i="1"/>
  <c r="BU167" i="1"/>
  <c r="BT167" i="1"/>
  <c r="BS167" i="1"/>
  <c r="BR167" i="1"/>
  <c r="BQ167" i="1"/>
  <c r="CJ166" i="1"/>
  <c r="CK166" i="1" s="1"/>
  <c r="CI166" i="1"/>
  <c r="CH166" i="1"/>
  <c r="CC166" i="1"/>
  <c r="CB166" i="1"/>
  <c r="CA166" i="1"/>
  <c r="BY166" i="1"/>
  <c r="CG166" i="1" s="1"/>
  <c r="BX166" i="1"/>
  <c r="BW166" i="1"/>
  <c r="BU166" i="1"/>
  <c r="BT166" i="1"/>
  <c r="BS166" i="1"/>
  <c r="BR166" i="1"/>
  <c r="BQ166" i="1"/>
  <c r="CJ165" i="1"/>
  <c r="CI165" i="1"/>
  <c r="CH165" i="1"/>
  <c r="CC165" i="1"/>
  <c r="CB165" i="1"/>
  <c r="CA165" i="1"/>
  <c r="BY165" i="1"/>
  <c r="CG165" i="1" s="1"/>
  <c r="BX165" i="1"/>
  <c r="BW165" i="1"/>
  <c r="BU165" i="1"/>
  <c r="BT165" i="1"/>
  <c r="BS165" i="1"/>
  <c r="BR165" i="1"/>
  <c r="BQ165" i="1"/>
  <c r="CJ164" i="1"/>
  <c r="CI164" i="1"/>
  <c r="CH164" i="1"/>
  <c r="CC164" i="1"/>
  <c r="CB164" i="1"/>
  <c r="CA164" i="1"/>
  <c r="BY164" i="1"/>
  <c r="CG164" i="1" s="1"/>
  <c r="BX164" i="1"/>
  <c r="BW164" i="1"/>
  <c r="BU164" i="1"/>
  <c r="BT164" i="1"/>
  <c r="BS164" i="1"/>
  <c r="BR164" i="1"/>
  <c r="BQ164" i="1"/>
  <c r="CJ163" i="1"/>
  <c r="CI163" i="1"/>
  <c r="CH163" i="1"/>
  <c r="CC163" i="1"/>
  <c r="CB163" i="1"/>
  <c r="CA163" i="1"/>
  <c r="BY163" i="1"/>
  <c r="CG163" i="1" s="1"/>
  <c r="BX163" i="1"/>
  <c r="BW163" i="1"/>
  <c r="BU163" i="1"/>
  <c r="BT163" i="1"/>
  <c r="BS163" i="1"/>
  <c r="BR163" i="1"/>
  <c r="BQ163" i="1"/>
  <c r="CJ162" i="1"/>
  <c r="CI162" i="1"/>
  <c r="CH162" i="1"/>
  <c r="CC162" i="1"/>
  <c r="CB162" i="1"/>
  <c r="CA162" i="1"/>
  <c r="BY162" i="1"/>
  <c r="CG162" i="1" s="1"/>
  <c r="BX162" i="1"/>
  <c r="BW162" i="1"/>
  <c r="BU162" i="1"/>
  <c r="BT162" i="1"/>
  <c r="BS162" i="1"/>
  <c r="BR162" i="1"/>
  <c r="BQ162" i="1"/>
  <c r="CJ161" i="1"/>
  <c r="CK161" i="1" s="1"/>
  <c r="CI161" i="1"/>
  <c r="CH161" i="1"/>
  <c r="CC161" i="1"/>
  <c r="CB161" i="1"/>
  <c r="CA161" i="1"/>
  <c r="BY161" i="1"/>
  <c r="BX161" i="1"/>
  <c r="BW161" i="1"/>
  <c r="BU161" i="1"/>
  <c r="BT161" i="1"/>
  <c r="BS161" i="1"/>
  <c r="BR161" i="1"/>
  <c r="BQ161" i="1"/>
  <c r="CG161" i="1"/>
  <c r="CJ160" i="1"/>
  <c r="CI160" i="1"/>
  <c r="CF160" i="1" s="1"/>
  <c r="CH160" i="1"/>
  <c r="CC160" i="1"/>
  <c r="CB160" i="1"/>
  <c r="CA160" i="1"/>
  <c r="BY160" i="1"/>
  <c r="BX160" i="1"/>
  <c r="BW160" i="1"/>
  <c r="BU160" i="1"/>
  <c r="BT160" i="1"/>
  <c r="BS160" i="1"/>
  <c r="BR160" i="1"/>
  <c r="BQ160" i="1"/>
  <c r="CG160" i="1"/>
  <c r="CJ159" i="1"/>
  <c r="CI159" i="1"/>
  <c r="CH159" i="1"/>
  <c r="CC159" i="1"/>
  <c r="CB159" i="1"/>
  <c r="CA159" i="1"/>
  <c r="BY159" i="1"/>
  <c r="BX159" i="1"/>
  <c r="BW159" i="1"/>
  <c r="BU159" i="1"/>
  <c r="BT159" i="1"/>
  <c r="BS159" i="1"/>
  <c r="BR159" i="1"/>
  <c r="BQ159" i="1"/>
  <c r="CG159" i="1"/>
  <c r="CJ158" i="1"/>
  <c r="CI158" i="1"/>
  <c r="CH158" i="1"/>
  <c r="CC158" i="1"/>
  <c r="CB158" i="1"/>
  <c r="CA158" i="1"/>
  <c r="BY158" i="1"/>
  <c r="BX158" i="1"/>
  <c r="BW158" i="1"/>
  <c r="BU158" i="1"/>
  <c r="BT158" i="1"/>
  <c r="BS158" i="1"/>
  <c r="BR158" i="1"/>
  <c r="BQ158" i="1"/>
  <c r="CG158" i="1"/>
  <c r="CJ157" i="1"/>
  <c r="CK157" i="1" s="1"/>
  <c r="CI157" i="1"/>
  <c r="CH157" i="1"/>
  <c r="CC157" i="1"/>
  <c r="CB157" i="1"/>
  <c r="CA157" i="1"/>
  <c r="BY157" i="1"/>
  <c r="BX157" i="1"/>
  <c r="BW157" i="1"/>
  <c r="BU157" i="1"/>
  <c r="BT157" i="1"/>
  <c r="BS157" i="1"/>
  <c r="BR157" i="1"/>
  <c r="BQ157" i="1"/>
  <c r="CG157" i="1"/>
  <c r="CJ156" i="1"/>
  <c r="CI156" i="1"/>
  <c r="CH156" i="1"/>
  <c r="CC156" i="1"/>
  <c r="CB156" i="1"/>
  <c r="CA156" i="1"/>
  <c r="BY156" i="1"/>
  <c r="BX156" i="1"/>
  <c r="BW156" i="1"/>
  <c r="BU156" i="1"/>
  <c r="BT156" i="1"/>
  <c r="BS156" i="1"/>
  <c r="BR156" i="1"/>
  <c r="BQ156" i="1"/>
  <c r="CG156" i="1"/>
  <c r="CJ155" i="1"/>
  <c r="CI155" i="1"/>
  <c r="CH155" i="1"/>
  <c r="CC155" i="1"/>
  <c r="CB155" i="1"/>
  <c r="CA155" i="1"/>
  <c r="BY155" i="1"/>
  <c r="BX155" i="1"/>
  <c r="BW155" i="1"/>
  <c r="BU155" i="1"/>
  <c r="BT155" i="1"/>
  <c r="BS155" i="1"/>
  <c r="BR155" i="1"/>
  <c r="BQ155" i="1"/>
  <c r="CG155" i="1"/>
  <c r="CJ154" i="1"/>
  <c r="CI154" i="1"/>
  <c r="CH154" i="1"/>
  <c r="CC154" i="1"/>
  <c r="CB154" i="1"/>
  <c r="CA154" i="1"/>
  <c r="BY154" i="1"/>
  <c r="BX154" i="1"/>
  <c r="BW154" i="1"/>
  <c r="BU154" i="1"/>
  <c r="BT154" i="1"/>
  <c r="BS154" i="1"/>
  <c r="BR154" i="1"/>
  <c r="BQ154" i="1"/>
  <c r="CG154" i="1"/>
  <c r="CJ153" i="1"/>
  <c r="CK153" i="1" s="1"/>
  <c r="CI153" i="1"/>
  <c r="CH153" i="1"/>
  <c r="CC153" i="1"/>
  <c r="CB153" i="1"/>
  <c r="CA153" i="1"/>
  <c r="BY153" i="1"/>
  <c r="BX153" i="1"/>
  <c r="BW153" i="1"/>
  <c r="BU153" i="1"/>
  <c r="BT153" i="1"/>
  <c r="BS153" i="1"/>
  <c r="BR153" i="1"/>
  <c r="BQ153" i="1"/>
  <c r="CG153" i="1"/>
  <c r="CJ152" i="1"/>
  <c r="CI152" i="1"/>
  <c r="CH152" i="1"/>
  <c r="CC152" i="1"/>
  <c r="CB152" i="1"/>
  <c r="CA152" i="1"/>
  <c r="BY152" i="1"/>
  <c r="BX152" i="1"/>
  <c r="BW152" i="1"/>
  <c r="BU152" i="1"/>
  <c r="BT152" i="1"/>
  <c r="BS152" i="1"/>
  <c r="BR152" i="1"/>
  <c r="BQ152" i="1"/>
  <c r="BZ152" i="1" s="1"/>
  <c r="CD152" i="1" s="1"/>
  <c r="CF152" i="1" s="1"/>
  <c r="CG152" i="1"/>
  <c r="CJ151" i="1"/>
  <c r="CI151" i="1"/>
  <c r="CH151" i="1"/>
  <c r="CC151" i="1"/>
  <c r="CB151" i="1"/>
  <c r="CA151" i="1"/>
  <c r="BY151" i="1"/>
  <c r="BX151" i="1"/>
  <c r="BW151" i="1"/>
  <c r="BU151" i="1"/>
  <c r="BT151" i="1"/>
  <c r="BS151" i="1"/>
  <c r="BR151" i="1"/>
  <c r="BQ151" i="1"/>
  <c r="CG151" i="1"/>
  <c r="CJ150" i="1"/>
  <c r="CI150" i="1"/>
  <c r="CH150" i="1"/>
  <c r="CC150" i="1"/>
  <c r="CB150" i="1"/>
  <c r="CA150" i="1"/>
  <c r="BY150" i="1"/>
  <c r="BX150" i="1"/>
  <c r="BW150" i="1"/>
  <c r="BU150" i="1"/>
  <c r="BT150" i="1"/>
  <c r="BS150" i="1"/>
  <c r="BR150" i="1"/>
  <c r="BQ150" i="1"/>
  <c r="CG150" i="1"/>
  <c r="CJ149" i="1"/>
  <c r="CK149" i="1" s="1"/>
  <c r="CI149" i="1"/>
  <c r="CH149" i="1"/>
  <c r="CC149" i="1"/>
  <c r="CB149" i="1"/>
  <c r="CA149" i="1"/>
  <c r="BY149" i="1"/>
  <c r="BX149" i="1"/>
  <c r="BW149" i="1"/>
  <c r="BU149" i="1"/>
  <c r="BT149" i="1"/>
  <c r="BS149" i="1"/>
  <c r="BR149" i="1"/>
  <c r="BQ149" i="1"/>
  <c r="CG149" i="1"/>
  <c r="CJ148" i="1"/>
  <c r="CI148" i="1"/>
  <c r="CH148" i="1"/>
  <c r="CC148" i="1"/>
  <c r="CB148" i="1"/>
  <c r="CA148" i="1"/>
  <c r="BY148" i="1"/>
  <c r="BX148" i="1"/>
  <c r="BW148" i="1"/>
  <c r="BU148" i="1"/>
  <c r="BT148" i="1"/>
  <c r="BS148" i="1"/>
  <c r="BR148" i="1"/>
  <c r="BQ148" i="1"/>
  <c r="BZ148" i="1" s="1"/>
  <c r="CD148" i="1" s="1"/>
  <c r="CF148" i="1" s="1"/>
  <c r="CG148" i="1"/>
  <c r="CJ147" i="1"/>
  <c r="CI147" i="1"/>
  <c r="CH147" i="1"/>
  <c r="CC147" i="1"/>
  <c r="CB147" i="1"/>
  <c r="CA147" i="1"/>
  <c r="BY147" i="1"/>
  <c r="BX147" i="1"/>
  <c r="BW147" i="1"/>
  <c r="BU147" i="1"/>
  <c r="BT147" i="1"/>
  <c r="BS147" i="1"/>
  <c r="BR147" i="1"/>
  <c r="BQ147" i="1"/>
  <c r="CG147" i="1"/>
  <c r="CJ146" i="1"/>
  <c r="CI146" i="1"/>
  <c r="CF146" i="1" s="1"/>
  <c r="CH146" i="1"/>
  <c r="CC146" i="1"/>
  <c r="CB146" i="1"/>
  <c r="CA146" i="1"/>
  <c r="BY146" i="1"/>
  <c r="BX146" i="1"/>
  <c r="BW146" i="1"/>
  <c r="BU146" i="1"/>
  <c r="BT146" i="1"/>
  <c r="BS146" i="1"/>
  <c r="BR146" i="1"/>
  <c r="BQ146" i="1"/>
  <c r="CG146" i="1"/>
  <c r="CJ145" i="1"/>
  <c r="CK145" i="1" s="1"/>
  <c r="CI145" i="1"/>
  <c r="CH145" i="1"/>
  <c r="CC145" i="1"/>
  <c r="CB145" i="1"/>
  <c r="CA145" i="1"/>
  <c r="BY145" i="1"/>
  <c r="BX145" i="1"/>
  <c r="BW145" i="1"/>
  <c r="BU145" i="1"/>
  <c r="BT145" i="1"/>
  <c r="BS145" i="1"/>
  <c r="BR145" i="1"/>
  <c r="BQ145" i="1"/>
  <c r="CG145" i="1"/>
  <c r="CJ144" i="1"/>
  <c r="CI144" i="1"/>
  <c r="CH144" i="1"/>
  <c r="CC144" i="1"/>
  <c r="CB144" i="1"/>
  <c r="CA144" i="1"/>
  <c r="BY144" i="1"/>
  <c r="BX144" i="1"/>
  <c r="BW144" i="1"/>
  <c r="BU144" i="1"/>
  <c r="BT144" i="1"/>
  <c r="BS144" i="1"/>
  <c r="BR144" i="1"/>
  <c r="BQ144" i="1"/>
  <c r="CG144" i="1"/>
  <c r="CJ143" i="1"/>
  <c r="CI143" i="1"/>
  <c r="CH143" i="1"/>
  <c r="CC143" i="1"/>
  <c r="CB143" i="1"/>
  <c r="CA143" i="1"/>
  <c r="BY143" i="1"/>
  <c r="CG143" i="1" s="1"/>
  <c r="BX143" i="1"/>
  <c r="BW143" i="1"/>
  <c r="BU143" i="1"/>
  <c r="BT143" i="1"/>
  <c r="BS143" i="1"/>
  <c r="BR143" i="1"/>
  <c r="BQ143" i="1"/>
  <c r="CJ142" i="1"/>
  <c r="CI142" i="1"/>
  <c r="CF142" i="1" s="1"/>
  <c r="CH142" i="1"/>
  <c r="CC142" i="1"/>
  <c r="CB142" i="1"/>
  <c r="CA142" i="1"/>
  <c r="BY142" i="1"/>
  <c r="CG142" i="1" s="1"/>
  <c r="BX142" i="1"/>
  <c r="BW142" i="1"/>
  <c r="BU142" i="1"/>
  <c r="BT142" i="1"/>
  <c r="BS142" i="1"/>
  <c r="BR142" i="1"/>
  <c r="BQ142" i="1"/>
  <c r="CJ141" i="1"/>
  <c r="CI141" i="1"/>
  <c r="CH141" i="1"/>
  <c r="CC141" i="1"/>
  <c r="CB141" i="1"/>
  <c r="CA141" i="1"/>
  <c r="BY141" i="1"/>
  <c r="CG141" i="1" s="1"/>
  <c r="BX141" i="1"/>
  <c r="BW141" i="1"/>
  <c r="BU141" i="1"/>
  <c r="BT141" i="1"/>
  <c r="BS141" i="1"/>
  <c r="BR141" i="1"/>
  <c r="BQ141" i="1"/>
  <c r="CJ140" i="1"/>
  <c r="CK140" i="1" s="1"/>
  <c r="CI140" i="1"/>
  <c r="CF140" i="1" s="1"/>
  <c r="CH140" i="1"/>
  <c r="CC140" i="1"/>
  <c r="CB140" i="1"/>
  <c r="CA140" i="1"/>
  <c r="BY140" i="1"/>
  <c r="BX140" i="1"/>
  <c r="BW140" i="1"/>
  <c r="BU140" i="1"/>
  <c r="BT140" i="1"/>
  <c r="BS140" i="1"/>
  <c r="BR140" i="1"/>
  <c r="BQ140" i="1"/>
  <c r="CG140" i="1"/>
  <c r="CJ139" i="1"/>
  <c r="CI139" i="1"/>
  <c r="CH139" i="1"/>
  <c r="CC139" i="1"/>
  <c r="CB139" i="1"/>
  <c r="CA139" i="1"/>
  <c r="BY139" i="1"/>
  <c r="BX139" i="1"/>
  <c r="BW139" i="1"/>
  <c r="BU139" i="1"/>
  <c r="BT139" i="1"/>
  <c r="BS139" i="1"/>
  <c r="BR139" i="1"/>
  <c r="BQ139" i="1"/>
  <c r="CG139" i="1"/>
  <c r="CJ138" i="1"/>
  <c r="CI138" i="1"/>
  <c r="CH138" i="1"/>
  <c r="CC138" i="1"/>
  <c r="CB138" i="1"/>
  <c r="CA138" i="1"/>
  <c r="BY138" i="1"/>
  <c r="BX138" i="1"/>
  <c r="BW138" i="1"/>
  <c r="BU138" i="1"/>
  <c r="BT138" i="1"/>
  <c r="BS138" i="1"/>
  <c r="BR138" i="1"/>
  <c r="BQ138" i="1"/>
  <c r="CG138" i="1"/>
  <c r="CJ137" i="1"/>
  <c r="CI137" i="1"/>
  <c r="CH137" i="1"/>
  <c r="CC137" i="1"/>
  <c r="CB137" i="1"/>
  <c r="CA137" i="1"/>
  <c r="BY137" i="1"/>
  <c r="BX137" i="1"/>
  <c r="BW137" i="1"/>
  <c r="BU137" i="1"/>
  <c r="BT137" i="1"/>
  <c r="BS137" i="1"/>
  <c r="BR137" i="1"/>
  <c r="BQ137" i="1"/>
  <c r="CG137" i="1"/>
  <c r="CJ136" i="1"/>
  <c r="CK136" i="1" s="1"/>
  <c r="CI136" i="1"/>
  <c r="CH136" i="1"/>
  <c r="CC136" i="1"/>
  <c r="CB136" i="1"/>
  <c r="CA136" i="1"/>
  <c r="BY136" i="1"/>
  <c r="BX136" i="1"/>
  <c r="BW136" i="1"/>
  <c r="BU136" i="1"/>
  <c r="BT136" i="1"/>
  <c r="BS136" i="1"/>
  <c r="BR136" i="1"/>
  <c r="BQ136" i="1"/>
  <c r="CG136" i="1"/>
  <c r="CJ135" i="1"/>
  <c r="CI135" i="1"/>
  <c r="CH135" i="1"/>
  <c r="CC135" i="1"/>
  <c r="CB135" i="1"/>
  <c r="CA135" i="1"/>
  <c r="BY135" i="1"/>
  <c r="BX135" i="1"/>
  <c r="BW135" i="1"/>
  <c r="BU135" i="1"/>
  <c r="BT135" i="1"/>
  <c r="BS135" i="1"/>
  <c r="BR135" i="1"/>
  <c r="BQ135" i="1"/>
  <c r="CG135" i="1"/>
  <c r="CJ134" i="1"/>
  <c r="CI134" i="1"/>
  <c r="CH134" i="1"/>
  <c r="CC134" i="1"/>
  <c r="CB134" i="1"/>
  <c r="CA134" i="1"/>
  <c r="BY134" i="1"/>
  <c r="BX134" i="1"/>
  <c r="BW134" i="1"/>
  <c r="BU134" i="1"/>
  <c r="BT134" i="1"/>
  <c r="BS134" i="1"/>
  <c r="BR134" i="1"/>
  <c r="BQ134" i="1"/>
  <c r="CG134" i="1"/>
  <c r="CJ133" i="1"/>
  <c r="CI133" i="1"/>
  <c r="CH133" i="1"/>
  <c r="CC133" i="1"/>
  <c r="CB133" i="1"/>
  <c r="CA133" i="1"/>
  <c r="BY133" i="1"/>
  <c r="BX133" i="1"/>
  <c r="BW133" i="1"/>
  <c r="BU133" i="1"/>
  <c r="BT133" i="1"/>
  <c r="BS133" i="1"/>
  <c r="BR133" i="1"/>
  <c r="BQ133" i="1"/>
  <c r="CG133" i="1"/>
  <c r="CJ132" i="1"/>
  <c r="CK132" i="1" s="1"/>
  <c r="CI132" i="1"/>
  <c r="CH132" i="1"/>
  <c r="CC132" i="1"/>
  <c r="CB132" i="1"/>
  <c r="CA132" i="1"/>
  <c r="BY132" i="1"/>
  <c r="BX132" i="1"/>
  <c r="BW132" i="1"/>
  <c r="BU132" i="1"/>
  <c r="BT132" i="1"/>
  <c r="BS132" i="1"/>
  <c r="BR132" i="1"/>
  <c r="BQ132" i="1"/>
  <c r="CG132" i="1"/>
  <c r="CJ131" i="1"/>
  <c r="CI131" i="1"/>
  <c r="CH131" i="1"/>
  <c r="CC131" i="1"/>
  <c r="CB131" i="1"/>
  <c r="CA131" i="1"/>
  <c r="BY131" i="1"/>
  <c r="BX131" i="1"/>
  <c r="BW131" i="1"/>
  <c r="BU131" i="1"/>
  <c r="BT131" i="1"/>
  <c r="BS131" i="1"/>
  <c r="BR131" i="1"/>
  <c r="BQ131" i="1"/>
  <c r="CG131" i="1"/>
  <c r="CJ130" i="1"/>
  <c r="CI130" i="1"/>
  <c r="CH130" i="1"/>
  <c r="CC130" i="1"/>
  <c r="CB130" i="1"/>
  <c r="CA130" i="1"/>
  <c r="BY130" i="1"/>
  <c r="BX130" i="1"/>
  <c r="BW130" i="1"/>
  <c r="BU130" i="1"/>
  <c r="BT130" i="1"/>
  <c r="BS130" i="1"/>
  <c r="BR130" i="1"/>
  <c r="BQ130" i="1"/>
  <c r="CG130" i="1"/>
  <c r="CJ129" i="1"/>
  <c r="CI129" i="1"/>
  <c r="CH129" i="1"/>
  <c r="CC129" i="1"/>
  <c r="CB129" i="1"/>
  <c r="CA129" i="1"/>
  <c r="BY129" i="1"/>
  <c r="BX129" i="1"/>
  <c r="BW129" i="1"/>
  <c r="BU129" i="1"/>
  <c r="BT129" i="1"/>
  <c r="BS129" i="1"/>
  <c r="BR129" i="1"/>
  <c r="BQ129" i="1"/>
  <c r="CG129" i="1"/>
  <c r="CJ128" i="1"/>
  <c r="CK128" i="1" s="1"/>
  <c r="CI128" i="1"/>
  <c r="CH128" i="1"/>
  <c r="CC128" i="1"/>
  <c r="CB128" i="1"/>
  <c r="CA128" i="1"/>
  <c r="BY128" i="1"/>
  <c r="BX128" i="1"/>
  <c r="BW128" i="1"/>
  <c r="BU128" i="1"/>
  <c r="BT128" i="1"/>
  <c r="BS128" i="1"/>
  <c r="BR128" i="1"/>
  <c r="BQ128" i="1"/>
  <c r="CG128" i="1"/>
  <c r="CJ127" i="1"/>
  <c r="CI127" i="1"/>
  <c r="CF127" i="1" s="1"/>
  <c r="CH127" i="1"/>
  <c r="CC127" i="1"/>
  <c r="CB127" i="1"/>
  <c r="CA127" i="1"/>
  <c r="BY127" i="1"/>
  <c r="BX127" i="1"/>
  <c r="BW127" i="1"/>
  <c r="BU127" i="1"/>
  <c r="BT127" i="1"/>
  <c r="BS127" i="1"/>
  <c r="BR127" i="1"/>
  <c r="BQ127" i="1"/>
  <c r="CG127" i="1"/>
  <c r="CJ126" i="1"/>
  <c r="CI126" i="1"/>
  <c r="CH126" i="1"/>
  <c r="CC126" i="1"/>
  <c r="CB126" i="1"/>
  <c r="CA126" i="1"/>
  <c r="BY126" i="1"/>
  <c r="CG126" i="1" s="1"/>
  <c r="BX126" i="1"/>
  <c r="BW126" i="1"/>
  <c r="BU126" i="1"/>
  <c r="BT126" i="1"/>
  <c r="BS126" i="1"/>
  <c r="BR126" i="1"/>
  <c r="BQ126" i="1"/>
  <c r="CJ125" i="1"/>
  <c r="CK125" i="1" s="1"/>
  <c r="CI125" i="1"/>
  <c r="CH125" i="1"/>
  <c r="CC125" i="1"/>
  <c r="CB125" i="1"/>
  <c r="CA125" i="1"/>
  <c r="BY125" i="1"/>
  <c r="CG125" i="1" s="1"/>
  <c r="BX125" i="1"/>
  <c r="BW125" i="1"/>
  <c r="BU125" i="1"/>
  <c r="BT125" i="1"/>
  <c r="BS125" i="1"/>
  <c r="BR125" i="1"/>
  <c r="BQ125" i="1"/>
  <c r="CJ124" i="1"/>
  <c r="CI124" i="1"/>
  <c r="CF124" i="1" s="1"/>
  <c r="CH124" i="1"/>
  <c r="CC124" i="1"/>
  <c r="CB124" i="1"/>
  <c r="CA124" i="1"/>
  <c r="CK124" i="1" s="1"/>
  <c r="BY124" i="1"/>
  <c r="CG124" i="1" s="1"/>
  <c r="BX124" i="1"/>
  <c r="BW124" i="1"/>
  <c r="BU124" i="1"/>
  <c r="BT124" i="1"/>
  <c r="BS124" i="1"/>
  <c r="BR124" i="1"/>
  <c r="BQ124" i="1"/>
  <c r="BZ124" i="1" s="1"/>
  <c r="CJ123" i="1"/>
  <c r="CI123" i="1"/>
  <c r="CH123" i="1"/>
  <c r="CC123" i="1"/>
  <c r="CB123" i="1"/>
  <c r="CA123" i="1"/>
  <c r="BY123" i="1"/>
  <c r="CG123" i="1" s="1"/>
  <c r="BX123" i="1"/>
  <c r="BW123" i="1"/>
  <c r="BU123" i="1"/>
  <c r="BT123" i="1"/>
  <c r="BS123" i="1"/>
  <c r="BR123" i="1"/>
  <c r="BQ123" i="1"/>
  <c r="CJ122" i="1"/>
  <c r="CI122" i="1"/>
  <c r="CH122" i="1"/>
  <c r="CC122" i="1"/>
  <c r="CB122" i="1"/>
  <c r="CA122" i="1"/>
  <c r="BY122" i="1"/>
  <c r="CG122" i="1" s="1"/>
  <c r="BX122" i="1"/>
  <c r="BW122" i="1"/>
  <c r="BU122" i="1"/>
  <c r="BT122" i="1"/>
  <c r="BS122" i="1"/>
  <c r="BR122" i="1"/>
  <c r="BQ122" i="1"/>
  <c r="CJ121" i="1"/>
  <c r="CK121" i="1" s="1"/>
  <c r="CI121" i="1"/>
  <c r="CH121" i="1"/>
  <c r="CC121" i="1"/>
  <c r="CB121" i="1"/>
  <c r="CA121" i="1"/>
  <c r="BY121" i="1"/>
  <c r="CG121" i="1" s="1"/>
  <c r="BX121" i="1"/>
  <c r="BW121" i="1"/>
  <c r="BU121" i="1"/>
  <c r="BT121" i="1"/>
  <c r="BS121" i="1"/>
  <c r="BR121" i="1"/>
  <c r="BQ121" i="1"/>
  <c r="CJ120" i="1"/>
  <c r="CI120" i="1"/>
  <c r="CF120" i="1" s="1"/>
  <c r="CH120" i="1"/>
  <c r="CC120" i="1"/>
  <c r="CB120" i="1"/>
  <c r="CA120" i="1"/>
  <c r="BY120" i="1"/>
  <c r="CG120" i="1" s="1"/>
  <c r="BX120" i="1"/>
  <c r="BW120" i="1"/>
  <c r="BU120" i="1"/>
  <c r="BT120" i="1"/>
  <c r="BS120" i="1"/>
  <c r="BR120" i="1"/>
  <c r="BQ120" i="1"/>
  <c r="CJ119" i="1"/>
  <c r="CI119" i="1"/>
  <c r="CH119" i="1"/>
  <c r="CC119" i="1"/>
  <c r="CB119" i="1"/>
  <c r="CA119" i="1"/>
  <c r="BY119" i="1"/>
  <c r="CG119" i="1" s="1"/>
  <c r="BX119" i="1"/>
  <c r="BW119" i="1"/>
  <c r="BU119" i="1"/>
  <c r="BT119" i="1"/>
  <c r="BS119" i="1"/>
  <c r="BR119" i="1"/>
  <c r="BQ119" i="1"/>
  <c r="CJ118" i="1"/>
  <c r="CI118" i="1"/>
  <c r="CH118" i="1"/>
  <c r="CC118" i="1"/>
  <c r="CB118" i="1"/>
  <c r="CA118" i="1"/>
  <c r="BY118" i="1"/>
  <c r="CG118" i="1" s="1"/>
  <c r="BX118" i="1"/>
  <c r="BW118" i="1"/>
  <c r="BU118" i="1"/>
  <c r="BT118" i="1"/>
  <c r="BS118" i="1"/>
  <c r="BR118" i="1"/>
  <c r="BQ118" i="1"/>
  <c r="CJ117" i="1"/>
  <c r="CK117" i="1" s="1"/>
  <c r="CI117" i="1"/>
  <c r="CF117" i="1" s="1"/>
  <c r="CH117" i="1"/>
  <c r="CC117" i="1"/>
  <c r="CB117" i="1"/>
  <c r="CA117" i="1"/>
  <c r="BY117" i="1"/>
  <c r="BX117" i="1"/>
  <c r="BW117" i="1"/>
  <c r="BU117" i="1"/>
  <c r="BT117" i="1"/>
  <c r="BS117" i="1"/>
  <c r="BR117" i="1"/>
  <c r="BQ117" i="1"/>
  <c r="CG117" i="1"/>
  <c r="CJ116" i="1"/>
  <c r="CI116" i="1"/>
  <c r="CH116" i="1"/>
  <c r="CC116" i="1"/>
  <c r="CB116" i="1"/>
  <c r="CA116" i="1"/>
  <c r="BY116" i="1"/>
  <c r="BX116" i="1"/>
  <c r="BW116" i="1"/>
  <c r="BU116" i="1"/>
  <c r="BT116" i="1"/>
  <c r="BS116" i="1"/>
  <c r="BR116" i="1"/>
  <c r="BQ116" i="1"/>
  <c r="CG116" i="1"/>
  <c r="CJ115" i="1"/>
  <c r="CI115" i="1"/>
  <c r="CH115" i="1"/>
  <c r="CC115" i="1"/>
  <c r="CB115" i="1"/>
  <c r="CA115" i="1"/>
  <c r="BY115" i="1"/>
  <c r="BX115" i="1"/>
  <c r="BW115" i="1"/>
  <c r="BU115" i="1"/>
  <c r="BT115" i="1"/>
  <c r="BS115" i="1"/>
  <c r="BR115" i="1"/>
  <c r="BQ115" i="1"/>
  <c r="CG115" i="1"/>
  <c r="CJ114" i="1"/>
  <c r="CI114" i="1"/>
  <c r="CH114" i="1"/>
  <c r="CC114" i="1"/>
  <c r="CB114" i="1"/>
  <c r="CA114" i="1"/>
  <c r="BY114" i="1"/>
  <c r="BX114" i="1"/>
  <c r="BW114" i="1"/>
  <c r="BU114" i="1"/>
  <c r="BT114" i="1"/>
  <c r="BS114" i="1"/>
  <c r="BR114" i="1"/>
  <c r="BQ114" i="1"/>
  <c r="CG114" i="1"/>
  <c r="CJ113" i="1"/>
  <c r="CK113" i="1" s="1"/>
  <c r="CI113" i="1"/>
  <c r="CH113" i="1"/>
  <c r="CC113" i="1"/>
  <c r="CB113" i="1"/>
  <c r="CA113" i="1"/>
  <c r="BY113" i="1"/>
  <c r="BX113" i="1"/>
  <c r="BW113" i="1"/>
  <c r="BU113" i="1"/>
  <c r="BT113" i="1"/>
  <c r="BS113" i="1"/>
  <c r="BR113" i="1"/>
  <c r="BQ113" i="1"/>
  <c r="CG113" i="1"/>
  <c r="CJ112" i="1"/>
  <c r="CI112" i="1"/>
  <c r="CH112" i="1"/>
  <c r="CC112" i="1"/>
  <c r="CB112" i="1"/>
  <c r="CA112" i="1"/>
  <c r="BY112" i="1"/>
  <c r="BX112" i="1"/>
  <c r="BW112" i="1"/>
  <c r="BU112" i="1"/>
  <c r="BT112" i="1"/>
  <c r="BS112" i="1"/>
  <c r="BR112" i="1"/>
  <c r="BQ112" i="1"/>
  <c r="CG112" i="1"/>
  <c r="CJ111" i="1"/>
  <c r="CI111" i="1"/>
  <c r="CH111" i="1"/>
  <c r="CC111" i="1"/>
  <c r="CB111" i="1"/>
  <c r="CA111" i="1"/>
  <c r="BY111" i="1"/>
  <c r="BX111" i="1"/>
  <c r="BW111" i="1"/>
  <c r="BU111" i="1"/>
  <c r="BT111" i="1"/>
  <c r="BS111" i="1"/>
  <c r="BR111" i="1"/>
  <c r="BQ111" i="1"/>
  <c r="CG111" i="1"/>
  <c r="CJ110" i="1"/>
  <c r="CI110" i="1"/>
  <c r="CH110" i="1"/>
  <c r="CC110" i="1"/>
  <c r="CB110" i="1"/>
  <c r="CA110" i="1"/>
  <c r="BY110" i="1"/>
  <c r="BX110" i="1"/>
  <c r="BW110" i="1"/>
  <c r="BU110" i="1"/>
  <c r="BT110" i="1"/>
  <c r="BS110" i="1"/>
  <c r="BR110" i="1"/>
  <c r="BQ110" i="1"/>
  <c r="CG110" i="1"/>
  <c r="CJ109" i="1"/>
  <c r="CK109" i="1" s="1"/>
  <c r="CI109" i="1"/>
  <c r="CH109" i="1"/>
  <c r="CC109" i="1"/>
  <c r="CB109" i="1"/>
  <c r="CA109" i="1"/>
  <c r="BY109" i="1"/>
  <c r="BX109" i="1"/>
  <c r="BW109" i="1"/>
  <c r="BU109" i="1"/>
  <c r="BT109" i="1"/>
  <c r="BS109" i="1"/>
  <c r="BR109" i="1"/>
  <c r="BQ109" i="1"/>
  <c r="CG109" i="1"/>
  <c r="CJ108" i="1"/>
  <c r="CI108" i="1"/>
  <c r="CH108" i="1"/>
  <c r="CC108" i="1"/>
  <c r="CB108" i="1"/>
  <c r="CA108" i="1"/>
  <c r="BY108" i="1"/>
  <c r="BX108" i="1"/>
  <c r="BW108" i="1"/>
  <c r="BU108" i="1"/>
  <c r="BT108" i="1"/>
  <c r="BS108" i="1"/>
  <c r="BR108" i="1"/>
  <c r="BQ108" i="1"/>
  <c r="CG108" i="1"/>
  <c r="CJ107" i="1"/>
  <c r="CI107" i="1"/>
  <c r="CH107" i="1"/>
  <c r="CC107" i="1"/>
  <c r="CB107" i="1"/>
  <c r="CA107" i="1"/>
  <c r="BY107" i="1"/>
  <c r="BX107" i="1"/>
  <c r="BW107" i="1"/>
  <c r="BU107" i="1"/>
  <c r="BT107" i="1"/>
  <c r="BS107" i="1"/>
  <c r="BR107" i="1"/>
  <c r="BQ107" i="1"/>
  <c r="CG107" i="1"/>
  <c r="CJ106" i="1"/>
  <c r="CI106" i="1"/>
  <c r="CF106" i="1" s="1"/>
  <c r="CH106" i="1"/>
  <c r="CC106" i="1"/>
  <c r="CB106" i="1"/>
  <c r="CA106" i="1"/>
  <c r="BY106" i="1"/>
  <c r="BX106" i="1"/>
  <c r="BW106" i="1"/>
  <c r="BU106" i="1"/>
  <c r="BT106" i="1"/>
  <c r="BS106" i="1"/>
  <c r="BR106" i="1"/>
  <c r="BQ106" i="1"/>
  <c r="CG106" i="1"/>
  <c r="CJ105" i="1"/>
  <c r="CK105" i="1" s="1"/>
  <c r="CI105" i="1"/>
  <c r="CH105" i="1"/>
  <c r="CC105" i="1"/>
  <c r="CB105" i="1"/>
  <c r="CA105" i="1"/>
  <c r="BY105" i="1"/>
  <c r="BX105" i="1"/>
  <c r="BW105" i="1"/>
  <c r="BU105" i="1"/>
  <c r="BT105" i="1"/>
  <c r="BS105" i="1"/>
  <c r="BR105" i="1"/>
  <c r="BQ105" i="1"/>
  <c r="CG105" i="1"/>
  <c r="CJ104" i="1"/>
  <c r="CI104" i="1"/>
  <c r="CH104" i="1"/>
  <c r="CC104" i="1"/>
  <c r="CB104" i="1"/>
  <c r="CA104" i="1"/>
  <c r="BY104" i="1"/>
  <c r="BX104" i="1"/>
  <c r="BW104" i="1"/>
  <c r="BU104" i="1"/>
  <c r="BT104" i="1"/>
  <c r="BS104" i="1"/>
  <c r="BR104" i="1"/>
  <c r="BQ104" i="1"/>
  <c r="CG104" i="1"/>
  <c r="CJ103" i="1"/>
  <c r="CI103" i="1"/>
  <c r="CH103" i="1"/>
  <c r="CC103" i="1"/>
  <c r="CB103" i="1"/>
  <c r="CA103" i="1"/>
  <c r="BY103" i="1"/>
  <c r="BX103" i="1"/>
  <c r="BW103" i="1"/>
  <c r="BU103" i="1"/>
  <c r="BT103" i="1"/>
  <c r="BS103" i="1"/>
  <c r="BR103" i="1"/>
  <c r="BQ103" i="1"/>
  <c r="CG103" i="1"/>
  <c r="CJ102" i="1"/>
  <c r="CI102" i="1"/>
  <c r="CH102" i="1"/>
  <c r="CC102" i="1"/>
  <c r="CB102" i="1"/>
  <c r="CA102" i="1"/>
  <c r="BY102" i="1"/>
  <c r="BX102" i="1"/>
  <c r="BW102" i="1"/>
  <c r="BU102" i="1"/>
  <c r="BT102" i="1"/>
  <c r="BS102" i="1"/>
  <c r="BR102" i="1"/>
  <c r="BQ102" i="1"/>
  <c r="CG102" i="1"/>
  <c r="CJ101" i="1"/>
  <c r="CK101" i="1" s="1"/>
  <c r="CI101" i="1"/>
  <c r="CH101" i="1"/>
  <c r="CC101" i="1"/>
  <c r="CB101" i="1"/>
  <c r="CA101" i="1"/>
  <c r="BY101" i="1"/>
  <c r="BX101" i="1"/>
  <c r="BW101" i="1"/>
  <c r="BU101" i="1"/>
  <c r="BT101" i="1"/>
  <c r="BS101" i="1"/>
  <c r="BR101" i="1"/>
  <c r="BQ101" i="1"/>
  <c r="CG101" i="1"/>
  <c r="CJ100" i="1"/>
  <c r="CI100" i="1"/>
  <c r="CH100" i="1"/>
  <c r="CC100" i="1"/>
  <c r="CB100" i="1"/>
  <c r="CA100" i="1"/>
  <c r="BY100" i="1"/>
  <c r="BX100" i="1"/>
  <c r="BW100" i="1"/>
  <c r="BU100" i="1"/>
  <c r="BT100" i="1"/>
  <c r="BS100" i="1"/>
  <c r="BR100" i="1"/>
  <c r="BQ100" i="1"/>
  <c r="CG100" i="1"/>
  <c r="CJ99" i="1"/>
  <c r="CI99" i="1"/>
  <c r="CH99" i="1"/>
  <c r="CC99" i="1"/>
  <c r="CB99" i="1"/>
  <c r="CA99" i="1"/>
  <c r="BY99" i="1"/>
  <c r="BX99" i="1"/>
  <c r="BW99" i="1"/>
  <c r="BU99" i="1"/>
  <c r="BT99" i="1"/>
  <c r="BS99" i="1"/>
  <c r="BR99" i="1"/>
  <c r="BQ99" i="1"/>
  <c r="CG99" i="1"/>
  <c r="CJ98" i="1"/>
  <c r="CI98" i="1"/>
  <c r="CH98" i="1"/>
  <c r="CC98" i="1"/>
  <c r="CB98" i="1"/>
  <c r="CA98" i="1"/>
  <c r="BY98" i="1"/>
  <c r="BX98" i="1"/>
  <c r="BW98" i="1"/>
  <c r="BU98" i="1"/>
  <c r="BT98" i="1"/>
  <c r="BS98" i="1"/>
  <c r="BR98" i="1"/>
  <c r="BQ98" i="1"/>
  <c r="CG98" i="1"/>
  <c r="CJ97" i="1"/>
  <c r="CK97" i="1" s="1"/>
  <c r="CI97" i="1"/>
  <c r="CH97" i="1"/>
  <c r="CC97" i="1"/>
  <c r="CB97" i="1"/>
  <c r="CA97" i="1"/>
  <c r="BY97" i="1"/>
  <c r="BX97" i="1"/>
  <c r="BW97" i="1"/>
  <c r="BU97" i="1"/>
  <c r="BT97" i="1"/>
  <c r="BS97" i="1"/>
  <c r="BR97" i="1"/>
  <c r="BQ97" i="1"/>
  <c r="CG97" i="1"/>
  <c r="CJ96" i="1"/>
  <c r="CI96" i="1"/>
  <c r="CH96" i="1"/>
  <c r="CC96" i="1"/>
  <c r="CB96" i="1"/>
  <c r="CA96" i="1"/>
  <c r="BY96" i="1"/>
  <c r="BX96" i="1"/>
  <c r="BW96" i="1"/>
  <c r="BU96" i="1"/>
  <c r="BT96" i="1"/>
  <c r="BS96" i="1"/>
  <c r="BR96" i="1"/>
  <c r="BQ96" i="1"/>
  <c r="CG96" i="1"/>
  <c r="CJ95" i="1"/>
  <c r="CI95" i="1"/>
  <c r="CH95" i="1"/>
  <c r="CC95" i="1"/>
  <c r="CB95" i="1"/>
  <c r="CA95" i="1"/>
  <c r="BY95" i="1"/>
  <c r="CG95" i="1" s="1"/>
  <c r="BX95" i="1"/>
  <c r="BW95" i="1"/>
  <c r="BU95" i="1"/>
  <c r="BT95" i="1"/>
  <c r="BS95" i="1"/>
  <c r="BR95" i="1"/>
  <c r="BQ95" i="1"/>
  <c r="CJ94" i="1"/>
  <c r="CK94" i="1" s="1"/>
  <c r="CI94" i="1"/>
  <c r="CH94" i="1"/>
  <c r="CC94" i="1"/>
  <c r="CB94" i="1"/>
  <c r="CA94" i="1"/>
  <c r="BY94" i="1"/>
  <c r="CG94" i="1" s="1"/>
  <c r="BX94" i="1"/>
  <c r="BW94" i="1"/>
  <c r="BU94" i="1"/>
  <c r="BT94" i="1"/>
  <c r="BS94" i="1"/>
  <c r="BR94" i="1"/>
  <c r="BQ94" i="1"/>
  <c r="CJ93" i="1"/>
  <c r="CI93" i="1"/>
  <c r="CH93" i="1"/>
  <c r="CC93" i="1"/>
  <c r="CB93" i="1"/>
  <c r="CA93" i="1"/>
  <c r="BY93" i="1"/>
  <c r="CG93" i="1" s="1"/>
  <c r="BX93" i="1"/>
  <c r="BW93" i="1"/>
  <c r="BU93" i="1"/>
  <c r="BT93" i="1"/>
  <c r="BS93" i="1"/>
  <c r="BR93" i="1"/>
  <c r="BQ93" i="1"/>
  <c r="CJ92" i="1"/>
  <c r="CI92" i="1"/>
  <c r="CF92" i="1" s="1"/>
  <c r="CH92" i="1"/>
  <c r="CC92" i="1"/>
  <c r="CB92" i="1"/>
  <c r="CA92" i="1"/>
  <c r="BY92" i="1"/>
  <c r="CG92" i="1" s="1"/>
  <c r="BX92" i="1"/>
  <c r="BW92" i="1"/>
  <c r="BU92" i="1"/>
  <c r="BT92" i="1"/>
  <c r="BS92" i="1"/>
  <c r="BR92" i="1"/>
  <c r="BQ92" i="1"/>
  <c r="CJ91" i="1"/>
  <c r="CI91" i="1"/>
  <c r="CH91" i="1"/>
  <c r="CC91" i="1"/>
  <c r="CB91" i="1"/>
  <c r="CA91" i="1"/>
  <c r="BY91" i="1"/>
  <c r="CG91" i="1" s="1"/>
  <c r="BX91" i="1"/>
  <c r="BW91" i="1"/>
  <c r="BU91" i="1"/>
  <c r="BT91" i="1"/>
  <c r="BS91" i="1"/>
  <c r="BR91" i="1"/>
  <c r="BQ91" i="1"/>
  <c r="CJ90" i="1"/>
  <c r="CK90" i="1" s="1"/>
  <c r="CI90" i="1"/>
  <c r="CH90" i="1"/>
  <c r="CC90" i="1"/>
  <c r="CB90" i="1"/>
  <c r="CA90" i="1"/>
  <c r="BY90" i="1"/>
  <c r="CG90" i="1" s="1"/>
  <c r="BX90" i="1"/>
  <c r="BW90" i="1"/>
  <c r="BU90" i="1"/>
  <c r="BT90" i="1"/>
  <c r="BS90" i="1"/>
  <c r="BR90" i="1"/>
  <c r="BQ90" i="1"/>
  <c r="CJ89" i="1"/>
  <c r="CI89" i="1"/>
  <c r="CH89" i="1"/>
  <c r="CC89" i="1"/>
  <c r="CB89" i="1"/>
  <c r="CA89" i="1"/>
  <c r="BY89" i="1"/>
  <c r="CG89" i="1" s="1"/>
  <c r="BX89" i="1"/>
  <c r="BW89" i="1"/>
  <c r="BU89" i="1"/>
  <c r="BT89" i="1"/>
  <c r="BS89" i="1"/>
  <c r="BR89" i="1"/>
  <c r="BQ89" i="1"/>
  <c r="CJ88" i="1"/>
  <c r="CI88" i="1"/>
  <c r="CH88" i="1"/>
  <c r="CC88" i="1"/>
  <c r="CB88" i="1"/>
  <c r="CA88" i="1"/>
  <c r="BY88" i="1"/>
  <c r="CG88" i="1" s="1"/>
  <c r="BX88" i="1"/>
  <c r="BW88" i="1"/>
  <c r="BU88" i="1"/>
  <c r="BT88" i="1"/>
  <c r="BS88" i="1"/>
  <c r="BR88" i="1"/>
  <c r="BQ88" i="1"/>
  <c r="CJ87" i="1"/>
  <c r="CI87" i="1"/>
  <c r="CH87" i="1"/>
  <c r="CC87" i="1"/>
  <c r="CB87" i="1"/>
  <c r="CA87" i="1"/>
  <c r="BY87" i="1"/>
  <c r="CG87" i="1" s="1"/>
  <c r="BX87" i="1"/>
  <c r="BW87" i="1"/>
  <c r="BU87" i="1"/>
  <c r="BT87" i="1"/>
  <c r="BS87" i="1"/>
  <c r="BR87" i="1"/>
  <c r="BQ87" i="1"/>
  <c r="CJ86" i="1"/>
  <c r="CK86" i="1" s="1"/>
  <c r="CI86" i="1"/>
  <c r="CH86" i="1"/>
  <c r="CC86" i="1"/>
  <c r="CB86" i="1"/>
  <c r="CA86" i="1"/>
  <c r="BY86" i="1"/>
  <c r="CG86" i="1" s="1"/>
  <c r="BX86" i="1"/>
  <c r="BW86" i="1"/>
  <c r="BU86" i="1"/>
  <c r="BT86" i="1"/>
  <c r="BS86" i="1"/>
  <c r="BR86" i="1"/>
  <c r="BQ86" i="1"/>
  <c r="CJ85" i="1"/>
  <c r="CI85" i="1"/>
  <c r="CH85" i="1"/>
  <c r="CC85" i="1"/>
  <c r="CB85" i="1"/>
  <c r="CA85" i="1"/>
  <c r="BY85" i="1"/>
  <c r="CG85" i="1" s="1"/>
  <c r="BX85" i="1"/>
  <c r="BW85" i="1"/>
  <c r="BU85" i="1"/>
  <c r="BT85" i="1"/>
  <c r="BS85" i="1"/>
  <c r="BR85" i="1"/>
  <c r="BQ85" i="1"/>
  <c r="CJ84" i="1"/>
  <c r="CI84" i="1"/>
  <c r="CH84" i="1"/>
  <c r="CC84" i="1"/>
  <c r="CB84" i="1"/>
  <c r="CA84" i="1"/>
  <c r="BY84" i="1"/>
  <c r="CG84" i="1" s="1"/>
  <c r="BX84" i="1"/>
  <c r="BW84" i="1"/>
  <c r="BU84" i="1"/>
  <c r="BT84" i="1"/>
  <c r="BS84" i="1"/>
  <c r="BR84" i="1"/>
  <c r="BQ84" i="1"/>
  <c r="CJ83" i="1"/>
  <c r="CI83" i="1"/>
  <c r="CH83" i="1"/>
  <c r="CC83" i="1"/>
  <c r="CB83" i="1"/>
  <c r="CA83" i="1"/>
  <c r="BY83" i="1"/>
  <c r="BX83" i="1"/>
  <c r="BW83" i="1"/>
  <c r="BU83" i="1"/>
  <c r="BT83" i="1"/>
  <c r="BS83" i="1"/>
  <c r="BR83" i="1"/>
  <c r="BQ83" i="1"/>
  <c r="CG83" i="1"/>
  <c r="CJ82" i="1"/>
  <c r="CI82" i="1"/>
  <c r="CH82" i="1"/>
  <c r="CC82" i="1"/>
  <c r="CB82" i="1"/>
  <c r="CA82" i="1"/>
  <c r="BY82" i="1"/>
  <c r="BX82" i="1"/>
  <c r="BW82" i="1"/>
  <c r="BU82" i="1"/>
  <c r="BT82" i="1"/>
  <c r="BS82" i="1"/>
  <c r="BR82" i="1"/>
  <c r="BQ82" i="1"/>
  <c r="CG82" i="1"/>
  <c r="CJ81" i="1"/>
  <c r="CI81" i="1"/>
  <c r="CH81" i="1"/>
  <c r="CC81" i="1"/>
  <c r="CB81" i="1"/>
  <c r="CA81" i="1"/>
  <c r="BY81" i="1"/>
  <c r="BX81" i="1"/>
  <c r="BW81" i="1"/>
  <c r="BU81" i="1"/>
  <c r="BT81" i="1"/>
  <c r="BS81" i="1"/>
  <c r="BR81" i="1"/>
  <c r="BQ81" i="1"/>
  <c r="CG81" i="1"/>
  <c r="CJ80" i="1"/>
  <c r="CI80" i="1"/>
  <c r="CH80" i="1"/>
  <c r="CC80" i="1"/>
  <c r="CB80" i="1"/>
  <c r="CA80" i="1"/>
  <c r="BY80" i="1"/>
  <c r="BX80" i="1"/>
  <c r="BW80" i="1"/>
  <c r="BU80" i="1"/>
  <c r="BT80" i="1"/>
  <c r="BS80" i="1"/>
  <c r="BR80" i="1"/>
  <c r="BQ80" i="1"/>
  <c r="CG80" i="1"/>
  <c r="CJ79" i="1"/>
  <c r="CI79" i="1"/>
  <c r="CH79" i="1"/>
  <c r="CC79" i="1"/>
  <c r="CB79" i="1"/>
  <c r="CA79" i="1"/>
  <c r="BY79" i="1"/>
  <c r="BX79" i="1"/>
  <c r="BW79" i="1"/>
  <c r="BU79" i="1"/>
  <c r="BT79" i="1"/>
  <c r="BS79" i="1"/>
  <c r="BR79" i="1"/>
  <c r="BQ79" i="1"/>
  <c r="CG79" i="1"/>
  <c r="CJ78" i="1"/>
  <c r="CI78" i="1"/>
  <c r="CH78" i="1"/>
  <c r="CC78" i="1"/>
  <c r="CB78" i="1"/>
  <c r="CA78" i="1"/>
  <c r="BY78" i="1"/>
  <c r="BX78" i="1"/>
  <c r="BW78" i="1"/>
  <c r="BU78" i="1"/>
  <c r="BT78" i="1"/>
  <c r="BS78" i="1"/>
  <c r="BR78" i="1"/>
  <c r="BQ78" i="1"/>
  <c r="CG78" i="1"/>
  <c r="CJ77" i="1"/>
  <c r="CK77" i="1" s="1"/>
  <c r="CI77" i="1"/>
  <c r="CH77" i="1"/>
  <c r="CC77" i="1"/>
  <c r="CB77" i="1"/>
  <c r="CA77" i="1"/>
  <c r="BY77" i="1"/>
  <c r="BX77" i="1"/>
  <c r="BW77" i="1"/>
  <c r="BU77" i="1"/>
  <c r="BT77" i="1"/>
  <c r="BS77" i="1"/>
  <c r="BR77" i="1"/>
  <c r="BQ77" i="1"/>
  <c r="CG77" i="1"/>
  <c r="CJ76" i="1"/>
  <c r="CK76" i="1" s="1"/>
  <c r="CI76" i="1"/>
  <c r="CF76" i="1" s="1"/>
  <c r="CH76" i="1"/>
  <c r="CC76" i="1"/>
  <c r="CB76" i="1"/>
  <c r="CA76" i="1"/>
  <c r="BY76" i="1"/>
  <c r="CG76" i="1" s="1"/>
  <c r="BX76" i="1"/>
  <c r="BW76" i="1"/>
  <c r="BU76" i="1"/>
  <c r="BT76" i="1"/>
  <c r="BS76" i="1"/>
  <c r="BR76" i="1"/>
  <c r="BQ76" i="1"/>
  <c r="CJ75" i="1"/>
  <c r="CI75" i="1"/>
  <c r="CH75" i="1"/>
  <c r="CC75" i="1"/>
  <c r="CB75" i="1"/>
  <c r="CA75" i="1"/>
  <c r="BY75" i="1"/>
  <c r="BX75" i="1"/>
  <c r="BW75" i="1"/>
  <c r="BU75" i="1"/>
  <c r="BT75" i="1"/>
  <c r="BS75" i="1"/>
  <c r="BR75" i="1"/>
  <c r="BQ75" i="1"/>
  <c r="CG75" i="1"/>
  <c r="CJ74" i="1"/>
  <c r="CK74" i="1" s="1"/>
  <c r="CI74" i="1"/>
  <c r="CH74" i="1"/>
  <c r="CC74" i="1"/>
  <c r="CB74" i="1"/>
  <c r="CA74" i="1"/>
  <c r="BY74" i="1"/>
  <c r="CG74" i="1" s="1"/>
  <c r="BX74" i="1"/>
  <c r="BW74" i="1"/>
  <c r="BU74" i="1"/>
  <c r="BT74" i="1"/>
  <c r="BS74" i="1"/>
  <c r="BR74" i="1"/>
  <c r="BQ74" i="1"/>
  <c r="CJ73" i="1"/>
  <c r="CI73" i="1"/>
  <c r="CH73" i="1"/>
  <c r="CC73" i="1"/>
  <c r="CB73" i="1"/>
  <c r="CA73" i="1"/>
  <c r="BY73" i="1"/>
  <c r="CG73" i="1" s="1"/>
  <c r="BX73" i="1"/>
  <c r="BW73" i="1"/>
  <c r="BU73" i="1"/>
  <c r="BT73" i="1"/>
  <c r="BS73" i="1"/>
  <c r="BR73" i="1"/>
  <c r="BQ73" i="1"/>
  <c r="BZ73" i="1" s="1"/>
  <c r="CD73" i="1" s="1"/>
  <c r="CJ72" i="1"/>
  <c r="CK72" i="1" s="1"/>
  <c r="CI72" i="1"/>
  <c r="CH72" i="1"/>
  <c r="CC72" i="1"/>
  <c r="CB72" i="1"/>
  <c r="CA72" i="1"/>
  <c r="BY72" i="1"/>
  <c r="CG72" i="1" s="1"/>
  <c r="BX72" i="1"/>
  <c r="BW72" i="1"/>
  <c r="BU72" i="1"/>
  <c r="BT72" i="1"/>
  <c r="BS72" i="1"/>
  <c r="BR72" i="1"/>
  <c r="BQ72" i="1"/>
  <c r="CJ71" i="1"/>
  <c r="CI71" i="1"/>
  <c r="CH71" i="1"/>
  <c r="CC71" i="1"/>
  <c r="CB71" i="1"/>
  <c r="CA71" i="1"/>
  <c r="BY71" i="1"/>
  <c r="CG71" i="1" s="1"/>
  <c r="BX71" i="1"/>
  <c r="BW71" i="1"/>
  <c r="BU71" i="1"/>
  <c r="BT71" i="1"/>
  <c r="BS71" i="1"/>
  <c r="BR71" i="1"/>
  <c r="BQ71" i="1"/>
  <c r="BZ71" i="1" s="1"/>
  <c r="CD71" i="1" s="1"/>
  <c r="CJ70" i="1"/>
  <c r="CK70" i="1" s="1"/>
  <c r="CI70" i="1"/>
  <c r="CH70" i="1"/>
  <c r="CC70" i="1"/>
  <c r="CB70" i="1"/>
  <c r="CA70" i="1"/>
  <c r="BY70" i="1"/>
  <c r="CG70" i="1" s="1"/>
  <c r="BX70" i="1"/>
  <c r="BW70" i="1"/>
  <c r="BU70" i="1"/>
  <c r="BT70" i="1"/>
  <c r="BS70" i="1"/>
  <c r="BR70" i="1"/>
  <c r="BQ70" i="1"/>
  <c r="CJ69" i="1"/>
  <c r="CI69" i="1"/>
  <c r="CH69" i="1"/>
  <c r="CC69" i="1"/>
  <c r="CB69" i="1"/>
  <c r="CA69" i="1"/>
  <c r="BY69" i="1"/>
  <c r="BX69" i="1"/>
  <c r="BW69" i="1"/>
  <c r="BU69" i="1"/>
  <c r="BT69" i="1"/>
  <c r="BS69" i="1"/>
  <c r="BR69" i="1"/>
  <c r="BQ69" i="1"/>
  <c r="CG69" i="1"/>
  <c r="CJ68" i="1"/>
  <c r="CI68" i="1"/>
  <c r="CH68" i="1"/>
  <c r="CC68" i="1"/>
  <c r="CB68" i="1"/>
  <c r="CA68" i="1"/>
  <c r="BY68" i="1"/>
  <c r="BX68" i="1"/>
  <c r="BW68" i="1"/>
  <c r="BU68" i="1"/>
  <c r="BT68" i="1"/>
  <c r="BS68" i="1"/>
  <c r="BR68" i="1"/>
  <c r="BQ68" i="1"/>
  <c r="CG68" i="1"/>
  <c r="CJ67" i="1"/>
  <c r="CK67" i="1" s="1"/>
  <c r="CI67" i="1"/>
  <c r="CH67" i="1"/>
  <c r="CC67" i="1"/>
  <c r="CB67" i="1"/>
  <c r="CA67" i="1"/>
  <c r="BY67" i="1"/>
  <c r="BX67" i="1"/>
  <c r="BW67" i="1"/>
  <c r="BU67" i="1"/>
  <c r="BT67" i="1"/>
  <c r="BS67" i="1"/>
  <c r="BR67" i="1"/>
  <c r="BQ67" i="1"/>
  <c r="CG67" i="1"/>
  <c r="CJ66" i="1"/>
  <c r="CK66" i="1" s="1"/>
  <c r="CI66" i="1"/>
  <c r="CH66" i="1"/>
  <c r="CC66" i="1"/>
  <c r="CB66" i="1"/>
  <c r="CA66" i="1"/>
  <c r="BY66" i="1"/>
  <c r="CG66" i="1" s="1"/>
  <c r="BX66" i="1"/>
  <c r="BW66" i="1"/>
  <c r="BU66" i="1"/>
  <c r="BT66" i="1"/>
  <c r="BS66" i="1"/>
  <c r="BR66" i="1"/>
  <c r="BQ66" i="1"/>
  <c r="CJ65" i="1"/>
  <c r="CK65" i="1" s="1"/>
  <c r="CI65" i="1"/>
  <c r="CH65" i="1"/>
  <c r="CC65" i="1"/>
  <c r="CB65" i="1"/>
  <c r="CA65" i="1"/>
  <c r="BY65" i="1"/>
  <c r="BX65" i="1"/>
  <c r="BW65" i="1"/>
  <c r="BU65" i="1"/>
  <c r="BT65" i="1"/>
  <c r="BS65" i="1"/>
  <c r="BR65" i="1"/>
  <c r="BQ65" i="1"/>
  <c r="CG65" i="1"/>
  <c r="CJ64" i="1"/>
  <c r="CK64" i="1" s="1"/>
  <c r="CI64" i="1"/>
  <c r="CH64" i="1"/>
  <c r="CC64" i="1"/>
  <c r="CB64" i="1"/>
  <c r="CA64" i="1"/>
  <c r="BY64" i="1"/>
  <c r="BX64" i="1"/>
  <c r="BW64" i="1"/>
  <c r="BU64" i="1"/>
  <c r="BT64" i="1"/>
  <c r="BS64" i="1"/>
  <c r="BR64" i="1"/>
  <c r="BQ64" i="1"/>
  <c r="CG64" i="1"/>
  <c r="CJ63" i="1"/>
  <c r="CK63" i="1" s="1"/>
  <c r="CI63" i="1"/>
  <c r="CH63" i="1"/>
  <c r="CC63" i="1"/>
  <c r="CB63" i="1"/>
  <c r="CA63" i="1"/>
  <c r="BY63" i="1"/>
  <c r="BX63" i="1"/>
  <c r="BW63" i="1"/>
  <c r="BU63" i="1"/>
  <c r="BT63" i="1"/>
  <c r="BS63" i="1"/>
  <c r="BR63" i="1"/>
  <c r="BQ63" i="1"/>
  <c r="CG63" i="1"/>
  <c r="CJ62" i="1"/>
  <c r="CI62" i="1"/>
  <c r="CH62" i="1"/>
  <c r="CC62" i="1"/>
  <c r="CB62" i="1"/>
  <c r="CA62" i="1"/>
  <c r="BY62" i="1"/>
  <c r="CG62" i="1" s="1"/>
  <c r="BX62" i="1"/>
  <c r="BW62" i="1"/>
  <c r="BU62" i="1"/>
  <c r="BT62" i="1"/>
  <c r="BS62" i="1"/>
  <c r="BR62" i="1"/>
  <c r="BQ62" i="1"/>
  <c r="CJ61" i="1"/>
  <c r="CK61" i="1" s="1"/>
  <c r="CI61" i="1"/>
  <c r="CH61" i="1"/>
  <c r="CC61" i="1"/>
  <c r="CB61" i="1"/>
  <c r="CA61" i="1"/>
  <c r="BY61" i="1"/>
  <c r="BX61" i="1"/>
  <c r="BW61" i="1"/>
  <c r="BU61" i="1"/>
  <c r="BT61" i="1"/>
  <c r="BS61" i="1"/>
  <c r="BR61" i="1"/>
  <c r="BQ61" i="1"/>
  <c r="CG61" i="1"/>
  <c r="CJ60" i="1"/>
  <c r="CK60" i="1" s="1"/>
  <c r="CI60" i="1"/>
  <c r="CH60" i="1"/>
  <c r="CC60" i="1"/>
  <c r="CB60" i="1"/>
  <c r="CA60" i="1"/>
  <c r="BY60" i="1"/>
  <c r="BX60" i="1"/>
  <c r="BW60" i="1"/>
  <c r="BU60" i="1"/>
  <c r="BT60" i="1"/>
  <c r="BS60" i="1"/>
  <c r="BR60" i="1"/>
  <c r="BQ60" i="1"/>
  <c r="CG60" i="1"/>
  <c r="CJ59" i="1"/>
  <c r="CI59" i="1"/>
  <c r="CH59" i="1"/>
  <c r="CC59" i="1"/>
  <c r="CB59" i="1"/>
  <c r="CA59" i="1"/>
  <c r="BY59" i="1"/>
  <c r="BX59" i="1"/>
  <c r="BW59" i="1"/>
  <c r="BU59" i="1"/>
  <c r="BT59" i="1"/>
  <c r="BS59" i="1"/>
  <c r="BR59" i="1"/>
  <c r="BQ59" i="1"/>
  <c r="CG59" i="1"/>
  <c r="CJ58" i="1"/>
  <c r="CK58" i="1" s="1"/>
  <c r="CI58" i="1"/>
  <c r="CH58" i="1"/>
  <c r="CC58" i="1"/>
  <c r="CB58" i="1"/>
  <c r="CA58" i="1"/>
  <c r="BY58" i="1"/>
  <c r="CG58" i="1" s="1"/>
  <c r="BX58" i="1"/>
  <c r="BW58" i="1"/>
  <c r="BU58" i="1"/>
  <c r="BT58" i="1"/>
  <c r="BS58" i="1"/>
  <c r="BR58" i="1"/>
  <c r="BQ58" i="1"/>
  <c r="CJ57" i="1"/>
  <c r="CK57" i="1" s="1"/>
  <c r="CI57" i="1"/>
  <c r="CH57" i="1"/>
  <c r="CC57" i="1"/>
  <c r="CB57" i="1"/>
  <c r="CA57" i="1"/>
  <c r="BY57" i="1"/>
  <c r="BX57" i="1"/>
  <c r="BW57" i="1"/>
  <c r="BU57" i="1"/>
  <c r="BT57" i="1"/>
  <c r="BS57" i="1"/>
  <c r="BR57" i="1"/>
  <c r="BQ57" i="1"/>
  <c r="CG57" i="1"/>
  <c r="CJ56" i="1"/>
  <c r="CI56" i="1"/>
  <c r="CH56" i="1"/>
  <c r="CC56" i="1"/>
  <c r="CB56" i="1"/>
  <c r="CA56" i="1"/>
  <c r="BY56" i="1"/>
  <c r="BX56" i="1"/>
  <c r="BW56" i="1"/>
  <c r="BU56" i="1"/>
  <c r="BT56" i="1"/>
  <c r="BS56" i="1"/>
  <c r="BR56" i="1"/>
  <c r="BQ56" i="1"/>
  <c r="CG56" i="1"/>
  <c r="CJ55" i="1"/>
  <c r="CI55" i="1"/>
  <c r="CH55" i="1"/>
  <c r="CC55" i="1"/>
  <c r="CB55" i="1"/>
  <c r="CA55" i="1"/>
  <c r="BY55" i="1"/>
  <c r="BX55" i="1"/>
  <c r="BW55" i="1"/>
  <c r="BU55" i="1"/>
  <c r="BT55" i="1"/>
  <c r="BS55" i="1"/>
  <c r="BR55" i="1"/>
  <c r="BQ55" i="1"/>
  <c r="CG55" i="1"/>
  <c r="CJ54" i="1"/>
  <c r="CK54" i="1" s="1"/>
  <c r="CI54" i="1"/>
  <c r="CH54" i="1"/>
  <c r="CC54" i="1"/>
  <c r="CB54" i="1"/>
  <c r="CA54" i="1"/>
  <c r="BY54" i="1"/>
  <c r="CG54" i="1" s="1"/>
  <c r="BX54" i="1"/>
  <c r="BW54" i="1"/>
  <c r="BU54" i="1"/>
  <c r="BT54" i="1"/>
  <c r="BS54" i="1"/>
  <c r="BR54" i="1"/>
  <c r="BQ54" i="1"/>
  <c r="CJ53" i="1"/>
  <c r="CI53" i="1"/>
  <c r="CH53" i="1"/>
  <c r="CC53" i="1"/>
  <c r="CB53" i="1"/>
  <c r="CA53" i="1"/>
  <c r="BY53" i="1"/>
  <c r="BX53" i="1"/>
  <c r="BW53" i="1"/>
  <c r="BU53" i="1"/>
  <c r="BT53" i="1"/>
  <c r="BS53" i="1"/>
  <c r="BR53" i="1"/>
  <c r="BQ53" i="1"/>
  <c r="CG53" i="1"/>
  <c r="CJ52" i="1"/>
  <c r="CI52" i="1"/>
  <c r="CH52" i="1"/>
  <c r="CC52" i="1"/>
  <c r="CB52" i="1"/>
  <c r="CA52" i="1"/>
  <c r="BY52" i="1"/>
  <c r="CG52" i="1" s="1"/>
  <c r="BX52" i="1"/>
  <c r="BW52" i="1"/>
  <c r="BU52" i="1"/>
  <c r="BT52" i="1"/>
  <c r="BS52" i="1"/>
  <c r="BR52" i="1"/>
  <c r="BQ52" i="1"/>
  <c r="CJ51" i="1"/>
  <c r="CK51" i="1" s="1"/>
  <c r="CI51" i="1"/>
  <c r="CH51" i="1"/>
  <c r="CC51" i="1"/>
  <c r="CB51" i="1"/>
  <c r="CA51" i="1"/>
  <c r="BY51" i="1"/>
  <c r="BX51" i="1"/>
  <c r="BW51" i="1"/>
  <c r="BU51" i="1"/>
  <c r="BT51" i="1"/>
  <c r="BS51" i="1"/>
  <c r="BR51" i="1"/>
  <c r="BQ51" i="1"/>
  <c r="CG51" i="1"/>
  <c r="CJ50" i="1"/>
  <c r="CI50" i="1"/>
  <c r="CH50" i="1"/>
  <c r="CC50" i="1"/>
  <c r="CB50" i="1"/>
  <c r="CA50" i="1"/>
  <c r="BY50" i="1"/>
  <c r="BX50" i="1"/>
  <c r="BW50" i="1"/>
  <c r="BU50" i="1"/>
  <c r="BT50" i="1"/>
  <c r="BS50" i="1"/>
  <c r="BR50" i="1"/>
  <c r="BQ50" i="1"/>
  <c r="CG50" i="1"/>
  <c r="CJ49" i="1"/>
  <c r="CI49" i="1"/>
  <c r="CH49" i="1"/>
  <c r="CC49" i="1"/>
  <c r="CB49" i="1"/>
  <c r="CA49" i="1"/>
  <c r="BY49" i="1"/>
  <c r="BX49" i="1"/>
  <c r="BW49" i="1"/>
  <c r="BU49" i="1"/>
  <c r="BT49" i="1"/>
  <c r="BS49" i="1"/>
  <c r="BR49" i="1"/>
  <c r="BQ49" i="1"/>
  <c r="CG49" i="1"/>
  <c r="CJ48" i="1"/>
  <c r="CK48" i="1" s="1"/>
  <c r="CI48" i="1"/>
  <c r="CH48" i="1"/>
  <c r="CC48" i="1"/>
  <c r="CB48" i="1"/>
  <c r="CA48" i="1"/>
  <c r="BY48" i="1"/>
  <c r="BX48" i="1"/>
  <c r="BW48" i="1"/>
  <c r="BU48" i="1"/>
  <c r="BT48" i="1"/>
  <c r="BS48" i="1"/>
  <c r="BR48" i="1"/>
  <c r="BQ48" i="1"/>
  <c r="CG48" i="1"/>
  <c r="CJ47" i="1"/>
  <c r="CI47" i="1"/>
  <c r="CH47" i="1"/>
  <c r="CC47" i="1"/>
  <c r="CB47" i="1"/>
  <c r="CA47" i="1"/>
  <c r="BY47" i="1"/>
  <c r="CG47" i="1" s="1"/>
  <c r="BX47" i="1"/>
  <c r="BW47" i="1"/>
  <c r="BU47" i="1"/>
  <c r="BT47" i="1"/>
  <c r="BS47" i="1"/>
  <c r="BR47" i="1"/>
  <c r="BQ47" i="1"/>
  <c r="CJ46" i="1"/>
  <c r="CI46" i="1"/>
  <c r="CH46" i="1"/>
  <c r="CF46" i="1"/>
  <c r="CC46" i="1"/>
  <c r="CB46" i="1"/>
  <c r="CA46" i="1"/>
  <c r="BY46" i="1"/>
  <c r="BX46" i="1"/>
  <c r="BW46" i="1"/>
  <c r="BU46" i="1"/>
  <c r="BT46" i="1"/>
  <c r="BS46" i="1"/>
  <c r="BR46" i="1"/>
  <c r="BQ46" i="1"/>
  <c r="CG46" i="1"/>
  <c r="CJ45" i="1"/>
  <c r="CI45" i="1"/>
  <c r="CH45" i="1"/>
  <c r="CC45" i="1"/>
  <c r="CB45" i="1"/>
  <c r="CA45" i="1"/>
  <c r="BY45" i="1"/>
  <c r="BX45" i="1"/>
  <c r="BW45" i="1"/>
  <c r="BU45" i="1"/>
  <c r="BT45" i="1"/>
  <c r="BS45" i="1"/>
  <c r="BR45" i="1"/>
  <c r="BQ45" i="1"/>
  <c r="CG45" i="1"/>
  <c r="CJ44" i="1"/>
  <c r="CI44" i="1"/>
  <c r="CH44" i="1"/>
  <c r="CC44" i="1"/>
  <c r="CB44" i="1"/>
  <c r="CA44" i="1"/>
  <c r="BY44" i="1"/>
  <c r="CG44" i="1" s="1"/>
  <c r="BX44" i="1"/>
  <c r="BW44" i="1"/>
  <c r="BU44" i="1"/>
  <c r="BT44" i="1"/>
  <c r="BS44" i="1"/>
  <c r="BR44" i="1"/>
  <c r="BQ44" i="1"/>
  <c r="CJ43" i="1"/>
  <c r="CI43" i="1"/>
  <c r="CH43" i="1"/>
  <c r="CC43" i="1"/>
  <c r="CB43" i="1"/>
  <c r="CA43" i="1"/>
  <c r="BY43" i="1"/>
  <c r="CG43" i="1" s="1"/>
  <c r="BX43" i="1"/>
  <c r="BW43" i="1"/>
  <c r="BU43" i="1"/>
  <c r="BT43" i="1"/>
  <c r="BS43" i="1"/>
  <c r="BR43" i="1"/>
  <c r="BQ43" i="1"/>
  <c r="BZ43" i="1" s="1"/>
  <c r="CD43" i="1" s="1"/>
  <c r="CJ42" i="1"/>
  <c r="CK42" i="1" s="1"/>
  <c r="CI42" i="1"/>
  <c r="CH42" i="1"/>
  <c r="CC42" i="1"/>
  <c r="CB42" i="1"/>
  <c r="CA42" i="1"/>
  <c r="BY42" i="1"/>
  <c r="BX42" i="1"/>
  <c r="BW42" i="1"/>
  <c r="BU42" i="1"/>
  <c r="BT42" i="1"/>
  <c r="BS42" i="1"/>
  <c r="BR42" i="1"/>
  <c r="BQ42" i="1"/>
  <c r="CG42" i="1"/>
  <c r="CJ41" i="1"/>
  <c r="CK41" i="1" s="1"/>
  <c r="CI41" i="1"/>
  <c r="CH41" i="1"/>
  <c r="CC41" i="1"/>
  <c r="CB41" i="1"/>
  <c r="CA41" i="1"/>
  <c r="BY41" i="1"/>
  <c r="BX41" i="1"/>
  <c r="BW41" i="1"/>
  <c r="BU41" i="1"/>
  <c r="BT41" i="1"/>
  <c r="BS41" i="1"/>
  <c r="BR41" i="1"/>
  <c r="BQ41" i="1"/>
  <c r="CG41" i="1"/>
  <c r="CJ40" i="1"/>
  <c r="CI40" i="1"/>
  <c r="CH40" i="1"/>
  <c r="CC40" i="1"/>
  <c r="CB40" i="1"/>
  <c r="CA40" i="1"/>
  <c r="BY40" i="1"/>
  <c r="CG40" i="1" s="1"/>
  <c r="BX40" i="1"/>
  <c r="BW40" i="1"/>
  <c r="BU40" i="1"/>
  <c r="BT40" i="1"/>
  <c r="BS40" i="1"/>
  <c r="BR40" i="1"/>
  <c r="BQ40" i="1"/>
  <c r="CJ39" i="1"/>
  <c r="CK39" i="1" s="1"/>
  <c r="CI39" i="1"/>
  <c r="CH39" i="1"/>
  <c r="CC39" i="1"/>
  <c r="CB39" i="1"/>
  <c r="CA39" i="1"/>
  <c r="BY39" i="1"/>
  <c r="CG39" i="1" s="1"/>
  <c r="BX39" i="1"/>
  <c r="BW39" i="1"/>
  <c r="BU39" i="1"/>
  <c r="BT39" i="1"/>
  <c r="BS39" i="1"/>
  <c r="BR39" i="1"/>
  <c r="BQ39" i="1"/>
  <c r="CJ38" i="1"/>
  <c r="CI38" i="1"/>
  <c r="CH38" i="1"/>
  <c r="CC38" i="1"/>
  <c r="CB38" i="1"/>
  <c r="CA38" i="1"/>
  <c r="BY38" i="1"/>
  <c r="CG38" i="1" s="1"/>
  <c r="BX38" i="1"/>
  <c r="BW38" i="1"/>
  <c r="BU38" i="1"/>
  <c r="BT38" i="1"/>
  <c r="BS38" i="1"/>
  <c r="BR38" i="1"/>
  <c r="BQ38" i="1"/>
  <c r="CJ37" i="1"/>
  <c r="CK37" i="1" s="1"/>
  <c r="CI37" i="1"/>
  <c r="CH37" i="1"/>
  <c r="CC37" i="1"/>
  <c r="CB37" i="1"/>
  <c r="CA37" i="1"/>
  <c r="BY37" i="1"/>
  <c r="CG37" i="1" s="1"/>
  <c r="BX37" i="1"/>
  <c r="BW37" i="1"/>
  <c r="BU37" i="1"/>
  <c r="BT37" i="1"/>
  <c r="BS37" i="1"/>
  <c r="BR37" i="1"/>
  <c r="BQ37" i="1"/>
  <c r="CJ36" i="1"/>
  <c r="CI36" i="1"/>
  <c r="CH36" i="1"/>
  <c r="CC36" i="1"/>
  <c r="CB36" i="1"/>
  <c r="CA36" i="1"/>
  <c r="BY36" i="1"/>
  <c r="BX36" i="1"/>
  <c r="BW36" i="1"/>
  <c r="BU36" i="1"/>
  <c r="BT36" i="1"/>
  <c r="BS36" i="1"/>
  <c r="BR36" i="1"/>
  <c r="BQ36" i="1"/>
  <c r="CG36" i="1"/>
  <c r="CJ35" i="1"/>
  <c r="CI35" i="1"/>
  <c r="CH35" i="1"/>
  <c r="CC35" i="1"/>
  <c r="CB35" i="1"/>
  <c r="CA35" i="1"/>
  <c r="BY35" i="1"/>
  <c r="BX35" i="1"/>
  <c r="BW35" i="1"/>
  <c r="BU35" i="1"/>
  <c r="BT35" i="1"/>
  <c r="BS35" i="1"/>
  <c r="BR35" i="1"/>
  <c r="BQ35" i="1"/>
  <c r="CG35" i="1"/>
  <c r="CJ34" i="1"/>
  <c r="CK34" i="1" s="1"/>
  <c r="CI34" i="1"/>
  <c r="CH34" i="1"/>
  <c r="CC34" i="1"/>
  <c r="CB34" i="1"/>
  <c r="CA34" i="1"/>
  <c r="BY34" i="1"/>
  <c r="BX34" i="1"/>
  <c r="BW34" i="1"/>
  <c r="BU34" i="1"/>
  <c r="BT34" i="1"/>
  <c r="BS34" i="1"/>
  <c r="BR34" i="1"/>
  <c r="BQ34" i="1"/>
  <c r="CG34" i="1"/>
  <c r="CJ33" i="1"/>
  <c r="CI33" i="1"/>
  <c r="CH33" i="1"/>
  <c r="CC33" i="1"/>
  <c r="CB33" i="1"/>
  <c r="CA33" i="1"/>
  <c r="BY33" i="1"/>
  <c r="BX33" i="1"/>
  <c r="BW33" i="1"/>
  <c r="BU33" i="1"/>
  <c r="BT33" i="1"/>
  <c r="BS33" i="1"/>
  <c r="BR33" i="1"/>
  <c r="BQ33" i="1"/>
  <c r="CG33" i="1"/>
  <c r="CJ32" i="1"/>
  <c r="CI32" i="1"/>
  <c r="CH32" i="1"/>
  <c r="CC32" i="1"/>
  <c r="CB32" i="1"/>
  <c r="CA32" i="1"/>
  <c r="BY32" i="1"/>
  <c r="BX32" i="1"/>
  <c r="BW32" i="1"/>
  <c r="BU32" i="1"/>
  <c r="BT32" i="1"/>
  <c r="BS32" i="1"/>
  <c r="BR32" i="1"/>
  <c r="BQ32" i="1"/>
  <c r="CG32" i="1"/>
  <c r="CJ31" i="1"/>
  <c r="CI31" i="1"/>
  <c r="CH31" i="1"/>
  <c r="CC31" i="1"/>
  <c r="CB31" i="1"/>
  <c r="CA31" i="1"/>
  <c r="BY31" i="1"/>
  <c r="BX31" i="1"/>
  <c r="BW31" i="1"/>
  <c r="BU31" i="1"/>
  <c r="BT31" i="1"/>
  <c r="BS31" i="1"/>
  <c r="BR31" i="1"/>
  <c r="BQ31" i="1"/>
  <c r="CG31" i="1"/>
  <c r="CJ30" i="1"/>
  <c r="CK30" i="1" s="1"/>
  <c r="CI30" i="1"/>
  <c r="CH30" i="1"/>
  <c r="CC30" i="1"/>
  <c r="CB30" i="1"/>
  <c r="CA30" i="1"/>
  <c r="BY30" i="1"/>
  <c r="BX30" i="1"/>
  <c r="BW30" i="1"/>
  <c r="BU30" i="1"/>
  <c r="BT30" i="1"/>
  <c r="BS30" i="1"/>
  <c r="BR30" i="1"/>
  <c r="BQ30" i="1"/>
  <c r="CG30" i="1"/>
  <c r="CJ29" i="1"/>
  <c r="CK29" i="1" s="1"/>
  <c r="CI29" i="1"/>
  <c r="CH29" i="1"/>
  <c r="CC29" i="1"/>
  <c r="CB29" i="1"/>
  <c r="CA29" i="1"/>
  <c r="BY29" i="1"/>
  <c r="BX29" i="1"/>
  <c r="BW29" i="1"/>
  <c r="BU29" i="1"/>
  <c r="BT29" i="1"/>
  <c r="BS29" i="1"/>
  <c r="BR29" i="1"/>
  <c r="BQ29" i="1"/>
  <c r="CG29" i="1"/>
  <c r="CJ28" i="1"/>
  <c r="CI28" i="1"/>
  <c r="CH28" i="1"/>
  <c r="CC28" i="1"/>
  <c r="CB28" i="1"/>
  <c r="CA28" i="1"/>
  <c r="BY28" i="1"/>
  <c r="BX28" i="1"/>
  <c r="BW28" i="1"/>
  <c r="BU28" i="1"/>
  <c r="BT28" i="1"/>
  <c r="BS28" i="1"/>
  <c r="BR28" i="1"/>
  <c r="BQ28" i="1"/>
  <c r="CG28" i="1"/>
  <c r="CJ27" i="1"/>
  <c r="CI27" i="1"/>
  <c r="CH27" i="1"/>
  <c r="CC27" i="1"/>
  <c r="CB27" i="1"/>
  <c r="CA27" i="1"/>
  <c r="BY27" i="1"/>
  <c r="BX27" i="1"/>
  <c r="BW27" i="1"/>
  <c r="BU27" i="1"/>
  <c r="BT27" i="1"/>
  <c r="BS27" i="1"/>
  <c r="BR27" i="1"/>
  <c r="BQ27" i="1"/>
  <c r="CG27" i="1"/>
  <c r="CJ26" i="1"/>
  <c r="CK26" i="1" s="1"/>
  <c r="CI26" i="1"/>
  <c r="CH26" i="1"/>
  <c r="CC26" i="1"/>
  <c r="CB26" i="1"/>
  <c r="CA26" i="1"/>
  <c r="BY26" i="1"/>
  <c r="BX26" i="1"/>
  <c r="BW26" i="1"/>
  <c r="BU26" i="1"/>
  <c r="BT26" i="1"/>
  <c r="BS26" i="1"/>
  <c r="BR26" i="1"/>
  <c r="BQ26" i="1"/>
  <c r="CG26" i="1"/>
  <c r="CJ25" i="1"/>
  <c r="CI25" i="1"/>
  <c r="CH25" i="1"/>
  <c r="CC25" i="1"/>
  <c r="CB25" i="1"/>
  <c r="CA25" i="1"/>
  <c r="BY25" i="1"/>
  <c r="BX25" i="1"/>
  <c r="BW25" i="1"/>
  <c r="BU25" i="1"/>
  <c r="BT25" i="1"/>
  <c r="BS25" i="1"/>
  <c r="BR25" i="1"/>
  <c r="BQ25" i="1"/>
  <c r="CG25" i="1"/>
  <c r="CJ24" i="1"/>
  <c r="CI24" i="1"/>
  <c r="CH24" i="1"/>
  <c r="CC24" i="1"/>
  <c r="CB24" i="1"/>
  <c r="CA24" i="1"/>
  <c r="BY24" i="1"/>
  <c r="CG24" i="1" s="1"/>
  <c r="BX24" i="1"/>
  <c r="BW24" i="1"/>
  <c r="BU24" i="1"/>
  <c r="BT24" i="1"/>
  <c r="BS24" i="1"/>
  <c r="BR24" i="1"/>
  <c r="BQ24" i="1"/>
  <c r="CJ23" i="1"/>
  <c r="CK23" i="1" s="1"/>
  <c r="CI23" i="1"/>
  <c r="CH23" i="1"/>
  <c r="CC23" i="1"/>
  <c r="CB23" i="1"/>
  <c r="CA23" i="1"/>
  <c r="BY23" i="1"/>
  <c r="CG23" i="1" s="1"/>
  <c r="BX23" i="1"/>
  <c r="BW23" i="1"/>
  <c r="BU23" i="1"/>
  <c r="BT23" i="1"/>
  <c r="BS23" i="1"/>
  <c r="BR23" i="1"/>
  <c r="BQ23" i="1"/>
  <c r="CJ22" i="1"/>
  <c r="CI22" i="1"/>
  <c r="CH22" i="1"/>
  <c r="CC22" i="1"/>
  <c r="CB22" i="1"/>
  <c r="CA22" i="1"/>
  <c r="BY22" i="1"/>
  <c r="CG22" i="1" s="1"/>
  <c r="BX22" i="1"/>
  <c r="BW22" i="1"/>
  <c r="BU22" i="1"/>
  <c r="BT22" i="1"/>
  <c r="BS22" i="1"/>
  <c r="BR22" i="1"/>
  <c r="BQ22" i="1"/>
  <c r="CJ21" i="1"/>
  <c r="CK21" i="1" s="1"/>
  <c r="CI21" i="1"/>
  <c r="CH21" i="1"/>
  <c r="CC21" i="1"/>
  <c r="CB21" i="1"/>
  <c r="CA21" i="1"/>
  <c r="BY21" i="1"/>
  <c r="CG21" i="1" s="1"/>
  <c r="BX21" i="1"/>
  <c r="BW21" i="1"/>
  <c r="BU21" i="1"/>
  <c r="BT21" i="1"/>
  <c r="BS21" i="1"/>
  <c r="BR21" i="1"/>
  <c r="BQ21" i="1"/>
  <c r="CJ20" i="1"/>
  <c r="CI20" i="1"/>
  <c r="CH20" i="1"/>
  <c r="CC20" i="1"/>
  <c r="CB20" i="1"/>
  <c r="CA20" i="1"/>
  <c r="BY20" i="1"/>
  <c r="BX20" i="1"/>
  <c r="BW20" i="1"/>
  <c r="BU20" i="1"/>
  <c r="BT20" i="1"/>
  <c r="BS20" i="1"/>
  <c r="BR20" i="1"/>
  <c r="BQ20" i="1"/>
  <c r="BZ20" i="1" s="1"/>
  <c r="CD20" i="1" s="1"/>
  <c r="CG20" i="1"/>
  <c r="CJ19" i="1"/>
  <c r="CI19" i="1"/>
  <c r="CH19" i="1"/>
  <c r="CC19" i="1"/>
  <c r="CB19" i="1"/>
  <c r="CA19" i="1"/>
  <c r="BY19" i="1"/>
  <c r="CG19" i="1" s="1"/>
  <c r="BX19" i="1"/>
  <c r="BW19" i="1"/>
  <c r="BU19" i="1"/>
  <c r="BT19" i="1"/>
  <c r="BS19" i="1"/>
  <c r="BR19" i="1"/>
  <c r="BQ19" i="1"/>
  <c r="CJ18" i="1"/>
  <c r="CK18" i="1" s="1"/>
  <c r="CI18" i="1"/>
  <c r="CH18" i="1"/>
  <c r="CC18" i="1"/>
  <c r="CB18" i="1"/>
  <c r="CA18" i="1"/>
  <c r="BY18" i="1"/>
  <c r="BX18" i="1"/>
  <c r="BW18" i="1"/>
  <c r="BU18" i="1"/>
  <c r="BT18" i="1"/>
  <c r="BS18" i="1"/>
  <c r="BR18" i="1"/>
  <c r="BQ18" i="1"/>
  <c r="CG18" i="1"/>
  <c r="CJ17" i="1"/>
  <c r="CI17" i="1"/>
  <c r="CH17" i="1"/>
  <c r="CC17" i="1"/>
  <c r="CB17" i="1"/>
  <c r="CA17" i="1"/>
  <c r="BY17" i="1"/>
  <c r="BX17" i="1"/>
  <c r="BW17" i="1"/>
  <c r="BU17" i="1"/>
  <c r="BT17" i="1"/>
  <c r="BS17" i="1"/>
  <c r="BR17" i="1"/>
  <c r="BQ17" i="1"/>
  <c r="CG17" i="1"/>
  <c r="CJ16" i="1"/>
  <c r="CI16" i="1"/>
  <c r="CH16" i="1"/>
  <c r="CC16" i="1"/>
  <c r="CB16" i="1"/>
  <c r="CA16" i="1"/>
  <c r="BY16" i="1"/>
  <c r="CG16" i="1" s="1"/>
  <c r="BX16" i="1"/>
  <c r="BW16" i="1"/>
  <c r="BU16" i="1"/>
  <c r="BT16" i="1"/>
  <c r="BS16" i="1"/>
  <c r="BR16" i="1"/>
  <c r="BQ16" i="1"/>
  <c r="CJ15" i="1"/>
  <c r="CI15" i="1"/>
  <c r="CH15" i="1"/>
  <c r="CC15" i="1"/>
  <c r="CB15" i="1"/>
  <c r="CA15" i="1"/>
  <c r="BY15" i="1"/>
  <c r="BX15" i="1"/>
  <c r="BW15" i="1"/>
  <c r="BU15" i="1"/>
  <c r="BT15" i="1"/>
  <c r="BS15" i="1"/>
  <c r="BR15" i="1"/>
  <c r="BQ15" i="1"/>
  <c r="CG15" i="1"/>
  <c r="CJ14" i="1"/>
  <c r="CI14" i="1"/>
  <c r="CH14" i="1"/>
  <c r="CC14" i="1"/>
  <c r="CB14" i="1"/>
  <c r="CA14" i="1"/>
  <c r="BY14" i="1"/>
  <c r="CG14" i="1" s="1"/>
  <c r="BX14" i="1"/>
  <c r="BW14" i="1"/>
  <c r="BU14" i="1"/>
  <c r="BT14" i="1"/>
  <c r="BS14" i="1"/>
  <c r="BR14" i="1"/>
  <c r="BQ14" i="1"/>
  <c r="CJ13" i="1"/>
  <c r="CI13" i="1"/>
  <c r="CH13" i="1"/>
  <c r="CC13" i="1"/>
  <c r="CB13" i="1"/>
  <c r="CA13" i="1"/>
  <c r="BY13" i="1"/>
  <c r="CG13" i="1" s="1"/>
  <c r="BX13" i="1"/>
  <c r="BW13" i="1"/>
  <c r="BU13" i="1"/>
  <c r="BT13" i="1"/>
  <c r="BS13" i="1"/>
  <c r="BR13" i="1"/>
  <c r="BQ13" i="1"/>
  <c r="CJ12" i="1"/>
  <c r="CI12" i="1"/>
  <c r="CH12" i="1"/>
  <c r="CC12" i="1"/>
  <c r="CB12" i="1"/>
  <c r="CA12" i="1"/>
  <c r="BY12" i="1"/>
  <c r="BX12" i="1"/>
  <c r="BW12" i="1"/>
  <c r="BU12" i="1"/>
  <c r="BT12" i="1"/>
  <c r="BS12" i="1"/>
  <c r="BR12" i="1"/>
  <c r="BQ12" i="1"/>
  <c r="BZ12" i="1" s="1"/>
  <c r="CD12" i="1" s="1"/>
  <c r="CG12" i="1"/>
  <c r="CJ11" i="1"/>
  <c r="CI11" i="1"/>
  <c r="CI335" i="1" s="1"/>
  <c r="CH11" i="1"/>
  <c r="CC11" i="1"/>
  <c r="CB11" i="1"/>
  <c r="CA11" i="1"/>
  <c r="BY11" i="1"/>
  <c r="CG11" i="1" s="1"/>
  <c r="BX11" i="1"/>
  <c r="BW11" i="1"/>
  <c r="BU11" i="1"/>
  <c r="BT11" i="1"/>
  <c r="BS11" i="1"/>
  <c r="BR11" i="1"/>
  <c r="BQ11" i="1"/>
  <c r="CK14" i="1" l="1"/>
  <c r="BZ16" i="1"/>
  <c r="CD16" i="1" s="1"/>
  <c r="CK17" i="1"/>
  <c r="CK20" i="1"/>
  <c r="CK22" i="1"/>
  <c r="CK24" i="1"/>
  <c r="CK36" i="1"/>
  <c r="CK38" i="1"/>
  <c r="BZ55" i="1"/>
  <c r="CD55" i="1" s="1"/>
  <c r="CK56" i="1"/>
  <c r="CK59" i="1"/>
  <c r="CK62" i="1"/>
  <c r="CK69" i="1"/>
  <c r="CK85" i="1"/>
  <c r="CK89" i="1"/>
  <c r="CK93" i="1"/>
  <c r="CK95" i="1"/>
  <c r="CK120" i="1"/>
  <c r="CK122" i="1"/>
  <c r="CK126" i="1"/>
  <c r="BZ143" i="1"/>
  <c r="CD143" i="1" s="1"/>
  <c r="CF143" i="1" s="1"/>
  <c r="CK144" i="1"/>
  <c r="BZ255" i="1"/>
  <c r="CD255" i="1" s="1"/>
  <c r="CF255" i="1" s="1"/>
  <c r="CK264" i="1"/>
  <c r="BZ267" i="1"/>
  <c r="CD267" i="1" s="1"/>
  <c r="CF267" i="1" s="1"/>
  <c r="CK276" i="1"/>
  <c r="CK280" i="1"/>
  <c r="CK284" i="1"/>
  <c r="CK288" i="1"/>
  <c r="CK292" i="1"/>
  <c r="CK294" i="1"/>
  <c r="CK296" i="1"/>
  <c r="CK298" i="1"/>
  <c r="CK326" i="1"/>
  <c r="CK330" i="1"/>
  <c r="CK13" i="1"/>
  <c r="CK27" i="1"/>
  <c r="BZ30" i="1"/>
  <c r="CD30" i="1" s="1"/>
  <c r="CK31" i="1"/>
  <c r="CK35" i="1"/>
  <c r="BZ44" i="1"/>
  <c r="CD44" i="1" s="1"/>
  <c r="CF44" i="1" s="1"/>
  <c r="CK45" i="1"/>
  <c r="CK46" i="1"/>
  <c r="CK68" i="1"/>
  <c r="CK78" i="1"/>
  <c r="BZ81" i="1"/>
  <c r="CD81" i="1" s="1"/>
  <c r="CK82" i="1"/>
  <c r="BZ84" i="1"/>
  <c r="CD84" i="1" s="1"/>
  <c r="BZ88" i="1"/>
  <c r="CD88" i="1" s="1"/>
  <c r="BZ92" i="1"/>
  <c r="BZ119" i="1"/>
  <c r="CD119" i="1" s="1"/>
  <c r="BZ142" i="1"/>
  <c r="CK143" i="1"/>
  <c r="CK188" i="1"/>
  <c r="CK190" i="1"/>
  <c r="CK192" i="1"/>
  <c r="BZ238" i="1"/>
  <c r="CD238" i="1" s="1"/>
  <c r="CF238" i="1" s="1"/>
  <c r="BZ242" i="1"/>
  <c r="CD242" i="1" s="1"/>
  <c r="CF242" i="1" s="1"/>
  <c r="CK243" i="1"/>
  <c r="CK247" i="1"/>
  <c r="CK251" i="1"/>
  <c r="CK255" i="1"/>
  <c r="CK259" i="1"/>
  <c r="CK261" i="1"/>
  <c r="CK263" i="1"/>
  <c r="CK279" i="1"/>
  <c r="CK283" i="1"/>
  <c r="CK287" i="1"/>
  <c r="BZ320" i="1"/>
  <c r="CD320" i="1" s="1"/>
  <c r="CF320" i="1" s="1"/>
  <c r="BZ322" i="1"/>
  <c r="CD322" i="1" s="1"/>
  <c r="CF322" i="1" s="1"/>
  <c r="BZ25" i="1"/>
  <c r="CD25" i="1" s="1"/>
  <c r="BZ29" i="1"/>
  <c r="CD29" i="1" s="1"/>
  <c r="BZ33" i="1"/>
  <c r="CD33" i="1" s="1"/>
  <c r="BZ47" i="1"/>
  <c r="CD47" i="1" s="1"/>
  <c r="BZ80" i="1"/>
  <c r="CD80" i="1" s="1"/>
  <c r="CF80" i="1" s="1"/>
  <c r="BZ96" i="1"/>
  <c r="CD96" i="1" s="1"/>
  <c r="BZ100" i="1"/>
  <c r="CD100" i="1" s="1"/>
  <c r="CF100" i="1" s="1"/>
  <c r="BZ104" i="1"/>
  <c r="CD104" i="1" s="1"/>
  <c r="CF104" i="1" s="1"/>
  <c r="BZ108" i="1"/>
  <c r="CD108" i="1" s="1"/>
  <c r="CF108" i="1" s="1"/>
  <c r="BZ112" i="1"/>
  <c r="CD112" i="1" s="1"/>
  <c r="CF112" i="1" s="1"/>
  <c r="BZ116" i="1"/>
  <c r="CD116" i="1" s="1"/>
  <c r="CF116" i="1" s="1"/>
  <c r="BZ127" i="1"/>
  <c r="BZ131" i="1"/>
  <c r="CD131" i="1" s="1"/>
  <c r="CF131" i="1" s="1"/>
  <c r="BZ135" i="1"/>
  <c r="CD135" i="1" s="1"/>
  <c r="CF135" i="1" s="1"/>
  <c r="BZ139" i="1"/>
  <c r="CD139" i="1" s="1"/>
  <c r="CF139" i="1" s="1"/>
  <c r="BZ163" i="1"/>
  <c r="CD163" i="1" s="1"/>
  <c r="CF163" i="1" s="1"/>
  <c r="CK278" i="1"/>
  <c r="CK282" i="1"/>
  <c r="CK286" i="1"/>
  <c r="CK291" i="1"/>
  <c r="CK293" i="1"/>
  <c r="CK295" i="1"/>
  <c r="CK297" i="1"/>
  <c r="CK299" i="1"/>
  <c r="CK301" i="1"/>
  <c r="BZ303" i="1"/>
  <c r="CD303" i="1" s="1"/>
  <c r="CF303" i="1" s="1"/>
  <c r="CK314" i="1"/>
  <c r="CK316" i="1"/>
  <c r="CK328" i="1"/>
  <c r="CK185" i="1"/>
  <c r="CK187" i="1"/>
  <c r="CK189" i="1"/>
  <c r="CK191" i="1"/>
  <c r="CK257" i="1"/>
  <c r="CK281" i="1"/>
  <c r="CF71" i="1"/>
  <c r="CF73" i="1"/>
  <c r="CK320" i="1"/>
  <c r="CK324" i="1"/>
  <c r="CF119" i="1"/>
  <c r="CF88" i="1"/>
  <c r="CF81" i="1"/>
  <c r="CF84" i="1"/>
  <c r="CK28" i="1"/>
  <c r="CF33" i="1"/>
  <c r="CF55" i="1"/>
  <c r="CF47" i="1"/>
  <c r="CF43" i="1"/>
  <c r="CF29" i="1"/>
  <c r="CK236" i="1"/>
  <c r="CK256" i="1"/>
  <c r="CK300" i="1"/>
  <c r="CK313" i="1"/>
  <c r="CK317" i="1"/>
  <c r="CK321" i="1"/>
  <c r="CK43" i="1"/>
  <c r="CK47" i="1"/>
  <c r="CF30" i="1"/>
  <c r="CK44" i="1"/>
  <c r="CK92" i="1"/>
  <c r="CK142" i="1"/>
  <c r="CK305" i="1"/>
  <c r="BZ31" i="1"/>
  <c r="CD31" i="1" s="1"/>
  <c r="CF31" i="1" s="1"/>
  <c r="BZ32" i="1"/>
  <c r="CD32" i="1" s="1"/>
  <c r="CF32" i="1" s="1"/>
  <c r="CK33" i="1"/>
  <c r="CG335" i="1"/>
  <c r="BZ15" i="1"/>
  <c r="CD15" i="1" s="1"/>
  <c r="CF15" i="1" s="1"/>
  <c r="CK16" i="1"/>
  <c r="BZ19" i="1"/>
  <c r="CD19" i="1" s="1"/>
  <c r="CF19" i="1" s="1"/>
  <c r="CK25" i="1"/>
  <c r="BZ28" i="1"/>
  <c r="CD28" i="1" s="1"/>
  <c r="CF28" i="1" s="1"/>
  <c r="CK32" i="1"/>
  <c r="BZ37" i="1"/>
  <c r="CD37" i="1" s="1"/>
  <c r="CF37" i="1" s="1"/>
  <c r="BZ38" i="1"/>
  <c r="CD38" i="1" s="1"/>
  <c r="CF38" i="1" s="1"/>
  <c r="BZ39" i="1"/>
  <c r="CD39" i="1" s="1"/>
  <c r="CF39" i="1" s="1"/>
  <c r="BZ40" i="1"/>
  <c r="CD40" i="1" s="1"/>
  <c r="CF40" i="1" s="1"/>
  <c r="CK40" i="1"/>
  <c r="BZ41" i="1"/>
  <c r="CD41" i="1" s="1"/>
  <c r="CF41" i="1" s="1"/>
  <c r="BZ42" i="1"/>
  <c r="CD42" i="1" s="1"/>
  <c r="CF42" i="1" s="1"/>
  <c r="BZ45" i="1"/>
  <c r="CD45" i="1" s="1"/>
  <c r="CF45" i="1" s="1"/>
  <c r="BZ46" i="1"/>
  <c r="BZ48" i="1"/>
  <c r="CD48" i="1" s="1"/>
  <c r="CF48" i="1" s="1"/>
  <c r="CK50" i="1"/>
  <c r="BZ52" i="1"/>
  <c r="CD52" i="1" s="1"/>
  <c r="CF52" i="1" s="1"/>
  <c r="CK52" i="1"/>
  <c r="CK81" i="1"/>
  <c r="CF12" i="1"/>
  <c r="CF20" i="1"/>
  <c r="CF25" i="1"/>
  <c r="BQ335" i="1"/>
  <c r="BU335" i="1"/>
  <c r="CA335" i="1"/>
  <c r="CK12" i="1"/>
  <c r="BR335" i="1"/>
  <c r="BW335" i="1"/>
  <c r="CB335" i="1"/>
  <c r="CK11" i="1"/>
  <c r="BZ13" i="1"/>
  <c r="CD13" i="1" s="1"/>
  <c r="CF13" i="1" s="1"/>
  <c r="BZ14" i="1"/>
  <c r="CD14" i="1" s="1"/>
  <c r="CF14" i="1" s="1"/>
  <c r="CK15" i="1"/>
  <c r="BZ18" i="1"/>
  <c r="CD18" i="1" s="1"/>
  <c r="CF18" i="1" s="1"/>
  <c r="CK19" i="1"/>
  <c r="BZ27" i="1"/>
  <c r="CD27" i="1" s="1"/>
  <c r="CF27" i="1" s="1"/>
  <c r="BZ34" i="1"/>
  <c r="CD34" i="1" s="1"/>
  <c r="CF34" i="1" s="1"/>
  <c r="BZ35" i="1"/>
  <c r="CD35" i="1" s="1"/>
  <c r="CF35" i="1" s="1"/>
  <c r="BZ36" i="1"/>
  <c r="CD36" i="1" s="1"/>
  <c r="CF36" i="1" s="1"/>
  <c r="CK49" i="1"/>
  <c r="CK53" i="1"/>
  <c r="BZ58" i="1"/>
  <c r="CD58" i="1" s="1"/>
  <c r="CF58" i="1" s="1"/>
  <c r="BZ62" i="1"/>
  <c r="CD62" i="1" s="1"/>
  <c r="CF62" i="1" s="1"/>
  <c r="BZ66" i="1"/>
  <c r="CD66" i="1" s="1"/>
  <c r="CF66" i="1" s="1"/>
  <c r="BZ70" i="1"/>
  <c r="CD70" i="1" s="1"/>
  <c r="CF70" i="1" s="1"/>
  <c r="CK71" i="1"/>
  <c r="CK73" i="1"/>
  <c r="CF16" i="1"/>
  <c r="BS335" i="1"/>
  <c r="BX335" i="1"/>
  <c r="BZ17" i="1"/>
  <c r="CD17" i="1" s="1"/>
  <c r="CF17" i="1" s="1"/>
  <c r="BZ21" i="1"/>
  <c r="CD21" i="1" s="1"/>
  <c r="CF21" i="1" s="1"/>
  <c r="BZ22" i="1"/>
  <c r="CD22" i="1" s="1"/>
  <c r="CF22" i="1" s="1"/>
  <c r="BZ23" i="1"/>
  <c r="CD23" i="1" s="1"/>
  <c r="CF23" i="1" s="1"/>
  <c r="BZ24" i="1"/>
  <c r="CD24" i="1" s="1"/>
  <c r="CF24" i="1" s="1"/>
  <c r="BZ26" i="1"/>
  <c r="CD26" i="1" s="1"/>
  <c r="CF26" i="1" s="1"/>
  <c r="BZ54" i="1"/>
  <c r="CD54" i="1" s="1"/>
  <c r="CF54" i="1" s="1"/>
  <c r="BZ56" i="1"/>
  <c r="CD56" i="1" s="1"/>
  <c r="CF56" i="1" s="1"/>
  <c r="BZ57" i="1"/>
  <c r="CD57" i="1" s="1"/>
  <c r="CF57" i="1" s="1"/>
  <c r="BZ59" i="1"/>
  <c r="CD59" i="1" s="1"/>
  <c r="CF59" i="1" s="1"/>
  <c r="BZ60" i="1"/>
  <c r="CD60" i="1" s="1"/>
  <c r="CF60" i="1" s="1"/>
  <c r="BZ61" i="1"/>
  <c r="CD61" i="1" s="1"/>
  <c r="CF61" i="1" s="1"/>
  <c r="BZ63" i="1"/>
  <c r="CD63" i="1" s="1"/>
  <c r="CF63" i="1" s="1"/>
  <c r="BZ64" i="1"/>
  <c r="CD64" i="1" s="1"/>
  <c r="CF64" i="1" s="1"/>
  <c r="BZ65" i="1"/>
  <c r="CD65" i="1" s="1"/>
  <c r="CF65" i="1" s="1"/>
  <c r="BZ67" i="1"/>
  <c r="CD67" i="1" s="1"/>
  <c r="CF67" i="1" s="1"/>
  <c r="BZ68" i="1"/>
  <c r="CD68" i="1" s="1"/>
  <c r="CF68" i="1" s="1"/>
  <c r="BZ69" i="1"/>
  <c r="CD69" i="1" s="1"/>
  <c r="CF69" i="1" s="1"/>
  <c r="BZ72" i="1"/>
  <c r="CD72" i="1" s="1"/>
  <c r="CF72" i="1" s="1"/>
  <c r="BZ74" i="1"/>
  <c r="CD74" i="1" s="1"/>
  <c r="CF74" i="1" s="1"/>
  <c r="BZ79" i="1"/>
  <c r="CD79" i="1" s="1"/>
  <c r="CF79" i="1" s="1"/>
  <c r="CK80" i="1"/>
  <c r="BZ83" i="1"/>
  <c r="CD83" i="1" s="1"/>
  <c r="CF83" i="1" s="1"/>
  <c r="CK84" i="1"/>
  <c r="BZ86" i="1"/>
  <c r="CD86" i="1" s="1"/>
  <c r="CF86" i="1" s="1"/>
  <c r="CK88" i="1"/>
  <c r="BZ90" i="1"/>
  <c r="CD90" i="1" s="1"/>
  <c r="CF90" i="1" s="1"/>
  <c r="BZ98" i="1"/>
  <c r="CD98" i="1" s="1"/>
  <c r="CF98" i="1" s="1"/>
  <c r="CK99" i="1"/>
  <c r="BZ102" i="1"/>
  <c r="CD102" i="1" s="1"/>
  <c r="CF102" i="1" s="1"/>
  <c r="CK103" i="1"/>
  <c r="BZ106" i="1"/>
  <c r="CK107" i="1"/>
  <c r="BZ110" i="1"/>
  <c r="CD110" i="1" s="1"/>
  <c r="CF110" i="1" s="1"/>
  <c r="CK111" i="1"/>
  <c r="BZ114" i="1"/>
  <c r="CD114" i="1" s="1"/>
  <c r="CF114" i="1" s="1"/>
  <c r="CK115" i="1"/>
  <c r="CK119" i="1"/>
  <c r="BZ122" i="1"/>
  <c r="CD122" i="1" s="1"/>
  <c r="CF122" i="1" s="1"/>
  <c r="BZ129" i="1"/>
  <c r="CD129" i="1" s="1"/>
  <c r="CF129" i="1" s="1"/>
  <c r="CK130" i="1"/>
  <c r="BZ133" i="1"/>
  <c r="CD133" i="1" s="1"/>
  <c r="CF133" i="1" s="1"/>
  <c r="CK134" i="1"/>
  <c r="BZ137" i="1"/>
  <c r="CD137" i="1" s="1"/>
  <c r="CF137" i="1" s="1"/>
  <c r="CK138" i="1"/>
  <c r="BZ150" i="1"/>
  <c r="CD150" i="1" s="1"/>
  <c r="CF150" i="1" s="1"/>
  <c r="CK151" i="1"/>
  <c r="BZ154" i="1"/>
  <c r="CD154" i="1" s="1"/>
  <c r="CF154" i="1" s="1"/>
  <c r="CK155" i="1"/>
  <c r="CK159" i="1"/>
  <c r="CK163" i="1"/>
  <c r="BZ165" i="1"/>
  <c r="CD165" i="1" s="1"/>
  <c r="CF165" i="1" s="1"/>
  <c r="BZ76" i="1"/>
  <c r="BZ78" i="1"/>
  <c r="CD78" i="1" s="1"/>
  <c r="CF78" i="1" s="1"/>
  <c r="CK79" i="1"/>
  <c r="BZ82" i="1"/>
  <c r="CD82" i="1" s="1"/>
  <c r="CF82" i="1" s="1"/>
  <c r="CK83" i="1"/>
  <c r="BZ85" i="1"/>
  <c r="CD85" i="1" s="1"/>
  <c r="CF85" i="1" s="1"/>
  <c r="CK87" i="1"/>
  <c r="BZ89" i="1"/>
  <c r="CD89" i="1" s="1"/>
  <c r="CF89" i="1" s="1"/>
  <c r="CK91" i="1"/>
  <c r="BZ93" i="1"/>
  <c r="CD93" i="1" s="1"/>
  <c r="CF93" i="1" s="1"/>
  <c r="BZ94" i="1"/>
  <c r="CD94" i="1" s="1"/>
  <c r="CF94" i="1" s="1"/>
  <c r="BZ95" i="1"/>
  <c r="CD95" i="1" s="1"/>
  <c r="CF95" i="1" s="1"/>
  <c r="BZ97" i="1"/>
  <c r="CD97" i="1" s="1"/>
  <c r="CF97" i="1" s="1"/>
  <c r="CK98" i="1"/>
  <c r="BZ101" i="1"/>
  <c r="CD101" i="1" s="1"/>
  <c r="CF101" i="1" s="1"/>
  <c r="CK102" i="1"/>
  <c r="BZ105" i="1"/>
  <c r="CD105" i="1" s="1"/>
  <c r="CF105" i="1" s="1"/>
  <c r="CK106" i="1"/>
  <c r="BZ109" i="1"/>
  <c r="CD109" i="1" s="1"/>
  <c r="CF109" i="1" s="1"/>
  <c r="CK110" i="1"/>
  <c r="BZ113" i="1"/>
  <c r="CD113" i="1" s="1"/>
  <c r="CF113" i="1" s="1"/>
  <c r="CK114" i="1"/>
  <c r="BZ117" i="1"/>
  <c r="CK118" i="1"/>
  <c r="BZ120" i="1"/>
  <c r="BZ121" i="1"/>
  <c r="CD121" i="1" s="1"/>
  <c r="CF121" i="1" s="1"/>
  <c r="CK123" i="1"/>
  <c r="BZ125" i="1"/>
  <c r="CD125" i="1" s="1"/>
  <c r="CF125" i="1" s="1"/>
  <c r="BZ126" i="1"/>
  <c r="CD126" i="1" s="1"/>
  <c r="CF126" i="1" s="1"/>
  <c r="BZ128" i="1"/>
  <c r="CD128" i="1" s="1"/>
  <c r="CF128" i="1" s="1"/>
  <c r="CK129" i="1"/>
  <c r="BZ132" i="1"/>
  <c r="CD132" i="1" s="1"/>
  <c r="CF132" i="1" s="1"/>
  <c r="CK133" i="1"/>
  <c r="BZ136" i="1"/>
  <c r="CD136" i="1" s="1"/>
  <c r="CF136" i="1" s="1"/>
  <c r="CK137" i="1"/>
  <c r="BZ140" i="1"/>
  <c r="CK141" i="1"/>
  <c r="CK146" i="1"/>
  <c r="BZ149" i="1"/>
  <c r="CD149" i="1" s="1"/>
  <c r="CF149" i="1" s="1"/>
  <c r="BZ153" i="1"/>
  <c r="CD153" i="1" s="1"/>
  <c r="CF153" i="1" s="1"/>
  <c r="CK154" i="1"/>
  <c r="BZ157" i="1"/>
  <c r="CD157" i="1" s="1"/>
  <c r="CF157" i="1" s="1"/>
  <c r="CK158" i="1"/>
  <c r="BZ161" i="1"/>
  <c r="CD161" i="1" s="1"/>
  <c r="CF161" i="1" s="1"/>
  <c r="CK162" i="1"/>
  <c r="BZ164" i="1"/>
  <c r="CD164" i="1" s="1"/>
  <c r="CF164" i="1" s="1"/>
  <c r="CK165" i="1"/>
  <c r="BZ87" i="1"/>
  <c r="CD87" i="1" s="1"/>
  <c r="CF87" i="1" s="1"/>
  <c r="BZ91" i="1"/>
  <c r="CD91" i="1" s="1"/>
  <c r="CF91" i="1" s="1"/>
  <c r="CK96" i="1"/>
  <c r="BZ99" i="1"/>
  <c r="CD99" i="1" s="1"/>
  <c r="CF99" i="1" s="1"/>
  <c r="CK100" i="1"/>
  <c r="BZ103" i="1"/>
  <c r="CD103" i="1" s="1"/>
  <c r="CF103" i="1" s="1"/>
  <c r="CK104" i="1"/>
  <c r="BZ107" i="1"/>
  <c r="CD107" i="1" s="1"/>
  <c r="CF107" i="1" s="1"/>
  <c r="CK108" i="1"/>
  <c r="BZ111" i="1"/>
  <c r="CD111" i="1" s="1"/>
  <c r="CF111" i="1" s="1"/>
  <c r="CK112" i="1"/>
  <c r="BZ115" i="1"/>
  <c r="CD115" i="1" s="1"/>
  <c r="CF115" i="1" s="1"/>
  <c r="CK116" i="1"/>
  <c r="BZ118" i="1"/>
  <c r="CD118" i="1" s="1"/>
  <c r="CF118" i="1" s="1"/>
  <c r="BZ123" i="1"/>
  <c r="CD123" i="1" s="1"/>
  <c r="CF123" i="1" s="1"/>
  <c r="CK127" i="1"/>
  <c r="BZ130" i="1"/>
  <c r="CD130" i="1" s="1"/>
  <c r="CF130" i="1" s="1"/>
  <c r="CK131" i="1"/>
  <c r="BZ134" i="1"/>
  <c r="CD134" i="1" s="1"/>
  <c r="CF134" i="1" s="1"/>
  <c r="CK135" i="1"/>
  <c r="BZ138" i="1"/>
  <c r="CD138" i="1" s="1"/>
  <c r="CF138" i="1" s="1"/>
  <c r="CK139" i="1"/>
  <c r="BZ141" i="1"/>
  <c r="CD141" i="1" s="1"/>
  <c r="CF141" i="1" s="1"/>
  <c r="BZ144" i="1"/>
  <c r="CD144" i="1" s="1"/>
  <c r="CF144" i="1" s="1"/>
  <c r="BZ145" i="1"/>
  <c r="CD145" i="1" s="1"/>
  <c r="CF145" i="1" s="1"/>
  <c r="BZ146" i="1"/>
  <c r="BZ147" i="1"/>
  <c r="CD147" i="1" s="1"/>
  <c r="CF147" i="1" s="1"/>
  <c r="BZ151" i="1"/>
  <c r="CD151" i="1" s="1"/>
  <c r="CF151" i="1" s="1"/>
  <c r="CK152" i="1"/>
  <c r="BZ155" i="1"/>
  <c r="CD155" i="1" s="1"/>
  <c r="CF155" i="1" s="1"/>
  <c r="CK156" i="1"/>
  <c r="CK160" i="1"/>
  <c r="BZ162" i="1"/>
  <c r="CD162" i="1" s="1"/>
  <c r="CF162" i="1" s="1"/>
  <c r="BZ196" i="1"/>
  <c r="CD196" i="1" s="1"/>
  <c r="CF196" i="1" s="1"/>
  <c r="BZ200" i="1"/>
  <c r="CD200" i="1" s="1"/>
  <c r="CF200" i="1" s="1"/>
  <c r="CK329" i="1"/>
  <c r="BZ204" i="1"/>
  <c r="CD204" i="1" s="1"/>
  <c r="CF204" i="1" s="1"/>
  <c r="BZ208" i="1"/>
  <c r="CD208" i="1" s="1"/>
  <c r="CF208" i="1" s="1"/>
  <c r="BZ212" i="1"/>
  <c r="CD212" i="1" s="1"/>
  <c r="CF212" i="1" s="1"/>
  <c r="BZ216" i="1"/>
  <c r="CD216" i="1" s="1"/>
  <c r="CF216" i="1" s="1"/>
  <c r="CK221" i="1"/>
  <c r="CK225" i="1"/>
  <c r="CK229" i="1"/>
  <c r="CK233" i="1"/>
  <c r="BZ236" i="1"/>
  <c r="CK242" i="1"/>
  <c r="CK246" i="1"/>
  <c r="CK250" i="1"/>
  <c r="BZ266" i="1"/>
  <c r="CD266" i="1" s="1"/>
  <c r="CF266" i="1" s="1"/>
  <c r="CK267" i="1"/>
  <c r="BZ270" i="1"/>
  <c r="CD270" i="1" s="1"/>
  <c r="CF270" i="1" s="1"/>
  <c r="BZ274" i="1"/>
  <c r="CD274" i="1" s="1"/>
  <c r="CF274" i="1" s="1"/>
  <c r="BZ278" i="1"/>
  <c r="CD278" i="1" s="1"/>
  <c r="CF278" i="1" s="1"/>
  <c r="BZ279" i="1"/>
  <c r="CD279" i="1" s="1"/>
  <c r="CF279" i="1" s="1"/>
  <c r="CK289" i="1"/>
  <c r="BZ293" i="1"/>
  <c r="BZ294" i="1"/>
  <c r="CD294" i="1" s="1"/>
  <c r="CF294" i="1" s="1"/>
  <c r="BZ297" i="1"/>
  <c r="CD297" i="1" s="1"/>
  <c r="CF297" i="1" s="1"/>
  <c r="BZ298" i="1"/>
  <c r="CD298" i="1" s="1"/>
  <c r="CF298" i="1" s="1"/>
  <c r="CK303" i="1"/>
  <c r="BZ305" i="1"/>
  <c r="CD305" i="1" s="1"/>
  <c r="CF305" i="1" s="1"/>
  <c r="CK309" i="1"/>
  <c r="BZ313" i="1"/>
  <c r="CD313" i="1" s="1"/>
  <c r="CF313" i="1" s="1"/>
  <c r="BZ315" i="1"/>
  <c r="CD315" i="1" s="1"/>
  <c r="CF315" i="1" s="1"/>
  <c r="CK318" i="1"/>
  <c r="CK322" i="1"/>
  <c r="BZ327" i="1"/>
  <c r="CD327" i="1" s="1"/>
  <c r="CF327" i="1" s="1"/>
  <c r="CK327" i="1"/>
  <c r="BZ330" i="1"/>
  <c r="CD330" i="1" s="1"/>
  <c r="CF330" i="1" s="1"/>
  <c r="BZ195" i="1"/>
  <c r="CD195" i="1" s="1"/>
  <c r="CF195" i="1" s="1"/>
  <c r="BZ199" i="1"/>
  <c r="CD199" i="1" s="1"/>
  <c r="CF199" i="1" s="1"/>
  <c r="BZ203" i="1"/>
  <c r="CD203" i="1" s="1"/>
  <c r="CF203" i="1" s="1"/>
  <c r="BZ207" i="1"/>
  <c r="CD207" i="1" s="1"/>
  <c r="CF207" i="1" s="1"/>
  <c r="BZ211" i="1"/>
  <c r="CD211" i="1" s="1"/>
  <c r="CF211" i="1" s="1"/>
  <c r="BZ215" i="1"/>
  <c r="CD215" i="1" s="1"/>
  <c r="CF215" i="1" s="1"/>
  <c r="BZ219" i="1"/>
  <c r="CD219" i="1" s="1"/>
  <c r="CF219" i="1" s="1"/>
  <c r="CK220" i="1"/>
  <c r="CK224" i="1"/>
  <c r="CK228" i="1"/>
  <c r="CK232" i="1"/>
  <c r="CK237" i="1"/>
  <c r="BZ240" i="1"/>
  <c r="CD240" i="1" s="1"/>
  <c r="CF240" i="1" s="1"/>
  <c r="CK241" i="1"/>
  <c r="BZ244" i="1"/>
  <c r="CD244" i="1" s="1"/>
  <c r="CF244" i="1" s="1"/>
  <c r="CK245" i="1"/>
  <c r="BZ248" i="1"/>
  <c r="CD248" i="1" s="1"/>
  <c r="CF248" i="1" s="1"/>
  <c r="CK249" i="1"/>
  <c r="BZ252" i="1"/>
  <c r="CD252" i="1" s="1"/>
  <c r="CF252" i="1" s="1"/>
  <c r="CK253" i="1"/>
  <c r="BZ260" i="1"/>
  <c r="CD260" i="1" s="1"/>
  <c r="CF260" i="1" s="1"/>
  <c r="BZ261" i="1"/>
  <c r="CD261" i="1" s="1"/>
  <c r="CF261" i="1" s="1"/>
  <c r="BZ262" i="1"/>
  <c r="CD262" i="1" s="1"/>
  <c r="CF262" i="1" s="1"/>
  <c r="BZ263" i="1"/>
  <c r="CD263" i="1" s="1"/>
  <c r="CF263" i="1" s="1"/>
  <c r="BZ265" i="1"/>
  <c r="CD265" i="1" s="1"/>
  <c r="CF265" i="1" s="1"/>
  <c r="CK266" i="1"/>
  <c r="BZ269" i="1"/>
  <c r="CD269" i="1" s="1"/>
  <c r="CF269" i="1" s="1"/>
  <c r="BZ273" i="1"/>
  <c r="CD273" i="1" s="1"/>
  <c r="CF273" i="1" s="1"/>
  <c r="BZ277" i="1"/>
  <c r="CD277" i="1" s="1"/>
  <c r="CF277" i="1" s="1"/>
  <c r="BZ290" i="1"/>
  <c r="CD290" i="1" s="1"/>
  <c r="CF290" i="1" s="1"/>
  <c r="BZ302" i="1"/>
  <c r="CD302" i="1" s="1"/>
  <c r="CF302" i="1" s="1"/>
  <c r="CK308" i="1"/>
  <c r="BZ310" i="1"/>
  <c r="CD310" i="1" s="1"/>
  <c r="CF310" i="1" s="1"/>
  <c r="CK315" i="1"/>
  <c r="BZ317" i="1"/>
  <c r="CD317" i="1" s="1"/>
  <c r="CF317" i="1" s="1"/>
  <c r="BZ319" i="1"/>
  <c r="CD319" i="1" s="1"/>
  <c r="CF319" i="1" s="1"/>
  <c r="BZ321" i="1"/>
  <c r="CD321" i="1" s="1"/>
  <c r="CF321" i="1" s="1"/>
  <c r="BZ323" i="1"/>
  <c r="CD323" i="1" s="1"/>
  <c r="CF323" i="1" s="1"/>
  <c r="BZ325" i="1"/>
  <c r="CD325" i="1" s="1"/>
  <c r="CF325" i="1" s="1"/>
  <c r="CK325" i="1"/>
  <c r="BZ328" i="1"/>
  <c r="CD328" i="1" s="1"/>
  <c r="CF328" i="1" s="1"/>
  <c r="CK164" i="1"/>
  <c r="BZ166" i="1"/>
  <c r="CD166" i="1" s="1"/>
  <c r="CF166" i="1" s="1"/>
  <c r="BZ167" i="1"/>
  <c r="CD167" i="1" s="1"/>
  <c r="CF167" i="1" s="1"/>
  <c r="BZ168" i="1"/>
  <c r="CD168" i="1" s="1"/>
  <c r="CF168" i="1" s="1"/>
  <c r="BZ169" i="1"/>
  <c r="CD169" i="1" s="1"/>
  <c r="CF169" i="1" s="1"/>
  <c r="BZ170" i="1"/>
  <c r="CD170" i="1" s="1"/>
  <c r="CF170" i="1" s="1"/>
  <c r="BZ171" i="1"/>
  <c r="CD171" i="1" s="1"/>
  <c r="CF171" i="1" s="1"/>
  <c r="BZ172" i="1"/>
  <c r="CD172" i="1" s="1"/>
  <c r="CF172" i="1" s="1"/>
  <c r="BZ173" i="1"/>
  <c r="CD173" i="1" s="1"/>
  <c r="CF173" i="1" s="1"/>
  <c r="BZ174" i="1"/>
  <c r="CD174" i="1" s="1"/>
  <c r="CF174" i="1" s="1"/>
  <c r="BZ175" i="1"/>
  <c r="CD175" i="1" s="1"/>
  <c r="CF175" i="1" s="1"/>
  <c r="BZ176" i="1"/>
  <c r="CD176" i="1" s="1"/>
  <c r="CF176" i="1" s="1"/>
  <c r="BZ177" i="1"/>
  <c r="CD177" i="1" s="1"/>
  <c r="CF177" i="1" s="1"/>
  <c r="BZ178" i="1"/>
  <c r="CD178" i="1" s="1"/>
  <c r="CF178" i="1" s="1"/>
  <c r="BZ179" i="1"/>
  <c r="CD179" i="1" s="1"/>
  <c r="CF179" i="1" s="1"/>
  <c r="BZ180" i="1"/>
  <c r="CD180" i="1" s="1"/>
  <c r="CF180" i="1" s="1"/>
  <c r="BZ181" i="1"/>
  <c r="CD181" i="1" s="1"/>
  <c r="CF181" i="1" s="1"/>
  <c r="BZ182" i="1"/>
  <c r="CD182" i="1" s="1"/>
  <c r="CF182" i="1" s="1"/>
  <c r="BZ183" i="1"/>
  <c r="CD183" i="1" s="1"/>
  <c r="CF183" i="1" s="1"/>
  <c r="BZ184" i="1"/>
  <c r="CD184" i="1" s="1"/>
  <c r="CF184" i="1" s="1"/>
  <c r="BZ185" i="1"/>
  <c r="CD185" i="1" s="1"/>
  <c r="CF185" i="1" s="1"/>
  <c r="BZ186" i="1"/>
  <c r="CD186" i="1" s="1"/>
  <c r="CF186" i="1" s="1"/>
  <c r="BZ187" i="1"/>
  <c r="CD187" i="1" s="1"/>
  <c r="CF187" i="1" s="1"/>
  <c r="BZ188" i="1"/>
  <c r="CD188" i="1" s="1"/>
  <c r="CF188" i="1" s="1"/>
  <c r="BZ189" i="1"/>
  <c r="CD189" i="1" s="1"/>
  <c r="CF189" i="1" s="1"/>
  <c r="BZ190" i="1"/>
  <c r="CD190" i="1" s="1"/>
  <c r="CF190" i="1" s="1"/>
  <c r="BZ191" i="1"/>
  <c r="CD191" i="1" s="1"/>
  <c r="CF191" i="1" s="1"/>
  <c r="BZ192" i="1"/>
  <c r="CD192" i="1" s="1"/>
  <c r="CF192" i="1" s="1"/>
  <c r="BZ193" i="1"/>
  <c r="CD193" i="1" s="1"/>
  <c r="CF193" i="1" s="1"/>
  <c r="BZ194" i="1"/>
  <c r="CD194" i="1" s="1"/>
  <c r="CF194" i="1" s="1"/>
  <c r="BZ198" i="1"/>
  <c r="CD198" i="1" s="1"/>
  <c r="CF198" i="1" s="1"/>
  <c r="BZ202" i="1"/>
  <c r="CD202" i="1" s="1"/>
  <c r="CF202" i="1" s="1"/>
  <c r="BZ206" i="1"/>
  <c r="CD206" i="1" s="1"/>
  <c r="CF206" i="1" s="1"/>
  <c r="BZ210" i="1"/>
  <c r="CD210" i="1" s="1"/>
  <c r="CF210" i="1" s="1"/>
  <c r="BZ214" i="1"/>
  <c r="CD214" i="1" s="1"/>
  <c r="CF214" i="1" s="1"/>
  <c r="BZ218" i="1"/>
  <c r="CD218" i="1" s="1"/>
  <c r="CF218" i="1" s="1"/>
  <c r="CK223" i="1"/>
  <c r="CK227" i="1"/>
  <c r="CK231" i="1"/>
  <c r="CK235" i="1"/>
  <c r="BZ239" i="1"/>
  <c r="CD239" i="1" s="1"/>
  <c r="CF239" i="1" s="1"/>
  <c r="CK240" i="1"/>
  <c r="CK244" i="1"/>
  <c r="CK248" i="1"/>
  <c r="CK252" i="1"/>
  <c r="BZ257" i="1"/>
  <c r="CD257" i="1" s="1"/>
  <c r="CF257" i="1" s="1"/>
  <c r="BZ258" i="1"/>
  <c r="CD258" i="1" s="1"/>
  <c r="CF258" i="1" s="1"/>
  <c r="BZ259" i="1"/>
  <c r="CD259" i="1" s="1"/>
  <c r="CF259" i="1" s="1"/>
  <c r="BZ264" i="1"/>
  <c r="CD264" i="1" s="1"/>
  <c r="CK265" i="1"/>
  <c r="BZ268" i="1"/>
  <c r="CD268" i="1" s="1"/>
  <c r="CF268" i="1" s="1"/>
  <c r="BZ272" i="1"/>
  <c r="CD272" i="1" s="1"/>
  <c r="CF272" i="1" s="1"/>
  <c r="BZ276" i="1"/>
  <c r="CD276" i="1" s="1"/>
  <c r="CF276" i="1" s="1"/>
  <c r="CK277" i="1"/>
  <c r="CK290" i="1"/>
  <c r="BZ292" i="1"/>
  <c r="BZ301" i="1"/>
  <c r="CD301" i="1" s="1"/>
  <c r="CF301" i="1" s="1"/>
  <c r="CK302" i="1"/>
  <c r="BZ306" i="1"/>
  <c r="CD306" i="1" s="1"/>
  <c r="CF306" i="1" s="1"/>
  <c r="CK307" i="1"/>
  <c r="CK310" i="1"/>
  <c r="BZ312" i="1"/>
  <c r="CD312" i="1" s="1"/>
  <c r="CF312" i="1" s="1"/>
  <c r="CK312" i="1"/>
  <c r="BZ314" i="1"/>
  <c r="CD314" i="1" s="1"/>
  <c r="CF314" i="1" s="1"/>
  <c r="BZ316" i="1"/>
  <c r="CD316" i="1" s="1"/>
  <c r="CF316" i="1" s="1"/>
  <c r="CK319" i="1"/>
  <c r="CK323" i="1"/>
  <c r="BZ326" i="1"/>
  <c r="CD326" i="1" s="1"/>
  <c r="CF326" i="1" s="1"/>
  <c r="BZ334" i="1"/>
  <c r="BT335" i="1"/>
  <c r="BY335" i="1"/>
  <c r="CC335" i="1"/>
  <c r="CH335" i="1"/>
  <c r="BZ75" i="1"/>
  <c r="CD75" i="1" s="1"/>
  <c r="CF75" i="1" s="1"/>
  <c r="BZ11" i="1"/>
  <c r="BZ50" i="1"/>
  <c r="CD50" i="1" s="1"/>
  <c r="CF50" i="1" s="1"/>
  <c r="CK75" i="1"/>
  <c r="BZ49" i="1"/>
  <c r="CD49" i="1" s="1"/>
  <c r="CF49" i="1" s="1"/>
  <c r="BZ51" i="1"/>
  <c r="CD51" i="1" s="1"/>
  <c r="CF51" i="1" s="1"/>
  <c r="BZ53" i="1"/>
  <c r="CD53" i="1" s="1"/>
  <c r="CF53" i="1" s="1"/>
  <c r="CK55" i="1"/>
  <c r="BZ77" i="1"/>
  <c r="CD77" i="1" s="1"/>
  <c r="CF77" i="1" s="1"/>
  <c r="BZ159" i="1"/>
  <c r="CD159" i="1" s="1"/>
  <c r="CF159" i="1" s="1"/>
  <c r="CK148" i="1"/>
  <c r="CK150" i="1"/>
  <c r="BZ158" i="1"/>
  <c r="CD158" i="1" s="1"/>
  <c r="CF158" i="1" s="1"/>
  <c r="CK147" i="1"/>
  <c r="BZ156" i="1"/>
  <c r="CD156" i="1" s="1"/>
  <c r="CF156" i="1" s="1"/>
  <c r="BZ160" i="1"/>
  <c r="CK193" i="1"/>
  <c r="CK195" i="1"/>
  <c r="CK197" i="1"/>
  <c r="CK199" i="1"/>
  <c r="CK201" i="1"/>
  <c r="CK203" i="1"/>
  <c r="CK205" i="1"/>
  <c r="CK207" i="1"/>
  <c r="CK209" i="1"/>
  <c r="CK211" i="1"/>
  <c r="CK213" i="1"/>
  <c r="CK215" i="1"/>
  <c r="CK217" i="1"/>
  <c r="CK219" i="1"/>
  <c r="CK194" i="1"/>
  <c r="CK196" i="1"/>
  <c r="CK198" i="1"/>
  <c r="CK200" i="1"/>
  <c r="CK202" i="1"/>
  <c r="CK204" i="1"/>
  <c r="CK206" i="1"/>
  <c r="CK208" i="1"/>
  <c r="CK210" i="1"/>
  <c r="CK212" i="1"/>
  <c r="CK214" i="1"/>
  <c r="CK216" i="1"/>
  <c r="CK218" i="1"/>
  <c r="BZ220" i="1"/>
  <c r="CD220" i="1" s="1"/>
  <c r="CF220" i="1" s="1"/>
  <c r="BZ221" i="1"/>
  <c r="CD221" i="1" s="1"/>
  <c r="CF221" i="1" s="1"/>
  <c r="BZ222" i="1"/>
  <c r="CD222" i="1" s="1"/>
  <c r="CF222" i="1" s="1"/>
  <c r="BZ223" i="1"/>
  <c r="CD223" i="1" s="1"/>
  <c r="CF223" i="1" s="1"/>
  <c r="BZ224" i="1"/>
  <c r="CD224" i="1" s="1"/>
  <c r="CF224" i="1" s="1"/>
  <c r="BZ225" i="1"/>
  <c r="CD225" i="1" s="1"/>
  <c r="CF225" i="1" s="1"/>
  <c r="BZ226" i="1"/>
  <c r="CD226" i="1" s="1"/>
  <c r="CF226" i="1" s="1"/>
  <c r="BZ227" i="1"/>
  <c r="CD227" i="1" s="1"/>
  <c r="CF227" i="1" s="1"/>
  <c r="BZ228" i="1"/>
  <c r="CD228" i="1" s="1"/>
  <c r="CF228" i="1" s="1"/>
  <c r="BZ230" i="1"/>
  <c r="CD230" i="1" s="1"/>
  <c r="CF230" i="1" s="1"/>
  <c r="BZ232" i="1"/>
  <c r="CD232" i="1" s="1"/>
  <c r="CF232" i="1" s="1"/>
  <c r="BZ234" i="1"/>
  <c r="CD234" i="1" s="1"/>
  <c r="CF234" i="1" s="1"/>
  <c r="BZ241" i="1"/>
  <c r="CD241" i="1" s="1"/>
  <c r="CF241" i="1" s="1"/>
  <c r="BZ245" i="1"/>
  <c r="CD245" i="1" s="1"/>
  <c r="CF245" i="1" s="1"/>
  <c r="BZ249" i="1"/>
  <c r="CD249" i="1" s="1"/>
  <c r="CF249" i="1" s="1"/>
  <c r="BZ253" i="1"/>
  <c r="CD253" i="1" s="1"/>
  <c r="CF253" i="1" s="1"/>
  <c r="BZ229" i="1"/>
  <c r="CD229" i="1" s="1"/>
  <c r="CF229" i="1" s="1"/>
  <c r="BZ231" i="1"/>
  <c r="CD231" i="1" s="1"/>
  <c r="CF231" i="1" s="1"/>
  <c r="BZ233" i="1"/>
  <c r="CD233" i="1" s="1"/>
  <c r="CF233" i="1" s="1"/>
  <c r="BZ235" i="1"/>
  <c r="CD235" i="1" s="1"/>
  <c r="CF235" i="1" s="1"/>
  <c r="BZ243" i="1"/>
  <c r="CD243" i="1" s="1"/>
  <c r="CF243" i="1" s="1"/>
  <c r="BZ247" i="1"/>
  <c r="CD247" i="1" s="1"/>
  <c r="CF247" i="1" s="1"/>
  <c r="BZ251" i="1"/>
  <c r="CD251" i="1" s="1"/>
  <c r="CF251" i="1" s="1"/>
  <c r="CK238" i="1"/>
  <c r="CK239" i="1"/>
  <c r="BZ246" i="1"/>
  <c r="CD246" i="1" s="1"/>
  <c r="CF246" i="1" s="1"/>
  <c r="BZ250" i="1"/>
  <c r="CD250" i="1" s="1"/>
  <c r="CF250" i="1" s="1"/>
  <c r="BZ254" i="1"/>
  <c r="CD254" i="1" s="1"/>
  <c r="CF254" i="1" s="1"/>
  <c r="CK269" i="1"/>
  <c r="CK271" i="1"/>
  <c r="CK273" i="1"/>
  <c r="CK275" i="1"/>
  <c r="BZ280" i="1"/>
  <c r="CD280" i="1" s="1"/>
  <c r="CF280" i="1" s="1"/>
  <c r="BZ281" i="1"/>
  <c r="CD281" i="1" s="1"/>
  <c r="CF281" i="1" s="1"/>
  <c r="BZ282" i="1"/>
  <c r="CD282" i="1" s="1"/>
  <c r="CF282" i="1" s="1"/>
  <c r="BZ283" i="1"/>
  <c r="CD283" i="1" s="1"/>
  <c r="CF283" i="1" s="1"/>
  <c r="BZ284" i="1"/>
  <c r="CD284" i="1" s="1"/>
  <c r="CF284" i="1" s="1"/>
  <c r="BZ285" i="1"/>
  <c r="CD285" i="1" s="1"/>
  <c r="CF285" i="1" s="1"/>
  <c r="BZ286" i="1"/>
  <c r="CD286" i="1" s="1"/>
  <c r="CF286" i="1" s="1"/>
  <c r="BZ287" i="1"/>
  <c r="CD287" i="1" s="1"/>
  <c r="CF287" i="1" s="1"/>
  <c r="BZ288" i="1"/>
  <c r="CD288" i="1" s="1"/>
  <c r="CF288" i="1" s="1"/>
  <c r="BZ289" i="1"/>
  <c r="CD289" i="1" s="1"/>
  <c r="CF289" i="1" s="1"/>
  <c r="BZ291" i="1"/>
  <c r="CD291" i="1" s="1"/>
  <c r="CF291" i="1" s="1"/>
  <c r="BZ296" i="1"/>
  <c r="CD296" i="1" s="1"/>
  <c r="CF296" i="1" s="1"/>
  <c r="BZ300" i="1"/>
  <c r="CD300" i="1" s="1"/>
  <c r="CF300" i="1" s="1"/>
  <c r="BZ304" i="1"/>
  <c r="CD304" i="1" s="1"/>
  <c r="CF304" i="1" s="1"/>
  <c r="CK268" i="1"/>
  <c r="CK270" i="1"/>
  <c r="CK272" i="1"/>
  <c r="CK274" i="1"/>
  <c r="BZ308" i="1"/>
  <c r="CD308" i="1" s="1"/>
  <c r="CF308" i="1" s="1"/>
  <c r="CK311" i="1"/>
  <c r="CK335" i="1"/>
  <c r="BZ295" i="1"/>
  <c r="CD295" i="1" s="1"/>
  <c r="CF295" i="1" s="1"/>
  <c r="BZ299" i="1"/>
  <c r="CD299" i="1" s="1"/>
  <c r="CF299" i="1" s="1"/>
  <c r="BZ307" i="1"/>
  <c r="CD307" i="1" s="1"/>
  <c r="CF307" i="1" s="1"/>
  <c r="BZ335" i="1" l="1"/>
  <c r="CD11" i="1"/>
  <c r="CD335" i="1" l="1"/>
  <c r="CF11" i="1"/>
  <c r="CF335" i="1" s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CẤP QUẢN LÝ M&amp;M  KHÔNG ĐƯƠC HƯỞNG PHỤ
 CẤP THỨ 7</t>
        </r>
      </text>
    </comment>
    <comment ref="C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2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tháng 5 bp Ga</t>
        </r>
      </text>
    </comment>
    <comment ref="B46" authorId="1" shapeId="0">
      <text>
        <r>
          <rPr>
            <b/>
            <sz val="9"/>
            <color indexed="81"/>
            <rFont val="Tahoma"/>
            <family val="2"/>
          </rPr>
          <t>Mai Nhung:</t>
        </r>
        <r>
          <rPr>
            <sz val="9"/>
            <color indexed="81"/>
            <rFont val="Tahoma"/>
            <family val="2"/>
          </rPr>
          <t xml:space="preserve">
nghỉ thai sản</t>
        </r>
      </text>
    </comment>
    <comment ref="C5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84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PHOI</t>
        </r>
      </text>
    </comment>
    <comment ref="I104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K104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M104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O104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S104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C127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137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17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178" authorId="0" shapeId="0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XLP</t>
        </r>
      </text>
    </comment>
    <comment ref="C194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KHUON</t>
        </r>
      </text>
    </comment>
    <comment ref="C199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KHUÔN</t>
        </r>
      </text>
    </comment>
    <comment ref="C222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chuyển từ qc qua kho tháng 04.2018</t>
        </r>
      </text>
    </comment>
    <comment ref="C254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255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277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 CII.1</t>
        </r>
      </text>
    </comment>
    <comment ref="C289" authorId="3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 CII.1</t>
        </r>
      </text>
    </comment>
    <comment ref="C295" authorId="2" shapeId="0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A342" authorId="4" shapeId="0">
      <text>
        <r>
          <rPr>
            <b/>
            <sz val="9"/>
            <color indexed="81"/>
            <rFont val="Tahoma"/>
            <family val="2"/>
          </rPr>
          <t>mã mới" A320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<sst xmlns="http://schemas.openxmlformats.org/spreadsheetml/2006/main" count="109" uniqueCount="37">
  <si>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</si>
  <si>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</si>
  <si>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</si>
  <si>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</si>
  <si>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</si>
  <si>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</si>
  <si>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</si>
  <si>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</si>
  <si>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</si>
  <si>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</si>
  <si>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</si>
  <si>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</si>
  <si>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</si>
  <si>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</si>
  <si>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</si>
  <si>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</si>
  <si>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</si>
  <si>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</si>
  <si>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</si>
  <si>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</si>
  <si>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</si>
  <si>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</si>
  <si>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</si>
  <si>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</si>
  <si>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</si>
  <si>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</si>
  <si>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</si>
  <si>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</si>
  <si>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</si>
  <si>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</si>
  <si>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</si>
  <si>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</si>
  <si>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</si>
  <si>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</si>
  <si>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</si>
  <si>
    <t xml:space="preserve">BẢNG CHẤM CÔNG THÁNG </t>
  </si>
  <si>
    <t xml:space="preserve">Năm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</si>
</sst>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-* #,##0.00_-;\-* #,##0.00_-;_-* &quot;-&quot;??_-;_-@_-"/>
    <numFmt numFmtId="166" formatCode="#,##0.0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_(* #,##0_);_(* \(#,##0\);_(* &quot;-&quot;??_);_(@_)"/>
    <numFmt numFmtId="171" formatCode="_-* #,##0.0\ _₫_-;\-* #,##0.0\ _₫_-;_-* &quot;-&quot;?\ _₫_-;_-@_-"/>
    <numFmt numFmtId="172" formatCode="_(* #,##0.0_);_(* \(#,##0.0\);_(* &quot;-&quot;?_);_(@_)"/>
    <numFmt numFmtId="173" formatCode="_-* #,##0.00\ &quot;₫&quot;_-;\-* #,##0.00\ &quot;₫&quot;_-;_-* &quot;-&quot;??\ &quot;₫&quot;_-;_-@_-"/>
    <numFmt numFmtId="174" formatCode="dd"/>
  </numFmts>
  <fonts count="22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</cellStyleXfs>
  <cellXfs count="179">
    <xf numFmtId="0" fontId="0" fillId="0" borderId="0" xfId="0"/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3" fillId="2" borderId="0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164" fontId="4" fillId="2" borderId="0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right" vertical="center"/>
    </xf>
    <xf numFmtId="0" fontId="2" fillId="2" borderId="0" xfId="0" applyFont="1" applyFill="1" applyBorder="1"/>
    <xf numFmtId="0" fontId="7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center" vertical="center"/>
    </xf>
    <xf numFmtId="0" fontId="8" fillId="2" borderId="0" xfId="0" applyNumberFormat="1" applyFont="1" applyFill="1" applyBorder="1" applyAlignment="1">
      <alignment horizontal="center" vertical="center"/>
    </xf>
    <xf numFmtId="164" fontId="7" fillId="2" borderId="0" xfId="0" applyNumberFormat="1" applyFont="1" applyFill="1" applyBorder="1" applyAlignment="1">
      <alignment horizontal="center" vertical="center"/>
    </xf>
    <xf numFmtId="164" fontId="8" fillId="2" borderId="0" xfId="0" applyNumberFormat="1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right" vertical="center"/>
    </xf>
    <xf numFmtId="0" fontId="7" fillId="2" borderId="0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NumberFormat="1" applyFont="1" applyFill="1" applyBorder="1" applyAlignment="1">
      <alignment horizontal="center" vertical="center"/>
    </xf>
    <xf numFmtId="0" fontId="7" fillId="2" borderId="1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right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right" vertical="center"/>
    </xf>
    <xf numFmtId="0" fontId="2" fillId="2" borderId="1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/>
    </xf>
    <xf numFmtId="14" fontId="3" fillId="2" borderId="10" xfId="0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167" fontId="12" fillId="2" borderId="10" xfId="3" applyNumberFormat="1" applyFont="1" applyFill="1" applyBorder="1" applyAlignment="1">
      <alignment horizontal="center" vertical="center"/>
    </xf>
    <xf numFmtId="167" fontId="13" fillId="2" borderId="10" xfId="3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8" fontId="12" fillId="2" borderId="10" xfId="3" applyNumberFormat="1" applyFont="1" applyFill="1" applyBorder="1" applyAlignment="1">
      <alignment horizontal="center" vertical="center"/>
    </xf>
    <xf numFmtId="169" fontId="12" fillId="2" borderId="10" xfId="3" applyNumberFormat="1" applyFont="1" applyFill="1" applyBorder="1" applyAlignment="1">
      <alignment horizontal="center" vertical="center"/>
    </xf>
    <xf numFmtId="170" fontId="12" fillId="2" borderId="10" xfId="1" applyNumberFormat="1" applyFont="1" applyFill="1" applyBorder="1" applyAlignment="1">
      <alignment horizontal="right" vertical="center"/>
    </xf>
    <xf numFmtId="170" fontId="12" fillId="2" borderId="0" xfId="1" applyNumberFormat="1" applyFont="1" applyFill="1" applyBorder="1"/>
    <xf numFmtId="171" fontId="12" fillId="2" borderId="0" xfId="0" applyNumberFormat="1" applyFont="1" applyFill="1" applyBorder="1"/>
    <xf numFmtId="0" fontId="12" fillId="2" borderId="0" xfId="0" applyFont="1" applyFill="1" applyBorder="1"/>
    <xf numFmtId="0" fontId="2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67" fontId="12" fillId="2" borderId="1" xfId="3" applyNumberFormat="1" applyFont="1" applyFill="1" applyBorder="1" applyAlignment="1">
      <alignment horizontal="center" vertical="center"/>
    </xf>
    <xf numFmtId="167" fontId="13" fillId="2" borderId="1" xfId="3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4" fillId="2" borderId="0" xfId="0" applyFont="1" applyFill="1"/>
    <xf numFmtId="0" fontId="2" fillId="2" borderId="1" xfId="0" applyFont="1" applyFill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/>
    <xf numFmtId="0" fontId="3" fillId="2" borderId="15" xfId="0" applyFont="1" applyFill="1" applyBorder="1" applyAlignment="1">
      <alignment horizontal="center" vertical="center"/>
    </xf>
    <xf numFmtId="168" fontId="12" fillId="2" borderId="1" xfId="3" applyNumberFormat="1" applyFont="1" applyFill="1" applyBorder="1" applyAlignment="1">
      <alignment horizontal="center" vertical="center"/>
    </xf>
    <xf numFmtId="167" fontId="4" fillId="2" borderId="1" xfId="3" applyNumberFormat="1" applyFont="1" applyFill="1" applyBorder="1" applyAlignment="1">
      <alignment horizontal="center" vertical="center"/>
    </xf>
    <xf numFmtId="168" fontId="4" fillId="2" borderId="1" xfId="3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4" fontId="3" fillId="2" borderId="1" xfId="0" quotePrefix="1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/>
    </xf>
    <xf numFmtId="14" fontId="3" fillId="2" borderId="16" xfId="0" quotePrefix="1" applyNumberFormat="1" applyFont="1" applyFill="1" applyBorder="1" applyAlignment="1">
      <alignment horizontal="center" vertical="center"/>
    </xf>
    <xf numFmtId="14" fontId="3" fillId="2" borderId="17" xfId="0" quotePrefix="1" applyNumberFormat="1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167" fontId="12" fillId="2" borderId="8" xfId="3" applyNumberFormat="1" applyFont="1" applyFill="1" applyBorder="1" applyAlignment="1">
      <alignment horizontal="center" vertical="center"/>
    </xf>
    <xf numFmtId="167" fontId="12" fillId="2" borderId="9" xfId="3" applyNumberFormat="1" applyFont="1" applyFill="1" applyBorder="1" applyAlignment="1">
      <alignment horizontal="center" vertical="center"/>
    </xf>
    <xf numFmtId="167" fontId="13" fillId="2" borderId="9" xfId="3" applyNumberFormat="1" applyFont="1" applyFill="1" applyBorder="1" applyAlignment="1">
      <alignment horizontal="center" vertical="center"/>
    </xf>
    <xf numFmtId="164" fontId="12" fillId="2" borderId="9" xfId="0" applyNumberFormat="1" applyFont="1" applyFill="1" applyBorder="1" applyAlignment="1">
      <alignment horizontal="center" vertical="center"/>
    </xf>
    <xf numFmtId="164" fontId="13" fillId="2" borderId="9" xfId="0" applyNumberFormat="1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68" fontId="12" fillId="2" borderId="9" xfId="3" applyNumberFormat="1" applyFont="1" applyFill="1" applyBorder="1" applyAlignment="1">
      <alignment horizontal="center" vertical="center"/>
    </xf>
    <xf numFmtId="169" fontId="12" fillId="2" borderId="8" xfId="3" applyNumberFormat="1" applyFont="1" applyFill="1" applyBorder="1" applyAlignment="1">
      <alignment horizontal="center" vertical="center"/>
    </xf>
    <xf numFmtId="168" fontId="12" fillId="2" borderId="8" xfId="3" applyNumberFormat="1" applyFont="1" applyFill="1" applyBorder="1" applyAlignment="1">
      <alignment horizontal="center" vertical="center"/>
    </xf>
    <xf numFmtId="169" fontId="12" fillId="2" borderId="1" xfId="3" applyNumberFormat="1" applyFont="1" applyFill="1" applyBorder="1" applyAlignment="1">
      <alignment horizontal="center" vertical="center"/>
    </xf>
    <xf numFmtId="170" fontId="12" fillId="2" borderId="1" xfId="1" applyNumberFormat="1" applyFont="1" applyFill="1" applyBorder="1"/>
    <xf numFmtId="171" fontId="12" fillId="2" borderId="1" xfId="0" applyNumberFormat="1" applyFont="1" applyFill="1" applyBorder="1"/>
    <xf numFmtId="0" fontId="4" fillId="2" borderId="1" xfId="0" applyFont="1" applyFill="1" applyBorder="1"/>
    <xf numFmtId="170" fontId="12" fillId="2" borderId="1" xfId="1" applyNumberFormat="1" applyFont="1" applyFill="1" applyBorder="1" applyAlignment="1">
      <alignment horizontal="right" vertical="center"/>
    </xf>
    <xf numFmtId="164" fontId="12" fillId="2" borderId="10" xfId="0" applyNumberFormat="1" applyFont="1" applyFill="1" applyBorder="1" applyAlignment="1">
      <alignment horizontal="center" vertical="center"/>
    </xf>
    <xf numFmtId="164" fontId="13" fillId="2" borderId="10" xfId="0" applyNumberFormat="1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64" fontId="3" fillId="2" borderId="10" xfId="0" applyNumberFormat="1" applyFont="1" applyFill="1" applyBorder="1" applyAlignment="1">
      <alignment horizontal="center" vertical="center"/>
    </xf>
    <xf numFmtId="167" fontId="4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167" fontId="2" fillId="2" borderId="1" xfId="3" applyNumberFormat="1" applyFont="1" applyFill="1" applyBorder="1" applyAlignment="1">
      <alignment horizontal="center" vertical="center"/>
    </xf>
    <xf numFmtId="171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3" fillId="2" borderId="1" xfId="0" applyNumberFormat="1" applyFont="1" applyFill="1" applyBorder="1" applyAlignment="1">
      <alignment horizontal="center" vertical="center"/>
    </xf>
    <xf numFmtId="167" fontId="5" fillId="2" borderId="1" xfId="0" applyNumberFormat="1" applyFont="1" applyFill="1" applyBorder="1" applyAlignment="1">
      <alignment horizontal="center" vertical="center"/>
    </xf>
    <xf numFmtId="17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4" fillId="2" borderId="19" xfId="4" applyFont="1" applyFill="1" applyBorder="1" applyAlignment="1">
      <alignment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/>
    </xf>
    <xf numFmtId="167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0" fontId="6" fillId="2" borderId="0" xfId="0" applyFont="1" applyFill="1" applyAlignment="1">
      <alignment horizontal="center" vertical="center"/>
    </xf>
    <xf numFmtId="0" fontId="14" fillId="2" borderId="19" xfId="4" applyFont="1" applyFill="1" applyBorder="1" applyAlignment="1">
      <alignment horizontal="left" vertical="center"/>
    </xf>
    <xf numFmtId="172" fontId="2" fillId="2" borderId="0" xfId="0" applyNumberFormat="1" applyFont="1" applyFill="1" applyAlignment="1">
      <alignment horizontal="center" vertical="center"/>
    </xf>
    <xf numFmtId="43" fontId="15" fillId="2" borderId="19" xfId="1" applyFont="1" applyFill="1" applyBorder="1" applyAlignment="1">
      <alignment vertical="center"/>
    </xf>
    <xf numFmtId="0" fontId="14" fillId="2" borderId="19" xfId="0" applyFont="1" applyFill="1" applyBorder="1" applyAlignment="1">
      <alignment vertical="center"/>
    </xf>
    <xf numFmtId="0" fontId="14" fillId="2" borderId="19" xfId="0" applyFont="1" applyFill="1" applyBorder="1" applyAlignment="1">
      <alignment horizontal="left" vertical="center"/>
    </xf>
    <xf numFmtId="173" fontId="14" fillId="2" borderId="19" xfId="2" applyNumberFormat="1" applyFont="1" applyFill="1" applyBorder="1" applyAlignment="1">
      <alignment vertical="center"/>
    </xf>
    <xf numFmtId="0" fontId="14" fillId="2" borderId="8" xfId="0" applyFont="1" applyFill="1" applyBorder="1" applyAlignment="1">
      <alignment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6" fontId="8" fillId="2" borderId="12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164" fontId="8" fillId="2" borderId="12" xfId="0" applyNumberFormat="1" applyFont="1" applyFill="1" applyBorder="1" applyAlignment="1">
      <alignment horizontal="center" vertical="center"/>
    </xf>
    <xf numFmtId="166" fontId="8" fillId="2" borderId="9" xfId="0" applyNumberFormat="1" applyFont="1" applyFill="1" applyBorder="1" applyAlignment="1">
      <alignment horizontal="center" vertical="center"/>
    </xf>
    <xf numFmtId="166" fontId="8" fillId="2" borderId="13" xfId="0" applyNumberFormat="1" applyFont="1" applyFill="1" applyBorder="1" applyAlignment="1">
      <alignment horizontal="center" vertical="center"/>
    </xf>
    <xf numFmtId="0" fontId="8" fillId="2" borderId="1" xfId="0" applyNumberFormat="1" applyFont="1" applyFill="1" applyBorder="1" applyAlignment="1">
      <alignment horizontal="center" vertical="center"/>
    </xf>
    <xf numFmtId="166" fontId="7" fillId="2" borderId="1" xfId="0" applyNumberFormat="1" applyFont="1" applyFill="1" applyBorder="1" applyAlignment="1">
      <alignment horizontal="center" vertical="center"/>
    </xf>
    <xf numFmtId="166" fontId="7" fillId="2" borderId="12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64" fontId="7" fillId="2" borderId="12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165" fontId="7" fillId="2" borderId="3" xfId="3" applyFont="1" applyFill="1" applyBorder="1" applyAlignment="1">
      <alignment horizontal="center" vertical="center" wrapText="1"/>
    </xf>
    <xf numFmtId="165" fontId="7" fillId="2" borderId="1" xfId="3" applyFont="1" applyFill="1" applyBorder="1" applyAlignment="1">
      <alignment horizontal="center" vertical="center" wrapText="1"/>
    </xf>
    <xf numFmtId="165" fontId="7" fillId="2" borderId="12" xfId="3" applyFont="1" applyFill="1" applyBorder="1" applyAlignment="1">
      <alignment horizontal="center" vertical="center" wrapText="1"/>
    </xf>
    <xf numFmtId="174" fontId="0" fillId="0" borderId="1" xfId="0" applyNumberFormat="1" applyBorder="1" applyAlignment="1">
      <alignment horizontal="center" vertical="center"/>
    </xf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42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CM668"/>
  <sheetViews>
    <sheetView tabSelected="1" workbookViewId="0">
      <selection activeCell="E8" sqref="E8:E10"/>
    </sheetView>
  </sheetViews>
  <sheetFormatPr defaultColWidth="8" defaultRowHeight="15" x14ac:dyDescent="0.25"/>
  <cols>
    <col min="1" max="1" width="5.625" style="1" customWidth="1"/>
    <col min="2" max="2" width="23.125" style="2" customWidth="1"/>
    <col min="3" max="3" width="9.625" style="1" customWidth="1"/>
    <col min="4" max="4" width="6.25" style="3" customWidth="1"/>
    <col min="5" max="5" width="14.625" style="1" customWidth="1"/>
    <col min="6" max="6" width="6.75" style="1" customWidth="1"/>
    <col min="7" max="7" width="5.625" style="4" customWidth="1"/>
    <col min="8" max="8" width="4.75" style="5" customWidth="1"/>
    <col min="9" max="9" width="5" style="6" customWidth="1"/>
    <col min="10" max="10" width="4.75" style="7" customWidth="1"/>
    <col min="11" max="11" width="5.25" style="4" customWidth="1"/>
    <col min="12" max="12" width="4.75" style="8" customWidth="1"/>
    <col min="13" max="13" width="4.75" style="4" customWidth="1"/>
    <col min="14" max="14" width="4.75" style="8" customWidth="1"/>
    <col min="15" max="15" width="5" style="6" customWidth="1"/>
    <col min="16" max="16" width="4.75" style="7" customWidth="1"/>
    <col min="17" max="17" width="4.75" style="4" customWidth="1"/>
    <col min="18" max="18" width="4.75" style="8" customWidth="1"/>
    <col min="19" max="19" width="6.875" style="4" customWidth="1"/>
    <col min="20" max="20" width="4.75" style="8" customWidth="1"/>
    <col min="21" max="21" width="5.625" style="4" customWidth="1"/>
    <col min="22" max="22" width="4.75" style="5" customWidth="1"/>
    <col min="23" max="23" width="6.125" style="4" customWidth="1"/>
    <col min="24" max="24" width="4.75" style="8" customWidth="1"/>
    <col min="25" max="25" width="6.125" style="4" customWidth="1"/>
    <col min="26" max="26" width="4.75" style="8" customWidth="1"/>
    <col min="27" max="27" width="6.375" style="4" customWidth="1"/>
    <col min="28" max="28" width="4.75" style="8" customWidth="1"/>
    <col min="29" max="29" width="5.625" style="4" customWidth="1"/>
    <col min="30" max="30" width="4.75" style="8" customWidth="1"/>
    <col min="31" max="31" width="5.875" style="4" customWidth="1"/>
    <col min="32" max="32" width="4.75" style="8" customWidth="1"/>
    <col min="33" max="33" width="6.875" style="4" customWidth="1"/>
    <col min="34" max="34" width="4.75" style="8" customWidth="1"/>
    <col min="35" max="35" width="5.125" style="4" customWidth="1"/>
    <col min="36" max="36" width="6.5" style="8" customWidth="1"/>
    <col min="37" max="37" width="5.25" style="4" customWidth="1"/>
    <col min="38" max="38" width="4.75" style="8" customWidth="1"/>
    <col min="39" max="39" width="4.75" style="4" customWidth="1"/>
    <col min="40" max="40" width="4.75" style="8" customWidth="1"/>
    <col min="41" max="41" width="5.375" style="4" customWidth="1"/>
    <col min="42" max="42" width="5.25" style="8" customWidth="1"/>
    <col min="43" max="43" width="4.75" style="4" customWidth="1"/>
    <col min="44" max="44" width="4.75" style="8" customWidth="1"/>
    <col min="45" max="45" width="6.125" style="4" customWidth="1"/>
    <col min="46" max="46" width="4.75" style="8" customWidth="1"/>
    <col min="47" max="47" width="5" style="4" customWidth="1"/>
    <col min="48" max="48" width="4.75" style="8" customWidth="1"/>
    <col min="49" max="49" width="6.25" style="4" customWidth="1"/>
    <col min="50" max="50" width="4.75" style="8" customWidth="1"/>
    <col min="51" max="51" width="5.375" style="4" customWidth="1"/>
    <col min="52" max="52" width="4.75" style="8" customWidth="1"/>
    <col min="53" max="53" width="5" style="4" customWidth="1"/>
    <col min="54" max="54" width="4.75" style="8" customWidth="1"/>
    <col min="55" max="55" width="4.75" style="4" customWidth="1"/>
    <col min="56" max="56" width="4.75" style="8" customWidth="1"/>
    <col min="57" max="57" width="4.875" style="4" customWidth="1"/>
    <col min="58" max="58" width="4.75" style="5" customWidth="1"/>
    <col min="59" max="59" width="4.375" style="4" customWidth="1"/>
    <col min="60" max="60" width="5.625" style="8" customWidth="1"/>
    <col min="61" max="61" width="4.75" style="4" customWidth="1"/>
    <col min="62" max="62" width="4.75" style="8" customWidth="1"/>
    <col min="63" max="63" width="4.75" style="4" customWidth="1"/>
    <col min="64" max="64" width="4.75" style="8" customWidth="1"/>
    <col min="65" max="65" width="4.75" style="4" customWidth="1"/>
    <col min="66" max="66" width="4.75" style="8" customWidth="1"/>
    <col min="67" max="67" width="4.75" style="4" customWidth="1"/>
    <col min="68" max="68" width="4.75" style="8" customWidth="1"/>
    <col min="69" max="69" width="9.375" style="1" customWidth="1"/>
    <col min="70" max="70" width="8.875" style="1" customWidth="1"/>
    <col min="71" max="71" width="8.25" style="1" customWidth="1"/>
    <col min="72" max="72" width="9.375" style="1" customWidth="1"/>
    <col min="73" max="73" width="13.25" style="1" customWidth="1"/>
    <col min="74" max="74" width="4.75" style="1" customWidth="1"/>
    <col min="75" max="75" width="9.5" style="1" customWidth="1"/>
    <col min="76" max="76" width="9.75" style="1" customWidth="1"/>
    <col min="77" max="77" width="7" style="1" customWidth="1"/>
    <col min="78" max="78" width="9.75" style="9" customWidth="1"/>
    <col min="79" max="79" width="9.125" style="1" customWidth="1"/>
    <col min="80" max="80" width="8.125" style="9" customWidth="1"/>
    <col min="81" max="81" width="7.375" style="1" customWidth="1"/>
    <col min="82" max="82" width="9.375" style="4" customWidth="1"/>
    <col min="83" max="83" width="6.375" style="10" customWidth="1"/>
    <col min="84" max="84" width="9.75" style="1" customWidth="1"/>
    <col min="85" max="85" width="8.25" style="1" customWidth="1"/>
    <col min="86" max="86" width="12" style="1" customWidth="1"/>
    <col min="87" max="87" width="10.375" style="11" customWidth="1"/>
    <col min="88" max="88" width="10.375" style="12" customWidth="1"/>
    <col min="89" max="16384" width="8" style="12"/>
  </cols>
  <sheetData>
    <row r="5" spans="1:91" ht="15.75" customHeight="1" x14ac:dyDescent="0.25"/>
    <row r="6" spans="1:91" s="22" customFormat="1" ht="21" customHeight="1" x14ac:dyDescent="0.25">
      <c r="A6" s="13"/>
      <c r="B6" s="14" t="s">
        <v>35</v>
      </c>
      <c r="C6" s="13"/>
      <c r="D6" s="13">
        <v>10</v>
      </c>
      <c r="E6" s="13" t="s">
        <v>36</v>
      </c>
      <c r="F6" s="13">
        <v>2021</v>
      </c>
      <c r="G6" s="15"/>
      <c r="H6" s="16"/>
      <c r="I6" s="13"/>
      <c r="J6" s="17"/>
      <c r="K6" s="15"/>
      <c r="L6" s="18"/>
      <c r="M6" s="15"/>
      <c r="N6" s="18"/>
      <c r="O6" s="13"/>
      <c r="P6" s="17"/>
      <c r="Q6" s="15"/>
      <c r="R6" s="18"/>
      <c r="S6" s="15"/>
      <c r="T6" s="18"/>
      <c r="U6" s="15"/>
      <c r="V6" s="16"/>
      <c r="W6" s="15"/>
      <c r="X6" s="18"/>
      <c r="Y6" s="15"/>
      <c r="Z6" s="18"/>
      <c r="AA6" s="15"/>
      <c r="AB6" s="18"/>
      <c r="AC6" s="15"/>
      <c r="AD6" s="18"/>
      <c r="AE6" s="15"/>
      <c r="AF6" s="18"/>
      <c r="AG6" s="15"/>
      <c r="AH6" s="18"/>
      <c r="AI6" s="15"/>
      <c r="AJ6" s="18"/>
      <c r="AK6" s="15"/>
      <c r="AL6" s="18"/>
      <c r="AM6" s="15"/>
      <c r="AN6" s="18"/>
      <c r="AO6" s="15"/>
      <c r="AP6" s="18"/>
      <c r="AQ6" s="15"/>
      <c r="AR6" s="18"/>
      <c r="AS6" s="15"/>
      <c r="AT6" s="18"/>
      <c r="AU6" s="15"/>
      <c r="AV6" s="18"/>
      <c r="AW6" s="15"/>
      <c r="AX6" s="18"/>
      <c r="AY6" s="15"/>
      <c r="AZ6" s="18"/>
      <c r="BA6" s="15"/>
      <c r="BB6" s="18"/>
      <c r="BC6" s="15"/>
      <c r="BD6" s="18"/>
      <c r="BE6" s="15"/>
      <c r="BF6" s="16"/>
      <c r="BG6" s="15"/>
      <c r="BH6" s="18"/>
      <c r="BI6" s="15"/>
      <c r="BJ6" s="18"/>
      <c r="BK6" s="15"/>
      <c r="BL6" s="18"/>
      <c r="BM6" s="15"/>
      <c r="BN6" s="18"/>
      <c r="BO6" s="15"/>
      <c r="BP6" s="18"/>
      <c r="BQ6" s="13"/>
      <c r="BR6" s="13"/>
      <c r="BS6" s="13"/>
      <c r="BT6" s="13"/>
      <c r="BU6" s="13"/>
      <c r="BV6" s="13"/>
      <c r="BW6" s="13"/>
      <c r="BX6" s="13"/>
      <c r="BY6" s="13"/>
      <c r="BZ6" s="19"/>
      <c r="CA6" s="20"/>
      <c r="CB6" s="19"/>
      <c r="CC6" s="13"/>
      <c r="CD6" s="15"/>
      <c r="CE6" s="19"/>
      <c r="CF6" s="13"/>
      <c r="CG6" s="13"/>
      <c r="CH6" s="13"/>
      <c r="CI6" s="21"/>
    </row>
    <row r="7" spans="1:91" s="15" customFormat="1" ht="34.5" customHeight="1" thickBot="1" x14ac:dyDescent="0.3">
      <c r="A7" s="23">
        <v>1</v>
      </c>
      <c r="B7" s="24">
        <v>2</v>
      </c>
      <c r="C7" s="24">
        <v>3</v>
      </c>
      <c r="D7" s="24"/>
      <c r="E7" s="24">
        <v>5</v>
      </c>
      <c r="F7" s="24">
        <v>6</v>
      </c>
      <c r="G7" s="24">
        <v>7</v>
      </c>
      <c r="H7" s="25">
        <v>8</v>
      </c>
      <c r="I7" s="23">
        <v>9</v>
      </c>
      <c r="J7" s="26">
        <v>10</v>
      </c>
      <c r="K7" s="25">
        <v>11</v>
      </c>
      <c r="L7" s="25">
        <v>12</v>
      </c>
      <c r="M7" s="25">
        <v>13</v>
      </c>
      <c r="N7" s="25">
        <v>14</v>
      </c>
      <c r="O7" s="23">
        <v>15</v>
      </c>
      <c r="P7" s="26">
        <v>16</v>
      </c>
      <c r="Q7" s="25">
        <v>17</v>
      </c>
      <c r="R7" s="25">
        <v>18</v>
      </c>
      <c r="S7" s="25">
        <v>19</v>
      </c>
      <c r="T7" s="25">
        <v>20</v>
      </c>
      <c r="U7" s="24">
        <v>21</v>
      </c>
      <c r="V7" s="25">
        <v>22</v>
      </c>
      <c r="W7" s="25">
        <v>23</v>
      </c>
      <c r="X7" s="25">
        <v>24</v>
      </c>
      <c r="Y7" s="25">
        <v>25</v>
      </c>
      <c r="Z7" s="25">
        <v>26</v>
      </c>
      <c r="AA7" s="25">
        <v>27</v>
      </c>
      <c r="AB7" s="27">
        <v>28</v>
      </c>
      <c r="AC7" s="25">
        <v>29</v>
      </c>
      <c r="AD7" s="25">
        <v>30</v>
      </c>
      <c r="AE7" s="25">
        <v>31</v>
      </c>
      <c r="AF7" s="25">
        <v>32</v>
      </c>
      <c r="AG7" s="25">
        <v>33</v>
      </c>
      <c r="AH7" s="25">
        <v>34</v>
      </c>
      <c r="AI7" s="24">
        <v>35</v>
      </c>
      <c r="AJ7" s="25">
        <v>36</v>
      </c>
      <c r="AK7" s="25">
        <v>37</v>
      </c>
      <c r="AL7" s="25">
        <v>38</v>
      </c>
      <c r="AM7" s="25">
        <v>39</v>
      </c>
      <c r="AN7" s="25">
        <v>40</v>
      </c>
      <c r="AO7" s="25">
        <v>41</v>
      </c>
      <c r="AP7" s="25">
        <v>42</v>
      </c>
      <c r="AQ7" s="25">
        <v>43</v>
      </c>
      <c r="AR7" s="25">
        <v>44</v>
      </c>
      <c r="AS7" s="25">
        <v>45</v>
      </c>
      <c r="AT7" s="25">
        <v>46</v>
      </c>
      <c r="AU7" s="25">
        <v>47</v>
      </c>
      <c r="AV7" s="25">
        <v>48</v>
      </c>
      <c r="AW7" s="24">
        <v>49</v>
      </c>
      <c r="AX7" s="25">
        <v>50</v>
      </c>
      <c r="AY7" s="24">
        <v>51</v>
      </c>
      <c r="AZ7" s="25">
        <v>52</v>
      </c>
      <c r="BA7" s="24">
        <v>53</v>
      </c>
      <c r="BB7" s="25">
        <v>54</v>
      </c>
      <c r="BC7" s="25">
        <v>55</v>
      </c>
      <c r="BD7" s="25">
        <v>56</v>
      </c>
      <c r="BE7" s="25">
        <v>57</v>
      </c>
      <c r="BF7" s="25">
        <v>58</v>
      </c>
      <c r="BG7" s="25">
        <v>59</v>
      </c>
      <c r="BH7" s="25">
        <v>60</v>
      </c>
      <c r="BI7" s="25">
        <v>61</v>
      </c>
      <c r="BJ7" s="25">
        <v>62</v>
      </c>
      <c r="BK7" s="24">
        <v>63</v>
      </c>
      <c r="BL7" s="25">
        <v>64</v>
      </c>
      <c r="BM7" s="24">
        <v>65</v>
      </c>
      <c r="BN7" s="25">
        <v>66</v>
      </c>
      <c r="BO7" s="24">
        <v>67</v>
      </c>
      <c r="BP7" s="25">
        <v>68</v>
      </c>
      <c r="BQ7" s="25">
        <v>69</v>
      </c>
      <c r="BR7" s="25">
        <v>70</v>
      </c>
      <c r="BS7" s="25">
        <v>71</v>
      </c>
      <c r="BT7" s="24">
        <v>72</v>
      </c>
      <c r="BU7" s="24">
        <v>73</v>
      </c>
      <c r="BV7" s="24">
        <v>74</v>
      </c>
      <c r="BW7" s="24">
        <v>75</v>
      </c>
      <c r="BX7" s="24">
        <v>76</v>
      </c>
      <c r="BY7" s="24">
        <v>77</v>
      </c>
      <c r="BZ7" s="24">
        <v>78</v>
      </c>
      <c r="CA7" s="24">
        <v>79</v>
      </c>
      <c r="CB7" s="24">
        <v>80</v>
      </c>
      <c r="CC7" s="24">
        <v>81</v>
      </c>
      <c r="CD7" s="24">
        <v>82</v>
      </c>
      <c r="CE7" s="24">
        <v>83</v>
      </c>
      <c r="CF7" s="24">
        <v>84</v>
      </c>
      <c r="CG7" s="24">
        <v>85</v>
      </c>
      <c r="CH7" s="24">
        <v>86</v>
      </c>
      <c r="CI7" s="28">
        <v>87</v>
      </c>
    </row>
    <row r="8" spans="1:91" s="22" customFormat="1" ht="34.5" customHeight="1" x14ac:dyDescent="0.25">
      <c r="A8" s="164" t="s">
        <v>0</v>
      </c>
      <c r="B8" s="167" t="s">
        <v>1</v>
      </c>
      <c r="C8" s="160" t="s">
        <v>2</v>
      </c>
      <c r="D8" s="29"/>
      <c r="E8" s="172" t="s">
        <v>3</v>
      </c>
      <c r="F8" s="175" t="s">
        <v>4</v>
      </c>
      <c r="G8" s="178">
        <f>DATE(F6,D6,1)</f>
        <v>44470</v>
      </c>
      <c r="H8" s="178"/>
      <c r="I8" s="178">
        <f>G8+1</f>
        <v>44471</v>
      </c>
      <c r="J8" s="178"/>
      <c r="K8" s="178">
        <f t="shared" ref="K8" si="0">I8+1</f>
        <v>44472</v>
      </c>
      <c r="L8" s="178"/>
      <c r="M8" s="178">
        <f t="shared" ref="M8" si="1">K8+1</f>
        <v>44473</v>
      </c>
      <c r="N8" s="178"/>
      <c r="O8" s="178">
        <f t="shared" ref="O8" si="2">M8+1</f>
        <v>44474</v>
      </c>
      <c r="P8" s="178"/>
      <c r="Q8" s="178">
        <f t="shared" ref="Q8" si="3">O8+1</f>
        <v>44475</v>
      </c>
      <c r="R8" s="178"/>
      <c r="S8" s="178">
        <f t="shared" ref="S8" si="4">Q8+1</f>
        <v>44476</v>
      </c>
      <c r="T8" s="178"/>
      <c r="U8" s="178">
        <f t="shared" ref="U8" si="5">S8+1</f>
        <v>44477</v>
      </c>
      <c r="V8" s="178"/>
      <c r="W8" s="178">
        <f t="shared" ref="W8" si="6">U8+1</f>
        <v>44478</v>
      </c>
      <c r="X8" s="178"/>
      <c r="Y8" s="178">
        <f t="shared" ref="Y8" si="7">W8+1</f>
        <v>44479</v>
      </c>
      <c r="Z8" s="178"/>
      <c r="AA8" s="178">
        <f t="shared" ref="AA8" si="8">Y8+1</f>
        <v>44480</v>
      </c>
      <c r="AB8" s="178"/>
      <c r="AC8" s="178">
        <f t="shared" ref="AC8" si="9">AA8+1</f>
        <v>44481</v>
      </c>
      <c r="AD8" s="178"/>
      <c r="AE8" s="178">
        <f t="shared" ref="AE8" si="10">AC8+1</f>
        <v>44482</v>
      </c>
      <c r="AF8" s="178"/>
      <c r="AG8" s="178">
        <f t="shared" ref="AG8" si="11">AE8+1</f>
        <v>44483</v>
      </c>
      <c r="AH8" s="178"/>
      <c r="AI8" s="178">
        <f t="shared" ref="AI8" si="12">AG8+1</f>
        <v>44484</v>
      </c>
      <c r="AJ8" s="178"/>
      <c r="AK8" s="178">
        <f t="shared" ref="AK8" si="13">AI8+1</f>
        <v>44485</v>
      </c>
      <c r="AL8" s="178"/>
      <c r="AM8" s="178">
        <f t="shared" ref="AM8" si="14">AK8+1</f>
        <v>44486</v>
      </c>
      <c r="AN8" s="178"/>
      <c r="AO8" s="178">
        <f t="shared" ref="AO8" si="15">AM8+1</f>
        <v>44487</v>
      </c>
      <c r="AP8" s="178"/>
      <c r="AQ8" s="178">
        <f t="shared" ref="AQ8" si="16">AO8+1</f>
        <v>44488</v>
      </c>
      <c r="AR8" s="178"/>
      <c r="AS8" s="178">
        <f t="shared" ref="AS8" si="17">AQ8+1</f>
        <v>44489</v>
      </c>
      <c r="AT8" s="178"/>
      <c r="AU8" s="178">
        <f t="shared" ref="AU8" si="18">AS8+1</f>
        <v>44490</v>
      </c>
      <c r="AV8" s="178"/>
      <c r="AW8" s="178">
        <f t="shared" ref="AW8" si="19">AU8+1</f>
        <v>44491</v>
      </c>
      <c r="AX8" s="178"/>
      <c r="AY8" s="178">
        <f t="shared" ref="AY8" si="20">AW8+1</f>
        <v>44492</v>
      </c>
      <c r="AZ8" s="178"/>
      <c r="BA8" s="178">
        <f t="shared" ref="BA8" si="21">AY8+1</f>
        <v>44493</v>
      </c>
      <c r="BB8" s="178"/>
      <c r="BC8" s="178">
        <f t="shared" ref="BC8" si="22">BA8+1</f>
        <v>44494</v>
      </c>
      <c r="BD8" s="178"/>
      <c r="BE8" s="178">
        <f t="shared" ref="BE8" si="23">BC8+1</f>
        <v>44495</v>
      </c>
      <c r="BF8" s="178"/>
      <c r="BG8" s="178">
        <f t="shared" ref="BG8" si="24">BE8+1</f>
        <v>44496</v>
      </c>
      <c r="BH8" s="178"/>
      <c r="BI8" s="178">
        <f t="shared" ref="BI8" si="25">BG8+1</f>
        <v>44497</v>
      </c>
      <c r="BJ8" s="178"/>
      <c r="BK8" s="178">
        <f t="shared" ref="BK8" si="26">BI8+1</f>
        <v>44498</v>
      </c>
      <c r="BL8" s="178"/>
      <c r="BM8" s="178">
        <f t="shared" ref="BM8" si="27">BK8+1</f>
        <v>44499</v>
      </c>
      <c r="BN8" s="178"/>
      <c r="BO8" s="178">
        <f t="shared" ref="BO8" si="28">BM8+1</f>
        <v>44500</v>
      </c>
      <c r="BP8" s="178"/>
      <c r="BQ8" s="30" t="s">
        <v>5</v>
      </c>
      <c r="BR8" s="30" t="s">
        <v>6</v>
      </c>
      <c r="BS8" s="30" t="s">
        <v>7</v>
      </c>
      <c r="BT8" s="29" t="s">
        <v>8</v>
      </c>
      <c r="BU8" s="160" t="s">
        <v>9</v>
      </c>
      <c r="BV8" s="31"/>
      <c r="BW8" s="160" t="s">
        <v>10</v>
      </c>
      <c r="BX8" s="155" t="s">
        <v>11</v>
      </c>
      <c r="BY8" s="160" t="s">
        <v>12</v>
      </c>
      <c r="BZ8" s="153" t="s">
        <v>13</v>
      </c>
      <c r="CA8" s="162" t="s">
        <v>14</v>
      </c>
      <c r="CB8" s="163"/>
      <c r="CC8" s="164"/>
      <c r="CD8" s="153" t="s">
        <v>15</v>
      </c>
      <c r="CE8" s="155" t="s">
        <v>16</v>
      </c>
      <c r="CF8" s="157" t="s">
        <v>17</v>
      </c>
      <c r="CG8" s="155" t="s">
        <v>18</v>
      </c>
      <c r="CH8" s="157" t="s">
        <v>19</v>
      </c>
      <c r="CI8" s="159" t="s">
        <v>20</v>
      </c>
      <c r="CJ8" s="32"/>
    </row>
    <row r="9" spans="1:91" s="36" customFormat="1" ht="61.5" customHeight="1" x14ac:dyDescent="0.25">
      <c r="A9" s="165"/>
      <c r="B9" s="168"/>
      <c r="C9" s="170"/>
      <c r="D9" s="33"/>
      <c r="E9" s="173"/>
      <c r="F9" s="176"/>
      <c r="G9" s="142" t="s">
        <v>21</v>
      </c>
      <c r="H9" s="148" t="s">
        <v>22</v>
      </c>
      <c r="I9" s="149" t="s">
        <v>21</v>
      </c>
      <c r="J9" s="151" t="s">
        <v>22</v>
      </c>
      <c r="K9" s="142" t="s">
        <v>21</v>
      </c>
      <c r="L9" s="144" t="s">
        <v>22</v>
      </c>
      <c r="M9" s="142" t="s">
        <v>21</v>
      </c>
      <c r="N9" s="144" t="s">
        <v>22</v>
      </c>
      <c r="O9" s="149" t="s">
        <v>21</v>
      </c>
      <c r="P9" s="151" t="s">
        <v>22</v>
      </c>
      <c r="Q9" s="142" t="s">
        <v>21</v>
      </c>
      <c r="R9" s="144" t="s">
        <v>22</v>
      </c>
      <c r="S9" s="142" t="s">
        <v>21</v>
      </c>
      <c r="T9" s="144" t="s">
        <v>22</v>
      </c>
      <c r="U9" s="142" t="s">
        <v>21</v>
      </c>
      <c r="V9" s="148" t="s">
        <v>22</v>
      </c>
      <c r="W9" s="142" t="s">
        <v>21</v>
      </c>
      <c r="X9" s="144" t="s">
        <v>22</v>
      </c>
      <c r="Y9" s="142" t="s">
        <v>21</v>
      </c>
      <c r="Z9" s="144" t="s">
        <v>22</v>
      </c>
      <c r="AA9" s="142" t="s">
        <v>21</v>
      </c>
      <c r="AB9" s="144" t="s">
        <v>22</v>
      </c>
      <c r="AC9" s="142" t="s">
        <v>21</v>
      </c>
      <c r="AD9" s="144" t="s">
        <v>22</v>
      </c>
      <c r="AE9" s="142" t="s">
        <v>21</v>
      </c>
      <c r="AF9" s="144" t="s">
        <v>22</v>
      </c>
      <c r="AG9" s="142" t="s">
        <v>21</v>
      </c>
      <c r="AH9" s="144" t="s">
        <v>22</v>
      </c>
      <c r="AI9" s="142" t="s">
        <v>21</v>
      </c>
      <c r="AJ9" s="144" t="s">
        <v>22</v>
      </c>
      <c r="AK9" s="142" t="s">
        <v>21</v>
      </c>
      <c r="AL9" s="144" t="s">
        <v>22</v>
      </c>
      <c r="AM9" s="146" t="s">
        <v>21</v>
      </c>
      <c r="AN9" s="144" t="s">
        <v>22</v>
      </c>
      <c r="AO9" s="142" t="s">
        <v>21</v>
      </c>
      <c r="AP9" s="144" t="s">
        <v>22</v>
      </c>
      <c r="AQ9" s="146" t="s">
        <v>21</v>
      </c>
      <c r="AR9" s="144" t="s">
        <v>22</v>
      </c>
      <c r="AS9" s="142" t="s">
        <v>21</v>
      </c>
      <c r="AT9" s="144" t="s">
        <v>22</v>
      </c>
      <c r="AU9" s="142" t="s">
        <v>21</v>
      </c>
      <c r="AV9" s="144" t="s">
        <v>22</v>
      </c>
      <c r="AW9" s="142" t="s">
        <v>21</v>
      </c>
      <c r="AX9" s="144" t="s">
        <v>22</v>
      </c>
      <c r="AY9" s="142" t="s">
        <v>21</v>
      </c>
      <c r="AZ9" s="144" t="s">
        <v>22</v>
      </c>
      <c r="BA9" s="142" t="s">
        <v>21</v>
      </c>
      <c r="BB9" s="144" t="s">
        <v>22</v>
      </c>
      <c r="BC9" s="142" t="s">
        <v>21</v>
      </c>
      <c r="BD9" s="144" t="s">
        <v>22</v>
      </c>
      <c r="BE9" s="146" t="s">
        <v>21</v>
      </c>
      <c r="BF9" s="146" t="s">
        <v>22</v>
      </c>
      <c r="BG9" s="146" t="s">
        <v>21</v>
      </c>
      <c r="BH9" s="146" t="s">
        <v>22</v>
      </c>
      <c r="BI9" s="146" t="s">
        <v>21</v>
      </c>
      <c r="BJ9" s="146" t="s">
        <v>22</v>
      </c>
      <c r="BK9" s="142" t="s">
        <v>21</v>
      </c>
      <c r="BL9" s="144" t="s">
        <v>22</v>
      </c>
      <c r="BM9" s="142" t="s">
        <v>21</v>
      </c>
      <c r="BN9" s="144" t="s">
        <v>22</v>
      </c>
      <c r="BO9" s="142" t="s">
        <v>21</v>
      </c>
      <c r="BP9" s="144" t="s">
        <v>22</v>
      </c>
      <c r="BQ9" s="33" t="s">
        <v>23</v>
      </c>
      <c r="BR9" s="33" t="s">
        <v>24</v>
      </c>
      <c r="BS9" s="33" t="s">
        <v>25</v>
      </c>
      <c r="BT9" s="33" t="s">
        <v>26</v>
      </c>
      <c r="BU9" s="161"/>
      <c r="BV9" s="34"/>
      <c r="BW9" s="161"/>
      <c r="BX9" s="156"/>
      <c r="BY9" s="161"/>
      <c r="BZ9" s="154"/>
      <c r="CA9" s="33" t="s">
        <v>27</v>
      </c>
      <c r="CB9" s="35" t="s">
        <v>28</v>
      </c>
      <c r="CC9" s="33" t="s">
        <v>29</v>
      </c>
      <c r="CD9" s="154"/>
      <c r="CE9" s="156"/>
      <c r="CF9" s="158"/>
      <c r="CG9" s="156"/>
      <c r="CH9" s="158"/>
      <c r="CI9" s="159"/>
      <c r="CJ9" s="32"/>
    </row>
    <row r="10" spans="1:91" s="22" customFormat="1" ht="34.5" customHeight="1" thickBot="1" x14ac:dyDescent="0.3">
      <c r="A10" s="166"/>
      <c r="B10" s="169"/>
      <c r="C10" s="171"/>
      <c r="D10" s="37"/>
      <c r="E10" s="174"/>
      <c r="F10" s="177"/>
      <c r="G10" s="143"/>
      <c r="H10" s="145"/>
      <c r="I10" s="150"/>
      <c r="J10" s="152"/>
      <c r="K10" s="143"/>
      <c r="L10" s="145"/>
      <c r="M10" s="143"/>
      <c r="N10" s="145"/>
      <c r="O10" s="150"/>
      <c r="P10" s="152"/>
      <c r="Q10" s="143"/>
      <c r="R10" s="145"/>
      <c r="S10" s="143"/>
      <c r="T10" s="145"/>
      <c r="U10" s="143"/>
      <c r="V10" s="145"/>
      <c r="W10" s="143"/>
      <c r="X10" s="145"/>
      <c r="Y10" s="143"/>
      <c r="Z10" s="145"/>
      <c r="AA10" s="143"/>
      <c r="AB10" s="145"/>
      <c r="AC10" s="143"/>
      <c r="AD10" s="145"/>
      <c r="AE10" s="143"/>
      <c r="AF10" s="145"/>
      <c r="AG10" s="143"/>
      <c r="AH10" s="145"/>
      <c r="AI10" s="143"/>
      <c r="AJ10" s="145"/>
      <c r="AK10" s="143"/>
      <c r="AL10" s="145"/>
      <c r="AM10" s="147"/>
      <c r="AN10" s="145"/>
      <c r="AO10" s="143"/>
      <c r="AP10" s="145"/>
      <c r="AQ10" s="147"/>
      <c r="AR10" s="145"/>
      <c r="AS10" s="143"/>
      <c r="AT10" s="145"/>
      <c r="AU10" s="143"/>
      <c r="AV10" s="145"/>
      <c r="AW10" s="143"/>
      <c r="AX10" s="145"/>
      <c r="AY10" s="143"/>
      <c r="AZ10" s="145"/>
      <c r="BA10" s="143"/>
      <c r="BB10" s="145"/>
      <c r="BC10" s="143"/>
      <c r="BD10" s="145"/>
      <c r="BE10" s="147"/>
      <c r="BF10" s="147"/>
      <c r="BG10" s="147"/>
      <c r="BH10" s="147"/>
      <c r="BI10" s="147"/>
      <c r="BJ10" s="147"/>
      <c r="BK10" s="143"/>
      <c r="BL10" s="145"/>
      <c r="BM10" s="143"/>
      <c r="BN10" s="145"/>
      <c r="BO10" s="143"/>
      <c r="BP10" s="145"/>
      <c r="BQ10" s="38" t="s">
        <v>30</v>
      </c>
      <c r="BR10" s="38" t="s">
        <v>30</v>
      </c>
      <c r="BS10" s="38" t="s">
        <v>30</v>
      </c>
      <c r="BT10" s="38" t="s">
        <v>30</v>
      </c>
      <c r="BU10" s="38" t="s">
        <v>30</v>
      </c>
      <c r="BV10" s="38"/>
      <c r="BW10" s="38" t="s">
        <v>30</v>
      </c>
      <c r="BX10" s="38" t="s">
        <v>30</v>
      </c>
      <c r="BY10" s="38" t="s">
        <v>30</v>
      </c>
      <c r="BZ10" s="39" t="s">
        <v>30</v>
      </c>
      <c r="CA10" s="37" t="s">
        <v>31</v>
      </c>
      <c r="CB10" s="40" t="s">
        <v>31</v>
      </c>
      <c r="CC10" s="37" t="s">
        <v>31</v>
      </c>
      <c r="CD10" s="41" t="s">
        <v>30</v>
      </c>
      <c r="CE10" s="37" t="s">
        <v>32</v>
      </c>
      <c r="CF10" s="41" t="s">
        <v>33</v>
      </c>
      <c r="CG10" s="41" t="s">
        <v>30</v>
      </c>
      <c r="CH10" s="40" t="s">
        <v>34</v>
      </c>
      <c r="CI10" s="42"/>
    </row>
    <row r="11" spans="1:91" s="62" customFormat="1" ht="15.75" customHeight="1" x14ac:dyDescent="0.25">
      <c r="A11" s="43"/>
      <c r="B11" s="44"/>
      <c r="C11" s="45"/>
      <c r="D11" s="46"/>
      <c r="E11" s="47"/>
      <c r="F11" s="48"/>
      <c r="G11" s="49"/>
      <c r="H11" s="49"/>
      <c r="I11" s="50"/>
      <c r="J11" s="49"/>
      <c r="K11" s="51"/>
      <c r="L11" s="49"/>
      <c r="M11" s="51"/>
      <c r="N11" s="49"/>
      <c r="O11" s="50"/>
      <c r="P11" s="49"/>
      <c r="Q11" s="49"/>
      <c r="R11" s="51"/>
      <c r="S11" s="49"/>
      <c r="T11" s="49"/>
      <c r="U11" s="49"/>
      <c r="V11" s="49"/>
      <c r="W11" s="49"/>
      <c r="X11" s="49"/>
      <c r="Y11" s="51"/>
      <c r="Z11" s="49"/>
      <c r="AA11" s="51"/>
      <c r="AB11" s="49"/>
      <c r="AC11" s="51"/>
      <c r="AD11" s="49"/>
      <c r="AE11" s="51"/>
      <c r="AF11" s="51"/>
      <c r="AG11" s="51"/>
      <c r="AH11" s="49"/>
      <c r="AI11" s="51"/>
      <c r="AJ11" s="49"/>
      <c r="AK11" s="51"/>
      <c r="AL11" s="49"/>
      <c r="AM11" s="51"/>
      <c r="AN11" s="49"/>
      <c r="AO11" s="51"/>
      <c r="AP11" s="49"/>
      <c r="AQ11" s="51"/>
      <c r="AR11" s="49"/>
      <c r="AS11" s="51"/>
      <c r="AT11" s="51"/>
      <c r="AU11" s="51"/>
      <c r="AV11" s="49"/>
      <c r="AW11" s="51"/>
      <c r="AX11" s="49"/>
      <c r="AY11" s="51"/>
      <c r="AZ11" s="49"/>
      <c r="BA11" s="51"/>
      <c r="BB11" s="49"/>
      <c r="BC11" s="51"/>
      <c r="BD11" s="49"/>
      <c r="BE11" s="51"/>
      <c r="BF11" s="49"/>
      <c r="BG11" s="51"/>
      <c r="BH11" s="51"/>
      <c r="BI11" s="51"/>
      <c r="BJ11" s="49"/>
      <c r="BK11" s="51"/>
      <c r="BL11" s="49"/>
      <c r="BM11" s="51"/>
      <c r="BN11" s="49"/>
      <c r="BO11" s="51"/>
      <c r="BP11" s="49"/>
      <c r="BQ11" s="52">
        <f t="shared" ref="BQ11:BQ74" si="29">COUNTIF($G11:$BP11,"a")+COUNTIF($G11:$BP11,"r0,a5")/2+COUNTIF($G11:$BP11,"p5,a5")/2</f>
        <v>0</v>
      </c>
      <c r="BR11" s="52">
        <f t="shared" ref="BR11:BR74" si="30">COUNTIF($G11:$BP11,"d")+COUNTIF($G11:$BP11,"r0,d5")/2+COUNTIF($G11:$BP11,"p5,d5")/2</f>
        <v>0</v>
      </c>
      <c r="BS11" s="52">
        <f t="shared" ref="BS11:BS74" si="31">COUNTIF($G11:$BP11,"b")+COUNTIF($G11:$BP11,"r0,b5")/2+COUNTIF($G11:$BP11,"p5,b5")/2</f>
        <v>0</v>
      </c>
      <c r="BT11" s="52">
        <f t="shared" ref="BT11:BT74" si="32">COUNTIF($G11:$BP11,"c")+COUNTIF($G11:$BP11,"r0,c5")/2+COUNTIF($G11:$BP11,"p5,c5")/2</f>
        <v>0</v>
      </c>
      <c r="BU11" s="52">
        <f t="shared" ref="BU11:BU74" si="33">COUNTIF($G11:$BP11,"KH")+COUNTIF($G11:$BP11,"TL")+COUNTIF($G11:$BP11,"L")</f>
        <v>0</v>
      </c>
      <c r="BV11" s="52"/>
      <c r="BW11" s="52">
        <f t="shared" ref="BW11:BW74" si="34">COUNTIF($G11:$BP11,"hh")</f>
        <v>0</v>
      </c>
      <c r="BX11" s="52">
        <f t="shared" ref="BX11:BX74" si="35">COUNTIF($G11:$BP11,"nt7")</f>
        <v>0</v>
      </c>
      <c r="BY11" s="52">
        <f t="shared" ref="BY11:BY74" si="36">COUNTIF($G11:$BP11,"P")+COUNTIF($G11:$BP11,"p5,a5")/2+COUNTIF($G11:$BP11,"p5,b5")/2+COUNTIF($G11:$BP11,"p5,c5")/2+COUNTIF($G11:$BP11,"p5,d5")/2</f>
        <v>0</v>
      </c>
      <c r="BZ11" s="53">
        <f t="shared" ref="BZ11:BZ74" si="37">SUBTOTAL(9,BQ11:BY11)</f>
        <v>0</v>
      </c>
      <c r="CA11" s="54">
        <f>SUM(J11,L11,N11,P11,R11,T11,X11,Z11,AB11,AD11,AF11,AH11,AL11,AN11,AP11,AR11,AT11,AV11,AZ11,BB11,BD11,BF11,BH11,BP11)</f>
        <v>0</v>
      </c>
      <c r="CB11" s="55">
        <f>SUM(H11,V11,AJ11,AX11,BL11)</f>
        <v>0</v>
      </c>
      <c r="CC11" s="56">
        <f>SUM(BJ11,BN11)</f>
        <v>0</v>
      </c>
      <c r="CD11" s="57">
        <f>IF(BZ11&gt;25,4,IF(BZ11&gt;18,3,IF(BZ11&gt;12,2,IF(BZ11&gt;4,1,0))))-BX11-2+1</f>
        <v>-1</v>
      </c>
      <c r="CE11" s="49"/>
      <c r="CF11" s="57" t="e">
        <f>CD11*CI11</f>
        <v>#N/A</v>
      </c>
      <c r="CG11" s="58">
        <f>F11-BY11+1</f>
        <v>1</v>
      </c>
      <c r="CH11" s="57">
        <f>CE11*16</f>
        <v>0</v>
      </c>
      <c r="CI11" s="59" t="e">
        <f>VLOOKUP(A11,[1]DATA!$A$6:$AI$331,34,0)</f>
        <v>#N/A</v>
      </c>
      <c r="CJ11" s="60" t="e">
        <f>VLOOKUP(A11,[2]CHAMCONG!A$7:CI$333,79,0)</f>
        <v>#N/A</v>
      </c>
      <c r="CK11" s="61" t="e">
        <f>CJ11-CA11</f>
        <v>#N/A</v>
      </c>
    </row>
    <row r="12" spans="1:91" s="62" customFormat="1" ht="15.75" customHeight="1" x14ac:dyDescent="0.25">
      <c r="A12" s="63"/>
      <c r="B12" s="64"/>
      <c r="C12" s="45"/>
      <c r="D12" s="46"/>
      <c r="E12" s="47"/>
      <c r="F12" s="48"/>
      <c r="G12" s="49"/>
      <c r="H12" s="49"/>
      <c r="I12" s="50"/>
      <c r="J12" s="49"/>
      <c r="K12" s="51"/>
      <c r="L12" s="49"/>
      <c r="M12" s="51"/>
      <c r="N12" s="49"/>
      <c r="O12" s="50"/>
      <c r="P12" s="49"/>
      <c r="Q12" s="49"/>
      <c r="R12" s="51"/>
      <c r="S12" s="49"/>
      <c r="T12" s="49"/>
      <c r="U12" s="49"/>
      <c r="V12" s="49"/>
      <c r="W12" s="49"/>
      <c r="X12" s="49"/>
      <c r="Y12" s="51"/>
      <c r="Z12" s="49"/>
      <c r="AA12" s="51"/>
      <c r="AB12" s="49"/>
      <c r="AC12" s="51"/>
      <c r="AD12" s="49"/>
      <c r="AE12" s="51"/>
      <c r="AF12" s="51"/>
      <c r="AG12" s="51"/>
      <c r="AH12" s="49"/>
      <c r="AI12" s="51"/>
      <c r="AJ12" s="49"/>
      <c r="AK12" s="51"/>
      <c r="AL12" s="49"/>
      <c r="AM12" s="51"/>
      <c r="AN12" s="49"/>
      <c r="AO12" s="51"/>
      <c r="AP12" s="49"/>
      <c r="AQ12" s="51"/>
      <c r="AR12" s="49"/>
      <c r="AS12" s="51"/>
      <c r="AT12" s="51"/>
      <c r="AU12" s="51"/>
      <c r="AV12" s="49"/>
      <c r="AW12" s="51"/>
      <c r="AX12" s="49"/>
      <c r="AY12" s="51"/>
      <c r="AZ12" s="49"/>
      <c r="BA12" s="51"/>
      <c r="BB12" s="49"/>
      <c r="BC12" s="51"/>
      <c r="BD12" s="49"/>
      <c r="BE12" s="51"/>
      <c r="BF12" s="49"/>
      <c r="BG12" s="51"/>
      <c r="BH12" s="51"/>
      <c r="BI12" s="51"/>
      <c r="BJ12" s="49"/>
      <c r="BK12" s="51"/>
      <c r="BL12" s="49"/>
      <c r="BM12" s="51"/>
      <c r="BN12" s="49"/>
      <c r="BO12" s="51"/>
      <c r="BP12" s="49"/>
      <c r="BQ12" s="52">
        <f t="shared" si="29"/>
        <v>0</v>
      </c>
      <c r="BR12" s="52">
        <f t="shared" si="30"/>
        <v>0</v>
      </c>
      <c r="BS12" s="52">
        <f t="shared" si="31"/>
        <v>0</v>
      </c>
      <c r="BT12" s="52">
        <f t="shared" si="32"/>
        <v>0</v>
      </c>
      <c r="BU12" s="52">
        <f t="shared" si="33"/>
        <v>0</v>
      </c>
      <c r="BV12" s="65"/>
      <c r="BW12" s="52">
        <f t="shared" si="34"/>
        <v>0</v>
      </c>
      <c r="BX12" s="52">
        <f t="shared" si="35"/>
        <v>0</v>
      </c>
      <c r="BY12" s="52">
        <f t="shared" si="36"/>
        <v>0</v>
      </c>
      <c r="BZ12" s="66">
        <f t="shared" si="37"/>
        <v>0</v>
      </c>
      <c r="CA12" s="54">
        <f t="shared" ref="CA12:CA75" si="38">SUM(J12,L12,N12,P12,R12,T12,X12,Z12,AB12,AD12,AF12,AH12,AL12,AN12,AP12,AR12,AT12,AV12,AZ12,BB12,BD12,BF12,BH12,BP12)</f>
        <v>0</v>
      </c>
      <c r="CB12" s="55">
        <f t="shared" ref="CB12:CB75" si="39">SUM(H12,V12,AJ12,AX12,BL12)</f>
        <v>0</v>
      </c>
      <c r="CC12" s="56">
        <f t="shared" ref="CC12:CC75" si="40">SUM(BJ12,BN12)</f>
        <v>0</v>
      </c>
      <c r="CD12" s="57">
        <f t="shared" ref="CD12:CD75" si="41">IF(BZ12&gt;25,4,IF(BZ12&gt;18,3,IF(BZ12&gt;12,2,IF(BZ12&gt;4,1,0))))-BX12-2+1</f>
        <v>-1</v>
      </c>
      <c r="CE12" s="49"/>
      <c r="CF12" s="57" t="e">
        <f t="shared" ref="CF12:CF75" si="42">CD12*CI12</f>
        <v>#N/A</v>
      </c>
      <c r="CG12" s="58">
        <f t="shared" ref="CG12:CG75" si="43">F12-BY12+1</f>
        <v>1</v>
      </c>
      <c r="CH12" s="57">
        <f t="shared" ref="CH12:CH75" si="44">CE12*16</f>
        <v>0</v>
      </c>
      <c r="CI12" s="59" t="e">
        <f>VLOOKUP(A12,[1]DATA!$A$6:$AI$331,34,0)</f>
        <v>#N/A</v>
      </c>
      <c r="CJ12" s="60" t="e">
        <f>VLOOKUP(A12,[2]CHAMCONG!A$7:CI$333,79,0)</f>
        <v>#N/A</v>
      </c>
      <c r="CK12" s="61" t="e">
        <f t="shared" ref="CK12:CK75" si="45">CJ12-CA12</f>
        <v>#N/A</v>
      </c>
    </row>
    <row r="13" spans="1:91" s="62" customFormat="1" ht="15.75" customHeight="1" x14ac:dyDescent="0.25">
      <c r="A13" s="63"/>
      <c r="B13" s="64"/>
      <c r="C13" s="45"/>
      <c r="D13" s="46"/>
      <c r="E13" s="47"/>
      <c r="F13" s="48"/>
      <c r="G13" s="49"/>
      <c r="H13" s="49"/>
      <c r="I13" s="50"/>
      <c r="J13" s="49"/>
      <c r="K13" s="51"/>
      <c r="L13" s="49"/>
      <c r="M13" s="51"/>
      <c r="N13" s="49"/>
      <c r="O13" s="50"/>
      <c r="P13" s="49"/>
      <c r="Q13" s="49"/>
      <c r="R13" s="51"/>
      <c r="S13" s="49"/>
      <c r="T13" s="49"/>
      <c r="U13" s="49"/>
      <c r="V13" s="49"/>
      <c r="W13" s="49"/>
      <c r="X13" s="49"/>
      <c r="Y13" s="51"/>
      <c r="Z13" s="49"/>
      <c r="AA13" s="51"/>
      <c r="AB13" s="49"/>
      <c r="AC13" s="51"/>
      <c r="AD13" s="49"/>
      <c r="AE13" s="51"/>
      <c r="AF13" s="51"/>
      <c r="AG13" s="51"/>
      <c r="AH13" s="49"/>
      <c r="AI13" s="51"/>
      <c r="AJ13" s="49"/>
      <c r="AK13" s="51"/>
      <c r="AL13" s="49"/>
      <c r="AM13" s="51"/>
      <c r="AN13" s="49"/>
      <c r="AO13" s="51"/>
      <c r="AP13" s="49"/>
      <c r="AQ13" s="51"/>
      <c r="AR13" s="49"/>
      <c r="AS13" s="51"/>
      <c r="AT13" s="51"/>
      <c r="AU13" s="51"/>
      <c r="AV13" s="49"/>
      <c r="AW13" s="51"/>
      <c r="AX13" s="49"/>
      <c r="AY13" s="51"/>
      <c r="AZ13" s="49"/>
      <c r="BA13" s="51"/>
      <c r="BB13" s="49"/>
      <c r="BC13" s="51"/>
      <c r="BD13" s="49"/>
      <c r="BE13" s="51"/>
      <c r="BF13" s="49"/>
      <c r="BG13" s="51"/>
      <c r="BH13" s="51"/>
      <c r="BI13" s="51"/>
      <c r="BJ13" s="49"/>
      <c r="BK13" s="51"/>
      <c r="BL13" s="49"/>
      <c r="BM13" s="51"/>
      <c r="BN13" s="49"/>
      <c r="BO13" s="51"/>
      <c r="BP13" s="49"/>
      <c r="BQ13" s="52">
        <f t="shared" si="29"/>
        <v>0</v>
      </c>
      <c r="BR13" s="52">
        <f t="shared" si="30"/>
        <v>0</v>
      </c>
      <c r="BS13" s="52">
        <f t="shared" si="31"/>
        <v>0</v>
      </c>
      <c r="BT13" s="52">
        <f t="shared" si="32"/>
        <v>0</v>
      </c>
      <c r="BU13" s="52">
        <f t="shared" si="33"/>
        <v>0</v>
      </c>
      <c r="BV13" s="65"/>
      <c r="BW13" s="52">
        <f t="shared" si="34"/>
        <v>0</v>
      </c>
      <c r="BX13" s="52">
        <f t="shared" si="35"/>
        <v>0</v>
      </c>
      <c r="BY13" s="52">
        <f t="shared" si="36"/>
        <v>0</v>
      </c>
      <c r="BZ13" s="66">
        <f t="shared" si="37"/>
        <v>0</v>
      </c>
      <c r="CA13" s="54">
        <f t="shared" si="38"/>
        <v>0</v>
      </c>
      <c r="CB13" s="55">
        <f t="shared" si="39"/>
        <v>0</v>
      </c>
      <c r="CC13" s="56">
        <f t="shared" si="40"/>
        <v>0</v>
      </c>
      <c r="CD13" s="57">
        <f t="shared" si="41"/>
        <v>-1</v>
      </c>
      <c r="CE13" s="49"/>
      <c r="CF13" s="57" t="e">
        <f t="shared" si="42"/>
        <v>#N/A</v>
      </c>
      <c r="CG13" s="58">
        <f t="shared" si="43"/>
        <v>1</v>
      </c>
      <c r="CH13" s="57">
        <f t="shared" si="44"/>
        <v>0</v>
      </c>
      <c r="CI13" s="59" t="e">
        <f>VLOOKUP(A13,[1]DATA!$A$6:$AI$331,34,0)</f>
        <v>#N/A</v>
      </c>
      <c r="CJ13" s="60" t="e">
        <f>VLOOKUP(A13,[2]CHAMCONG!A$7:CI$333,79,0)</f>
        <v>#N/A</v>
      </c>
      <c r="CK13" s="61" t="e">
        <f t="shared" si="45"/>
        <v>#N/A</v>
      </c>
    </row>
    <row r="14" spans="1:91" s="62" customFormat="1" ht="17.25" customHeight="1" x14ac:dyDescent="0.25">
      <c r="A14" s="63"/>
      <c r="B14" s="64"/>
      <c r="C14" s="45"/>
      <c r="D14" s="46"/>
      <c r="E14" s="47"/>
      <c r="F14" s="48"/>
      <c r="G14" s="49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0"/>
      <c r="T14" s="51"/>
      <c r="U14" s="50"/>
      <c r="V14" s="51"/>
      <c r="W14" s="50"/>
      <c r="X14" s="51"/>
      <c r="Y14" s="50"/>
      <c r="Z14" s="51"/>
      <c r="AA14" s="50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0"/>
      <c r="AZ14" s="51"/>
      <c r="BA14" s="67"/>
      <c r="BB14" s="51"/>
      <c r="BC14" s="67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  <c r="BQ14" s="52">
        <f t="shared" si="29"/>
        <v>0</v>
      </c>
      <c r="BR14" s="52">
        <f t="shared" si="30"/>
        <v>0</v>
      </c>
      <c r="BS14" s="52">
        <f t="shared" si="31"/>
        <v>0</v>
      </c>
      <c r="BT14" s="52">
        <f t="shared" si="32"/>
        <v>0</v>
      </c>
      <c r="BU14" s="52">
        <f t="shared" si="33"/>
        <v>0</v>
      </c>
      <c r="BV14" s="65"/>
      <c r="BW14" s="52">
        <f t="shared" si="34"/>
        <v>0</v>
      </c>
      <c r="BX14" s="52">
        <f t="shared" si="35"/>
        <v>0</v>
      </c>
      <c r="BY14" s="52">
        <f t="shared" si="36"/>
        <v>0</v>
      </c>
      <c r="BZ14" s="66">
        <f t="shared" si="37"/>
        <v>0</v>
      </c>
      <c r="CA14" s="54">
        <f t="shared" si="38"/>
        <v>0</v>
      </c>
      <c r="CB14" s="55">
        <f t="shared" si="39"/>
        <v>0</v>
      </c>
      <c r="CC14" s="56">
        <f t="shared" si="40"/>
        <v>0</v>
      </c>
      <c r="CD14" s="57">
        <f t="shared" si="41"/>
        <v>-1</v>
      </c>
      <c r="CE14" s="49">
        <v>3</v>
      </c>
      <c r="CF14" s="57" t="e">
        <f t="shared" si="42"/>
        <v>#N/A</v>
      </c>
      <c r="CG14" s="58">
        <f t="shared" si="43"/>
        <v>1</v>
      </c>
      <c r="CH14" s="57">
        <f t="shared" si="44"/>
        <v>48</v>
      </c>
      <c r="CI14" s="59" t="e">
        <f>VLOOKUP(A14,[1]DATA!$A$6:$AI$331,34,0)</f>
        <v>#N/A</v>
      </c>
      <c r="CJ14" s="60" t="e">
        <f>VLOOKUP(A14,[2]CHAMCONG!A$7:CI$333,79,0)</f>
        <v>#N/A</v>
      </c>
      <c r="CK14" s="61" t="e">
        <f t="shared" si="45"/>
        <v>#N/A</v>
      </c>
    </row>
    <row r="15" spans="1:91" s="68" customFormat="1" ht="15" customHeight="1" x14ac:dyDescent="0.25">
      <c r="A15" s="63"/>
      <c r="B15" s="64"/>
      <c r="C15" s="45"/>
      <c r="D15" s="46"/>
      <c r="E15" s="47"/>
      <c r="F15" s="48"/>
      <c r="G15" s="49"/>
      <c r="H15" s="51"/>
      <c r="I15" s="50"/>
      <c r="J15" s="51"/>
      <c r="K15" s="51"/>
      <c r="L15" s="51"/>
      <c r="M15" s="51"/>
      <c r="N15" s="51"/>
      <c r="O15" s="50"/>
      <c r="P15" s="51"/>
      <c r="Q15" s="51"/>
      <c r="R15" s="51"/>
      <c r="S15" s="51"/>
      <c r="T15" s="51"/>
      <c r="U15" s="49"/>
      <c r="V15" s="51"/>
      <c r="W15" s="50"/>
      <c r="X15" s="51"/>
      <c r="Y15" s="51"/>
      <c r="Z15" s="51"/>
      <c r="AA15" s="51"/>
      <c r="AB15" s="51"/>
      <c r="AC15" s="50"/>
      <c r="AD15" s="51"/>
      <c r="AE15" s="51"/>
      <c r="AF15" s="51"/>
      <c r="AG15" s="51"/>
      <c r="AH15" s="51"/>
      <c r="AI15" s="51"/>
      <c r="AJ15" s="51"/>
      <c r="AK15" s="50"/>
      <c r="AL15" s="51"/>
      <c r="AM15" s="51"/>
      <c r="AN15" s="51"/>
      <c r="AO15" s="51"/>
      <c r="AP15" s="51"/>
      <c r="AQ15" s="50"/>
      <c r="AR15" s="51"/>
      <c r="AS15" s="51"/>
      <c r="AT15" s="51"/>
      <c r="AU15" s="51"/>
      <c r="AV15" s="51"/>
      <c r="AW15" s="51"/>
      <c r="AX15" s="51"/>
      <c r="AY15" s="50"/>
      <c r="AZ15" s="51"/>
      <c r="BA15" s="51"/>
      <c r="BB15" s="51"/>
      <c r="BC15" s="51"/>
      <c r="BD15" s="51"/>
      <c r="BE15" s="50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  <c r="BQ15" s="52">
        <f t="shared" si="29"/>
        <v>0</v>
      </c>
      <c r="BR15" s="52">
        <f t="shared" si="30"/>
        <v>0</v>
      </c>
      <c r="BS15" s="52">
        <f t="shared" si="31"/>
        <v>0</v>
      </c>
      <c r="BT15" s="52">
        <f t="shared" si="32"/>
        <v>0</v>
      </c>
      <c r="BU15" s="52">
        <f t="shared" si="33"/>
        <v>0</v>
      </c>
      <c r="BV15" s="65"/>
      <c r="BW15" s="52">
        <f t="shared" si="34"/>
        <v>0</v>
      </c>
      <c r="BX15" s="52">
        <f t="shared" si="35"/>
        <v>0</v>
      </c>
      <c r="BY15" s="52">
        <f t="shared" si="36"/>
        <v>0</v>
      </c>
      <c r="BZ15" s="66">
        <f t="shared" si="37"/>
        <v>0</v>
      </c>
      <c r="CA15" s="54">
        <f t="shared" si="38"/>
        <v>0</v>
      </c>
      <c r="CB15" s="55">
        <f t="shared" si="39"/>
        <v>0</v>
      </c>
      <c r="CC15" s="56">
        <f t="shared" si="40"/>
        <v>0</v>
      </c>
      <c r="CD15" s="57">
        <f t="shared" si="41"/>
        <v>-1</v>
      </c>
      <c r="CE15" s="49"/>
      <c r="CF15" s="57" t="e">
        <f t="shared" si="42"/>
        <v>#N/A</v>
      </c>
      <c r="CG15" s="58">
        <f t="shared" si="43"/>
        <v>1</v>
      </c>
      <c r="CH15" s="57">
        <f t="shared" si="44"/>
        <v>0</v>
      </c>
      <c r="CI15" s="59" t="e">
        <f>VLOOKUP(A15,[1]DATA!$A$6:$AI$331,34,0)</f>
        <v>#N/A</v>
      </c>
      <c r="CJ15" s="60" t="e">
        <f>VLOOKUP(A15,[2]CHAMCONG!A$7:CI$333,79,0)</f>
        <v>#N/A</v>
      </c>
      <c r="CK15" s="61" t="e">
        <f t="shared" si="45"/>
        <v>#N/A</v>
      </c>
      <c r="CL15" s="62"/>
      <c r="CM15" s="62"/>
    </row>
    <row r="16" spans="1:91" s="70" customFormat="1" ht="13.5" customHeight="1" x14ac:dyDescent="0.25">
      <c r="A16" s="69"/>
      <c r="B16" s="64"/>
      <c r="C16" s="45"/>
      <c r="D16" s="46"/>
      <c r="E16" s="47"/>
      <c r="F16" s="48"/>
      <c r="G16" s="49"/>
      <c r="H16" s="51"/>
      <c r="I16" s="49"/>
      <c r="J16" s="51"/>
      <c r="K16" s="49"/>
      <c r="L16" s="51"/>
      <c r="M16" s="49"/>
      <c r="N16" s="51"/>
      <c r="O16" s="49"/>
      <c r="P16" s="51"/>
      <c r="Q16" s="49"/>
      <c r="R16" s="51"/>
      <c r="S16" s="49"/>
      <c r="T16" s="51"/>
      <c r="U16" s="49"/>
      <c r="V16" s="51"/>
      <c r="W16" s="49"/>
      <c r="X16" s="51"/>
      <c r="Y16" s="49"/>
      <c r="Z16" s="51"/>
      <c r="AA16" s="49"/>
      <c r="AB16" s="51"/>
      <c r="AC16" s="49"/>
      <c r="AD16" s="51"/>
      <c r="AE16" s="49"/>
      <c r="AF16" s="51"/>
      <c r="AG16" s="49"/>
      <c r="AH16" s="51"/>
      <c r="AI16" s="49"/>
      <c r="AJ16" s="51"/>
      <c r="AK16" s="49"/>
      <c r="AL16" s="51"/>
      <c r="AM16" s="49"/>
      <c r="AN16" s="51"/>
      <c r="AO16" s="49"/>
      <c r="AP16" s="51"/>
      <c r="AQ16" s="49"/>
      <c r="AR16" s="51"/>
      <c r="AS16" s="49"/>
      <c r="AT16" s="51"/>
      <c r="AU16" s="49"/>
      <c r="AV16" s="51"/>
      <c r="AW16" s="51"/>
      <c r="AX16" s="51"/>
      <c r="AY16" s="49"/>
      <c r="AZ16" s="51"/>
      <c r="BA16" s="49"/>
      <c r="BB16" s="51"/>
      <c r="BC16" s="51"/>
      <c r="BD16" s="51"/>
      <c r="BE16" s="49"/>
      <c r="BF16" s="51"/>
      <c r="BG16" s="49"/>
      <c r="BH16" s="51"/>
      <c r="BI16" s="51"/>
      <c r="BJ16" s="51"/>
      <c r="BK16" s="51"/>
      <c r="BL16" s="51"/>
      <c r="BM16" s="51"/>
      <c r="BN16" s="51"/>
      <c r="BO16" s="51"/>
      <c r="BP16" s="51"/>
      <c r="BQ16" s="52">
        <f t="shared" si="29"/>
        <v>0</v>
      </c>
      <c r="BR16" s="52">
        <f t="shared" si="30"/>
        <v>0</v>
      </c>
      <c r="BS16" s="52">
        <f t="shared" si="31"/>
        <v>0</v>
      </c>
      <c r="BT16" s="52">
        <f t="shared" si="32"/>
        <v>0</v>
      </c>
      <c r="BU16" s="52">
        <f t="shared" si="33"/>
        <v>0</v>
      </c>
      <c r="BV16" s="65"/>
      <c r="BW16" s="52">
        <f t="shared" si="34"/>
        <v>0</v>
      </c>
      <c r="BX16" s="52">
        <f t="shared" si="35"/>
        <v>0</v>
      </c>
      <c r="BY16" s="52">
        <f t="shared" si="36"/>
        <v>0</v>
      </c>
      <c r="BZ16" s="66">
        <f t="shared" si="37"/>
        <v>0</v>
      </c>
      <c r="CA16" s="54">
        <f t="shared" si="38"/>
        <v>0</v>
      </c>
      <c r="CB16" s="55">
        <f t="shared" si="39"/>
        <v>0</v>
      </c>
      <c r="CC16" s="56">
        <f t="shared" si="40"/>
        <v>0</v>
      </c>
      <c r="CD16" s="57">
        <f t="shared" si="41"/>
        <v>-1</v>
      </c>
      <c r="CE16" s="49">
        <v>2</v>
      </c>
      <c r="CF16" s="57" t="e">
        <f t="shared" si="42"/>
        <v>#N/A</v>
      </c>
      <c r="CG16" s="58">
        <f t="shared" si="43"/>
        <v>1</v>
      </c>
      <c r="CH16" s="57">
        <f t="shared" si="44"/>
        <v>32</v>
      </c>
      <c r="CI16" s="59" t="e">
        <f>VLOOKUP(A16,[1]DATA!$A$6:$AI$331,34,0)</f>
        <v>#N/A</v>
      </c>
      <c r="CJ16" s="60" t="e">
        <f>VLOOKUP(A16,[2]CHAMCONG!A$7:CI$333,79,0)</f>
        <v>#N/A</v>
      </c>
      <c r="CK16" s="61" t="e">
        <f t="shared" si="45"/>
        <v>#N/A</v>
      </c>
      <c r="CL16" s="62"/>
      <c r="CM16" s="62"/>
    </row>
    <row r="17" spans="1:91" s="68" customFormat="1" ht="16.5" customHeight="1" x14ac:dyDescent="0.25">
      <c r="A17" s="69"/>
      <c r="B17" s="64"/>
      <c r="C17" s="45"/>
      <c r="D17" s="46"/>
      <c r="E17" s="47"/>
      <c r="F17" s="48"/>
      <c r="G17" s="49"/>
      <c r="H17" s="51"/>
      <c r="I17" s="49"/>
      <c r="J17" s="51"/>
      <c r="K17" s="49"/>
      <c r="L17" s="51"/>
      <c r="M17" s="49"/>
      <c r="N17" s="51"/>
      <c r="O17" s="49"/>
      <c r="P17" s="51"/>
      <c r="Q17" s="49"/>
      <c r="R17" s="51"/>
      <c r="S17" s="49"/>
      <c r="T17" s="51"/>
      <c r="U17" s="49"/>
      <c r="V17" s="51"/>
      <c r="W17" s="49"/>
      <c r="X17" s="51"/>
      <c r="Y17" s="49"/>
      <c r="Z17" s="51"/>
      <c r="AA17" s="49"/>
      <c r="AB17" s="51"/>
      <c r="AC17" s="49"/>
      <c r="AD17" s="51"/>
      <c r="AE17" s="49"/>
      <c r="AF17" s="51"/>
      <c r="AG17" s="49"/>
      <c r="AH17" s="51"/>
      <c r="AI17" s="49"/>
      <c r="AJ17" s="51"/>
      <c r="AK17" s="49"/>
      <c r="AL17" s="51"/>
      <c r="AM17" s="49"/>
      <c r="AN17" s="51"/>
      <c r="AO17" s="51"/>
      <c r="AP17" s="51"/>
      <c r="AQ17" s="49"/>
      <c r="AR17" s="51"/>
      <c r="AS17" s="49"/>
      <c r="AT17" s="51"/>
      <c r="AU17" s="49"/>
      <c r="AV17" s="51"/>
      <c r="AW17" s="51"/>
      <c r="AX17" s="51"/>
      <c r="AY17" s="49"/>
      <c r="AZ17" s="51"/>
      <c r="BA17" s="49"/>
      <c r="BB17" s="51"/>
      <c r="BC17" s="51"/>
      <c r="BD17" s="51"/>
      <c r="BE17" s="49"/>
      <c r="BF17" s="51"/>
      <c r="BG17" s="49"/>
      <c r="BH17" s="51"/>
      <c r="BI17" s="51"/>
      <c r="BJ17" s="51"/>
      <c r="BK17" s="51"/>
      <c r="BL17" s="51"/>
      <c r="BM17" s="51"/>
      <c r="BN17" s="51"/>
      <c r="BO17" s="51"/>
      <c r="BP17" s="51"/>
      <c r="BQ17" s="52">
        <f t="shared" si="29"/>
        <v>0</v>
      </c>
      <c r="BR17" s="52">
        <f t="shared" si="30"/>
        <v>0</v>
      </c>
      <c r="BS17" s="52">
        <f t="shared" si="31"/>
        <v>0</v>
      </c>
      <c r="BT17" s="52">
        <f t="shared" si="32"/>
        <v>0</v>
      </c>
      <c r="BU17" s="52">
        <f t="shared" si="33"/>
        <v>0</v>
      </c>
      <c r="BV17" s="65"/>
      <c r="BW17" s="52">
        <f t="shared" si="34"/>
        <v>0</v>
      </c>
      <c r="BX17" s="52">
        <f t="shared" si="35"/>
        <v>0</v>
      </c>
      <c r="BY17" s="52">
        <f t="shared" si="36"/>
        <v>0</v>
      </c>
      <c r="BZ17" s="66">
        <f t="shared" si="37"/>
        <v>0</v>
      </c>
      <c r="CA17" s="54">
        <f t="shared" si="38"/>
        <v>0</v>
      </c>
      <c r="CB17" s="55">
        <f t="shared" si="39"/>
        <v>0</v>
      </c>
      <c r="CC17" s="56">
        <f t="shared" si="40"/>
        <v>0</v>
      </c>
      <c r="CD17" s="57">
        <f t="shared" si="41"/>
        <v>-1</v>
      </c>
      <c r="CE17" s="49">
        <v>1</v>
      </c>
      <c r="CF17" s="57" t="e">
        <f t="shared" si="42"/>
        <v>#N/A</v>
      </c>
      <c r="CG17" s="58">
        <f t="shared" si="43"/>
        <v>1</v>
      </c>
      <c r="CH17" s="57">
        <f t="shared" si="44"/>
        <v>16</v>
      </c>
      <c r="CI17" s="59" t="e">
        <f>VLOOKUP(A17,[1]DATA!$A$6:$AI$331,34,0)</f>
        <v>#N/A</v>
      </c>
      <c r="CJ17" s="60" t="e">
        <f>VLOOKUP(A17,[2]CHAMCONG!A$7:CI$333,79,0)</f>
        <v>#N/A</v>
      </c>
      <c r="CK17" s="61" t="e">
        <f t="shared" si="45"/>
        <v>#N/A</v>
      </c>
      <c r="CL17" s="62"/>
      <c r="CM17" s="62"/>
    </row>
    <row r="18" spans="1:91" s="62" customFormat="1" ht="14.25" customHeight="1" x14ac:dyDescent="0.25">
      <c r="A18" s="63"/>
      <c r="B18" s="64"/>
      <c r="C18" s="45"/>
      <c r="D18" s="46"/>
      <c r="E18" s="47"/>
      <c r="F18" s="48"/>
      <c r="G18" s="49"/>
      <c r="H18" s="51"/>
      <c r="I18" s="49"/>
      <c r="J18" s="51"/>
      <c r="K18" s="49"/>
      <c r="L18" s="51"/>
      <c r="M18" s="51"/>
      <c r="N18" s="51"/>
      <c r="O18" s="49"/>
      <c r="P18" s="51"/>
      <c r="Q18" s="49"/>
      <c r="R18" s="51"/>
      <c r="S18" s="49"/>
      <c r="T18" s="51"/>
      <c r="U18" s="49"/>
      <c r="V18" s="51"/>
      <c r="W18" s="49"/>
      <c r="X18" s="51"/>
      <c r="Y18" s="49"/>
      <c r="Z18" s="51"/>
      <c r="AA18" s="49"/>
      <c r="AB18" s="51"/>
      <c r="AC18" s="49"/>
      <c r="AD18" s="51"/>
      <c r="AE18" s="49"/>
      <c r="AF18" s="51"/>
      <c r="AG18" s="49"/>
      <c r="AH18" s="51"/>
      <c r="AI18" s="49"/>
      <c r="AJ18" s="51"/>
      <c r="AK18" s="49"/>
      <c r="AL18" s="51"/>
      <c r="AM18" s="49"/>
      <c r="AN18" s="51"/>
      <c r="AO18" s="49"/>
      <c r="AP18" s="51"/>
      <c r="AQ18" s="49"/>
      <c r="AR18" s="51"/>
      <c r="AS18" s="49"/>
      <c r="AT18" s="51"/>
      <c r="AU18" s="49"/>
      <c r="AV18" s="51"/>
      <c r="AW18" s="51"/>
      <c r="AX18" s="51"/>
      <c r="AY18" s="49"/>
      <c r="AZ18" s="51"/>
      <c r="BA18" s="49"/>
      <c r="BB18" s="51"/>
      <c r="BC18" s="51"/>
      <c r="BD18" s="51"/>
      <c r="BE18" s="49"/>
      <c r="BF18" s="51"/>
      <c r="BG18" s="49"/>
      <c r="BH18" s="51"/>
      <c r="BI18" s="51"/>
      <c r="BJ18" s="51"/>
      <c r="BK18" s="51"/>
      <c r="BL18" s="51"/>
      <c r="BM18" s="51"/>
      <c r="BN18" s="51"/>
      <c r="BO18" s="51"/>
      <c r="BP18" s="51"/>
      <c r="BQ18" s="52">
        <f t="shared" si="29"/>
        <v>0</v>
      </c>
      <c r="BR18" s="52">
        <f t="shared" si="30"/>
        <v>0</v>
      </c>
      <c r="BS18" s="52">
        <f t="shared" si="31"/>
        <v>0</v>
      </c>
      <c r="BT18" s="52">
        <f t="shared" si="32"/>
        <v>0</v>
      </c>
      <c r="BU18" s="52">
        <f t="shared" si="33"/>
        <v>0</v>
      </c>
      <c r="BV18" s="65"/>
      <c r="BW18" s="52">
        <f t="shared" si="34"/>
        <v>0</v>
      </c>
      <c r="BX18" s="52">
        <f t="shared" si="35"/>
        <v>0</v>
      </c>
      <c r="BY18" s="52">
        <f t="shared" si="36"/>
        <v>0</v>
      </c>
      <c r="BZ18" s="66">
        <f t="shared" si="37"/>
        <v>0</v>
      </c>
      <c r="CA18" s="54">
        <f t="shared" si="38"/>
        <v>0</v>
      </c>
      <c r="CB18" s="55">
        <f t="shared" si="39"/>
        <v>0</v>
      </c>
      <c r="CC18" s="56">
        <f t="shared" si="40"/>
        <v>0</v>
      </c>
      <c r="CD18" s="57">
        <f t="shared" si="41"/>
        <v>-1</v>
      </c>
      <c r="CE18" s="49">
        <v>1</v>
      </c>
      <c r="CF18" s="57" t="e">
        <f t="shared" si="42"/>
        <v>#N/A</v>
      </c>
      <c r="CG18" s="58">
        <f t="shared" si="43"/>
        <v>1</v>
      </c>
      <c r="CH18" s="57">
        <f>CE18*16</f>
        <v>16</v>
      </c>
      <c r="CI18" s="59" t="e">
        <f>VLOOKUP(A18,[1]DATA!$A$6:$AI$331,34,0)</f>
        <v>#N/A</v>
      </c>
      <c r="CJ18" s="60" t="e">
        <f>VLOOKUP(A18,[2]CHAMCONG!A$7:CI$333,79,0)</f>
        <v>#N/A</v>
      </c>
      <c r="CK18" s="61" t="e">
        <f t="shared" si="45"/>
        <v>#N/A</v>
      </c>
    </row>
    <row r="19" spans="1:91" s="62" customFormat="1" ht="14.25" customHeight="1" x14ac:dyDescent="0.25">
      <c r="A19" s="63"/>
      <c r="B19" s="64"/>
      <c r="C19" s="45"/>
      <c r="D19" s="46"/>
      <c r="E19" s="47"/>
      <c r="F19" s="48"/>
      <c r="G19" s="49"/>
      <c r="H19" s="51"/>
      <c r="I19" s="49"/>
      <c r="J19" s="51"/>
      <c r="K19" s="49"/>
      <c r="L19" s="51"/>
      <c r="M19" s="49"/>
      <c r="N19" s="51"/>
      <c r="O19" s="49"/>
      <c r="P19" s="51"/>
      <c r="Q19" s="50"/>
      <c r="R19" s="67"/>
      <c r="S19" s="50"/>
      <c r="T19" s="51"/>
      <c r="U19" s="50"/>
      <c r="V19" s="51"/>
      <c r="W19" s="50"/>
      <c r="X19" s="51"/>
      <c r="Y19" s="50"/>
      <c r="Z19" s="51"/>
      <c r="AA19" s="50"/>
      <c r="AB19" s="51"/>
      <c r="AC19" s="50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  <c r="BQ19" s="52">
        <f t="shared" si="29"/>
        <v>0</v>
      </c>
      <c r="BR19" s="52">
        <f t="shared" si="30"/>
        <v>0</v>
      </c>
      <c r="BS19" s="52">
        <f t="shared" si="31"/>
        <v>0</v>
      </c>
      <c r="BT19" s="52">
        <f t="shared" si="32"/>
        <v>0</v>
      </c>
      <c r="BU19" s="52">
        <f t="shared" si="33"/>
        <v>0</v>
      </c>
      <c r="BV19" s="65"/>
      <c r="BW19" s="52">
        <f t="shared" si="34"/>
        <v>0</v>
      </c>
      <c r="BX19" s="52">
        <f t="shared" si="35"/>
        <v>0</v>
      </c>
      <c r="BY19" s="52">
        <f t="shared" si="36"/>
        <v>0</v>
      </c>
      <c r="BZ19" s="66">
        <f t="shared" si="37"/>
        <v>0</v>
      </c>
      <c r="CA19" s="54">
        <f t="shared" si="38"/>
        <v>0</v>
      </c>
      <c r="CB19" s="55">
        <f t="shared" si="39"/>
        <v>0</v>
      </c>
      <c r="CC19" s="56">
        <f t="shared" si="40"/>
        <v>0</v>
      </c>
      <c r="CD19" s="57">
        <f t="shared" si="41"/>
        <v>-1</v>
      </c>
      <c r="CE19" s="49">
        <v>1</v>
      </c>
      <c r="CF19" s="57" t="e">
        <f t="shared" si="42"/>
        <v>#N/A</v>
      </c>
      <c r="CG19" s="58">
        <f t="shared" si="43"/>
        <v>1</v>
      </c>
      <c r="CH19" s="57">
        <f t="shared" si="44"/>
        <v>16</v>
      </c>
      <c r="CI19" s="59" t="e">
        <f>VLOOKUP(A19,[1]DATA!$A$6:$AI$331,34,0)</f>
        <v>#N/A</v>
      </c>
      <c r="CJ19" s="60" t="e">
        <f>VLOOKUP(A19,[2]CHAMCONG!A$7:CI$333,79,0)</f>
        <v>#N/A</v>
      </c>
      <c r="CK19" s="61" t="e">
        <f t="shared" si="45"/>
        <v>#N/A</v>
      </c>
    </row>
    <row r="20" spans="1:91" s="62" customFormat="1" ht="15.75" customHeight="1" x14ac:dyDescent="0.25">
      <c r="A20" s="63"/>
      <c r="B20" s="64"/>
      <c r="C20" s="45"/>
      <c r="D20" s="46"/>
      <c r="E20" s="47"/>
      <c r="F20" s="48"/>
      <c r="G20" s="49"/>
      <c r="H20" s="51"/>
      <c r="I20" s="50"/>
      <c r="J20" s="51"/>
      <c r="K20" s="50"/>
      <c r="L20" s="51"/>
      <c r="M20" s="50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0"/>
      <c r="AH20" s="51"/>
      <c r="AI20" s="50"/>
      <c r="AJ20" s="51"/>
      <c r="AK20" s="50"/>
      <c r="AL20" s="51"/>
      <c r="AM20" s="51"/>
      <c r="AN20" s="51"/>
      <c r="AO20" s="50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2">
        <f t="shared" si="29"/>
        <v>0</v>
      </c>
      <c r="BR20" s="52">
        <f t="shared" si="30"/>
        <v>0</v>
      </c>
      <c r="BS20" s="52">
        <f t="shared" si="31"/>
        <v>0</v>
      </c>
      <c r="BT20" s="52">
        <f t="shared" si="32"/>
        <v>0</v>
      </c>
      <c r="BU20" s="52">
        <f t="shared" si="33"/>
        <v>0</v>
      </c>
      <c r="BV20" s="65"/>
      <c r="BW20" s="52">
        <f t="shared" si="34"/>
        <v>0</v>
      </c>
      <c r="BX20" s="52">
        <f t="shared" si="35"/>
        <v>0</v>
      </c>
      <c r="BY20" s="52">
        <f t="shared" si="36"/>
        <v>0</v>
      </c>
      <c r="BZ20" s="66">
        <f t="shared" si="37"/>
        <v>0</v>
      </c>
      <c r="CA20" s="54">
        <f t="shared" si="38"/>
        <v>0</v>
      </c>
      <c r="CB20" s="55">
        <f t="shared" si="39"/>
        <v>0</v>
      </c>
      <c r="CC20" s="56">
        <f t="shared" si="40"/>
        <v>0</v>
      </c>
      <c r="CD20" s="57">
        <f t="shared" si="41"/>
        <v>-1</v>
      </c>
      <c r="CE20" s="49"/>
      <c r="CF20" s="57" t="e">
        <f t="shared" si="42"/>
        <v>#N/A</v>
      </c>
      <c r="CG20" s="58">
        <f t="shared" si="43"/>
        <v>1</v>
      </c>
      <c r="CH20" s="57">
        <f t="shared" si="44"/>
        <v>0</v>
      </c>
      <c r="CI20" s="59" t="e">
        <f>VLOOKUP(A20,[1]DATA!$A$6:$AI$331,34,0)</f>
        <v>#N/A</v>
      </c>
      <c r="CJ20" s="60" t="e">
        <f>VLOOKUP(A20,[2]CHAMCONG!A$7:CI$333,79,0)</f>
        <v>#N/A</v>
      </c>
      <c r="CK20" s="61" t="e">
        <f t="shared" si="45"/>
        <v>#N/A</v>
      </c>
    </row>
    <row r="21" spans="1:91" s="62" customFormat="1" ht="15.75" customHeight="1" x14ac:dyDescent="0.25">
      <c r="A21" s="63"/>
      <c r="B21" s="64"/>
      <c r="C21" s="45"/>
      <c r="D21" s="46"/>
      <c r="E21" s="47"/>
      <c r="F21" s="48"/>
      <c r="G21" s="49"/>
      <c r="H21" s="51"/>
      <c r="I21" s="50"/>
      <c r="J21" s="51"/>
      <c r="K21" s="67"/>
      <c r="L21" s="51"/>
      <c r="M21" s="50"/>
      <c r="N21" s="51"/>
      <c r="O21" s="50"/>
      <c r="P21" s="51"/>
      <c r="Q21" s="51"/>
      <c r="R21" s="51"/>
      <c r="S21" s="50"/>
      <c r="T21" s="51"/>
      <c r="U21" s="50"/>
      <c r="V21" s="51"/>
      <c r="W21" s="50"/>
      <c r="X21" s="51"/>
      <c r="Y21" s="50"/>
      <c r="Z21" s="51"/>
      <c r="AA21" s="50"/>
      <c r="AB21" s="51"/>
      <c r="AC21" s="49"/>
      <c r="AD21" s="51"/>
      <c r="AE21" s="49"/>
      <c r="AF21" s="51"/>
      <c r="AG21" s="50"/>
      <c r="AH21" s="51"/>
      <c r="AI21" s="50"/>
      <c r="AJ21" s="51"/>
      <c r="AK21" s="50"/>
      <c r="AL21" s="51"/>
      <c r="AM21" s="51"/>
      <c r="AN21" s="51"/>
      <c r="AO21" s="50"/>
      <c r="AP21" s="51"/>
      <c r="AQ21" s="51"/>
      <c r="AR21" s="51"/>
      <c r="AS21" s="51"/>
      <c r="AT21" s="51"/>
      <c r="AU21" s="51"/>
      <c r="AV21" s="51"/>
      <c r="AW21" s="49"/>
      <c r="AX21" s="51"/>
      <c r="AY21" s="49"/>
      <c r="AZ21" s="51"/>
      <c r="BA21" s="49"/>
      <c r="BB21" s="51"/>
      <c r="BC21" s="51"/>
      <c r="BD21" s="51"/>
      <c r="BE21" s="49"/>
      <c r="BF21" s="51"/>
      <c r="BG21" s="49"/>
      <c r="BH21" s="51"/>
      <c r="BI21" s="49"/>
      <c r="BJ21" s="51"/>
      <c r="BK21" s="49"/>
      <c r="BL21" s="51"/>
      <c r="BM21" s="51"/>
      <c r="BN21" s="51"/>
      <c r="BO21" s="49"/>
      <c r="BP21" s="51"/>
      <c r="BQ21" s="52">
        <f t="shared" si="29"/>
        <v>0</v>
      </c>
      <c r="BR21" s="52">
        <f t="shared" si="30"/>
        <v>0</v>
      </c>
      <c r="BS21" s="52">
        <f t="shared" si="31"/>
        <v>0</v>
      </c>
      <c r="BT21" s="52">
        <f t="shared" si="32"/>
        <v>0</v>
      </c>
      <c r="BU21" s="52">
        <f t="shared" si="33"/>
        <v>0</v>
      </c>
      <c r="BV21" s="65"/>
      <c r="BW21" s="52">
        <f t="shared" si="34"/>
        <v>0</v>
      </c>
      <c r="BX21" s="52">
        <f t="shared" si="35"/>
        <v>0</v>
      </c>
      <c r="BY21" s="52">
        <f t="shared" si="36"/>
        <v>0</v>
      </c>
      <c r="BZ21" s="66">
        <f t="shared" si="37"/>
        <v>0</v>
      </c>
      <c r="CA21" s="54">
        <f t="shared" si="38"/>
        <v>0</v>
      </c>
      <c r="CB21" s="55">
        <f t="shared" si="39"/>
        <v>0</v>
      </c>
      <c r="CC21" s="56">
        <f t="shared" si="40"/>
        <v>0</v>
      </c>
      <c r="CD21" s="57">
        <f t="shared" si="41"/>
        <v>-1</v>
      </c>
      <c r="CE21" s="49"/>
      <c r="CF21" s="57" t="e">
        <f t="shared" si="42"/>
        <v>#N/A</v>
      </c>
      <c r="CG21" s="58">
        <f t="shared" si="43"/>
        <v>1</v>
      </c>
      <c r="CH21" s="57">
        <f t="shared" si="44"/>
        <v>0</v>
      </c>
      <c r="CI21" s="59" t="e">
        <f>VLOOKUP(A21,[1]DATA!$A$6:$AI$331,34,0)</f>
        <v>#N/A</v>
      </c>
      <c r="CJ21" s="60" t="e">
        <f>VLOOKUP(A21,[2]CHAMCONG!A$7:CI$333,79,0)</f>
        <v>#N/A</v>
      </c>
      <c r="CK21" s="61" t="e">
        <f t="shared" si="45"/>
        <v>#N/A</v>
      </c>
    </row>
    <row r="22" spans="1:91" s="62" customFormat="1" ht="15.75" customHeight="1" x14ac:dyDescent="0.25">
      <c r="A22" s="63"/>
      <c r="B22" s="64"/>
      <c r="C22" s="45"/>
      <c r="D22" s="46"/>
      <c r="E22" s="47"/>
      <c r="F22" s="48"/>
      <c r="G22" s="49"/>
      <c r="H22" s="51"/>
      <c r="I22" s="49"/>
      <c r="J22" s="51"/>
      <c r="K22" s="49"/>
      <c r="L22" s="51"/>
      <c r="M22" s="51"/>
      <c r="N22" s="51"/>
      <c r="O22" s="50"/>
      <c r="P22" s="51"/>
      <c r="Q22" s="50"/>
      <c r="R22" s="67"/>
      <c r="S22" s="50"/>
      <c r="T22" s="51"/>
      <c r="U22" s="49"/>
      <c r="V22" s="51"/>
      <c r="W22" s="50"/>
      <c r="X22" s="51"/>
      <c r="Y22" s="50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49"/>
      <c r="AL22" s="51"/>
      <c r="AM22" s="49"/>
      <c r="AN22" s="51"/>
      <c r="AO22" s="51"/>
      <c r="AP22" s="51"/>
      <c r="AQ22" s="50"/>
      <c r="AR22" s="51"/>
      <c r="AS22" s="50"/>
      <c r="AT22" s="67"/>
      <c r="AU22" s="50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2">
        <f t="shared" si="29"/>
        <v>0</v>
      </c>
      <c r="BR22" s="52">
        <f t="shared" si="30"/>
        <v>0</v>
      </c>
      <c r="BS22" s="52">
        <f t="shared" si="31"/>
        <v>0</v>
      </c>
      <c r="BT22" s="52">
        <f t="shared" si="32"/>
        <v>0</v>
      </c>
      <c r="BU22" s="52">
        <f t="shared" si="33"/>
        <v>0</v>
      </c>
      <c r="BV22" s="65"/>
      <c r="BW22" s="52">
        <f t="shared" si="34"/>
        <v>0</v>
      </c>
      <c r="BX22" s="52">
        <f t="shared" si="35"/>
        <v>0</v>
      </c>
      <c r="BY22" s="52">
        <f t="shared" si="36"/>
        <v>0</v>
      </c>
      <c r="BZ22" s="66">
        <f t="shared" si="37"/>
        <v>0</v>
      </c>
      <c r="CA22" s="54">
        <f t="shared" si="38"/>
        <v>0</v>
      </c>
      <c r="CB22" s="55">
        <f t="shared" si="39"/>
        <v>0</v>
      </c>
      <c r="CC22" s="56">
        <f t="shared" si="40"/>
        <v>0</v>
      </c>
      <c r="CD22" s="57">
        <f t="shared" si="41"/>
        <v>-1</v>
      </c>
      <c r="CE22" s="49"/>
      <c r="CF22" s="57" t="e">
        <f t="shared" si="42"/>
        <v>#N/A</v>
      </c>
      <c r="CG22" s="58">
        <f t="shared" si="43"/>
        <v>1</v>
      </c>
      <c r="CH22" s="57">
        <f t="shared" si="44"/>
        <v>0</v>
      </c>
      <c r="CI22" s="59" t="e">
        <f>VLOOKUP(A22,[1]DATA!$A$6:$AI$331,34,0)</f>
        <v>#N/A</v>
      </c>
      <c r="CJ22" s="60" t="e">
        <f>VLOOKUP(A22,[2]CHAMCONG!A$7:CI$333,79,0)</f>
        <v>#N/A</v>
      </c>
      <c r="CK22" s="61" t="e">
        <f t="shared" si="45"/>
        <v>#N/A</v>
      </c>
    </row>
    <row r="23" spans="1:91" s="62" customFormat="1" ht="15.75" customHeight="1" x14ac:dyDescent="0.25">
      <c r="A23" s="63"/>
      <c r="B23" s="64"/>
      <c r="C23" s="45"/>
      <c r="D23" s="46"/>
      <c r="E23" s="47"/>
      <c r="F23" s="48"/>
      <c r="G23" s="49"/>
      <c r="H23" s="51"/>
      <c r="I23" s="49"/>
      <c r="J23" s="51"/>
      <c r="K23" s="49"/>
      <c r="L23" s="51"/>
      <c r="M23" s="49"/>
      <c r="N23" s="51"/>
      <c r="O23" s="49"/>
      <c r="P23" s="51"/>
      <c r="Q23" s="49"/>
      <c r="R23" s="51"/>
      <c r="S23" s="49"/>
      <c r="T23" s="51"/>
      <c r="U23" s="49"/>
      <c r="V23" s="51"/>
      <c r="W23" s="49"/>
      <c r="X23" s="51"/>
      <c r="Y23" s="49"/>
      <c r="Z23" s="51"/>
      <c r="AA23" s="49"/>
      <c r="AB23" s="51"/>
      <c r="AC23" s="50"/>
      <c r="AD23" s="51"/>
      <c r="AE23" s="50"/>
      <c r="AF23" s="67"/>
      <c r="AG23" s="50"/>
      <c r="AH23" s="51"/>
      <c r="AI23" s="51"/>
      <c r="AJ23" s="51"/>
      <c r="AK23" s="49"/>
      <c r="AL23" s="51"/>
      <c r="AM23" s="49"/>
      <c r="AN23" s="51"/>
      <c r="AO23" s="49"/>
      <c r="AP23" s="51"/>
      <c r="AQ23" s="49"/>
      <c r="AR23" s="51"/>
      <c r="AS23" s="49"/>
      <c r="AT23" s="51"/>
      <c r="AU23" s="49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2">
        <f t="shared" si="29"/>
        <v>0</v>
      </c>
      <c r="BR23" s="52">
        <f t="shared" si="30"/>
        <v>0</v>
      </c>
      <c r="BS23" s="52">
        <f t="shared" si="31"/>
        <v>0</v>
      </c>
      <c r="BT23" s="52">
        <f t="shared" si="32"/>
        <v>0</v>
      </c>
      <c r="BU23" s="52">
        <f t="shared" si="33"/>
        <v>0</v>
      </c>
      <c r="BV23" s="65"/>
      <c r="BW23" s="52">
        <f t="shared" si="34"/>
        <v>0</v>
      </c>
      <c r="BX23" s="52">
        <f t="shared" si="35"/>
        <v>0</v>
      </c>
      <c r="BY23" s="52">
        <f t="shared" si="36"/>
        <v>0</v>
      </c>
      <c r="BZ23" s="66">
        <f t="shared" si="37"/>
        <v>0</v>
      </c>
      <c r="CA23" s="54">
        <f t="shared" si="38"/>
        <v>0</v>
      </c>
      <c r="CB23" s="55">
        <f t="shared" si="39"/>
        <v>0</v>
      </c>
      <c r="CC23" s="56">
        <f t="shared" si="40"/>
        <v>0</v>
      </c>
      <c r="CD23" s="57">
        <f t="shared" si="41"/>
        <v>-1</v>
      </c>
      <c r="CE23" s="49"/>
      <c r="CF23" s="57" t="e">
        <f t="shared" si="42"/>
        <v>#N/A</v>
      </c>
      <c r="CG23" s="58">
        <f t="shared" si="43"/>
        <v>1</v>
      </c>
      <c r="CH23" s="57">
        <f t="shared" si="44"/>
        <v>0</v>
      </c>
      <c r="CI23" s="59" t="e">
        <f>VLOOKUP(A23,[1]DATA!$A$6:$AI$331,34,0)</f>
        <v>#N/A</v>
      </c>
      <c r="CJ23" s="60" t="e">
        <f>VLOOKUP(A23,[2]CHAMCONG!A$7:CI$333,79,0)</f>
        <v>#N/A</v>
      </c>
      <c r="CK23" s="61" t="e">
        <f t="shared" si="45"/>
        <v>#N/A</v>
      </c>
    </row>
    <row r="24" spans="1:91" s="62" customFormat="1" ht="17.25" customHeight="1" x14ac:dyDescent="0.25">
      <c r="A24" s="63"/>
      <c r="B24" s="64"/>
      <c r="C24" s="45"/>
      <c r="D24" s="46"/>
      <c r="E24" s="47"/>
      <c r="F24" s="48"/>
      <c r="G24" s="49"/>
      <c r="H24" s="51"/>
      <c r="I24" s="50"/>
      <c r="J24" s="51"/>
      <c r="K24" s="51"/>
      <c r="L24" s="51"/>
      <c r="M24" s="51"/>
      <c r="N24" s="51"/>
      <c r="O24" s="50"/>
      <c r="P24" s="51"/>
      <c r="Q24" s="51"/>
      <c r="R24" s="51"/>
      <c r="S24" s="51"/>
      <c r="T24" s="51"/>
      <c r="U24" s="49"/>
      <c r="V24" s="51"/>
      <c r="W24" s="50"/>
      <c r="X24" s="51"/>
      <c r="Y24" s="51"/>
      <c r="Z24" s="51"/>
      <c r="AA24" s="51"/>
      <c r="AB24" s="51"/>
      <c r="AC24" s="50"/>
      <c r="AD24" s="51"/>
      <c r="AE24" s="51"/>
      <c r="AF24" s="51"/>
      <c r="AG24" s="51"/>
      <c r="AH24" s="51"/>
      <c r="AI24" s="51"/>
      <c r="AJ24" s="51"/>
      <c r="AK24" s="50"/>
      <c r="AL24" s="51"/>
      <c r="AM24" s="51"/>
      <c r="AN24" s="51"/>
      <c r="AO24" s="51"/>
      <c r="AP24" s="51"/>
      <c r="AQ24" s="50"/>
      <c r="AR24" s="51"/>
      <c r="AS24" s="51"/>
      <c r="AT24" s="51"/>
      <c r="AU24" s="51"/>
      <c r="AV24" s="51"/>
      <c r="AW24" s="51"/>
      <c r="AX24" s="51"/>
      <c r="AY24" s="50"/>
      <c r="AZ24" s="51"/>
      <c r="BA24" s="51"/>
      <c r="BB24" s="51"/>
      <c r="BC24" s="51"/>
      <c r="BD24" s="51"/>
      <c r="BE24" s="50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2">
        <f t="shared" si="29"/>
        <v>0</v>
      </c>
      <c r="BR24" s="52">
        <f t="shared" si="30"/>
        <v>0</v>
      </c>
      <c r="BS24" s="52">
        <f t="shared" si="31"/>
        <v>0</v>
      </c>
      <c r="BT24" s="52">
        <f t="shared" si="32"/>
        <v>0</v>
      </c>
      <c r="BU24" s="52">
        <f t="shared" si="33"/>
        <v>0</v>
      </c>
      <c r="BV24" s="65"/>
      <c r="BW24" s="52">
        <f t="shared" si="34"/>
        <v>0</v>
      </c>
      <c r="BX24" s="52">
        <f t="shared" si="35"/>
        <v>0</v>
      </c>
      <c r="BY24" s="52">
        <f t="shared" si="36"/>
        <v>0</v>
      </c>
      <c r="BZ24" s="66">
        <f t="shared" si="37"/>
        <v>0</v>
      </c>
      <c r="CA24" s="54">
        <f t="shared" si="38"/>
        <v>0</v>
      </c>
      <c r="CB24" s="55">
        <f t="shared" si="39"/>
        <v>0</v>
      </c>
      <c r="CC24" s="56">
        <f t="shared" si="40"/>
        <v>0</v>
      </c>
      <c r="CD24" s="57">
        <f t="shared" si="41"/>
        <v>-1</v>
      </c>
      <c r="CE24" s="49"/>
      <c r="CF24" s="57" t="e">
        <f t="shared" si="42"/>
        <v>#N/A</v>
      </c>
      <c r="CG24" s="58">
        <f t="shared" si="43"/>
        <v>1</v>
      </c>
      <c r="CH24" s="57">
        <f t="shared" si="44"/>
        <v>0</v>
      </c>
      <c r="CI24" s="59" t="e">
        <f>VLOOKUP(A24,[1]DATA!$A$6:$AI$331,34,0)</f>
        <v>#N/A</v>
      </c>
      <c r="CJ24" s="60" t="e">
        <f>VLOOKUP(A24,[2]CHAMCONG!A$7:CI$333,79,0)</f>
        <v>#N/A</v>
      </c>
      <c r="CK24" s="61" t="e">
        <f t="shared" si="45"/>
        <v>#N/A</v>
      </c>
    </row>
    <row r="25" spans="1:91" s="62" customFormat="1" ht="15.75" customHeight="1" x14ac:dyDescent="0.25">
      <c r="A25" s="63"/>
      <c r="B25" s="64"/>
      <c r="C25" s="45"/>
      <c r="D25" s="46"/>
      <c r="E25" s="47"/>
      <c r="F25" s="48"/>
      <c r="G25" s="49"/>
      <c r="H25" s="51"/>
      <c r="I25" s="51"/>
      <c r="J25" s="51"/>
      <c r="K25" s="51"/>
      <c r="L25" s="51"/>
      <c r="M25" s="51"/>
      <c r="N25" s="51"/>
      <c r="O25" s="51"/>
      <c r="P25" s="51"/>
      <c r="Q25" s="50"/>
      <c r="R25" s="67"/>
      <c r="S25" s="50"/>
      <c r="T25" s="51"/>
      <c r="U25" s="50"/>
      <c r="V25" s="51"/>
      <c r="W25" s="50"/>
      <c r="X25" s="51"/>
      <c r="Y25" s="50"/>
      <c r="Z25" s="51"/>
      <c r="AA25" s="50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0"/>
      <c r="AZ25" s="51"/>
      <c r="BA25" s="67"/>
      <c r="BB25" s="51"/>
      <c r="BC25" s="67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2">
        <f t="shared" si="29"/>
        <v>0</v>
      </c>
      <c r="BR25" s="52">
        <f t="shared" si="30"/>
        <v>0</v>
      </c>
      <c r="BS25" s="52">
        <f t="shared" si="31"/>
        <v>0</v>
      </c>
      <c r="BT25" s="52">
        <f t="shared" si="32"/>
        <v>0</v>
      </c>
      <c r="BU25" s="52">
        <f t="shared" si="33"/>
        <v>0</v>
      </c>
      <c r="BV25" s="52"/>
      <c r="BW25" s="52">
        <f t="shared" si="34"/>
        <v>0</v>
      </c>
      <c r="BX25" s="52">
        <f t="shared" si="35"/>
        <v>0</v>
      </c>
      <c r="BY25" s="52">
        <f t="shared" si="36"/>
        <v>0</v>
      </c>
      <c r="BZ25" s="66">
        <f t="shared" si="37"/>
        <v>0</v>
      </c>
      <c r="CA25" s="54">
        <f t="shared" si="38"/>
        <v>0</v>
      </c>
      <c r="CB25" s="55">
        <f t="shared" si="39"/>
        <v>0</v>
      </c>
      <c r="CC25" s="56">
        <f t="shared" si="40"/>
        <v>0</v>
      </c>
      <c r="CD25" s="57">
        <f t="shared" si="41"/>
        <v>-1</v>
      </c>
      <c r="CE25" s="49"/>
      <c r="CF25" s="57" t="e">
        <f t="shared" si="42"/>
        <v>#N/A</v>
      </c>
      <c r="CG25" s="58">
        <f t="shared" si="43"/>
        <v>1</v>
      </c>
      <c r="CH25" s="57">
        <f t="shared" si="44"/>
        <v>0</v>
      </c>
      <c r="CI25" s="59" t="e">
        <f>VLOOKUP(A25,[1]DATA!$A$6:$AI$331,34,0)</f>
        <v>#N/A</v>
      </c>
      <c r="CJ25" s="60" t="e">
        <f>VLOOKUP(A25,[2]CHAMCONG!A$7:CI$333,79,0)</f>
        <v>#N/A</v>
      </c>
      <c r="CK25" s="61" t="e">
        <f t="shared" si="45"/>
        <v>#N/A</v>
      </c>
    </row>
    <row r="26" spans="1:91" s="62" customFormat="1" ht="17.25" customHeight="1" x14ac:dyDescent="0.25">
      <c r="A26" s="63"/>
      <c r="B26" s="64"/>
      <c r="C26" s="45"/>
      <c r="D26" s="46"/>
      <c r="E26" s="47"/>
      <c r="F26" s="48"/>
      <c r="G26" s="49"/>
      <c r="H26" s="51"/>
      <c r="I26" s="50"/>
      <c r="J26" s="51"/>
      <c r="K26" s="51"/>
      <c r="L26" s="51"/>
      <c r="M26" s="51"/>
      <c r="N26" s="51"/>
      <c r="O26" s="50"/>
      <c r="P26" s="51"/>
      <c r="Q26" s="51"/>
      <c r="R26" s="51"/>
      <c r="S26" s="51"/>
      <c r="T26" s="51"/>
      <c r="U26" s="49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2">
        <f t="shared" si="29"/>
        <v>0</v>
      </c>
      <c r="BR26" s="52">
        <f t="shared" si="30"/>
        <v>0</v>
      </c>
      <c r="BS26" s="52">
        <f t="shared" si="31"/>
        <v>0</v>
      </c>
      <c r="BT26" s="52">
        <f t="shared" si="32"/>
        <v>0</v>
      </c>
      <c r="BU26" s="52">
        <f t="shared" si="33"/>
        <v>0</v>
      </c>
      <c r="BV26" s="65"/>
      <c r="BW26" s="52">
        <f t="shared" si="34"/>
        <v>0</v>
      </c>
      <c r="BX26" s="52">
        <f t="shared" si="35"/>
        <v>0</v>
      </c>
      <c r="BY26" s="52">
        <f t="shared" si="36"/>
        <v>0</v>
      </c>
      <c r="BZ26" s="66">
        <f t="shared" si="37"/>
        <v>0</v>
      </c>
      <c r="CA26" s="54">
        <f t="shared" si="38"/>
        <v>0</v>
      </c>
      <c r="CB26" s="55">
        <f t="shared" si="39"/>
        <v>0</v>
      </c>
      <c r="CC26" s="56">
        <f t="shared" si="40"/>
        <v>0</v>
      </c>
      <c r="CD26" s="57">
        <f t="shared" si="41"/>
        <v>-1</v>
      </c>
      <c r="CE26" s="49"/>
      <c r="CF26" s="57" t="e">
        <f t="shared" si="42"/>
        <v>#N/A</v>
      </c>
      <c r="CG26" s="58">
        <f t="shared" si="43"/>
        <v>1</v>
      </c>
      <c r="CH26" s="57">
        <f t="shared" si="44"/>
        <v>0</v>
      </c>
      <c r="CI26" s="59" t="e">
        <f>VLOOKUP(A26,[1]DATA!$A$6:$AI$331,34,0)</f>
        <v>#N/A</v>
      </c>
      <c r="CJ26" s="60" t="e">
        <f>VLOOKUP(A26,[2]CHAMCONG!A$7:CI$333,79,0)</f>
        <v>#N/A</v>
      </c>
      <c r="CK26" s="61" t="e">
        <f t="shared" si="45"/>
        <v>#N/A</v>
      </c>
    </row>
    <row r="27" spans="1:91" s="62" customFormat="1" ht="17.25" customHeight="1" x14ac:dyDescent="0.25">
      <c r="A27" s="63"/>
      <c r="B27" s="64"/>
      <c r="C27" s="45"/>
      <c r="D27" s="46"/>
      <c r="E27" s="47"/>
      <c r="F27" s="48"/>
      <c r="G27" s="49"/>
      <c r="H27" s="51"/>
      <c r="I27" s="50"/>
      <c r="J27" s="51"/>
      <c r="K27" s="67"/>
      <c r="L27" s="51"/>
      <c r="M27" s="67"/>
      <c r="N27" s="51"/>
      <c r="O27" s="67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0"/>
      <c r="AH27" s="51"/>
      <c r="AI27" s="50"/>
      <c r="AJ27" s="51"/>
      <c r="AK27" s="50"/>
      <c r="AL27" s="51"/>
      <c r="AM27" s="50"/>
      <c r="AN27" s="51"/>
      <c r="AO27" s="50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2">
        <f t="shared" si="29"/>
        <v>0</v>
      </c>
      <c r="BR27" s="52">
        <f t="shared" si="30"/>
        <v>0</v>
      </c>
      <c r="BS27" s="52">
        <f t="shared" si="31"/>
        <v>0</v>
      </c>
      <c r="BT27" s="52">
        <f t="shared" si="32"/>
        <v>0</v>
      </c>
      <c r="BU27" s="52">
        <f t="shared" si="33"/>
        <v>0</v>
      </c>
      <c r="BV27" s="65"/>
      <c r="BW27" s="52">
        <f t="shared" si="34"/>
        <v>0</v>
      </c>
      <c r="BX27" s="52">
        <f t="shared" si="35"/>
        <v>0</v>
      </c>
      <c r="BY27" s="52">
        <f t="shared" si="36"/>
        <v>0</v>
      </c>
      <c r="BZ27" s="66">
        <f t="shared" si="37"/>
        <v>0</v>
      </c>
      <c r="CA27" s="54">
        <f t="shared" si="38"/>
        <v>0</v>
      </c>
      <c r="CB27" s="55">
        <f t="shared" si="39"/>
        <v>0</v>
      </c>
      <c r="CC27" s="56">
        <f t="shared" si="40"/>
        <v>0</v>
      </c>
      <c r="CD27" s="57">
        <f t="shared" si="41"/>
        <v>-1</v>
      </c>
      <c r="CE27" s="49">
        <v>2</v>
      </c>
      <c r="CF27" s="57" t="e">
        <f t="shared" si="42"/>
        <v>#N/A</v>
      </c>
      <c r="CG27" s="58">
        <f t="shared" si="43"/>
        <v>1</v>
      </c>
      <c r="CH27" s="57">
        <f t="shared" si="44"/>
        <v>32</v>
      </c>
      <c r="CI27" s="59" t="e">
        <f>VLOOKUP(A27,[1]DATA!$A$6:$AI$331,34,0)</f>
        <v>#N/A</v>
      </c>
      <c r="CJ27" s="60" t="e">
        <f>VLOOKUP(A27,[2]CHAMCONG!A$7:CI$333,79,0)</f>
        <v>#N/A</v>
      </c>
      <c r="CK27" s="61" t="e">
        <f t="shared" si="45"/>
        <v>#N/A</v>
      </c>
    </row>
    <row r="28" spans="1:91" s="62" customFormat="1" ht="17.25" customHeight="1" x14ac:dyDescent="0.25">
      <c r="A28" s="63"/>
      <c r="B28" s="64"/>
      <c r="C28" s="45"/>
      <c r="D28" s="46"/>
      <c r="E28" s="47"/>
      <c r="F28" s="48"/>
      <c r="G28" s="49"/>
      <c r="H28" s="51"/>
      <c r="I28" s="67"/>
      <c r="J28" s="51"/>
      <c r="K28" s="67"/>
      <c r="L28" s="51"/>
      <c r="M28" s="67"/>
      <c r="N28" s="51"/>
      <c r="O28" s="67"/>
      <c r="P28" s="51"/>
      <c r="Q28" s="51"/>
      <c r="R28" s="51"/>
      <c r="S28" s="67"/>
      <c r="T28" s="51"/>
      <c r="U28" s="67"/>
      <c r="V28" s="51"/>
      <c r="W28" s="67"/>
      <c r="X28" s="51"/>
      <c r="Y28" s="67"/>
      <c r="Z28" s="51"/>
      <c r="AA28" s="67"/>
      <c r="AB28" s="51"/>
      <c r="AC28" s="67"/>
      <c r="AD28" s="51"/>
      <c r="AE28" s="51"/>
      <c r="AF28" s="51"/>
      <c r="AG28" s="67"/>
      <c r="AH28" s="51"/>
      <c r="AI28" s="67"/>
      <c r="AJ28" s="51"/>
      <c r="AK28" s="67"/>
      <c r="AL28" s="51"/>
      <c r="AM28" s="67"/>
      <c r="AN28" s="51"/>
      <c r="AO28" s="67"/>
      <c r="AP28" s="51"/>
      <c r="AQ28" s="50"/>
      <c r="AR28" s="51"/>
      <c r="AS28" s="51"/>
      <c r="AT28" s="51"/>
      <c r="AU28" s="51"/>
      <c r="AV28" s="51"/>
      <c r="AW28" s="51"/>
      <c r="AX28" s="51"/>
      <c r="AY28" s="50"/>
      <c r="AZ28" s="51"/>
      <c r="BA28" s="51"/>
      <c r="BB28" s="51"/>
      <c r="BC28" s="51"/>
      <c r="BD28" s="51"/>
      <c r="BE28" s="50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  <c r="BQ28" s="52">
        <f t="shared" si="29"/>
        <v>0</v>
      </c>
      <c r="BR28" s="52">
        <f t="shared" si="30"/>
        <v>0</v>
      </c>
      <c r="BS28" s="52">
        <f t="shared" si="31"/>
        <v>0</v>
      </c>
      <c r="BT28" s="52">
        <f t="shared" si="32"/>
        <v>0</v>
      </c>
      <c r="BU28" s="52">
        <f t="shared" si="33"/>
        <v>0</v>
      </c>
      <c r="BV28" s="65"/>
      <c r="BW28" s="52">
        <f t="shared" si="34"/>
        <v>0</v>
      </c>
      <c r="BX28" s="52">
        <f t="shared" si="35"/>
        <v>0</v>
      </c>
      <c r="BY28" s="52">
        <f t="shared" si="36"/>
        <v>0</v>
      </c>
      <c r="BZ28" s="66">
        <f t="shared" si="37"/>
        <v>0</v>
      </c>
      <c r="CA28" s="54">
        <f t="shared" si="38"/>
        <v>0</v>
      </c>
      <c r="CB28" s="55">
        <f t="shared" si="39"/>
        <v>0</v>
      </c>
      <c r="CC28" s="56">
        <f t="shared" si="40"/>
        <v>0</v>
      </c>
      <c r="CD28" s="57">
        <f t="shared" si="41"/>
        <v>-1</v>
      </c>
      <c r="CE28" s="49"/>
      <c r="CF28" s="57" t="e">
        <f t="shared" si="42"/>
        <v>#N/A</v>
      </c>
      <c r="CG28" s="58">
        <f t="shared" si="43"/>
        <v>1</v>
      </c>
      <c r="CH28" s="57">
        <f t="shared" si="44"/>
        <v>0</v>
      </c>
      <c r="CI28" s="59" t="e">
        <f>VLOOKUP(A28,[1]DATA!$A$6:$AI$331,34,0)</f>
        <v>#N/A</v>
      </c>
      <c r="CJ28" s="60" t="e">
        <f>VLOOKUP(A28,[2]CHAMCONG!A$7:CI$333,79,0)</f>
        <v>#N/A</v>
      </c>
      <c r="CK28" s="61" t="e">
        <f t="shared" si="45"/>
        <v>#N/A</v>
      </c>
    </row>
    <row r="29" spans="1:91" s="62" customFormat="1" ht="15" customHeight="1" x14ac:dyDescent="0.25">
      <c r="A29" s="63"/>
      <c r="B29" s="64"/>
      <c r="C29" s="45"/>
      <c r="D29" s="46"/>
      <c r="E29" s="47"/>
      <c r="F29" s="48"/>
      <c r="G29" s="49"/>
      <c r="H29" s="51"/>
      <c r="I29" s="50"/>
      <c r="J29" s="51"/>
      <c r="K29" s="50"/>
      <c r="L29" s="51"/>
      <c r="M29" s="50"/>
      <c r="N29" s="51"/>
      <c r="O29" s="50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0"/>
      <c r="AL29" s="51"/>
      <c r="AM29" s="50"/>
      <c r="AN29" s="51"/>
      <c r="AO29" s="50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  <c r="BQ29" s="52">
        <f t="shared" si="29"/>
        <v>0</v>
      </c>
      <c r="BR29" s="52">
        <f t="shared" si="30"/>
        <v>0</v>
      </c>
      <c r="BS29" s="52">
        <f t="shared" si="31"/>
        <v>0</v>
      </c>
      <c r="BT29" s="52">
        <f t="shared" si="32"/>
        <v>0</v>
      </c>
      <c r="BU29" s="52">
        <f t="shared" si="33"/>
        <v>0</v>
      </c>
      <c r="BV29" s="65"/>
      <c r="BW29" s="52">
        <f t="shared" si="34"/>
        <v>0</v>
      </c>
      <c r="BX29" s="52">
        <f t="shared" si="35"/>
        <v>0</v>
      </c>
      <c r="BY29" s="52">
        <f t="shared" si="36"/>
        <v>0</v>
      </c>
      <c r="BZ29" s="66">
        <f t="shared" si="37"/>
        <v>0</v>
      </c>
      <c r="CA29" s="54">
        <f t="shared" si="38"/>
        <v>0</v>
      </c>
      <c r="CB29" s="55">
        <f t="shared" si="39"/>
        <v>0</v>
      </c>
      <c r="CC29" s="56">
        <f t="shared" si="40"/>
        <v>0</v>
      </c>
      <c r="CD29" s="57">
        <f t="shared" si="41"/>
        <v>-1</v>
      </c>
      <c r="CE29" s="49"/>
      <c r="CF29" s="57" t="e">
        <f t="shared" si="42"/>
        <v>#N/A</v>
      </c>
      <c r="CG29" s="58">
        <f t="shared" si="43"/>
        <v>1</v>
      </c>
      <c r="CH29" s="57">
        <f t="shared" si="44"/>
        <v>0</v>
      </c>
      <c r="CI29" s="59" t="e">
        <f>VLOOKUP(A29,[1]DATA!$A$6:$AI$331,34,0)</f>
        <v>#N/A</v>
      </c>
      <c r="CJ29" s="60" t="e">
        <f>VLOOKUP(A29,[2]CHAMCONG!A$7:CI$333,79,0)</f>
        <v>#N/A</v>
      </c>
      <c r="CK29" s="61" t="e">
        <f t="shared" si="45"/>
        <v>#N/A</v>
      </c>
    </row>
    <row r="30" spans="1:91" s="62" customFormat="1" ht="15.75" customHeight="1" x14ac:dyDescent="0.25">
      <c r="A30" s="63"/>
      <c r="B30" s="64"/>
      <c r="C30" s="45"/>
      <c r="D30" s="46"/>
      <c r="E30" s="47"/>
      <c r="F30" s="48"/>
      <c r="G30" s="49"/>
      <c r="H30" s="51"/>
      <c r="I30" s="49"/>
      <c r="J30" s="51"/>
      <c r="K30" s="49"/>
      <c r="L30" s="51"/>
      <c r="M30" s="49"/>
      <c r="N30" s="51"/>
      <c r="O30" s="49"/>
      <c r="P30" s="51"/>
      <c r="Q30" s="50"/>
      <c r="R30" s="67"/>
      <c r="S30" s="50"/>
      <c r="T30" s="51"/>
      <c r="U30" s="50"/>
      <c r="V30" s="51"/>
      <c r="W30" s="50"/>
      <c r="X30" s="51"/>
      <c r="Y30" s="50"/>
      <c r="Z30" s="51"/>
      <c r="AA30" s="50"/>
      <c r="AB30" s="51"/>
      <c r="AC30" s="50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  <c r="BQ30" s="52">
        <f t="shared" si="29"/>
        <v>0</v>
      </c>
      <c r="BR30" s="52">
        <f t="shared" si="30"/>
        <v>0</v>
      </c>
      <c r="BS30" s="52">
        <f t="shared" si="31"/>
        <v>0</v>
      </c>
      <c r="BT30" s="52">
        <f t="shared" si="32"/>
        <v>0</v>
      </c>
      <c r="BU30" s="52">
        <f t="shared" si="33"/>
        <v>0</v>
      </c>
      <c r="BV30" s="65"/>
      <c r="BW30" s="52">
        <f t="shared" si="34"/>
        <v>0</v>
      </c>
      <c r="BX30" s="52">
        <f t="shared" si="35"/>
        <v>0</v>
      </c>
      <c r="BY30" s="52">
        <f t="shared" si="36"/>
        <v>0</v>
      </c>
      <c r="BZ30" s="66">
        <f t="shared" si="37"/>
        <v>0</v>
      </c>
      <c r="CA30" s="54">
        <f t="shared" si="38"/>
        <v>0</v>
      </c>
      <c r="CB30" s="55">
        <f t="shared" si="39"/>
        <v>0</v>
      </c>
      <c r="CC30" s="56">
        <f t="shared" si="40"/>
        <v>0</v>
      </c>
      <c r="CD30" s="57">
        <f t="shared" si="41"/>
        <v>-1</v>
      </c>
      <c r="CE30" s="49">
        <v>1</v>
      </c>
      <c r="CF30" s="57" t="e">
        <f t="shared" si="42"/>
        <v>#N/A</v>
      </c>
      <c r="CG30" s="58">
        <f t="shared" si="43"/>
        <v>1</v>
      </c>
      <c r="CH30" s="57">
        <f t="shared" si="44"/>
        <v>16</v>
      </c>
      <c r="CI30" s="59" t="e">
        <f>VLOOKUP(A30,[1]DATA!$A$6:$AI$331,34,0)</f>
        <v>#N/A</v>
      </c>
      <c r="CJ30" s="60" t="e">
        <f>VLOOKUP(A30,[2]CHAMCONG!A$7:CI$333,79,0)</f>
        <v>#N/A</v>
      </c>
      <c r="CK30" s="61" t="e">
        <f t="shared" si="45"/>
        <v>#N/A</v>
      </c>
    </row>
    <row r="31" spans="1:91" s="62" customFormat="1" ht="15.75" customHeight="1" x14ac:dyDescent="0.25">
      <c r="A31" s="63"/>
      <c r="B31" s="64"/>
      <c r="C31" s="45"/>
      <c r="D31" s="46"/>
      <c r="E31" s="47"/>
      <c r="F31" s="48"/>
      <c r="G31" s="49"/>
      <c r="H31" s="51"/>
      <c r="I31" s="49"/>
      <c r="J31" s="51"/>
      <c r="K31" s="49"/>
      <c r="L31" s="51"/>
      <c r="M31" s="49"/>
      <c r="N31" s="51"/>
      <c r="O31" s="49"/>
      <c r="P31" s="51"/>
      <c r="Q31" s="49"/>
      <c r="R31" s="51"/>
      <c r="S31" s="50"/>
      <c r="T31" s="51"/>
      <c r="U31" s="50"/>
      <c r="V31" s="51"/>
      <c r="W31" s="50"/>
      <c r="X31" s="51"/>
      <c r="Y31" s="50"/>
      <c r="Z31" s="51"/>
      <c r="AA31" s="50"/>
      <c r="AB31" s="51"/>
      <c r="AC31" s="50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49"/>
      <c r="AR31" s="51"/>
      <c r="AS31" s="49"/>
      <c r="AT31" s="49"/>
      <c r="AU31" s="49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  <c r="BQ31" s="52">
        <f t="shared" si="29"/>
        <v>0</v>
      </c>
      <c r="BR31" s="52">
        <f t="shared" si="30"/>
        <v>0</v>
      </c>
      <c r="BS31" s="52">
        <f t="shared" si="31"/>
        <v>0</v>
      </c>
      <c r="BT31" s="52">
        <f t="shared" si="32"/>
        <v>0</v>
      </c>
      <c r="BU31" s="52">
        <f t="shared" si="33"/>
        <v>0</v>
      </c>
      <c r="BV31" s="65"/>
      <c r="BW31" s="52">
        <f t="shared" si="34"/>
        <v>0</v>
      </c>
      <c r="BX31" s="52">
        <f t="shared" si="35"/>
        <v>0</v>
      </c>
      <c r="BY31" s="52">
        <f t="shared" si="36"/>
        <v>0</v>
      </c>
      <c r="BZ31" s="66">
        <f t="shared" si="37"/>
        <v>0</v>
      </c>
      <c r="CA31" s="54">
        <f t="shared" si="38"/>
        <v>0</v>
      </c>
      <c r="CB31" s="55">
        <f t="shared" si="39"/>
        <v>0</v>
      </c>
      <c r="CC31" s="56">
        <f t="shared" si="40"/>
        <v>0</v>
      </c>
      <c r="CD31" s="57">
        <f t="shared" si="41"/>
        <v>-1</v>
      </c>
      <c r="CE31" s="49">
        <v>1</v>
      </c>
      <c r="CF31" s="57" t="e">
        <f t="shared" si="42"/>
        <v>#N/A</v>
      </c>
      <c r="CG31" s="58">
        <f t="shared" si="43"/>
        <v>1</v>
      </c>
      <c r="CH31" s="57">
        <f t="shared" si="44"/>
        <v>16</v>
      </c>
      <c r="CI31" s="59" t="e">
        <f>VLOOKUP(A31,[1]DATA!$A$6:$AI$331,34,0)</f>
        <v>#N/A</v>
      </c>
      <c r="CJ31" s="60" t="e">
        <f>VLOOKUP(A31,[2]CHAMCONG!A$7:CI$333,79,0)</f>
        <v>#N/A</v>
      </c>
      <c r="CK31" s="61" t="e">
        <f t="shared" si="45"/>
        <v>#N/A</v>
      </c>
    </row>
    <row r="32" spans="1:91" s="62" customFormat="1" ht="15.75" customHeight="1" x14ac:dyDescent="0.25">
      <c r="A32" s="63"/>
      <c r="B32" s="64"/>
      <c r="C32" s="45"/>
      <c r="D32" s="46"/>
      <c r="E32" s="47"/>
      <c r="F32" s="48"/>
      <c r="G32" s="49"/>
      <c r="H32" s="51"/>
      <c r="I32" s="50"/>
      <c r="J32" s="51"/>
      <c r="K32" s="50"/>
      <c r="L32" s="51"/>
      <c r="M32" s="67"/>
      <c r="N32" s="51"/>
      <c r="O32" s="50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2">
        <f t="shared" si="29"/>
        <v>0</v>
      </c>
      <c r="BR32" s="52">
        <f t="shared" si="30"/>
        <v>0</v>
      </c>
      <c r="BS32" s="52">
        <f t="shared" si="31"/>
        <v>0</v>
      </c>
      <c r="BT32" s="52">
        <f t="shared" si="32"/>
        <v>0</v>
      </c>
      <c r="BU32" s="52">
        <f t="shared" si="33"/>
        <v>0</v>
      </c>
      <c r="BV32" s="65"/>
      <c r="BW32" s="52">
        <f t="shared" si="34"/>
        <v>0</v>
      </c>
      <c r="BX32" s="52">
        <f t="shared" si="35"/>
        <v>0</v>
      </c>
      <c r="BY32" s="52">
        <f t="shared" si="36"/>
        <v>0</v>
      </c>
      <c r="BZ32" s="66">
        <f t="shared" si="37"/>
        <v>0</v>
      </c>
      <c r="CA32" s="54">
        <f t="shared" si="38"/>
        <v>0</v>
      </c>
      <c r="CB32" s="55">
        <f t="shared" si="39"/>
        <v>0</v>
      </c>
      <c r="CC32" s="56">
        <f t="shared" si="40"/>
        <v>0</v>
      </c>
      <c r="CD32" s="57">
        <f t="shared" si="41"/>
        <v>-1</v>
      </c>
      <c r="CE32" s="49">
        <v>2</v>
      </c>
      <c r="CF32" s="57" t="e">
        <f t="shared" si="42"/>
        <v>#N/A</v>
      </c>
      <c r="CG32" s="58">
        <f t="shared" si="43"/>
        <v>1</v>
      </c>
      <c r="CH32" s="57">
        <f t="shared" si="44"/>
        <v>32</v>
      </c>
      <c r="CI32" s="59" t="e">
        <f>VLOOKUP(A32,[1]DATA!$A$6:$AI$331,34,0)</f>
        <v>#N/A</v>
      </c>
      <c r="CJ32" s="60" t="e">
        <f>VLOOKUP(A32,[2]CHAMCONG!A$7:CI$333,79,0)</f>
        <v>#N/A</v>
      </c>
      <c r="CK32" s="61" t="e">
        <f t="shared" si="45"/>
        <v>#N/A</v>
      </c>
    </row>
    <row r="33" spans="1:89" s="62" customFormat="1" ht="15.75" customHeight="1" x14ac:dyDescent="0.25">
      <c r="A33" s="63"/>
      <c r="B33" s="64"/>
      <c r="C33" s="45"/>
      <c r="D33" s="46"/>
      <c r="E33" s="47"/>
      <c r="F33" s="48"/>
      <c r="G33" s="49"/>
      <c r="H33" s="51"/>
      <c r="I33" s="51"/>
      <c r="J33" s="51"/>
      <c r="K33" s="51"/>
      <c r="L33" s="51"/>
      <c r="M33" s="51"/>
      <c r="N33" s="51"/>
      <c r="O33" s="50"/>
      <c r="P33" s="51"/>
      <c r="Q33" s="50"/>
      <c r="R33" s="67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49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2">
        <f t="shared" si="29"/>
        <v>0</v>
      </c>
      <c r="BR33" s="52">
        <f t="shared" si="30"/>
        <v>0</v>
      </c>
      <c r="BS33" s="52">
        <f t="shared" si="31"/>
        <v>0</v>
      </c>
      <c r="BT33" s="52">
        <f t="shared" si="32"/>
        <v>0</v>
      </c>
      <c r="BU33" s="52">
        <f t="shared" si="33"/>
        <v>0</v>
      </c>
      <c r="BV33" s="65"/>
      <c r="BW33" s="52">
        <f t="shared" si="34"/>
        <v>0</v>
      </c>
      <c r="BX33" s="52">
        <f t="shared" si="35"/>
        <v>0</v>
      </c>
      <c r="BY33" s="52">
        <f t="shared" si="36"/>
        <v>0</v>
      </c>
      <c r="BZ33" s="66">
        <f t="shared" si="37"/>
        <v>0</v>
      </c>
      <c r="CA33" s="54">
        <f t="shared" si="38"/>
        <v>0</v>
      </c>
      <c r="CB33" s="55">
        <f t="shared" si="39"/>
        <v>0</v>
      </c>
      <c r="CC33" s="56">
        <f t="shared" si="40"/>
        <v>0</v>
      </c>
      <c r="CD33" s="57">
        <f t="shared" si="41"/>
        <v>-1</v>
      </c>
      <c r="CE33" s="49"/>
      <c r="CF33" s="57" t="e">
        <f t="shared" si="42"/>
        <v>#N/A</v>
      </c>
      <c r="CG33" s="58">
        <f t="shared" si="43"/>
        <v>1</v>
      </c>
      <c r="CH33" s="57">
        <f t="shared" si="44"/>
        <v>0</v>
      </c>
      <c r="CI33" s="59" t="e">
        <f>VLOOKUP(A33,[1]DATA!$A$6:$AI$331,34,0)</f>
        <v>#N/A</v>
      </c>
      <c r="CJ33" s="60" t="e">
        <f>VLOOKUP(A33,[2]CHAMCONG!A$7:CI$333,79,0)</f>
        <v>#N/A</v>
      </c>
      <c r="CK33" s="61" t="e">
        <f t="shared" si="45"/>
        <v>#N/A</v>
      </c>
    </row>
    <row r="34" spans="1:89" s="62" customFormat="1" ht="15.75" customHeight="1" x14ac:dyDescent="0.25">
      <c r="A34" s="63"/>
      <c r="B34" s="64"/>
      <c r="C34" s="45"/>
      <c r="D34" s="46"/>
      <c r="E34" s="47"/>
      <c r="F34" s="48"/>
      <c r="G34" s="49"/>
      <c r="H34" s="51"/>
      <c r="I34" s="50"/>
      <c r="J34" s="51"/>
      <c r="K34" s="50"/>
      <c r="L34" s="51"/>
      <c r="M34" s="50"/>
      <c r="N34" s="51"/>
      <c r="O34" s="50"/>
      <c r="P34" s="51"/>
      <c r="Q34" s="50"/>
      <c r="R34" s="67"/>
      <c r="S34" s="50"/>
      <c r="T34" s="51"/>
      <c r="U34" s="49"/>
      <c r="V34" s="51"/>
      <c r="W34" s="49"/>
      <c r="X34" s="51"/>
      <c r="Y34" s="49"/>
      <c r="Z34" s="51"/>
      <c r="AA34" s="49"/>
      <c r="AB34" s="51"/>
      <c r="AC34" s="49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0"/>
      <c r="BD34" s="51"/>
      <c r="BE34" s="50"/>
      <c r="BF34" s="51"/>
      <c r="BG34" s="50"/>
      <c r="BH34" s="67"/>
      <c r="BI34" s="51"/>
      <c r="BJ34" s="51"/>
      <c r="BK34" s="51"/>
      <c r="BL34" s="51"/>
      <c r="BM34" s="51"/>
      <c r="BN34" s="51"/>
      <c r="BO34" s="51"/>
      <c r="BP34" s="51"/>
      <c r="BQ34" s="52">
        <f t="shared" si="29"/>
        <v>0</v>
      </c>
      <c r="BR34" s="52">
        <f t="shared" si="30"/>
        <v>0</v>
      </c>
      <c r="BS34" s="52">
        <f t="shared" si="31"/>
        <v>0</v>
      </c>
      <c r="BT34" s="52">
        <f t="shared" si="32"/>
        <v>0</v>
      </c>
      <c r="BU34" s="52">
        <f t="shared" si="33"/>
        <v>0</v>
      </c>
      <c r="BV34" s="65"/>
      <c r="BW34" s="52">
        <f t="shared" si="34"/>
        <v>0</v>
      </c>
      <c r="BX34" s="52">
        <f t="shared" si="35"/>
        <v>0</v>
      </c>
      <c r="BY34" s="52">
        <f t="shared" si="36"/>
        <v>0</v>
      </c>
      <c r="BZ34" s="66">
        <f t="shared" si="37"/>
        <v>0</v>
      </c>
      <c r="CA34" s="54">
        <f t="shared" si="38"/>
        <v>0</v>
      </c>
      <c r="CB34" s="55">
        <f t="shared" si="39"/>
        <v>0</v>
      </c>
      <c r="CC34" s="56">
        <f t="shared" si="40"/>
        <v>0</v>
      </c>
      <c r="CD34" s="57">
        <f t="shared" si="41"/>
        <v>-1</v>
      </c>
      <c r="CE34" s="49">
        <v>3</v>
      </c>
      <c r="CF34" s="57" t="e">
        <f t="shared" si="42"/>
        <v>#N/A</v>
      </c>
      <c r="CG34" s="58">
        <f t="shared" si="43"/>
        <v>1</v>
      </c>
      <c r="CH34" s="57">
        <f t="shared" si="44"/>
        <v>48</v>
      </c>
      <c r="CI34" s="59" t="e">
        <f>VLOOKUP(A34,[1]DATA!$A$6:$AI$331,34,0)</f>
        <v>#N/A</v>
      </c>
      <c r="CJ34" s="60" t="e">
        <f>VLOOKUP(A34,[2]CHAMCONG!A$7:CI$333,79,0)</f>
        <v>#N/A</v>
      </c>
      <c r="CK34" s="61" t="e">
        <f t="shared" si="45"/>
        <v>#N/A</v>
      </c>
    </row>
    <row r="35" spans="1:89" s="62" customFormat="1" ht="15.75" customHeight="1" x14ac:dyDescent="0.25">
      <c r="A35" s="69"/>
      <c r="B35" s="64"/>
      <c r="C35" s="45"/>
      <c r="D35" s="46"/>
      <c r="E35" s="47"/>
      <c r="F35" s="48"/>
      <c r="G35" s="49"/>
      <c r="H35" s="51"/>
      <c r="I35" s="49"/>
      <c r="J35" s="51"/>
      <c r="K35" s="49"/>
      <c r="L35" s="51"/>
      <c r="M35" s="51"/>
      <c r="N35" s="51"/>
      <c r="O35" s="50"/>
      <c r="P35" s="51"/>
      <c r="Q35" s="51"/>
      <c r="R35" s="51"/>
      <c r="S35" s="51"/>
      <c r="T35" s="51"/>
      <c r="U35" s="49"/>
      <c r="V35" s="51"/>
      <c r="W35" s="49"/>
      <c r="X35" s="51"/>
      <c r="Y35" s="49"/>
      <c r="Z35" s="51"/>
      <c r="AA35" s="51"/>
      <c r="AB35" s="51"/>
      <c r="AC35" s="50"/>
      <c r="AD35" s="51"/>
      <c r="AE35" s="51"/>
      <c r="AF35" s="51"/>
      <c r="AG35" s="51"/>
      <c r="AH35" s="51"/>
      <c r="AI35" s="49"/>
      <c r="AJ35" s="51"/>
      <c r="AK35" s="49"/>
      <c r="AL35" s="51"/>
      <c r="AM35" s="49"/>
      <c r="AN35" s="51"/>
      <c r="AO35" s="51"/>
      <c r="AP35" s="51"/>
      <c r="AQ35" s="50"/>
      <c r="AR35" s="51"/>
      <c r="AS35" s="51"/>
      <c r="AT35" s="51"/>
      <c r="AU35" s="51"/>
      <c r="AV35" s="51"/>
      <c r="AW35" s="49"/>
      <c r="AX35" s="51"/>
      <c r="AY35" s="49"/>
      <c r="AZ35" s="51"/>
      <c r="BA35" s="49"/>
      <c r="BB35" s="51"/>
      <c r="BC35" s="51"/>
      <c r="BD35" s="51"/>
      <c r="BE35" s="50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2">
        <f t="shared" si="29"/>
        <v>0</v>
      </c>
      <c r="BR35" s="52">
        <f t="shared" si="30"/>
        <v>0</v>
      </c>
      <c r="BS35" s="52">
        <f t="shared" si="31"/>
        <v>0</v>
      </c>
      <c r="BT35" s="52">
        <f t="shared" si="32"/>
        <v>0</v>
      </c>
      <c r="BU35" s="52">
        <f t="shared" si="33"/>
        <v>0</v>
      </c>
      <c r="BV35" s="65"/>
      <c r="BW35" s="52">
        <f t="shared" si="34"/>
        <v>0</v>
      </c>
      <c r="BX35" s="52">
        <f t="shared" si="35"/>
        <v>0</v>
      </c>
      <c r="BY35" s="52">
        <f t="shared" si="36"/>
        <v>0</v>
      </c>
      <c r="BZ35" s="66">
        <f t="shared" si="37"/>
        <v>0</v>
      </c>
      <c r="CA35" s="54">
        <f t="shared" si="38"/>
        <v>0</v>
      </c>
      <c r="CB35" s="55">
        <f t="shared" si="39"/>
        <v>0</v>
      </c>
      <c r="CC35" s="56">
        <f t="shared" si="40"/>
        <v>0</v>
      </c>
      <c r="CD35" s="57">
        <f t="shared" si="41"/>
        <v>-1</v>
      </c>
      <c r="CE35" s="49">
        <v>1</v>
      </c>
      <c r="CF35" s="57" t="e">
        <f t="shared" si="42"/>
        <v>#N/A</v>
      </c>
      <c r="CG35" s="58">
        <f t="shared" si="43"/>
        <v>1</v>
      </c>
      <c r="CH35" s="57">
        <f t="shared" si="44"/>
        <v>16</v>
      </c>
      <c r="CI35" s="59" t="e">
        <f>VLOOKUP(A35,[1]DATA!$A$6:$AI$331,34,0)</f>
        <v>#N/A</v>
      </c>
      <c r="CJ35" s="60" t="e">
        <f>VLOOKUP(A35,[2]CHAMCONG!A$7:CI$333,79,0)</f>
        <v>#N/A</v>
      </c>
      <c r="CK35" s="61" t="e">
        <f t="shared" si="45"/>
        <v>#N/A</v>
      </c>
    </row>
    <row r="36" spans="1:89" s="62" customFormat="1" ht="15.75" customHeight="1" x14ac:dyDescent="0.25">
      <c r="A36" s="69"/>
      <c r="B36" s="64"/>
      <c r="C36" s="45"/>
      <c r="D36" s="46"/>
      <c r="E36" s="47"/>
      <c r="F36" s="48"/>
      <c r="G36" s="49"/>
      <c r="H36" s="51"/>
      <c r="I36" s="50"/>
      <c r="J36" s="51"/>
      <c r="K36" s="50"/>
      <c r="L36" s="51"/>
      <c r="M36" s="50"/>
      <c r="N36" s="51"/>
      <c r="O36" s="50"/>
      <c r="P36" s="51"/>
      <c r="Q36" s="50"/>
      <c r="R36" s="67"/>
      <c r="S36" s="50"/>
      <c r="T36" s="51"/>
      <c r="U36" s="50"/>
      <c r="V36" s="51"/>
      <c r="W36" s="50"/>
      <c r="X36" s="51"/>
      <c r="Y36" s="50"/>
      <c r="Z36" s="51"/>
      <c r="AA36" s="50"/>
      <c r="AB36" s="51"/>
      <c r="AC36" s="50"/>
      <c r="AD36" s="51"/>
      <c r="AE36" s="50"/>
      <c r="AF36" s="67"/>
      <c r="AG36" s="50"/>
      <c r="AH36" s="51"/>
      <c r="AI36" s="49"/>
      <c r="AJ36" s="51"/>
      <c r="AK36" s="50"/>
      <c r="AL36" s="51"/>
      <c r="AM36" s="50"/>
      <c r="AN36" s="51"/>
      <c r="AO36" s="50"/>
      <c r="AP36" s="51"/>
      <c r="AQ36" s="50"/>
      <c r="AR36" s="51"/>
      <c r="AS36" s="50"/>
      <c r="AT36" s="67"/>
      <c r="AU36" s="50"/>
      <c r="AV36" s="51"/>
      <c r="AW36" s="51"/>
      <c r="AX36" s="51"/>
      <c r="AY36" s="50"/>
      <c r="AZ36" s="51"/>
      <c r="BA36" s="50"/>
      <c r="BB36" s="51"/>
      <c r="BC36" s="50"/>
      <c r="BD36" s="51"/>
      <c r="BE36" s="50"/>
      <c r="BF36" s="51"/>
      <c r="BG36" s="50"/>
      <c r="BH36" s="67"/>
      <c r="BI36" s="51"/>
      <c r="BJ36" s="51"/>
      <c r="BK36" s="51"/>
      <c r="BL36" s="51"/>
      <c r="BM36" s="51"/>
      <c r="BN36" s="51"/>
      <c r="BO36" s="51"/>
      <c r="BP36" s="51"/>
      <c r="BQ36" s="52">
        <f t="shared" si="29"/>
        <v>0</v>
      </c>
      <c r="BR36" s="52">
        <f t="shared" si="30"/>
        <v>0</v>
      </c>
      <c r="BS36" s="52">
        <f t="shared" si="31"/>
        <v>0</v>
      </c>
      <c r="BT36" s="52">
        <f t="shared" si="32"/>
        <v>0</v>
      </c>
      <c r="BU36" s="52">
        <f t="shared" si="33"/>
        <v>0</v>
      </c>
      <c r="BV36" s="65"/>
      <c r="BW36" s="52">
        <f t="shared" si="34"/>
        <v>0</v>
      </c>
      <c r="BX36" s="52">
        <f t="shared" si="35"/>
        <v>0</v>
      </c>
      <c r="BY36" s="52">
        <f t="shared" si="36"/>
        <v>0</v>
      </c>
      <c r="BZ36" s="66">
        <f>SUBTOTAL(9,BQ36:BY36)</f>
        <v>0</v>
      </c>
      <c r="CA36" s="54">
        <f t="shared" si="38"/>
        <v>0</v>
      </c>
      <c r="CB36" s="55">
        <f t="shared" si="39"/>
        <v>0</v>
      </c>
      <c r="CC36" s="56">
        <f t="shared" si="40"/>
        <v>0</v>
      </c>
      <c r="CD36" s="57">
        <f t="shared" si="41"/>
        <v>-1</v>
      </c>
      <c r="CE36" s="49">
        <v>4</v>
      </c>
      <c r="CF36" s="57" t="e">
        <f t="shared" si="42"/>
        <v>#N/A</v>
      </c>
      <c r="CG36" s="58">
        <f t="shared" si="43"/>
        <v>1</v>
      </c>
      <c r="CH36" s="57">
        <f t="shared" si="44"/>
        <v>64</v>
      </c>
      <c r="CI36" s="59" t="e">
        <f>VLOOKUP(A36,[1]DATA!$A$6:$AI$331,34,0)</f>
        <v>#N/A</v>
      </c>
      <c r="CJ36" s="60" t="e">
        <f>VLOOKUP(A36,[2]CHAMCONG!A$7:CI$333,79,0)</f>
        <v>#N/A</v>
      </c>
      <c r="CK36" s="61" t="e">
        <f t="shared" si="45"/>
        <v>#N/A</v>
      </c>
    </row>
    <row r="37" spans="1:89" s="62" customFormat="1" ht="15.75" customHeight="1" x14ac:dyDescent="0.25">
      <c r="A37" s="63"/>
      <c r="B37" s="64"/>
      <c r="C37" s="45"/>
      <c r="D37" s="46"/>
      <c r="E37" s="47"/>
      <c r="F37" s="48"/>
      <c r="G37" s="49"/>
      <c r="H37" s="51"/>
      <c r="I37" s="51"/>
      <c r="J37" s="51"/>
      <c r="K37" s="51"/>
      <c r="L37" s="51"/>
      <c r="M37" s="51"/>
      <c r="N37" s="51"/>
      <c r="O37" s="51"/>
      <c r="P37" s="51"/>
      <c r="Q37" s="50"/>
      <c r="R37" s="67"/>
      <c r="S37" s="50"/>
      <c r="T37" s="51"/>
      <c r="U37" s="50"/>
      <c r="V37" s="51"/>
      <c r="W37" s="50"/>
      <c r="X37" s="51"/>
      <c r="Y37" s="50"/>
      <c r="Z37" s="51"/>
      <c r="AA37" s="50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0"/>
      <c r="AZ37" s="51"/>
      <c r="BA37" s="67"/>
      <c r="BB37" s="51"/>
      <c r="BC37" s="67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2">
        <f t="shared" si="29"/>
        <v>0</v>
      </c>
      <c r="BR37" s="52">
        <f t="shared" si="30"/>
        <v>0</v>
      </c>
      <c r="BS37" s="52">
        <f t="shared" si="31"/>
        <v>0</v>
      </c>
      <c r="BT37" s="52">
        <f t="shared" si="32"/>
        <v>0</v>
      </c>
      <c r="BU37" s="52">
        <f t="shared" si="33"/>
        <v>0</v>
      </c>
      <c r="BV37" s="65"/>
      <c r="BW37" s="52">
        <f t="shared" si="34"/>
        <v>0</v>
      </c>
      <c r="BX37" s="52">
        <f t="shared" si="35"/>
        <v>0</v>
      </c>
      <c r="BY37" s="52">
        <f t="shared" si="36"/>
        <v>0</v>
      </c>
      <c r="BZ37" s="66">
        <f t="shared" si="37"/>
        <v>0</v>
      </c>
      <c r="CA37" s="54">
        <f t="shared" si="38"/>
        <v>0</v>
      </c>
      <c r="CB37" s="55">
        <f t="shared" si="39"/>
        <v>0</v>
      </c>
      <c r="CC37" s="56">
        <f t="shared" si="40"/>
        <v>0</v>
      </c>
      <c r="CD37" s="57">
        <f t="shared" si="41"/>
        <v>-1</v>
      </c>
      <c r="CE37" s="49"/>
      <c r="CF37" s="57" t="e">
        <f t="shared" si="42"/>
        <v>#N/A</v>
      </c>
      <c r="CG37" s="58">
        <f t="shared" si="43"/>
        <v>1</v>
      </c>
      <c r="CH37" s="57">
        <f t="shared" si="44"/>
        <v>0</v>
      </c>
      <c r="CI37" s="59" t="e">
        <f>VLOOKUP(A37,[1]DATA!$A$6:$AI$331,34,0)</f>
        <v>#N/A</v>
      </c>
      <c r="CJ37" s="60" t="e">
        <f>VLOOKUP(A37,[2]CHAMCONG!A$7:CI$333,79,0)</f>
        <v>#N/A</v>
      </c>
      <c r="CK37" s="61" t="e">
        <f t="shared" si="45"/>
        <v>#N/A</v>
      </c>
    </row>
    <row r="38" spans="1:89" s="62" customFormat="1" ht="15.75" customHeight="1" x14ac:dyDescent="0.25">
      <c r="A38" s="63"/>
      <c r="B38" s="64"/>
      <c r="C38" s="45"/>
      <c r="D38" s="46"/>
      <c r="E38" s="47"/>
      <c r="F38" s="48"/>
      <c r="G38" s="49"/>
      <c r="H38" s="51"/>
      <c r="I38" s="50"/>
      <c r="J38" s="51"/>
      <c r="K38" s="50"/>
      <c r="L38" s="51"/>
      <c r="M38" s="50"/>
      <c r="N38" s="51"/>
      <c r="O38" s="50"/>
      <c r="P38" s="51"/>
      <c r="Q38" s="50"/>
      <c r="R38" s="67"/>
      <c r="S38" s="50"/>
      <c r="T38" s="51"/>
      <c r="U38" s="50"/>
      <c r="V38" s="51"/>
      <c r="W38" s="50"/>
      <c r="X38" s="51"/>
      <c r="Y38" s="50"/>
      <c r="Z38" s="51"/>
      <c r="AA38" s="50"/>
      <c r="AB38" s="51"/>
      <c r="AC38" s="50"/>
      <c r="AD38" s="51"/>
      <c r="AE38" s="50"/>
      <c r="AF38" s="67"/>
      <c r="AG38" s="50"/>
      <c r="AH38" s="51"/>
      <c r="AI38" s="50"/>
      <c r="AJ38" s="51"/>
      <c r="AK38" s="50"/>
      <c r="AL38" s="51"/>
      <c r="AM38" s="50"/>
      <c r="AN38" s="51"/>
      <c r="AO38" s="50"/>
      <c r="AP38" s="51"/>
      <c r="AQ38" s="50"/>
      <c r="AR38" s="51"/>
      <c r="AS38" s="50"/>
      <c r="AT38" s="67"/>
      <c r="AU38" s="50"/>
      <c r="AV38" s="51"/>
      <c r="AW38" s="51"/>
      <c r="AX38" s="51"/>
      <c r="AY38" s="50"/>
      <c r="AZ38" s="51"/>
      <c r="BA38" s="50"/>
      <c r="BB38" s="51"/>
      <c r="BC38" s="50"/>
      <c r="BD38" s="51"/>
      <c r="BE38" s="50"/>
      <c r="BF38" s="51"/>
      <c r="BG38" s="50"/>
      <c r="BH38" s="67"/>
      <c r="BI38" s="51"/>
      <c r="BJ38" s="51"/>
      <c r="BK38" s="51"/>
      <c r="BL38" s="51"/>
      <c r="BM38" s="51"/>
      <c r="BN38" s="51"/>
      <c r="BO38" s="51"/>
      <c r="BP38" s="51"/>
      <c r="BQ38" s="52">
        <f t="shared" si="29"/>
        <v>0</v>
      </c>
      <c r="BR38" s="52">
        <f t="shared" si="30"/>
        <v>0</v>
      </c>
      <c r="BS38" s="52">
        <f t="shared" si="31"/>
        <v>0</v>
      </c>
      <c r="BT38" s="52">
        <f t="shared" si="32"/>
        <v>0</v>
      </c>
      <c r="BU38" s="52">
        <f t="shared" si="33"/>
        <v>0</v>
      </c>
      <c r="BV38" s="65"/>
      <c r="BW38" s="52">
        <f t="shared" si="34"/>
        <v>0</v>
      </c>
      <c r="BX38" s="52">
        <f t="shared" si="35"/>
        <v>0</v>
      </c>
      <c r="BY38" s="52">
        <f t="shared" si="36"/>
        <v>0</v>
      </c>
      <c r="BZ38" s="66">
        <f t="shared" si="37"/>
        <v>0</v>
      </c>
      <c r="CA38" s="54">
        <f t="shared" si="38"/>
        <v>0</v>
      </c>
      <c r="CB38" s="55">
        <f t="shared" si="39"/>
        <v>0</v>
      </c>
      <c r="CC38" s="56">
        <f t="shared" si="40"/>
        <v>0</v>
      </c>
      <c r="CD38" s="57">
        <f t="shared" si="41"/>
        <v>-1</v>
      </c>
      <c r="CE38" s="49">
        <v>4</v>
      </c>
      <c r="CF38" s="57" t="e">
        <f t="shared" si="42"/>
        <v>#N/A</v>
      </c>
      <c r="CG38" s="58">
        <f t="shared" si="43"/>
        <v>1</v>
      </c>
      <c r="CH38" s="57">
        <f t="shared" si="44"/>
        <v>64</v>
      </c>
      <c r="CI38" s="59" t="e">
        <f>VLOOKUP(A38,[1]DATA!$A$6:$AI$331,34,0)</f>
        <v>#N/A</v>
      </c>
      <c r="CJ38" s="60" t="e">
        <f>VLOOKUP(A38,[2]CHAMCONG!A$7:CI$333,79,0)</f>
        <v>#N/A</v>
      </c>
      <c r="CK38" s="61" t="e">
        <f t="shared" si="45"/>
        <v>#N/A</v>
      </c>
    </row>
    <row r="39" spans="1:89" s="62" customFormat="1" ht="15.75" customHeight="1" x14ac:dyDescent="0.25">
      <c r="A39" s="63"/>
      <c r="B39" s="64"/>
      <c r="C39" s="45"/>
      <c r="D39" s="46"/>
      <c r="E39" s="47"/>
      <c r="F39" s="48"/>
      <c r="G39" s="49"/>
      <c r="H39" s="51"/>
      <c r="I39" s="49"/>
      <c r="J39" s="51"/>
      <c r="K39" s="49"/>
      <c r="L39" s="51"/>
      <c r="M39" s="49"/>
      <c r="N39" s="51"/>
      <c r="O39" s="49"/>
      <c r="P39" s="51"/>
      <c r="Q39" s="50"/>
      <c r="R39" s="67"/>
      <c r="S39" s="51"/>
      <c r="T39" s="51"/>
      <c r="U39" s="49"/>
      <c r="V39" s="51"/>
      <c r="W39" s="50"/>
      <c r="X39" s="51"/>
      <c r="Y39" s="50"/>
      <c r="Z39" s="51"/>
      <c r="AA39" s="50"/>
      <c r="AB39" s="51"/>
      <c r="AC39" s="50"/>
      <c r="AD39" s="51"/>
      <c r="AE39" s="50"/>
      <c r="AF39" s="67"/>
      <c r="AG39" s="50"/>
      <c r="AH39" s="51"/>
      <c r="AI39" s="51"/>
      <c r="AJ39" s="51"/>
      <c r="AK39" s="50"/>
      <c r="AL39" s="51"/>
      <c r="AM39" s="50"/>
      <c r="AN39" s="51"/>
      <c r="AO39" s="50"/>
      <c r="AP39" s="51"/>
      <c r="AQ39" s="50"/>
      <c r="AR39" s="51"/>
      <c r="AS39" s="50"/>
      <c r="AT39" s="67"/>
      <c r="AU39" s="50"/>
      <c r="AV39" s="51"/>
      <c r="AW39" s="49"/>
      <c r="AX39" s="51"/>
      <c r="AY39" s="50"/>
      <c r="AZ39" s="51"/>
      <c r="BA39" s="50"/>
      <c r="BB39" s="51"/>
      <c r="BC39" s="50"/>
      <c r="BD39" s="51"/>
      <c r="BE39" s="50"/>
      <c r="BF39" s="51"/>
      <c r="BG39" s="50"/>
      <c r="BH39" s="67"/>
      <c r="BI39" s="51"/>
      <c r="BJ39" s="51"/>
      <c r="BK39" s="51"/>
      <c r="BL39" s="51"/>
      <c r="BM39" s="51"/>
      <c r="BN39" s="51"/>
      <c r="BO39" s="51"/>
      <c r="BP39" s="51"/>
      <c r="BQ39" s="52">
        <f t="shared" si="29"/>
        <v>0</v>
      </c>
      <c r="BR39" s="52">
        <f t="shared" si="30"/>
        <v>0</v>
      </c>
      <c r="BS39" s="52">
        <f t="shared" si="31"/>
        <v>0</v>
      </c>
      <c r="BT39" s="52">
        <f t="shared" si="32"/>
        <v>0</v>
      </c>
      <c r="BU39" s="52">
        <f t="shared" si="33"/>
        <v>0</v>
      </c>
      <c r="BV39" s="65"/>
      <c r="BW39" s="52">
        <f t="shared" si="34"/>
        <v>0</v>
      </c>
      <c r="BX39" s="52">
        <f t="shared" si="35"/>
        <v>0</v>
      </c>
      <c r="BY39" s="52">
        <f t="shared" si="36"/>
        <v>0</v>
      </c>
      <c r="BZ39" s="66">
        <f t="shared" si="37"/>
        <v>0</v>
      </c>
      <c r="CA39" s="54">
        <f t="shared" si="38"/>
        <v>0</v>
      </c>
      <c r="CB39" s="55">
        <f t="shared" si="39"/>
        <v>0</v>
      </c>
      <c r="CC39" s="56">
        <f t="shared" si="40"/>
        <v>0</v>
      </c>
      <c r="CD39" s="57">
        <f t="shared" si="41"/>
        <v>-1</v>
      </c>
      <c r="CE39" s="49">
        <v>3</v>
      </c>
      <c r="CF39" s="57" t="e">
        <f t="shared" si="42"/>
        <v>#N/A</v>
      </c>
      <c r="CG39" s="58">
        <f t="shared" si="43"/>
        <v>1</v>
      </c>
      <c r="CH39" s="57">
        <f t="shared" si="44"/>
        <v>48</v>
      </c>
      <c r="CI39" s="59" t="e">
        <f>VLOOKUP(A39,[1]DATA!$A$6:$AI$331,34,0)</f>
        <v>#N/A</v>
      </c>
      <c r="CJ39" s="60" t="e">
        <f>VLOOKUP(A39,[2]CHAMCONG!A$7:CI$333,79,0)</f>
        <v>#N/A</v>
      </c>
      <c r="CK39" s="61" t="e">
        <f t="shared" si="45"/>
        <v>#N/A</v>
      </c>
    </row>
    <row r="40" spans="1:89" s="62" customFormat="1" ht="15.75" customHeight="1" x14ac:dyDescent="0.25">
      <c r="A40" s="69"/>
      <c r="B40" s="64"/>
      <c r="C40" s="45"/>
      <c r="D40" s="46"/>
      <c r="E40" s="47"/>
      <c r="F40" s="48"/>
      <c r="G40" s="49"/>
      <c r="H40" s="51"/>
      <c r="I40" s="50"/>
      <c r="J40" s="51"/>
      <c r="K40" s="51"/>
      <c r="L40" s="51"/>
      <c r="M40" s="51"/>
      <c r="N40" s="51"/>
      <c r="O40" s="51"/>
      <c r="P40" s="51"/>
      <c r="Q40" s="51"/>
      <c r="R40" s="51"/>
      <c r="S40" s="50"/>
      <c r="T40" s="51"/>
      <c r="U40" s="50"/>
      <c r="V40" s="51"/>
      <c r="W40" s="50"/>
      <c r="X40" s="51"/>
      <c r="Y40" s="50"/>
      <c r="Z40" s="51"/>
      <c r="AA40" s="50"/>
      <c r="AB40" s="51"/>
      <c r="AC40" s="50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  <c r="BQ40" s="52">
        <f t="shared" si="29"/>
        <v>0</v>
      </c>
      <c r="BR40" s="52">
        <f t="shared" si="30"/>
        <v>0</v>
      </c>
      <c r="BS40" s="52">
        <f t="shared" si="31"/>
        <v>0</v>
      </c>
      <c r="BT40" s="52">
        <f t="shared" si="32"/>
        <v>0</v>
      </c>
      <c r="BU40" s="52">
        <f t="shared" si="33"/>
        <v>0</v>
      </c>
      <c r="BV40" s="65"/>
      <c r="BW40" s="52">
        <f t="shared" si="34"/>
        <v>0</v>
      </c>
      <c r="BX40" s="52">
        <f t="shared" si="35"/>
        <v>0</v>
      </c>
      <c r="BY40" s="52">
        <f t="shared" si="36"/>
        <v>0</v>
      </c>
      <c r="BZ40" s="66">
        <f t="shared" si="37"/>
        <v>0</v>
      </c>
      <c r="CA40" s="54">
        <f t="shared" si="38"/>
        <v>0</v>
      </c>
      <c r="CB40" s="55">
        <f t="shared" si="39"/>
        <v>0</v>
      </c>
      <c r="CC40" s="56">
        <f t="shared" si="40"/>
        <v>0</v>
      </c>
      <c r="CD40" s="57">
        <f t="shared" si="41"/>
        <v>-1</v>
      </c>
      <c r="CE40" s="49">
        <v>3</v>
      </c>
      <c r="CF40" s="57" t="e">
        <f t="shared" si="42"/>
        <v>#N/A</v>
      </c>
      <c r="CG40" s="58">
        <f t="shared" si="43"/>
        <v>1</v>
      </c>
      <c r="CH40" s="57">
        <f t="shared" si="44"/>
        <v>48</v>
      </c>
      <c r="CI40" s="59" t="e">
        <f>VLOOKUP(A40,[1]DATA!$A$6:$AI$331,34,0)</f>
        <v>#N/A</v>
      </c>
      <c r="CJ40" s="60" t="e">
        <f>VLOOKUP(A40,[2]CHAMCONG!A$7:CI$333,79,0)</f>
        <v>#N/A</v>
      </c>
      <c r="CK40" s="61" t="e">
        <f t="shared" si="45"/>
        <v>#N/A</v>
      </c>
    </row>
    <row r="41" spans="1:89" s="62" customFormat="1" ht="15.75" customHeight="1" x14ac:dyDescent="0.25">
      <c r="A41" s="69"/>
      <c r="B41" s="64"/>
      <c r="C41" s="45"/>
      <c r="D41" s="46"/>
      <c r="E41" s="47"/>
      <c r="F41" s="48"/>
      <c r="G41" s="49"/>
      <c r="H41" s="51"/>
      <c r="I41" s="50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49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2">
        <f t="shared" si="29"/>
        <v>0</v>
      </c>
      <c r="BR41" s="52">
        <f t="shared" si="30"/>
        <v>0</v>
      </c>
      <c r="BS41" s="52">
        <f t="shared" si="31"/>
        <v>0</v>
      </c>
      <c r="BT41" s="52">
        <f t="shared" si="32"/>
        <v>0</v>
      </c>
      <c r="BU41" s="52">
        <f t="shared" si="33"/>
        <v>0</v>
      </c>
      <c r="BV41" s="65"/>
      <c r="BW41" s="52">
        <f t="shared" si="34"/>
        <v>0</v>
      </c>
      <c r="BX41" s="52">
        <f t="shared" si="35"/>
        <v>0</v>
      </c>
      <c r="BY41" s="52">
        <f t="shared" si="36"/>
        <v>0</v>
      </c>
      <c r="BZ41" s="66">
        <f t="shared" si="37"/>
        <v>0</v>
      </c>
      <c r="CA41" s="54">
        <f t="shared" si="38"/>
        <v>0</v>
      </c>
      <c r="CB41" s="55">
        <f t="shared" si="39"/>
        <v>0</v>
      </c>
      <c r="CC41" s="56">
        <f t="shared" si="40"/>
        <v>0</v>
      </c>
      <c r="CD41" s="57">
        <f t="shared" si="41"/>
        <v>-1</v>
      </c>
      <c r="CE41" s="49">
        <v>4</v>
      </c>
      <c r="CF41" s="57" t="e">
        <f t="shared" si="42"/>
        <v>#N/A</v>
      </c>
      <c r="CG41" s="58">
        <f t="shared" si="43"/>
        <v>1</v>
      </c>
      <c r="CH41" s="57">
        <f t="shared" si="44"/>
        <v>64</v>
      </c>
      <c r="CI41" s="59" t="e">
        <f>VLOOKUP(A41,[1]DATA!$A$6:$AI$331,34,0)</f>
        <v>#N/A</v>
      </c>
      <c r="CJ41" s="60" t="e">
        <f>VLOOKUP(A41,[2]CHAMCONG!A$7:CI$333,79,0)</f>
        <v>#N/A</v>
      </c>
      <c r="CK41" s="61" t="e">
        <f t="shared" si="45"/>
        <v>#N/A</v>
      </c>
    </row>
    <row r="42" spans="1:89" s="62" customFormat="1" ht="15.75" customHeight="1" x14ac:dyDescent="0.25">
      <c r="A42" s="63"/>
      <c r="B42" s="64"/>
      <c r="C42" s="45"/>
      <c r="D42" s="46"/>
      <c r="E42" s="47"/>
      <c r="F42" s="48"/>
      <c r="G42" s="49"/>
      <c r="H42" s="51"/>
      <c r="I42" s="49"/>
      <c r="J42" s="51"/>
      <c r="K42" s="49"/>
      <c r="L42" s="51"/>
      <c r="M42" s="49"/>
      <c r="N42" s="51"/>
      <c r="O42" s="49"/>
      <c r="P42" s="51"/>
      <c r="Q42" s="50"/>
      <c r="R42" s="67"/>
      <c r="S42" s="51"/>
      <c r="T42" s="51"/>
      <c r="U42" s="49"/>
      <c r="V42" s="51"/>
      <c r="W42" s="50"/>
      <c r="X42" s="51"/>
      <c r="Y42" s="50"/>
      <c r="Z42" s="51"/>
      <c r="AA42" s="50"/>
      <c r="AB42" s="51"/>
      <c r="AC42" s="50"/>
      <c r="AD42" s="51"/>
      <c r="AE42" s="50"/>
      <c r="AF42" s="67"/>
      <c r="AG42" s="50"/>
      <c r="AH42" s="51"/>
      <c r="AI42" s="51"/>
      <c r="AJ42" s="51"/>
      <c r="AK42" s="50"/>
      <c r="AL42" s="51"/>
      <c r="AM42" s="50"/>
      <c r="AN42" s="51"/>
      <c r="AO42" s="50"/>
      <c r="AP42" s="51"/>
      <c r="AQ42" s="50"/>
      <c r="AR42" s="51"/>
      <c r="AS42" s="50"/>
      <c r="AT42" s="67"/>
      <c r="AU42" s="51"/>
      <c r="AV42" s="51"/>
      <c r="AW42" s="49"/>
      <c r="AX42" s="51"/>
      <c r="AY42" s="50"/>
      <c r="AZ42" s="51"/>
      <c r="BA42" s="50"/>
      <c r="BB42" s="51"/>
      <c r="BC42" s="50"/>
      <c r="BD42" s="51"/>
      <c r="BE42" s="50"/>
      <c r="BF42" s="51"/>
      <c r="BG42" s="50"/>
      <c r="BH42" s="67"/>
      <c r="BI42" s="51"/>
      <c r="BJ42" s="51"/>
      <c r="BK42" s="51"/>
      <c r="BL42" s="51"/>
      <c r="BM42" s="51"/>
      <c r="BN42" s="51"/>
      <c r="BO42" s="51"/>
      <c r="BP42" s="51"/>
      <c r="BQ42" s="52">
        <f t="shared" si="29"/>
        <v>0</v>
      </c>
      <c r="BR42" s="52">
        <f t="shared" si="30"/>
        <v>0</v>
      </c>
      <c r="BS42" s="52">
        <f t="shared" si="31"/>
        <v>0</v>
      </c>
      <c r="BT42" s="52">
        <f t="shared" si="32"/>
        <v>0</v>
      </c>
      <c r="BU42" s="52">
        <f t="shared" si="33"/>
        <v>0</v>
      </c>
      <c r="BV42" s="65"/>
      <c r="BW42" s="52">
        <f t="shared" si="34"/>
        <v>0</v>
      </c>
      <c r="BX42" s="52">
        <f t="shared" si="35"/>
        <v>0</v>
      </c>
      <c r="BY42" s="52">
        <f t="shared" si="36"/>
        <v>0</v>
      </c>
      <c r="BZ42" s="66">
        <f t="shared" si="37"/>
        <v>0</v>
      </c>
      <c r="CA42" s="54">
        <f t="shared" si="38"/>
        <v>0</v>
      </c>
      <c r="CB42" s="55">
        <f t="shared" si="39"/>
        <v>0</v>
      </c>
      <c r="CC42" s="56">
        <f t="shared" si="40"/>
        <v>0</v>
      </c>
      <c r="CD42" s="57">
        <f t="shared" si="41"/>
        <v>-1</v>
      </c>
      <c r="CE42" s="49">
        <v>1</v>
      </c>
      <c r="CF42" s="57" t="e">
        <f t="shared" si="42"/>
        <v>#N/A</v>
      </c>
      <c r="CG42" s="58">
        <f t="shared" si="43"/>
        <v>1</v>
      </c>
      <c r="CH42" s="57">
        <f t="shared" si="44"/>
        <v>16</v>
      </c>
      <c r="CI42" s="59" t="e">
        <f>VLOOKUP(A42,[1]DATA!$A$6:$AI$331,34,0)</f>
        <v>#N/A</v>
      </c>
      <c r="CJ42" s="60" t="e">
        <f>VLOOKUP(A42,[2]CHAMCONG!A$7:CI$333,79,0)</f>
        <v>#N/A</v>
      </c>
      <c r="CK42" s="61" t="e">
        <f t="shared" si="45"/>
        <v>#N/A</v>
      </c>
    </row>
    <row r="43" spans="1:89" s="62" customFormat="1" ht="15.75" customHeight="1" x14ac:dyDescent="0.25">
      <c r="A43" s="63"/>
      <c r="B43" s="64"/>
      <c r="C43" s="45"/>
      <c r="D43" s="46"/>
      <c r="E43" s="47"/>
      <c r="F43" s="48"/>
      <c r="G43" s="49"/>
      <c r="H43" s="51"/>
      <c r="I43" s="49"/>
      <c r="J43" s="51"/>
      <c r="K43" s="49"/>
      <c r="L43" s="51"/>
      <c r="M43" s="49"/>
      <c r="N43" s="51"/>
      <c r="O43" s="49"/>
      <c r="P43" s="51"/>
      <c r="Q43" s="50"/>
      <c r="R43" s="67"/>
      <c r="S43" s="50"/>
      <c r="T43" s="51"/>
      <c r="U43" s="50"/>
      <c r="V43" s="51"/>
      <c r="W43" s="50"/>
      <c r="X43" s="51"/>
      <c r="Y43" s="50"/>
      <c r="Z43" s="51"/>
      <c r="AA43" s="50"/>
      <c r="AB43" s="51"/>
      <c r="AC43" s="50"/>
      <c r="AD43" s="51"/>
      <c r="AE43" s="50"/>
      <c r="AF43" s="67"/>
      <c r="AG43" s="49"/>
      <c r="AH43" s="51"/>
      <c r="AI43" s="49"/>
      <c r="AJ43" s="51"/>
      <c r="AK43" s="49"/>
      <c r="AL43" s="51"/>
      <c r="AM43" s="49"/>
      <c r="AN43" s="51"/>
      <c r="AO43" s="49"/>
      <c r="AP43" s="51"/>
      <c r="AQ43" s="51"/>
      <c r="AR43" s="51"/>
      <c r="AS43" s="51"/>
      <c r="AT43" s="51"/>
      <c r="AU43" s="51"/>
      <c r="AV43" s="51"/>
      <c r="AW43" s="49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2">
        <f t="shared" si="29"/>
        <v>0</v>
      </c>
      <c r="BR43" s="52">
        <f t="shared" si="30"/>
        <v>0</v>
      </c>
      <c r="BS43" s="52">
        <f t="shared" si="31"/>
        <v>0</v>
      </c>
      <c r="BT43" s="52">
        <f t="shared" si="32"/>
        <v>0</v>
      </c>
      <c r="BU43" s="52">
        <f t="shared" si="33"/>
        <v>0</v>
      </c>
      <c r="BV43" s="65"/>
      <c r="BW43" s="52">
        <f t="shared" si="34"/>
        <v>0</v>
      </c>
      <c r="BX43" s="52">
        <f t="shared" si="35"/>
        <v>0</v>
      </c>
      <c r="BY43" s="52">
        <f t="shared" si="36"/>
        <v>0</v>
      </c>
      <c r="BZ43" s="66">
        <f t="shared" si="37"/>
        <v>0</v>
      </c>
      <c r="CA43" s="54">
        <f t="shared" si="38"/>
        <v>0</v>
      </c>
      <c r="CB43" s="55">
        <f t="shared" si="39"/>
        <v>0</v>
      </c>
      <c r="CC43" s="56">
        <f t="shared" si="40"/>
        <v>0</v>
      </c>
      <c r="CD43" s="57">
        <f t="shared" si="41"/>
        <v>-1</v>
      </c>
      <c r="CE43" s="49"/>
      <c r="CF43" s="57" t="e">
        <f t="shared" si="42"/>
        <v>#N/A</v>
      </c>
      <c r="CG43" s="58">
        <f t="shared" si="43"/>
        <v>1</v>
      </c>
      <c r="CH43" s="57">
        <f t="shared" si="44"/>
        <v>0</v>
      </c>
      <c r="CI43" s="59" t="e">
        <f>VLOOKUP(A43,[1]DATA!$A$6:$AI$331,34,0)</f>
        <v>#N/A</v>
      </c>
      <c r="CJ43" s="60" t="e">
        <f>VLOOKUP(A43,[2]CHAMCONG!A$7:CI$333,79,0)</f>
        <v>#N/A</v>
      </c>
      <c r="CK43" s="61" t="e">
        <f t="shared" si="45"/>
        <v>#N/A</v>
      </c>
    </row>
    <row r="44" spans="1:89" s="62" customFormat="1" ht="15.75" customHeight="1" x14ac:dyDescent="0.25">
      <c r="A44" s="63"/>
      <c r="B44" s="64"/>
      <c r="C44" s="45"/>
      <c r="D44" s="46"/>
      <c r="E44" s="47"/>
      <c r="F44" s="48"/>
      <c r="G44" s="49"/>
      <c r="H44" s="51"/>
      <c r="I44" s="49"/>
      <c r="J44" s="51"/>
      <c r="K44" s="49"/>
      <c r="L44" s="51"/>
      <c r="M44" s="51"/>
      <c r="N44" s="51"/>
      <c r="O44" s="50"/>
      <c r="P44" s="51"/>
      <c r="Q44" s="50"/>
      <c r="R44" s="67"/>
      <c r="S44" s="50"/>
      <c r="T44" s="51"/>
      <c r="U44" s="49"/>
      <c r="V44" s="51"/>
      <c r="W44" s="50"/>
      <c r="X44" s="51"/>
      <c r="Y44" s="50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0"/>
      <c r="AR44" s="51"/>
      <c r="AS44" s="50"/>
      <c r="AT44" s="67"/>
      <c r="AU44" s="50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2">
        <f t="shared" si="29"/>
        <v>0</v>
      </c>
      <c r="BR44" s="52">
        <f t="shared" si="30"/>
        <v>0</v>
      </c>
      <c r="BS44" s="52">
        <f t="shared" si="31"/>
        <v>0</v>
      </c>
      <c r="BT44" s="52">
        <f t="shared" si="32"/>
        <v>0</v>
      </c>
      <c r="BU44" s="52">
        <f t="shared" si="33"/>
        <v>0</v>
      </c>
      <c r="BV44" s="65"/>
      <c r="BW44" s="52">
        <f t="shared" si="34"/>
        <v>0</v>
      </c>
      <c r="BX44" s="52">
        <f t="shared" si="35"/>
        <v>0</v>
      </c>
      <c r="BY44" s="52">
        <f t="shared" si="36"/>
        <v>0</v>
      </c>
      <c r="BZ44" s="66">
        <f t="shared" si="37"/>
        <v>0</v>
      </c>
      <c r="CA44" s="54">
        <f t="shared" si="38"/>
        <v>0</v>
      </c>
      <c r="CB44" s="55">
        <f t="shared" si="39"/>
        <v>0</v>
      </c>
      <c r="CC44" s="56">
        <f t="shared" si="40"/>
        <v>0</v>
      </c>
      <c r="CD44" s="57">
        <f t="shared" si="41"/>
        <v>-1</v>
      </c>
      <c r="CE44" s="49"/>
      <c r="CF44" s="57" t="e">
        <f t="shared" si="42"/>
        <v>#N/A</v>
      </c>
      <c r="CG44" s="58">
        <f t="shared" si="43"/>
        <v>1</v>
      </c>
      <c r="CH44" s="57">
        <f t="shared" si="44"/>
        <v>0</v>
      </c>
      <c r="CI44" s="59" t="e">
        <f>VLOOKUP(A44,[1]DATA!$A$6:$AI$331,34,0)</f>
        <v>#N/A</v>
      </c>
      <c r="CJ44" s="60" t="e">
        <f>VLOOKUP(A44,[2]CHAMCONG!A$7:CI$333,79,0)</f>
        <v>#N/A</v>
      </c>
      <c r="CK44" s="61" t="e">
        <f t="shared" si="45"/>
        <v>#N/A</v>
      </c>
    </row>
    <row r="45" spans="1:89" s="62" customFormat="1" ht="15.75" customHeight="1" x14ac:dyDescent="0.25">
      <c r="A45" s="63"/>
      <c r="B45" s="64"/>
      <c r="C45" s="45"/>
      <c r="D45" s="46"/>
      <c r="E45" s="47"/>
      <c r="F45" s="48"/>
      <c r="G45" s="49"/>
      <c r="H45" s="51"/>
      <c r="I45" s="50"/>
      <c r="J45" s="51"/>
      <c r="K45" s="51"/>
      <c r="L45" s="51"/>
      <c r="M45" s="51"/>
      <c r="N45" s="51"/>
      <c r="O45" s="50"/>
      <c r="P45" s="51"/>
      <c r="Q45" s="50"/>
      <c r="R45" s="67"/>
      <c r="S45" s="50"/>
      <c r="T45" s="51"/>
      <c r="U45" s="49"/>
      <c r="V45" s="51"/>
      <c r="W45" s="50"/>
      <c r="X45" s="51"/>
      <c r="Y45" s="50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2">
        <f t="shared" si="29"/>
        <v>0</v>
      </c>
      <c r="BR45" s="52">
        <f t="shared" si="30"/>
        <v>0</v>
      </c>
      <c r="BS45" s="52">
        <f t="shared" si="31"/>
        <v>0</v>
      </c>
      <c r="BT45" s="52">
        <f t="shared" si="32"/>
        <v>0</v>
      </c>
      <c r="BU45" s="52">
        <f t="shared" si="33"/>
        <v>0</v>
      </c>
      <c r="BV45" s="65"/>
      <c r="BW45" s="52">
        <f t="shared" si="34"/>
        <v>0</v>
      </c>
      <c r="BX45" s="52">
        <f t="shared" si="35"/>
        <v>0</v>
      </c>
      <c r="BY45" s="52">
        <f t="shared" si="36"/>
        <v>0</v>
      </c>
      <c r="BZ45" s="66">
        <f t="shared" si="37"/>
        <v>0</v>
      </c>
      <c r="CA45" s="54">
        <f t="shared" si="38"/>
        <v>0</v>
      </c>
      <c r="CB45" s="55">
        <f t="shared" si="39"/>
        <v>0</v>
      </c>
      <c r="CC45" s="56">
        <f t="shared" si="40"/>
        <v>0</v>
      </c>
      <c r="CD45" s="57">
        <f t="shared" si="41"/>
        <v>-1</v>
      </c>
      <c r="CE45" s="49"/>
      <c r="CF45" s="57" t="e">
        <f t="shared" si="42"/>
        <v>#N/A</v>
      </c>
      <c r="CG45" s="58">
        <f t="shared" si="43"/>
        <v>1</v>
      </c>
      <c r="CH45" s="57">
        <f t="shared" si="44"/>
        <v>0</v>
      </c>
      <c r="CI45" s="59" t="e">
        <f>VLOOKUP(A45,[1]DATA!$A$6:$AI$331,34,0)</f>
        <v>#N/A</v>
      </c>
      <c r="CJ45" s="60" t="e">
        <f>VLOOKUP(A45,[2]CHAMCONG!A$7:CI$333,79,0)</f>
        <v>#N/A</v>
      </c>
      <c r="CK45" s="61" t="e">
        <f t="shared" si="45"/>
        <v>#N/A</v>
      </c>
    </row>
    <row r="46" spans="1:89" s="62" customFormat="1" ht="15.75" customHeight="1" x14ac:dyDescent="0.25">
      <c r="A46" s="63"/>
      <c r="B46" s="64"/>
      <c r="C46" s="45"/>
      <c r="D46" s="46"/>
      <c r="E46" s="47"/>
      <c r="F46" s="48"/>
      <c r="G46" s="49"/>
      <c r="H46" s="51"/>
      <c r="I46" s="49"/>
      <c r="J46" s="51"/>
      <c r="K46" s="49"/>
      <c r="L46" s="51"/>
      <c r="M46" s="51"/>
      <c r="N46" s="51"/>
      <c r="O46" s="49"/>
      <c r="P46" s="51"/>
      <c r="Q46" s="49"/>
      <c r="R46" s="51"/>
      <c r="S46" s="49"/>
      <c r="T46" s="51"/>
      <c r="U46" s="49"/>
      <c r="V46" s="51"/>
      <c r="W46" s="49"/>
      <c r="X46" s="51"/>
      <c r="Y46" s="49"/>
      <c r="Z46" s="51"/>
      <c r="AA46" s="51"/>
      <c r="AB46" s="51"/>
      <c r="AC46" s="49"/>
      <c r="AD46" s="51"/>
      <c r="AE46" s="49"/>
      <c r="AF46" s="51"/>
      <c r="AG46" s="49"/>
      <c r="AH46" s="51"/>
      <c r="AI46" s="49"/>
      <c r="AJ46" s="51"/>
      <c r="AK46" s="49"/>
      <c r="AL46" s="51"/>
      <c r="AM46" s="49"/>
      <c r="AN46" s="51"/>
      <c r="AO46" s="51"/>
      <c r="AP46" s="51"/>
      <c r="AQ46" s="49"/>
      <c r="AR46" s="51"/>
      <c r="AS46" s="49"/>
      <c r="AT46" s="51"/>
      <c r="AU46" s="49"/>
      <c r="AV46" s="51"/>
      <c r="AW46" s="49"/>
      <c r="AX46" s="51"/>
      <c r="AY46" s="49"/>
      <c r="AZ46" s="51"/>
      <c r="BA46" s="49"/>
      <c r="BB46" s="51"/>
      <c r="BC46" s="51"/>
      <c r="BD46" s="51"/>
      <c r="BE46" s="49"/>
      <c r="BF46" s="51"/>
      <c r="BG46" s="49"/>
      <c r="BH46" s="51"/>
      <c r="BI46" s="49"/>
      <c r="BJ46" s="51"/>
      <c r="BK46" s="49"/>
      <c r="BL46" s="51"/>
      <c r="BM46" s="49"/>
      <c r="BN46" s="51"/>
      <c r="BO46" s="49"/>
      <c r="BP46" s="51"/>
      <c r="BQ46" s="52">
        <f t="shared" si="29"/>
        <v>0</v>
      </c>
      <c r="BR46" s="52">
        <f t="shared" si="30"/>
        <v>0</v>
      </c>
      <c r="BS46" s="52">
        <f t="shared" si="31"/>
        <v>0</v>
      </c>
      <c r="BT46" s="52">
        <f t="shared" si="32"/>
        <v>0</v>
      </c>
      <c r="BU46" s="52">
        <f t="shared" si="33"/>
        <v>0</v>
      </c>
      <c r="BV46" s="65"/>
      <c r="BW46" s="52">
        <f t="shared" si="34"/>
        <v>0</v>
      </c>
      <c r="BX46" s="52">
        <f t="shared" si="35"/>
        <v>0</v>
      </c>
      <c r="BY46" s="52">
        <f t="shared" si="36"/>
        <v>0</v>
      </c>
      <c r="BZ46" s="66">
        <f t="shared" si="37"/>
        <v>0</v>
      </c>
      <c r="CA46" s="54">
        <f t="shared" si="38"/>
        <v>0</v>
      </c>
      <c r="CB46" s="55">
        <f t="shared" si="39"/>
        <v>0</v>
      </c>
      <c r="CC46" s="56">
        <f t="shared" si="40"/>
        <v>0</v>
      </c>
      <c r="CD46" s="57"/>
      <c r="CE46" s="49"/>
      <c r="CF46" s="57" t="e">
        <f t="shared" si="42"/>
        <v>#N/A</v>
      </c>
      <c r="CG46" s="58">
        <f t="shared" si="43"/>
        <v>1</v>
      </c>
      <c r="CH46" s="57">
        <f t="shared" si="44"/>
        <v>0</v>
      </c>
      <c r="CI46" s="59" t="e">
        <f>VLOOKUP(A46,[1]DATA!$A$6:$AI$331,34,0)</f>
        <v>#N/A</v>
      </c>
      <c r="CJ46" s="60" t="e">
        <f>VLOOKUP(A46,[2]CHAMCONG!A$7:CI$333,79,0)</f>
        <v>#N/A</v>
      </c>
      <c r="CK46" s="61" t="e">
        <f t="shared" si="45"/>
        <v>#N/A</v>
      </c>
    </row>
    <row r="47" spans="1:89" s="62" customFormat="1" ht="15.75" customHeight="1" x14ac:dyDescent="0.25">
      <c r="A47" s="63"/>
      <c r="B47" s="64"/>
      <c r="C47" s="45"/>
      <c r="D47" s="46"/>
      <c r="E47" s="47"/>
      <c r="F47" s="48"/>
      <c r="G47" s="49"/>
      <c r="H47" s="51"/>
      <c r="I47" s="49"/>
      <c r="J47" s="51"/>
      <c r="K47" s="49"/>
      <c r="L47" s="51"/>
      <c r="M47" s="49"/>
      <c r="N47" s="51"/>
      <c r="O47" s="50"/>
      <c r="P47" s="51"/>
      <c r="Q47" s="50"/>
      <c r="R47" s="51"/>
      <c r="S47" s="50"/>
      <c r="T47" s="51"/>
      <c r="U47" s="49"/>
      <c r="V47" s="51"/>
      <c r="W47" s="50"/>
      <c r="X47" s="51"/>
      <c r="Y47" s="50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2">
        <f t="shared" si="29"/>
        <v>0</v>
      </c>
      <c r="BR47" s="52">
        <f t="shared" si="30"/>
        <v>0</v>
      </c>
      <c r="BS47" s="52">
        <f t="shared" si="31"/>
        <v>0</v>
      </c>
      <c r="BT47" s="52">
        <f t="shared" si="32"/>
        <v>0</v>
      </c>
      <c r="BU47" s="52">
        <f t="shared" si="33"/>
        <v>0</v>
      </c>
      <c r="BV47" s="65"/>
      <c r="BW47" s="52">
        <f t="shared" si="34"/>
        <v>0</v>
      </c>
      <c r="BX47" s="52">
        <f t="shared" si="35"/>
        <v>0</v>
      </c>
      <c r="BY47" s="52">
        <f t="shared" si="36"/>
        <v>0</v>
      </c>
      <c r="BZ47" s="66">
        <f t="shared" si="37"/>
        <v>0</v>
      </c>
      <c r="CA47" s="54">
        <f t="shared" si="38"/>
        <v>0</v>
      </c>
      <c r="CB47" s="55">
        <f t="shared" si="39"/>
        <v>0</v>
      </c>
      <c r="CC47" s="56">
        <f t="shared" si="40"/>
        <v>0</v>
      </c>
      <c r="CD47" s="57">
        <f t="shared" si="41"/>
        <v>-1</v>
      </c>
      <c r="CE47" s="49"/>
      <c r="CF47" s="57" t="e">
        <f t="shared" si="42"/>
        <v>#N/A</v>
      </c>
      <c r="CG47" s="58">
        <f t="shared" si="43"/>
        <v>1</v>
      </c>
      <c r="CH47" s="57">
        <f t="shared" si="44"/>
        <v>0</v>
      </c>
      <c r="CI47" s="59" t="e">
        <f>VLOOKUP(A47,[1]DATA!$A$6:$AI$331,34,0)</f>
        <v>#N/A</v>
      </c>
      <c r="CJ47" s="60" t="e">
        <f>VLOOKUP(A47,[2]CHAMCONG!A$7:CI$333,79,0)</f>
        <v>#N/A</v>
      </c>
      <c r="CK47" s="61" t="e">
        <f t="shared" si="45"/>
        <v>#N/A</v>
      </c>
    </row>
    <row r="48" spans="1:89" s="62" customFormat="1" ht="15.75" customHeight="1" x14ac:dyDescent="0.25">
      <c r="A48" s="63"/>
      <c r="B48" s="64"/>
      <c r="C48" s="45"/>
      <c r="D48" s="46"/>
      <c r="E48" s="47"/>
      <c r="F48" s="48"/>
      <c r="G48" s="49"/>
      <c r="H48" s="51"/>
      <c r="I48" s="50"/>
      <c r="J48" s="51"/>
      <c r="K48" s="51"/>
      <c r="L48" s="51"/>
      <c r="M48" s="51"/>
      <c r="N48" s="51"/>
      <c r="O48" s="50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2">
        <f t="shared" si="29"/>
        <v>0</v>
      </c>
      <c r="BR48" s="52">
        <f t="shared" si="30"/>
        <v>0</v>
      </c>
      <c r="BS48" s="52">
        <f t="shared" si="31"/>
        <v>0</v>
      </c>
      <c r="BT48" s="52">
        <f t="shared" si="32"/>
        <v>0</v>
      </c>
      <c r="BU48" s="52">
        <f t="shared" si="33"/>
        <v>0</v>
      </c>
      <c r="BV48" s="65"/>
      <c r="BW48" s="52">
        <f t="shared" si="34"/>
        <v>0</v>
      </c>
      <c r="BX48" s="52">
        <f t="shared" si="35"/>
        <v>0</v>
      </c>
      <c r="BY48" s="52">
        <f t="shared" si="36"/>
        <v>0</v>
      </c>
      <c r="BZ48" s="66">
        <f t="shared" si="37"/>
        <v>0</v>
      </c>
      <c r="CA48" s="54">
        <f t="shared" si="38"/>
        <v>0</v>
      </c>
      <c r="CB48" s="55">
        <f t="shared" si="39"/>
        <v>0</v>
      </c>
      <c r="CC48" s="56">
        <f t="shared" si="40"/>
        <v>0</v>
      </c>
      <c r="CD48" s="57">
        <f t="shared" si="41"/>
        <v>-1</v>
      </c>
      <c r="CE48" s="49"/>
      <c r="CF48" s="57" t="e">
        <f t="shared" si="42"/>
        <v>#N/A</v>
      </c>
      <c r="CG48" s="58">
        <f t="shared" si="43"/>
        <v>1</v>
      </c>
      <c r="CH48" s="57">
        <f t="shared" si="44"/>
        <v>0</v>
      </c>
      <c r="CI48" s="59" t="e">
        <f>VLOOKUP(A48,[1]DATA!$A$6:$AI$331,34,0)</f>
        <v>#N/A</v>
      </c>
      <c r="CJ48" s="60" t="e">
        <f>VLOOKUP(A48,[2]CHAMCONG!A$7:CI$333,79,0)</f>
        <v>#N/A</v>
      </c>
      <c r="CK48" s="61" t="e">
        <f t="shared" si="45"/>
        <v>#N/A</v>
      </c>
    </row>
    <row r="49" spans="1:89" s="62" customFormat="1" ht="15.75" customHeight="1" x14ac:dyDescent="0.25">
      <c r="A49" s="69"/>
      <c r="B49" s="64"/>
      <c r="C49" s="45"/>
      <c r="D49" s="46"/>
      <c r="E49" s="47"/>
      <c r="F49" s="48"/>
      <c r="G49" s="49"/>
      <c r="H49" s="51"/>
      <c r="I49" s="51"/>
      <c r="J49" s="51"/>
      <c r="K49" s="51"/>
      <c r="L49" s="51"/>
      <c r="M49" s="51"/>
      <c r="N49" s="51"/>
      <c r="O49" s="51"/>
      <c r="P49" s="51"/>
      <c r="Q49" s="50"/>
      <c r="R49" s="67"/>
      <c r="S49" s="50"/>
      <c r="T49" s="51"/>
      <c r="U49" s="50"/>
      <c r="V49" s="51"/>
      <c r="W49" s="50"/>
      <c r="X49" s="51"/>
      <c r="Y49" s="50"/>
      <c r="Z49" s="51"/>
      <c r="AA49" s="50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0"/>
      <c r="AZ49" s="51"/>
      <c r="BA49" s="67"/>
      <c r="BB49" s="51"/>
      <c r="BC49" s="67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2">
        <f t="shared" si="29"/>
        <v>0</v>
      </c>
      <c r="BR49" s="52">
        <f t="shared" si="30"/>
        <v>0</v>
      </c>
      <c r="BS49" s="52">
        <f t="shared" si="31"/>
        <v>0</v>
      </c>
      <c r="BT49" s="52">
        <f t="shared" si="32"/>
        <v>0</v>
      </c>
      <c r="BU49" s="52">
        <f t="shared" si="33"/>
        <v>0</v>
      </c>
      <c r="BV49" s="65"/>
      <c r="BW49" s="52">
        <f t="shared" si="34"/>
        <v>0</v>
      </c>
      <c r="BX49" s="52">
        <f t="shared" si="35"/>
        <v>0</v>
      </c>
      <c r="BY49" s="52">
        <f t="shared" si="36"/>
        <v>0</v>
      </c>
      <c r="BZ49" s="66">
        <f t="shared" si="37"/>
        <v>0</v>
      </c>
      <c r="CA49" s="54">
        <f t="shared" si="38"/>
        <v>0</v>
      </c>
      <c r="CB49" s="55">
        <f t="shared" si="39"/>
        <v>0</v>
      </c>
      <c r="CC49" s="56">
        <f t="shared" si="40"/>
        <v>0</v>
      </c>
      <c r="CD49" s="57">
        <f t="shared" si="41"/>
        <v>-1</v>
      </c>
      <c r="CE49" s="49"/>
      <c r="CF49" s="57" t="e">
        <f t="shared" si="42"/>
        <v>#N/A</v>
      </c>
      <c r="CG49" s="58">
        <f t="shared" si="43"/>
        <v>1</v>
      </c>
      <c r="CH49" s="57">
        <f t="shared" si="44"/>
        <v>0</v>
      </c>
      <c r="CI49" s="59" t="e">
        <f>VLOOKUP(A49,[1]DATA!$A$6:$AI$331,34,0)</f>
        <v>#N/A</v>
      </c>
      <c r="CJ49" s="60" t="e">
        <f>VLOOKUP(A49,[2]CHAMCONG!A$7:CI$333,79,0)</f>
        <v>#N/A</v>
      </c>
      <c r="CK49" s="61" t="e">
        <f t="shared" si="45"/>
        <v>#N/A</v>
      </c>
    </row>
    <row r="50" spans="1:89" s="62" customFormat="1" ht="15.75" customHeight="1" x14ac:dyDescent="0.25">
      <c r="A50" s="63"/>
      <c r="B50" s="64"/>
      <c r="C50" s="45"/>
      <c r="D50" s="46"/>
      <c r="E50" s="47"/>
      <c r="F50" s="48"/>
      <c r="G50" s="49"/>
      <c r="H50" s="51"/>
      <c r="I50" s="49"/>
      <c r="J50" s="51"/>
      <c r="K50" s="49"/>
      <c r="L50" s="51"/>
      <c r="M50" s="49"/>
      <c r="N50" s="51"/>
      <c r="O50" s="49"/>
      <c r="P50" s="51"/>
      <c r="Q50" s="49"/>
      <c r="R50" s="51"/>
      <c r="S50" s="49"/>
      <c r="T50" s="51"/>
      <c r="U50" s="49"/>
      <c r="V50" s="51"/>
      <c r="W50" s="49"/>
      <c r="X50" s="51"/>
      <c r="Y50" s="49"/>
      <c r="Z50" s="51"/>
      <c r="AA50" s="49"/>
      <c r="AB50" s="51"/>
      <c r="AC50" s="49"/>
      <c r="AD50" s="51"/>
      <c r="AE50" s="49"/>
      <c r="AF50" s="51"/>
      <c r="AG50" s="49"/>
      <c r="AH50" s="51"/>
      <c r="AI50" s="49"/>
      <c r="AJ50" s="51"/>
      <c r="AK50" s="49"/>
      <c r="AL50" s="51"/>
      <c r="AM50" s="49"/>
      <c r="AN50" s="51"/>
      <c r="AO50" s="49"/>
      <c r="AP50" s="51"/>
      <c r="AQ50" s="49"/>
      <c r="AR50" s="51"/>
      <c r="AS50" s="49"/>
      <c r="AT50" s="51"/>
      <c r="AU50" s="49"/>
      <c r="AV50" s="51"/>
      <c r="AW50" s="51"/>
      <c r="AX50" s="51"/>
      <c r="AY50" s="49"/>
      <c r="AZ50" s="51"/>
      <c r="BA50" s="49"/>
      <c r="BB50" s="51"/>
      <c r="BC50" s="51"/>
      <c r="BD50" s="51"/>
      <c r="BE50" s="49"/>
      <c r="BF50" s="51"/>
      <c r="BG50" s="49"/>
      <c r="BH50" s="51"/>
      <c r="BI50" s="51"/>
      <c r="BJ50" s="51"/>
      <c r="BK50" s="51"/>
      <c r="BL50" s="51"/>
      <c r="BM50" s="51"/>
      <c r="BN50" s="51"/>
      <c r="BO50" s="51"/>
      <c r="BP50" s="51"/>
      <c r="BQ50" s="52">
        <f t="shared" si="29"/>
        <v>0</v>
      </c>
      <c r="BR50" s="52">
        <f t="shared" si="30"/>
        <v>0</v>
      </c>
      <c r="BS50" s="52">
        <f t="shared" si="31"/>
        <v>0</v>
      </c>
      <c r="BT50" s="52">
        <f t="shared" si="32"/>
        <v>0</v>
      </c>
      <c r="BU50" s="52">
        <f t="shared" si="33"/>
        <v>0</v>
      </c>
      <c r="BV50" s="65"/>
      <c r="BW50" s="52">
        <f t="shared" si="34"/>
        <v>0</v>
      </c>
      <c r="BX50" s="52">
        <f t="shared" si="35"/>
        <v>0</v>
      </c>
      <c r="BY50" s="52">
        <f t="shared" si="36"/>
        <v>0</v>
      </c>
      <c r="BZ50" s="66">
        <f t="shared" si="37"/>
        <v>0</v>
      </c>
      <c r="CA50" s="54">
        <f t="shared" si="38"/>
        <v>0</v>
      </c>
      <c r="CB50" s="55">
        <f t="shared" si="39"/>
        <v>0</v>
      </c>
      <c r="CC50" s="56">
        <f t="shared" si="40"/>
        <v>0</v>
      </c>
      <c r="CD50" s="57">
        <f t="shared" si="41"/>
        <v>-1</v>
      </c>
      <c r="CE50" s="49">
        <v>1</v>
      </c>
      <c r="CF50" s="57" t="e">
        <f t="shared" si="42"/>
        <v>#N/A</v>
      </c>
      <c r="CG50" s="58">
        <f t="shared" si="43"/>
        <v>1</v>
      </c>
      <c r="CH50" s="57">
        <f t="shared" si="44"/>
        <v>16</v>
      </c>
      <c r="CI50" s="59" t="e">
        <f>VLOOKUP(A50,[1]DATA!$A$6:$AI$331,34,0)</f>
        <v>#N/A</v>
      </c>
      <c r="CJ50" s="60" t="e">
        <f>VLOOKUP(A50,[2]CHAMCONG!A$7:CI$333,79,0)</f>
        <v>#N/A</v>
      </c>
      <c r="CK50" s="61" t="e">
        <f t="shared" si="45"/>
        <v>#N/A</v>
      </c>
    </row>
    <row r="51" spans="1:89" s="62" customFormat="1" ht="15.75" customHeight="1" x14ac:dyDescent="0.25">
      <c r="A51" s="63"/>
      <c r="B51" s="71"/>
      <c r="C51" s="45"/>
      <c r="D51" s="46"/>
      <c r="E51" s="47"/>
      <c r="F51" s="48"/>
      <c r="G51" s="49"/>
      <c r="H51" s="51"/>
      <c r="I51" s="50"/>
      <c r="J51" s="51"/>
      <c r="K51" s="51"/>
      <c r="L51" s="51"/>
      <c r="M51" s="50"/>
      <c r="N51" s="51"/>
      <c r="O51" s="51"/>
      <c r="P51" s="51"/>
      <c r="Q51" s="51"/>
      <c r="R51" s="51"/>
      <c r="S51" s="49"/>
      <c r="T51" s="51"/>
      <c r="U51" s="49"/>
      <c r="V51" s="51"/>
      <c r="W51" s="49"/>
      <c r="X51" s="51"/>
      <c r="Y51" s="49"/>
      <c r="Z51" s="51"/>
      <c r="AA51" s="51"/>
      <c r="AB51" s="51"/>
      <c r="AC51" s="51"/>
      <c r="AD51" s="51"/>
      <c r="AE51" s="51"/>
      <c r="AF51" s="51"/>
      <c r="AG51" s="51"/>
      <c r="AH51" s="51"/>
      <c r="AI51" s="49"/>
      <c r="AJ51" s="51"/>
      <c r="AK51" s="49"/>
      <c r="AL51" s="51"/>
      <c r="AM51" s="49"/>
      <c r="AN51" s="51"/>
      <c r="AO51" s="49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2">
        <f t="shared" si="29"/>
        <v>0</v>
      </c>
      <c r="BR51" s="52">
        <f t="shared" si="30"/>
        <v>0</v>
      </c>
      <c r="BS51" s="52">
        <f t="shared" si="31"/>
        <v>0</v>
      </c>
      <c r="BT51" s="52">
        <f t="shared" si="32"/>
        <v>0</v>
      </c>
      <c r="BU51" s="52">
        <f t="shared" si="33"/>
        <v>0</v>
      </c>
      <c r="BV51" s="65"/>
      <c r="BW51" s="52">
        <f t="shared" si="34"/>
        <v>0</v>
      </c>
      <c r="BX51" s="52">
        <f t="shared" si="35"/>
        <v>0</v>
      </c>
      <c r="BY51" s="52">
        <f t="shared" si="36"/>
        <v>0</v>
      </c>
      <c r="BZ51" s="66">
        <f t="shared" si="37"/>
        <v>0</v>
      </c>
      <c r="CA51" s="54">
        <f t="shared" si="38"/>
        <v>0</v>
      </c>
      <c r="CB51" s="55">
        <f t="shared" si="39"/>
        <v>0</v>
      </c>
      <c r="CC51" s="56">
        <f t="shared" si="40"/>
        <v>0</v>
      </c>
      <c r="CD51" s="57">
        <f t="shared" si="41"/>
        <v>-1</v>
      </c>
      <c r="CE51" s="49"/>
      <c r="CF51" s="57" t="e">
        <f t="shared" si="42"/>
        <v>#N/A</v>
      </c>
      <c r="CG51" s="58">
        <f t="shared" si="43"/>
        <v>1</v>
      </c>
      <c r="CH51" s="57">
        <f t="shared" si="44"/>
        <v>0</v>
      </c>
      <c r="CI51" s="59" t="e">
        <f>VLOOKUP(A51,[1]DATA!$A$6:$AI$331,34,0)</f>
        <v>#N/A</v>
      </c>
      <c r="CJ51" s="60" t="e">
        <f>VLOOKUP(A51,[2]CHAMCONG!A$7:CI$333,79,0)</f>
        <v>#N/A</v>
      </c>
      <c r="CK51" s="61" t="e">
        <f t="shared" si="45"/>
        <v>#N/A</v>
      </c>
    </row>
    <row r="52" spans="1:89" s="62" customFormat="1" ht="15.75" customHeight="1" x14ac:dyDescent="0.25">
      <c r="A52" s="63"/>
      <c r="B52" s="64"/>
      <c r="C52" s="45"/>
      <c r="D52" s="46"/>
      <c r="E52" s="47"/>
      <c r="F52" s="48"/>
      <c r="G52" s="49"/>
      <c r="H52" s="51"/>
      <c r="I52" s="50"/>
      <c r="J52" s="51"/>
      <c r="K52" s="50"/>
      <c r="L52" s="51"/>
      <c r="M52" s="50"/>
      <c r="N52" s="51"/>
      <c r="O52" s="50"/>
      <c r="P52" s="51"/>
      <c r="Q52" s="50"/>
      <c r="R52" s="67"/>
      <c r="S52" s="50"/>
      <c r="T52" s="51"/>
      <c r="U52" s="50"/>
      <c r="V52" s="51"/>
      <c r="W52" s="50"/>
      <c r="X52" s="51"/>
      <c r="Y52" s="50"/>
      <c r="Z52" s="51"/>
      <c r="AA52" s="50"/>
      <c r="AB52" s="51"/>
      <c r="AC52" s="50"/>
      <c r="AD52" s="51"/>
      <c r="AE52" s="50"/>
      <c r="AF52" s="67"/>
      <c r="AG52" s="50"/>
      <c r="AH52" s="51"/>
      <c r="AI52" s="50"/>
      <c r="AJ52" s="51"/>
      <c r="AK52" s="50"/>
      <c r="AL52" s="51"/>
      <c r="AM52" s="50"/>
      <c r="AN52" s="51"/>
      <c r="AO52" s="50"/>
      <c r="AP52" s="51"/>
      <c r="AQ52" s="50"/>
      <c r="AR52" s="51"/>
      <c r="AS52" s="50"/>
      <c r="AT52" s="67"/>
      <c r="AU52" s="50"/>
      <c r="AV52" s="51"/>
      <c r="AW52" s="49"/>
      <c r="AX52" s="51"/>
      <c r="AY52" s="50"/>
      <c r="AZ52" s="51"/>
      <c r="BA52" s="50"/>
      <c r="BB52" s="51"/>
      <c r="BC52" s="50"/>
      <c r="BD52" s="51"/>
      <c r="BE52" s="50"/>
      <c r="BF52" s="51"/>
      <c r="BG52" s="50"/>
      <c r="BH52" s="67"/>
      <c r="BI52" s="51"/>
      <c r="BJ52" s="51"/>
      <c r="BK52" s="51"/>
      <c r="BL52" s="51"/>
      <c r="BM52" s="51"/>
      <c r="BN52" s="51"/>
      <c r="BO52" s="51"/>
      <c r="BP52" s="51"/>
      <c r="BQ52" s="52">
        <f t="shared" si="29"/>
        <v>0</v>
      </c>
      <c r="BR52" s="52">
        <f t="shared" si="30"/>
        <v>0</v>
      </c>
      <c r="BS52" s="52">
        <f t="shared" si="31"/>
        <v>0</v>
      </c>
      <c r="BT52" s="52">
        <f t="shared" si="32"/>
        <v>0</v>
      </c>
      <c r="BU52" s="52">
        <f t="shared" si="33"/>
        <v>0</v>
      </c>
      <c r="BV52" s="65"/>
      <c r="BW52" s="52">
        <f t="shared" si="34"/>
        <v>0</v>
      </c>
      <c r="BX52" s="52">
        <f t="shared" si="35"/>
        <v>0</v>
      </c>
      <c r="BY52" s="52">
        <f t="shared" si="36"/>
        <v>0</v>
      </c>
      <c r="BZ52" s="66">
        <f t="shared" si="37"/>
        <v>0</v>
      </c>
      <c r="CA52" s="54">
        <f t="shared" si="38"/>
        <v>0</v>
      </c>
      <c r="CB52" s="55">
        <f t="shared" si="39"/>
        <v>0</v>
      </c>
      <c r="CC52" s="56">
        <f t="shared" si="40"/>
        <v>0</v>
      </c>
      <c r="CD52" s="57">
        <f t="shared" si="41"/>
        <v>-1</v>
      </c>
      <c r="CE52" s="49">
        <v>3</v>
      </c>
      <c r="CF52" s="57" t="e">
        <f t="shared" si="42"/>
        <v>#N/A</v>
      </c>
      <c r="CG52" s="58">
        <f t="shared" si="43"/>
        <v>1</v>
      </c>
      <c r="CH52" s="57">
        <f t="shared" si="44"/>
        <v>48</v>
      </c>
      <c r="CI52" s="59" t="e">
        <f>VLOOKUP(A52,[1]DATA!$A$6:$AI$331,34,0)</f>
        <v>#N/A</v>
      </c>
      <c r="CJ52" s="60" t="e">
        <f>VLOOKUP(A52,[2]CHAMCONG!A$7:CI$333,79,0)</f>
        <v>#N/A</v>
      </c>
      <c r="CK52" s="61" t="e">
        <f t="shared" si="45"/>
        <v>#N/A</v>
      </c>
    </row>
    <row r="53" spans="1:89" s="62" customFormat="1" ht="15.75" customHeight="1" x14ac:dyDescent="0.25">
      <c r="A53" s="63"/>
      <c r="B53" s="64"/>
      <c r="C53" s="45"/>
      <c r="D53" s="46"/>
      <c r="E53" s="47"/>
      <c r="F53" s="48"/>
      <c r="G53" s="49"/>
      <c r="H53" s="51"/>
      <c r="I53" s="49"/>
      <c r="J53" s="51"/>
      <c r="K53" s="50"/>
      <c r="L53" s="51"/>
      <c r="M53" s="49"/>
      <c r="N53" s="51"/>
      <c r="O53" s="49"/>
      <c r="P53" s="51"/>
      <c r="Q53" s="50"/>
      <c r="R53" s="67"/>
      <c r="S53" s="49"/>
      <c r="T53" s="51"/>
      <c r="U53" s="49"/>
      <c r="V53" s="51"/>
      <c r="W53" s="49"/>
      <c r="X53" s="51"/>
      <c r="Y53" s="49"/>
      <c r="Z53" s="51"/>
      <c r="AA53" s="49"/>
      <c r="AB53" s="51"/>
      <c r="AC53" s="49"/>
      <c r="AD53" s="51"/>
      <c r="AE53" s="50"/>
      <c r="AF53" s="67"/>
      <c r="AG53" s="50"/>
      <c r="AH53" s="51"/>
      <c r="AI53" s="50"/>
      <c r="AJ53" s="51"/>
      <c r="AK53" s="50"/>
      <c r="AL53" s="51"/>
      <c r="AM53" s="50"/>
      <c r="AN53" s="51"/>
      <c r="AO53" s="50"/>
      <c r="AP53" s="51"/>
      <c r="AQ53" s="51"/>
      <c r="AR53" s="51"/>
      <c r="AS53" s="51"/>
      <c r="AT53" s="51"/>
      <c r="AU53" s="51"/>
      <c r="AV53" s="51"/>
      <c r="AW53" s="49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2">
        <f t="shared" si="29"/>
        <v>0</v>
      </c>
      <c r="BR53" s="52">
        <f t="shared" si="30"/>
        <v>0</v>
      </c>
      <c r="BS53" s="52">
        <f t="shared" si="31"/>
        <v>0</v>
      </c>
      <c r="BT53" s="52">
        <f t="shared" si="32"/>
        <v>0</v>
      </c>
      <c r="BU53" s="52">
        <f t="shared" si="33"/>
        <v>0</v>
      </c>
      <c r="BV53" s="65"/>
      <c r="BW53" s="52">
        <f t="shared" si="34"/>
        <v>0</v>
      </c>
      <c r="BX53" s="52">
        <f t="shared" si="35"/>
        <v>0</v>
      </c>
      <c r="BY53" s="52">
        <f t="shared" si="36"/>
        <v>0</v>
      </c>
      <c r="BZ53" s="66">
        <f t="shared" si="37"/>
        <v>0</v>
      </c>
      <c r="CA53" s="54">
        <f t="shared" si="38"/>
        <v>0</v>
      </c>
      <c r="CB53" s="55">
        <f t="shared" si="39"/>
        <v>0</v>
      </c>
      <c r="CC53" s="56">
        <f t="shared" si="40"/>
        <v>0</v>
      </c>
      <c r="CD53" s="57">
        <f t="shared" si="41"/>
        <v>-1</v>
      </c>
      <c r="CE53" s="49"/>
      <c r="CF53" s="57" t="e">
        <f t="shared" si="42"/>
        <v>#N/A</v>
      </c>
      <c r="CG53" s="58">
        <f t="shared" si="43"/>
        <v>1</v>
      </c>
      <c r="CH53" s="57">
        <f t="shared" si="44"/>
        <v>0</v>
      </c>
      <c r="CI53" s="59" t="e">
        <f>VLOOKUP(A53,[1]DATA!$A$6:$AI$331,34,0)</f>
        <v>#N/A</v>
      </c>
      <c r="CJ53" s="60" t="e">
        <f>VLOOKUP(A53,[2]CHAMCONG!A$7:CI$333,79,0)</f>
        <v>#N/A</v>
      </c>
      <c r="CK53" s="61" t="e">
        <f t="shared" si="45"/>
        <v>#N/A</v>
      </c>
    </row>
    <row r="54" spans="1:89" s="62" customFormat="1" ht="15.75" customHeight="1" x14ac:dyDescent="0.25">
      <c r="A54" s="63"/>
      <c r="B54" s="64"/>
      <c r="C54" s="45"/>
      <c r="D54" s="46"/>
      <c r="E54" s="47"/>
      <c r="F54" s="48"/>
      <c r="G54" s="49"/>
      <c r="H54" s="51"/>
      <c r="I54" s="50"/>
      <c r="J54" s="51"/>
      <c r="K54" s="50"/>
      <c r="L54" s="51"/>
      <c r="M54" s="50"/>
      <c r="N54" s="51"/>
      <c r="O54" s="50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2">
        <f t="shared" si="29"/>
        <v>0</v>
      </c>
      <c r="BR54" s="52">
        <f t="shared" si="30"/>
        <v>0</v>
      </c>
      <c r="BS54" s="52">
        <f t="shared" si="31"/>
        <v>0</v>
      </c>
      <c r="BT54" s="52">
        <f t="shared" si="32"/>
        <v>0</v>
      </c>
      <c r="BU54" s="52">
        <f t="shared" si="33"/>
        <v>0</v>
      </c>
      <c r="BV54" s="65"/>
      <c r="BW54" s="52">
        <f t="shared" si="34"/>
        <v>0</v>
      </c>
      <c r="BX54" s="52">
        <f t="shared" si="35"/>
        <v>0</v>
      </c>
      <c r="BY54" s="52">
        <f t="shared" si="36"/>
        <v>0</v>
      </c>
      <c r="BZ54" s="66">
        <f t="shared" si="37"/>
        <v>0</v>
      </c>
      <c r="CA54" s="54">
        <f t="shared" si="38"/>
        <v>0</v>
      </c>
      <c r="CB54" s="55">
        <f t="shared" si="39"/>
        <v>0</v>
      </c>
      <c r="CC54" s="56">
        <f t="shared" si="40"/>
        <v>0</v>
      </c>
      <c r="CD54" s="57">
        <f t="shared" si="41"/>
        <v>-1</v>
      </c>
      <c r="CE54" s="49"/>
      <c r="CF54" s="57" t="e">
        <f t="shared" si="42"/>
        <v>#N/A</v>
      </c>
      <c r="CG54" s="58">
        <f t="shared" si="43"/>
        <v>1</v>
      </c>
      <c r="CH54" s="57">
        <f t="shared" si="44"/>
        <v>0</v>
      </c>
      <c r="CI54" s="59" t="e">
        <f>VLOOKUP(A54,[1]DATA!$A$6:$AI$331,34,0)</f>
        <v>#N/A</v>
      </c>
      <c r="CJ54" s="60" t="e">
        <f>VLOOKUP(A54,[2]CHAMCONG!A$7:CI$333,79,0)</f>
        <v>#N/A</v>
      </c>
      <c r="CK54" s="61" t="e">
        <f t="shared" si="45"/>
        <v>#N/A</v>
      </c>
    </row>
    <row r="55" spans="1:89" s="62" customFormat="1" ht="15.75" customHeight="1" x14ac:dyDescent="0.25">
      <c r="A55" s="63"/>
      <c r="B55" s="64"/>
      <c r="C55" s="45"/>
      <c r="D55" s="46"/>
      <c r="E55" s="47"/>
      <c r="F55" s="48"/>
      <c r="G55" s="49"/>
      <c r="H55" s="51"/>
      <c r="I55" s="50"/>
      <c r="J55" s="51"/>
      <c r="K55" s="50"/>
      <c r="L55" s="51"/>
      <c r="M55" s="50"/>
      <c r="N55" s="51"/>
      <c r="O55" s="50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2">
        <f t="shared" si="29"/>
        <v>0</v>
      </c>
      <c r="BR55" s="52">
        <f t="shared" si="30"/>
        <v>0</v>
      </c>
      <c r="BS55" s="52">
        <f t="shared" si="31"/>
        <v>0</v>
      </c>
      <c r="BT55" s="52">
        <f t="shared" si="32"/>
        <v>0</v>
      </c>
      <c r="BU55" s="52">
        <f t="shared" si="33"/>
        <v>0</v>
      </c>
      <c r="BV55" s="65"/>
      <c r="BW55" s="52">
        <f t="shared" si="34"/>
        <v>0</v>
      </c>
      <c r="BX55" s="52">
        <f t="shared" si="35"/>
        <v>0</v>
      </c>
      <c r="BY55" s="52">
        <f t="shared" si="36"/>
        <v>0</v>
      </c>
      <c r="BZ55" s="66">
        <f t="shared" si="37"/>
        <v>0</v>
      </c>
      <c r="CA55" s="54">
        <f t="shared" si="38"/>
        <v>0</v>
      </c>
      <c r="CB55" s="55">
        <f t="shared" si="39"/>
        <v>0</v>
      </c>
      <c r="CC55" s="56">
        <f t="shared" si="40"/>
        <v>0</v>
      </c>
      <c r="CD55" s="57">
        <f t="shared" si="41"/>
        <v>-1</v>
      </c>
      <c r="CE55" s="49"/>
      <c r="CF55" s="57" t="e">
        <f t="shared" si="42"/>
        <v>#N/A</v>
      </c>
      <c r="CG55" s="58">
        <f t="shared" si="43"/>
        <v>1</v>
      </c>
      <c r="CH55" s="57">
        <f t="shared" si="44"/>
        <v>0</v>
      </c>
      <c r="CI55" s="59" t="e">
        <f>VLOOKUP(A55,[1]DATA!$A$6:$AI$331,34,0)</f>
        <v>#N/A</v>
      </c>
      <c r="CJ55" s="60" t="e">
        <f>VLOOKUP(A55,[2]CHAMCONG!A$7:CI$333,79,0)</f>
        <v>#N/A</v>
      </c>
      <c r="CK55" s="61" t="e">
        <f t="shared" si="45"/>
        <v>#N/A</v>
      </c>
    </row>
    <row r="56" spans="1:89" s="62" customFormat="1" ht="15.75" customHeight="1" x14ac:dyDescent="0.25">
      <c r="A56" s="63"/>
      <c r="B56" s="64"/>
      <c r="C56" s="45"/>
      <c r="D56" s="46"/>
      <c r="E56" s="47"/>
      <c r="F56" s="48"/>
      <c r="G56" s="49"/>
      <c r="H56" s="51"/>
      <c r="I56" s="51"/>
      <c r="J56" s="51"/>
      <c r="K56" s="51"/>
      <c r="L56" s="51"/>
      <c r="M56" s="51"/>
      <c r="N56" s="51"/>
      <c r="O56" s="51"/>
      <c r="P56" s="51"/>
      <c r="Q56" s="50"/>
      <c r="R56" s="67"/>
      <c r="S56" s="50"/>
      <c r="T56" s="51"/>
      <c r="U56" s="50"/>
      <c r="V56" s="51"/>
      <c r="W56" s="50"/>
      <c r="X56" s="51"/>
      <c r="Y56" s="50"/>
      <c r="Z56" s="51"/>
      <c r="AA56" s="50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0"/>
      <c r="AZ56" s="51"/>
      <c r="BA56" s="67"/>
      <c r="BB56" s="51"/>
      <c r="BC56" s="67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2">
        <f t="shared" si="29"/>
        <v>0</v>
      </c>
      <c r="BR56" s="52">
        <f t="shared" si="30"/>
        <v>0</v>
      </c>
      <c r="BS56" s="52">
        <f t="shared" si="31"/>
        <v>0</v>
      </c>
      <c r="BT56" s="52">
        <f t="shared" si="32"/>
        <v>0</v>
      </c>
      <c r="BU56" s="52">
        <f t="shared" si="33"/>
        <v>0</v>
      </c>
      <c r="BV56" s="65"/>
      <c r="BW56" s="52">
        <f t="shared" si="34"/>
        <v>0</v>
      </c>
      <c r="BX56" s="52">
        <f t="shared" si="35"/>
        <v>0</v>
      </c>
      <c r="BY56" s="52">
        <f t="shared" si="36"/>
        <v>0</v>
      </c>
      <c r="BZ56" s="66">
        <f t="shared" si="37"/>
        <v>0</v>
      </c>
      <c r="CA56" s="54">
        <f t="shared" si="38"/>
        <v>0</v>
      </c>
      <c r="CB56" s="55">
        <f t="shared" si="39"/>
        <v>0</v>
      </c>
      <c r="CC56" s="56">
        <f t="shared" si="40"/>
        <v>0</v>
      </c>
      <c r="CD56" s="57">
        <f t="shared" si="41"/>
        <v>-1</v>
      </c>
      <c r="CE56" s="49"/>
      <c r="CF56" s="57" t="e">
        <f t="shared" si="42"/>
        <v>#N/A</v>
      </c>
      <c r="CG56" s="58">
        <f t="shared" si="43"/>
        <v>1</v>
      </c>
      <c r="CH56" s="57">
        <f t="shared" si="44"/>
        <v>0</v>
      </c>
      <c r="CI56" s="59" t="e">
        <f>VLOOKUP(A56,[1]DATA!$A$6:$AI$331,34,0)</f>
        <v>#N/A</v>
      </c>
      <c r="CJ56" s="60" t="e">
        <f>VLOOKUP(A56,[2]CHAMCONG!A$7:CI$333,79,0)</f>
        <v>#N/A</v>
      </c>
      <c r="CK56" s="61" t="e">
        <f t="shared" si="45"/>
        <v>#N/A</v>
      </c>
    </row>
    <row r="57" spans="1:89" s="62" customFormat="1" ht="15.75" customHeight="1" x14ac:dyDescent="0.25">
      <c r="A57" s="63"/>
      <c r="B57" s="64"/>
      <c r="C57" s="45"/>
      <c r="D57" s="46"/>
      <c r="E57" s="47"/>
      <c r="F57" s="48"/>
      <c r="G57" s="49"/>
      <c r="H57" s="51"/>
      <c r="I57" s="50"/>
      <c r="J57" s="51"/>
      <c r="K57" s="50"/>
      <c r="L57" s="51"/>
      <c r="M57" s="50"/>
      <c r="N57" s="51"/>
      <c r="O57" s="50"/>
      <c r="P57" s="51"/>
      <c r="Q57" s="49"/>
      <c r="R57" s="51"/>
      <c r="S57" s="50"/>
      <c r="T57" s="51"/>
      <c r="U57" s="50"/>
      <c r="V57" s="51"/>
      <c r="W57" s="50"/>
      <c r="X57" s="51"/>
      <c r="Y57" s="50"/>
      <c r="Z57" s="51"/>
      <c r="AA57" s="50"/>
      <c r="AB57" s="51"/>
      <c r="AC57" s="50"/>
      <c r="AD57" s="51"/>
      <c r="AE57" s="50"/>
      <c r="AF57" s="67"/>
      <c r="AG57" s="50"/>
      <c r="AH57" s="51"/>
      <c r="AI57" s="50"/>
      <c r="AJ57" s="51"/>
      <c r="AK57" s="50"/>
      <c r="AL57" s="51"/>
      <c r="AM57" s="50"/>
      <c r="AN57" s="51"/>
      <c r="AO57" s="50"/>
      <c r="AP57" s="51"/>
      <c r="AQ57" s="49"/>
      <c r="AR57" s="51"/>
      <c r="AS57" s="49"/>
      <c r="AT57" s="51"/>
      <c r="AU57" s="49"/>
      <c r="AV57" s="51"/>
      <c r="AW57" s="49"/>
      <c r="AX57" s="51"/>
      <c r="AY57" s="49"/>
      <c r="AZ57" s="51"/>
      <c r="BA57" s="49"/>
      <c r="BB57" s="51"/>
      <c r="BC57" s="51"/>
      <c r="BD57" s="51"/>
      <c r="BE57" s="49"/>
      <c r="BF57" s="51"/>
      <c r="BG57" s="49"/>
      <c r="BH57" s="51"/>
      <c r="BI57" s="51"/>
      <c r="BJ57" s="51"/>
      <c r="BK57" s="51"/>
      <c r="BL57" s="51"/>
      <c r="BM57" s="51"/>
      <c r="BN57" s="51"/>
      <c r="BO57" s="51"/>
      <c r="BP57" s="51"/>
      <c r="BQ57" s="52">
        <f t="shared" si="29"/>
        <v>0</v>
      </c>
      <c r="BR57" s="52">
        <f t="shared" si="30"/>
        <v>0</v>
      </c>
      <c r="BS57" s="52">
        <f t="shared" si="31"/>
        <v>0</v>
      </c>
      <c r="BT57" s="52">
        <f t="shared" si="32"/>
        <v>0</v>
      </c>
      <c r="BU57" s="52">
        <f t="shared" si="33"/>
        <v>0</v>
      </c>
      <c r="BV57" s="65"/>
      <c r="BW57" s="52">
        <f t="shared" si="34"/>
        <v>0</v>
      </c>
      <c r="BX57" s="52">
        <f t="shared" si="35"/>
        <v>0</v>
      </c>
      <c r="BY57" s="52">
        <f t="shared" si="36"/>
        <v>0</v>
      </c>
      <c r="BZ57" s="66">
        <f t="shared" si="37"/>
        <v>0</v>
      </c>
      <c r="CA57" s="54">
        <f t="shared" si="38"/>
        <v>0</v>
      </c>
      <c r="CB57" s="55">
        <f t="shared" si="39"/>
        <v>0</v>
      </c>
      <c r="CC57" s="56">
        <f t="shared" si="40"/>
        <v>0</v>
      </c>
      <c r="CD57" s="57">
        <f t="shared" si="41"/>
        <v>-1</v>
      </c>
      <c r="CE57" s="49">
        <v>1</v>
      </c>
      <c r="CF57" s="57" t="e">
        <f t="shared" si="42"/>
        <v>#N/A</v>
      </c>
      <c r="CG57" s="58">
        <f t="shared" si="43"/>
        <v>1</v>
      </c>
      <c r="CH57" s="57">
        <f t="shared" si="44"/>
        <v>16</v>
      </c>
      <c r="CI57" s="59" t="e">
        <f>VLOOKUP(A57,[1]DATA!$A$6:$AI$331,34,0)</f>
        <v>#N/A</v>
      </c>
      <c r="CJ57" s="60" t="e">
        <f>VLOOKUP(A57,[2]CHAMCONG!A$7:CI$333,79,0)</f>
        <v>#N/A</v>
      </c>
      <c r="CK57" s="61" t="e">
        <f t="shared" si="45"/>
        <v>#N/A</v>
      </c>
    </row>
    <row r="58" spans="1:89" s="62" customFormat="1" ht="15.75" customHeight="1" x14ac:dyDescent="0.25">
      <c r="A58" s="63"/>
      <c r="B58" s="64"/>
      <c r="C58" s="45"/>
      <c r="D58" s="46"/>
      <c r="E58" s="47"/>
      <c r="F58" s="48"/>
      <c r="G58" s="49"/>
      <c r="H58" s="51"/>
      <c r="I58" s="50"/>
      <c r="J58" s="51"/>
      <c r="K58" s="51"/>
      <c r="L58" s="51"/>
      <c r="M58" s="51"/>
      <c r="N58" s="51"/>
      <c r="O58" s="50"/>
      <c r="P58" s="51"/>
      <c r="Q58" s="51"/>
      <c r="R58" s="51"/>
      <c r="S58" s="51"/>
      <c r="T58" s="51"/>
      <c r="U58" s="49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2">
        <f t="shared" si="29"/>
        <v>0</v>
      </c>
      <c r="BR58" s="52">
        <f t="shared" si="30"/>
        <v>0</v>
      </c>
      <c r="BS58" s="52">
        <f t="shared" si="31"/>
        <v>0</v>
      </c>
      <c r="BT58" s="52">
        <f t="shared" si="32"/>
        <v>0</v>
      </c>
      <c r="BU58" s="52">
        <f t="shared" si="33"/>
        <v>0</v>
      </c>
      <c r="BV58" s="65"/>
      <c r="BW58" s="52">
        <f t="shared" si="34"/>
        <v>0</v>
      </c>
      <c r="BX58" s="52">
        <f t="shared" si="35"/>
        <v>0</v>
      </c>
      <c r="BY58" s="52">
        <f t="shared" si="36"/>
        <v>0</v>
      </c>
      <c r="BZ58" s="66">
        <f t="shared" si="37"/>
        <v>0</v>
      </c>
      <c r="CA58" s="54">
        <f t="shared" si="38"/>
        <v>0</v>
      </c>
      <c r="CB58" s="55">
        <f t="shared" si="39"/>
        <v>0</v>
      </c>
      <c r="CC58" s="56">
        <f t="shared" si="40"/>
        <v>0</v>
      </c>
      <c r="CD58" s="57">
        <f t="shared" si="41"/>
        <v>-1</v>
      </c>
      <c r="CE58" s="49"/>
      <c r="CF58" s="57" t="e">
        <f t="shared" si="42"/>
        <v>#N/A</v>
      </c>
      <c r="CG58" s="58">
        <f t="shared" si="43"/>
        <v>1</v>
      </c>
      <c r="CH58" s="57">
        <f t="shared" si="44"/>
        <v>0</v>
      </c>
      <c r="CI58" s="59" t="e">
        <f>VLOOKUP(A58,[1]DATA!$A$6:$AI$331,34,0)</f>
        <v>#N/A</v>
      </c>
      <c r="CJ58" s="60" t="e">
        <f>VLOOKUP(A58,[2]CHAMCONG!A$7:CI$333,79,0)</f>
        <v>#N/A</v>
      </c>
      <c r="CK58" s="61" t="e">
        <f t="shared" si="45"/>
        <v>#N/A</v>
      </c>
    </row>
    <row r="59" spans="1:89" s="62" customFormat="1" ht="15.75" customHeight="1" x14ac:dyDescent="0.25">
      <c r="A59" s="63"/>
      <c r="B59" s="64"/>
      <c r="C59" s="45"/>
      <c r="D59" s="46"/>
      <c r="E59" s="47"/>
      <c r="F59" s="48"/>
      <c r="G59" s="49"/>
      <c r="H59" s="51"/>
      <c r="I59" s="50"/>
      <c r="J59" s="51"/>
      <c r="K59" s="50"/>
      <c r="L59" s="51"/>
      <c r="M59" s="50"/>
      <c r="N59" s="51"/>
      <c r="O59" s="50"/>
      <c r="P59" s="51"/>
      <c r="Q59" s="50"/>
      <c r="R59" s="67"/>
      <c r="S59" s="50"/>
      <c r="T59" s="51"/>
      <c r="U59" s="50"/>
      <c r="V59" s="51"/>
      <c r="W59" s="50"/>
      <c r="X59" s="51"/>
      <c r="Y59" s="50"/>
      <c r="Z59" s="51"/>
      <c r="AA59" s="50"/>
      <c r="AB59" s="51"/>
      <c r="AC59" s="50"/>
      <c r="AD59" s="51"/>
      <c r="AE59" s="50"/>
      <c r="AF59" s="67"/>
      <c r="AG59" s="50"/>
      <c r="AH59" s="51"/>
      <c r="AI59" s="50"/>
      <c r="AJ59" s="51"/>
      <c r="AK59" s="50"/>
      <c r="AL59" s="51"/>
      <c r="AM59" s="50"/>
      <c r="AN59" s="51"/>
      <c r="AO59" s="50"/>
      <c r="AP59" s="51"/>
      <c r="AQ59" s="50"/>
      <c r="AR59" s="51"/>
      <c r="AS59" s="50"/>
      <c r="AT59" s="67"/>
      <c r="AU59" s="50"/>
      <c r="AV59" s="51"/>
      <c r="AW59" s="51"/>
      <c r="AX59" s="51"/>
      <c r="AY59" s="50"/>
      <c r="AZ59" s="51"/>
      <c r="BA59" s="50"/>
      <c r="BB59" s="51"/>
      <c r="BC59" s="50"/>
      <c r="BD59" s="51"/>
      <c r="BE59" s="50"/>
      <c r="BF59" s="51"/>
      <c r="BG59" s="50"/>
      <c r="BH59" s="67"/>
      <c r="BI59" s="51"/>
      <c r="BJ59" s="51"/>
      <c r="BK59" s="51"/>
      <c r="BL59" s="51"/>
      <c r="BM59" s="51"/>
      <c r="BN59" s="51"/>
      <c r="BO59" s="51"/>
      <c r="BP59" s="51"/>
      <c r="BQ59" s="52">
        <f t="shared" si="29"/>
        <v>0</v>
      </c>
      <c r="BR59" s="52">
        <f t="shared" si="30"/>
        <v>0</v>
      </c>
      <c r="BS59" s="52">
        <f t="shared" si="31"/>
        <v>0</v>
      </c>
      <c r="BT59" s="52">
        <f t="shared" si="32"/>
        <v>0</v>
      </c>
      <c r="BU59" s="52">
        <f t="shared" si="33"/>
        <v>0</v>
      </c>
      <c r="BV59" s="65"/>
      <c r="BW59" s="52">
        <f t="shared" si="34"/>
        <v>0</v>
      </c>
      <c r="BX59" s="52">
        <f t="shared" si="35"/>
        <v>0</v>
      </c>
      <c r="BY59" s="52">
        <f t="shared" si="36"/>
        <v>0</v>
      </c>
      <c r="BZ59" s="66">
        <f t="shared" si="37"/>
        <v>0</v>
      </c>
      <c r="CA59" s="54">
        <f t="shared" si="38"/>
        <v>0</v>
      </c>
      <c r="CB59" s="55">
        <f t="shared" si="39"/>
        <v>0</v>
      </c>
      <c r="CC59" s="56">
        <f t="shared" si="40"/>
        <v>0</v>
      </c>
      <c r="CD59" s="57">
        <f t="shared" si="41"/>
        <v>-1</v>
      </c>
      <c r="CE59" s="49">
        <v>2</v>
      </c>
      <c r="CF59" s="57" t="e">
        <f t="shared" si="42"/>
        <v>#N/A</v>
      </c>
      <c r="CG59" s="58">
        <f t="shared" si="43"/>
        <v>1</v>
      </c>
      <c r="CH59" s="57">
        <f t="shared" si="44"/>
        <v>32</v>
      </c>
      <c r="CI59" s="59" t="e">
        <f>VLOOKUP(A59,[1]DATA!$A$6:$AI$331,34,0)</f>
        <v>#N/A</v>
      </c>
      <c r="CJ59" s="60" t="e">
        <f>VLOOKUP(A59,[2]CHAMCONG!A$7:CI$333,79,0)</f>
        <v>#N/A</v>
      </c>
      <c r="CK59" s="61" t="e">
        <f t="shared" si="45"/>
        <v>#N/A</v>
      </c>
    </row>
    <row r="60" spans="1:89" s="62" customFormat="1" ht="15.75" customHeight="1" x14ac:dyDescent="0.25">
      <c r="A60" s="63"/>
      <c r="B60" s="64"/>
      <c r="C60" s="45"/>
      <c r="D60" s="46"/>
      <c r="E60" s="47"/>
      <c r="F60" s="48"/>
      <c r="G60" s="49"/>
      <c r="H60" s="51"/>
      <c r="I60" s="49"/>
      <c r="J60" s="51"/>
      <c r="K60" s="49"/>
      <c r="L60" s="51"/>
      <c r="M60" s="49"/>
      <c r="N60" s="51"/>
      <c r="O60" s="49"/>
      <c r="P60" s="51"/>
      <c r="Q60" s="49"/>
      <c r="R60" s="49"/>
      <c r="S60" s="49"/>
      <c r="T60" s="51"/>
      <c r="U60" s="49"/>
      <c r="V60" s="51"/>
      <c r="W60" s="49"/>
      <c r="X60" s="51"/>
      <c r="Y60" s="49"/>
      <c r="Z60" s="51"/>
      <c r="AA60" s="49"/>
      <c r="AB60" s="51"/>
      <c r="AC60" s="49"/>
      <c r="AD60" s="51"/>
      <c r="AE60" s="49"/>
      <c r="AF60" s="49"/>
      <c r="AG60" s="49"/>
      <c r="AH60" s="51"/>
      <c r="AI60" s="51"/>
      <c r="AJ60" s="51"/>
      <c r="AK60" s="49"/>
      <c r="AL60" s="51"/>
      <c r="AM60" s="49"/>
      <c r="AN60" s="51"/>
      <c r="AO60" s="49"/>
      <c r="AP60" s="51"/>
      <c r="AQ60" s="49"/>
      <c r="AR60" s="51"/>
      <c r="AS60" s="49"/>
      <c r="AT60" s="49"/>
      <c r="AU60" s="49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2">
        <f t="shared" si="29"/>
        <v>0</v>
      </c>
      <c r="BR60" s="52">
        <f t="shared" si="30"/>
        <v>0</v>
      </c>
      <c r="BS60" s="52">
        <f t="shared" si="31"/>
        <v>0</v>
      </c>
      <c r="BT60" s="52">
        <f t="shared" si="32"/>
        <v>0</v>
      </c>
      <c r="BU60" s="52">
        <f t="shared" si="33"/>
        <v>0</v>
      </c>
      <c r="BV60" s="65"/>
      <c r="BW60" s="52">
        <f t="shared" si="34"/>
        <v>0</v>
      </c>
      <c r="BX60" s="52">
        <f t="shared" si="35"/>
        <v>0</v>
      </c>
      <c r="BY60" s="52">
        <f t="shared" si="36"/>
        <v>0</v>
      </c>
      <c r="BZ60" s="66">
        <f t="shared" si="37"/>
        <v>0</v>
      </c>
      <c r="CA60" s="54">
        <f t="shared" si="38"/>
        <v>0</v>
      </c>
      <c r="CB60" s="55">
        <f t="shared" si="39"/>
        <v>0</v>
      </c>
      <c r="CC60" s="56">
        <f t="shared" si="40"/>
        <v>0</v>
      </c>
      <c r="CD60" s="57">
        <f t="shared" si="41"/>
        <v>-1</v>
      </c>
      <c r="CE60" s="49">
        <v>1</v>
      </c>
      <c r="CF60" s="57" t="e">
        <f t="shared" si="42"/>
        <v>#N/A</v>
      </c>
      <c r="CG60" s="58">
        <f t="shared" si="43"/>
        <v>1</v>
      </c>
      <c r="CH60" s="57">
        <f t="shared" si="44"/>
        <v>16</v>
      </c>
      <c r="CI60" s="59" t="e">
        <f>VLOOKUP(A60,[1]DATA!$A$6:$AI$331,34,0)</f>
        <v>#N/A</v>
      </c>
      <c r="CJ60" s="60" t="e">
        <f>VLOOKUP(A60,[2]CHAMCONG!A$7:CI$333,79,0)</f>
        <v>#N/A</v>
      </c>
      <c r="CK60" s="61" t="e">
        <f t="shared" si="45"/>
        <v>#N/A</v>
      </c>
    </row>
    <row r="61" spans="1:89" s="62" customFormat="1" ht="15.75" customHeight="1" x14ac:dyDescent="0.25">
      <c r="A61" s="63"/>
      <c r="B61" s="64"/>
      <c r="C61" s="45"/>
      <c r="D61" s="46"/>
      <c r="E61" s="47"/>
      <c r="F61" s="48"/>
      <c r="G61" s="49"/>
      <c r="H61" s="51"/>
      <c r="I61" s="49"/>
      <c r="J61" s="51"/>
      <c r="K61" s="49"/>
      <c r="L61" s="51"/>
      <c r="M61" s="49"/>
      <c r="N61" s="51"/>
      <c r="O61" s="49"/>
      <c r="P61" s="51"/>
      <c r="Q61" s="49"/>
      <c r="R61" s="51"/>
      <c r="S61" s="49"/>
      <c r="T61" s="51"/>
      <c r="U61" s="49"/>
      <c r="V61" s="51"/>
      <c r="W61" s="49"/>
      <c r="X61" s="51"/>
      <c r="Y61" s="49"/>
      <c r="Z61" s="51"/>
      <c r="AA61" s="49"/>
      <c r="AB61" s="51"/>
      <c r="AC61" s="50"/>
      <c r="AD61" s="51"/>
      <c r="AE61" s="50"/>
      <c r="AF61" s="67"/>
      <c r="AG61" s="50"/>
      <c r="AH61" s="51"/>
      <c r="AI61" s="51"/>
      <c r="AJ61" s="51"/>
      <c r="AK61" s="49"/>
      <c r="AL61" s="51"/>
      <c r="AM61" s="49"/>
      <c r="AN61" s="51"/>
      <c r="AO61" s="49"/>
      <c r="AP61" s="51"/>
      <c r="AQ61" s="49"/>
      <c r="AR61" s="51"/>
      <c r="AS61" s="49"/>
      <c r="AT61" s="51"/>
      <c r="AU61" s="49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2">
        <f t="shared" si="29"/>
        <v>0</v>
      </c>
      <c r="BR61" s="52">
        <f t="shared" si="30"/>
        <v>0</v>
      </c>
      <c r="BS61" s="52">
        <f t="shared" si="31"/>
        <v>0</v>
      </c>
      <c r="BT61" s="52">
        <f t="shared" si="32"/>
        <v>0</v>
      </c>
      <c r="BU61" s="52">
        <f t="shared" si="33"/>
        <v>0</v>
      </c>
      <c r="BV61" s="65"/>
      <c r="BW61" s="52">
        <f t="shared" si="34"/>
        <v>0</v>
      </c>
      <c r="BX61" s="52">
        <f t="shared" si="35"/>
        <v>0</v>
      </c>
      <c r="BY61" s="52">
        <f t="shared" si="36"/>
        <v>0</v>
      </c>
      <c r="BZ61" s="66">
        <f t="shared" si="37"/>
        <v>0</v>
      </c>
      <c r="CA61" s="54">
        <f t="shared" si="38"/>
        <v>0</v>
      </c>
      <c r="CB61" s="55">
        <f t="shared" si="39"/>
        <v>0</v>
      </c>
      <c r="CC61" s="56">
        <f t="shared" si="40"/>
        <v>0</v>
      </c>
      <c r="CD61" s="57">
        <f t="shared" si="41"/>
        <v>-1</v>
      </c>
      <c r="CE61" s="49">
        <v>2</v>
      </c>
      <c r="CF61" s="57" t="e">
        <f t="shared" si="42"/>
        <v>#N/A</v>
      </c>
      <c r="CG61" s="58">
        <f t="shared" si="43"/>
        <v>1</v>
      </c>
      <c r="CH61" s="57">
        <f t="shared" si="44"/>
        <v>32</v>
      </c>
      <c r="CI61" s="59" t="e">
        <f>VLOOKUP(A61,[1]DATA!$A$6:$AI$331,34,0)</f>
        <v>#N/A</v>
      </c>
      <c r="CJ61" s="60" t="e">
        <f>VLOOKUP(A61,[2]CHAMCONG!A$7:CI$333,79,0)</f>
        <v>#N/A</v>
      </c>
      <c r="CK61" s="61" t="e">
        <f t="shared" si="45"/>
        <v>#N/A</v>
      </c>
    </row>
    <row r="62" spans="1:89" s="62" customFormat="1" ht="15.75" customHeight="1" x14ac:dyDescent="0.25">
      <c r="A62" s="63"/>
      <c r="B62" s="64"/>
      <c r="C62" s="45"/>
      <c r="D62" s="46"/>
      <c r="E62" s="47"/>
      <c r="F62" s="48"/>
      <c r="G62" s="49"/>
      <c r="H62" s="51"/>
      <c r="I62" s="50"/>
      <c r="J62" s="51"/>
      <c r="K62" s="50"/>
      <c r="L62" s="51"/>
      <c r="M62" s="50"/>
      <c r="N62" s="51"/>
      <c r="O62" s="50"/>
      <c r="P62" s="51"/>
      <c r="Q62" s="50"/>
      <c r="R62" s="67"/>
      <c r="S62" s="50"/>
      <c r="T62" s="51"/>
      <c r="U62" s="50"/>
      <c r="V62" s="51"/>
      <c r="W62" s="50"/>
      <c r="X62" s="51"/>
      <c r="Y62" s="50"/>
      <c r="Z62" s="51"/>
      <c r="AA62" s="50"/>
      <c r="AB62" s="51"/>
      <c r="AC62" s="50"/>
      <c r="AD62" s="51"/>
      <c r="AE62" s="49"/>
      <c r="AF62" s="51"/>
      <c r="AG62" s="50"/>
      <c r="AH62" s="51"/>
      <c r="AI62" s="50"/>
      <c r="AJ62" s="51"/>
      <c r="AK62" s="49"/>
      <c r="AL62" s="51"/>
      <c r="AM62" s="49"/>
      <c r="AN62" s="51"/>
      <c r="AO62" s="49"/>
      <c r="AP62" s="51"/>
      <c r="AQ62" s="49"/>
      <c r="AR62" s="51"/>
      <c r="AS62" s="49"/>
      <c r="AT62" s="51"/>
      <c r="AU62" s="49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2">
        <f t="shared" si="29"/>
        <v>0</v>
      </c>
      <c r="BR62" s="52">
        <f t="shared" si="30"/>
        <v>0</v>
      </c>
      <c r="BS62" s="52">
        <f t="shared" si="31"/>
        <v>0</v>
      </c>
      <c r="BT62" s="52">
        <f t="shared" si="32"/>
        <v>0</v>
      </c>
      <c r="BU62" s="52">
        <f t="shared" si="33"/>
        <v>0</v>
      </c>
      <c r="BV62" s="65"/>
      <c r="BW62" s="52">
        <f t="shared" si="34"/>
        <v>0</v>
      </c>
      <c r="BX62" s="52">
        <f t="shared" si="35"/>
        <v>0</v>
      </c>
      <c r="BY62" s="52">
        <f t="shared" si="36"/>
        <v>0</v>
      </c>
      <c r="BZ62" s="66">
        <f t="shared" si="37"/>
        <v>0</v>
      </c>
      <c r="CA62" s="54">
        <f t="shared" si="38"/>
        <v>0</v>
      </c>
      <c r="CB62" s="55">
        <f t="shared" si="39"/>
        <v>0</v>
      </c>
      <c r="CC62" s="56">
        <f t="shared" si="40"/>
        <v>0</v>
      </c>
      <c r="CD62" s="57">
        <f t="shared" si="41"/>
        <v>-1</v>
      </c>
      <c r="CE62" s="49">
        <v>2</v>
      </c>
      <c r="CF62" s="57" t="e">
        <f t="shared" si="42"/>
        <v>#N/A</v>
      </c>
      <c r="CG62" s="58">
        <f t="shared" si="43"/>
        <v>1</v>
      </c>
      <c r="CH62" s="57">
        <f t="shared" si="44"/>
        <v>32</v>
      </c>
      <c r="CI62" s="59" t="e">
        <f>VLOOKUP(A62,[1]DATA!$A$6:$AI$331,34,0)</f>
        <v>#N/A</v>
      </c>
      <c r="CJ62" s="60" t="e">
        <f>VLOOKUP(A62,[2]CHAMCONG!A$7:CI$333,79,0)</f>
        <v>#N/A</v>
      </c>
      <c r="CK62" s="61" t="e">
        <f t="shared" si="45"/>
        <v>#N/A</v>
      </c>
    </row>
    <row r="63" spans="1:89" s="62" customFormat="1" ht="15.75" customHeight="1" x14ac:dyDescent="0.25">
      <c r="A63" s="69"/>
      <c r="B63" s="64"/>
      <c r="C63" s="45"/>
      <c r="D63" s="46"/>
      <c r="E63" s="47"/>
      <c r="F63" s="48"/>
      <c r="G63" s="49"/>
      <c r="H63" s="51"/>
      <c r="I63" s="49"/>
      <c r="J63" s="51"/>
      <c r="K63" s="49"/>
      <c r="L63" s="51"/>
      <c r="M63" s="51"/>
      <c r="N63" s="51"/>
      <c r="O63" s="50"/>
      <c r="P63" s="51"/>
      <c r="Q63" s="50"/>
      <c r="R63" s="67"/>
      <c r="S63" s="50"/>
      <c r="T63" s="51"/>
      <c r="U63" s="49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72"/>
      <c r="BF63" s="51"/>
      <c r="BG63" s="72"/>
      <c r="BH63" s="72"/>
      <c r="BI63" s="51"/>
      <c r="BJ63" s="51"/>
      <c r="BK63" s="51"/>
      <c r="BL63" s="51"/>
      <c r="BM63" s="51"/>
      <c r="BN63" s="51"/>
      <c r="BO63" s="51"/>
      <c r="BP63" s="51"/>
      <c r="BQ63" s="52">
        <f t="shared" si="29"/>
        <v>0</v>
      </c>
      <c r="BR63" s="52">
        <f t="shared" si="30"/>
        <v>0</v>
      </c>
      <c r="BS63" s="52">
        <f t="shared" si="31"/>
        <v>0</v>
      </c>
      <c r="BT63" s="52">
        <f t="shared" si="32"/>
        <v>0</v>
      </c>
      <c r="BU63" s="52">
        <f t="shared" si="33"/>
        <v>0</v>
      </c>
      <c r="BV63" s="65"/>
      <c r="BW63" s="52">
        <f t="shared" si="34"/>
        <v>0</v>
      </c>
      <c r="BX63" s="52">
        <f t="shared" si="35"/>
        <v>0</v>
      </c>
      <c r="BY63" s="52">
        <f t="shared" si="36"/>
        <v>0</v>
      </c>
      <c r="BZ63" s="66">
        <f t="shared" si="37"/>
        <v>0</v>
      </c>
      <c r="CA63" s="54">
        <f t="shared" si="38"/>
        <v>0</v>
      </c>
      <c r="CB63" s="55">
        <f t="shared" si="39"/>
        <v>0</v>
      </c>
      <c r="CC63" s="56">
        <f t="shared" si="40"/>
        <v>0</v>
      </c>
      <c r="CD63" s="57">
        <f t="shared" si="41"/>
        <v>-1</v>
      </c>
      <c r="CE63" s="49">
        <v>4</v>
      </c>
      <c r="CF63" s="57" t="e">
        <f t="shared" si="42"/>
        <v>#N/A</v>
      </c>
      <c r="CG63" s="58">
        <f t="shared" si="43"/>
        <v>1</v>
      </c>
      <c r="CH63" s="57">
        <f t="shared" si="44"/>
        <v>64</v>
      </c>
      <c r="CI63" s="59" t="e">
        <f>VLOOKUP(A63,[1]DATA!$A$6:$AI$331,34,0)</f>
        <v>#N/A</v>
      </c>
      <c r="CJ63" s="60" t="e">
        <f>VLOOKUP(A63,[2]CHAMCONG!A$7:CI$333,79,0)</f>
        <v>#N/A</v>
      </c>
      <c r="CK63" s="61" t="e">
        <f t="shared" si="45"/>
        <v>#N/A</v>
      </c>
    </row>
    <row r="64" spans="1:89" s="62" customFormat="1" ht="15.75" customHeight="1" x14ac:dyDescent="0.25">
      <c r="A64" s="63"/>
      <c r="B64" s="64"/>
      <c r="C64" s="45"/>
      <c r="D64" s="46"/>
      <c r="E64" s="47"/>
      <c r="F64" s="48"/>
      <c r="G64" s="49"/>
      <c r="H64" s="51"/>
      <c r="I64" s="49"/>
      <c r="J64" s="51"/>
      <c r="K64" s="49"/>
      <c r="L64" s="51"/>
      <c r="M64" s="49"/>
      <c r="N64" s="51"/>
      <c r="O64" s="49"/>
      <c r="P64" s="51"/>
      <c r="Q64" s="50"/>
      <c r="R64" s="67"/>
      <c r="S64" s="50"/>
      <c r="T64" s="51"/>
      <c r="U64" s="50"/>
      <c r="V64" s="51"/>
      <c r="W64" s="50"/>
      <c r="X64" s="51"/>
      <c r="Y64" s="50"/>
      <c r="Z64" s="51"/>
      <c r="AA64" s="50"/>
      <c r="AB64" s="51"/>
      <c r="AC64" s="50"/>
      <c r="AD64" s="51"/>
      <c r="AE64" s="50"/>
      <c r="AF64" s="67"/>
      <c r="AG64" s="49"/>
      <c r="AH64" s="51"/>
      <c r="AI64" s="49"/>
      <c r="AJ64" s="51"/>
      <c r="AK64" s="49"/>
      <c r="AL64" s="51"/>
      <c r="AM64" s="49"/>
      <c r="AN64" s="51"/>
      <c r="AO64" s="49"/>
      <c r="AP64" s="51"/>
      <c r="AQ64" s="51"/>
      <c r="AR64" s="51"/>
      <c r="AS64" s="51"/>
      <c r="AT64" s="51"/>
      <c r="AU64" s="51"/>
      <c r="AV64" s="51"/>
      <c r="AW64" s="49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2">
        <f t="shared" si="29"/>
        <v>0</v>
      </c>
      <c r="BR64" s="52">
        <f t="shared" si="30"/>
        <v>0</v>
      </c>
      <c r="BS64" s="52">
        <f t="shared" si="31"/>
        <v>0</v>
      </c>
      <c r="BT64" s="52">
        <f t="shared" si="32"/>
        <v>0</v>
      </c>
      <c r="BU64" s="52">
        <f t="shared" si="33"/>
        <v>0</v>
      </c>
      <c r="BV64" s="65"/>
      <c r="BW64" s="52">
        <f t="shared" si="34"/>
        <v>0</v>
      </c>
      <c r="BX64" s="52">
        <f t="shared" si="35"/>
        <v>0</v>
      </c>
      <c r="BY64" s="52">
        <f t="shared" si="36"/>
        <v>0</v>
      </c>
      <c r="BZ64" s="66">
        <f t="shared" si="37"/>
        <v>0</v>
      </c>
      <c r="CA64" s="54">
        <f t="shared" si="38"/>
        <v>0</v>
      </c>
      <c r="CB64" s="55">
        <f t="shared" si="39"/>
        <v>0</v>
      </c>
      <c r="CC64" s="56">
        <f t="shared" si="40"/>
        <v>0</v>
      </c>
      <c r="CD64" s="57">
        <f t="shared" si="41"/>
        <v>-1</v>
      </c>
      <c r="CE64" s="49">
        <v>2</v>
      </c>
      <c r="CF64" s="57" t="e">
        <f t="shared" si="42"/>
        <v>#N/A</v>
      </c>
      <c r="CG64" s="58">
        <f t="shared" si="43"/>
        <v>1</v>
      </c>
      <c r="CH64" s="57">
        <f t="shared" si="44"/>
        <v>32</v>
      </c>
      <c r="CI64" s="59" t="e">
        <f>VLOOKUP(A64,[1]DATA!$A$6:$AI$331,34,0)</f>
        <v>#N/A</v>
      </c>
      <c r="CJ64" s="60" t="e">
        <f>VLOOKUP(A64,[2]CHAMCONG!A$7:CI$333,79,0)</f>
        <v>#N/A</v>
      </c>
      <c r="CK64" s="61" t="e">
        <f t="shared" si="45"/>
        <v>#N/A</v>
      </c>
    </row>
    <row r="65" spans="1:89" s="62" customFormat="1" ht="15.75" customHeight="1" x14ac:dyDescent="0.25">
      <c r="A65" s="63"/>
      <c r="B65" s="64"/>
      <c r="C65" s="45"/>
      <c r="D65" s="46"/>
      <c r="E65" s="47"/>
      <c r="F65" s="48"/>
      <c r="G65" s="49"/>
      <c r="H65" s="51"/>
      <c r="I65" s="50"/>
      <c r="J65" s="51"/>
      <c r="K65" s="49"/>
      <c r="L65" s="51"/>
      <c r="M65" s="51"/>
      <c r="N65" s="51"/>
      <c r="O65" s="50"/>
      <c r="P65" s="51"/>
      <c r="Q65" s="49"/>
      <c r="R65" s="51"/>
      <c r="S65" s="50"/>
      <c r="T65" s="51"/>
      <c r="U65" s="49"/>
      <c r="V65" s="51"/>
      <c r="W65" s="50"/>
      <c r="X65" s="51"/>
      <c r="Y65" s="50"/>
      <c r="Z65" s="51"/>
      <c r="AA65" s="51"/>
      <c r="AB65" s="51"/>
      <c r="AC65" s="50"/>
      <c r="AD65" s="51"/>
      <c r="AE65" s="50"/>
      <c r="AF65" s="67"/>
      <c r="AG65" s="50"/>
      <c r="AH65" s="51"/>
      <c r="AI65" s="50"/>
      <c r="AJ65" s="51"/>
      <c r="AK65" s="49"/>
      <c r="AL65" s="51"/>
      <c r="AM65" s="49"/>
      <c r="AN65" s="51"/>
      <c r="AO65" s="51"/>
      <c r="AP65" s="51"/>
      <c r="AQ65" s="49"/>
      <c r="AR65" s="51"/>
      <c r="AS65" s="49"/>
      <c r="AT65" s="51"/>
      <c r="AU65" s="49"/>
      <c r="AV65" s="51"/>
      <c r="AW65" s="49"/>
      <c r="AX65" s="51"/>
      <c r="AY65" s="49"/>
      <c r="AZ65" s="51"/>
      <c r="BA65" s="49"/>
      <c r="BB65" s="51"/>
      <c r="BC65" s="51"/>
      <c r="BD65" s="51"/>
      <c r="BE65" s="49"/>
      <c r="BF65" s="51"/>
      <c r="BG65" s="49"/>
      <c r="BH65" s="51"/>
      <c r="BI65" s="51"/>
      <c r="BJ65" s="51"/>
      <c r="BK65" s="51"/>
      <c r="BL65" s="51"/>
      <c r="BM65" s="51"/>
      <c r="BN65" s="51"/>
      <c r="BO65" s="51"/>
      <c r="BP65" s="51"/>
      <c r="BQ65" s="52">
        <f t="shared" si="29"/>
        <v>0</v>
      </c>
      <c r="BR65" s="52">
        <f t="shared" si="30"/>
        <v>0</v>
      </c>
      <c r="BS65" s="52">
        <f t="shared" si="31"/>
        <v>0</v>
      </c>
      <c r="BT65" s="52">
        <f t="shared" si="32"/>
        <v>0</v>
      </c>
      <c r="BU65" s="52">
        <f t="shared" si="33"/>
        <v>0</v>
      </c>
      <c r="BV65" s="65"/>
      <c r="BW65" s="52">
        <f t="shared" si="34"/>
        <v>0</v>
      </c>
      <c r="BX65" s="52">
        <f t="shared" si="35"/>
        <v>0</v>
      </c>
      <c r="BY65" s="52">
        <f t="shared" si="36"/>
        <v>0</v>
      </c>
      <c r="BZ65" s="66">
        <f t="shared" si="37"/>
        <v>0</v>
      </c>
      <c r="CA65" s="54">
        <f t="shared" si="38"/>
        <v>0</v>
      </c>
      <c r="CB65" s="55">
        <f t="shared" si="39"/>
        <v>0</v>
      </c>
      <c r="CC65" s="56">
        <f t="shared" si="40"/>
        <v>0</v>
      </c>
      <c r="CD65" s="57">
        <f t="shared" si="41"/>
        <v>-1</v>
      </c>
      <c r="CE65" s="49">
        <v>1</v>
      </c>
      <c r="CF65" s="57" t="e">
        <f t="shared" si="42"/>
        <v>#N/A</v>
      </c>
      <c r="CG65" s="58">
        <f t="shared" si="43"/>
        <v>1</v>
      </c>
      <c r="CH65" s="57">
        <f t="shared" si="44"/>
        <v>16</v>
      </c>
      <c r="CI65" s="59" t="e">
        <f>VLOOKUP(A65,[1]DATA!$A$6:$AI$331,34,0)</f>
        <v>#N/A</v>
      </c>
      <c r="CJ65" s="60" t="e">
        <f>VLOOKUP(A65,[2]CHAMCONG!A$7:CI$333,79,0)</f>
        <v>#N/A</v>
      </c>
      <c r="CK65" s="61" t="e">
        <f t="shared" si="45"/>
        <v>#N/A</v>
      </c>
    </row>
    <row r="66" spans="1:89" s="62" customFormat="1" ht="15.75" customHeight="1" x14ac:dyDescent="0.25">
      <c r="A66" s="69"/>
      <c r="B66" s="64"/>
      <c r="C66" s="45"/>
      <c r="D66" s="46"/>
      <c r="E66" s="47"/>
      <c r="F66" s="48"/>
      <c r="G66" s="49"/>
      <c r="H66" s="51"/>
      <c r="I66" s="50"/>
      <c r="J66" s="51"/>
      <c r="K66" s="51"/>
      <c r="L66" s="51"/>
      <c r="M66" s="51"/>
      <c r="N66" s="51"/>
      <c r="O66" s="50"/>
      <c r="P66" s="51"/>
      <c r="Q66" s="51"/>
      <c r="R66" s="51"/>
      <c r="S66" s="51"/>
      <c r="T66" s="51"/>
      <c r="U66" s="49"/>
      <c r="V66" s="51"/>
      <c r="W66" s="50"/>
      <c r="X66" s="51"/>
      <c r="Y66" s="51"/>
      <c r="Z66" s="51"/>
      <c r="AA66" s="51"/>
      <c r="AB66" s="51"/>
      <c r="AC66" s="50"/>
      <c r="AD66" s="51"/>
      <c r="AE66" s="51"/>
      <c r="AF66" s="51"/>
      <c r="AG66" s="51"/>
      <c r="AH66" s="51"/>
      <c r="AI66" s="51"/>
      <c r="AJ66" s="51"/>
      <c r="AK66" s="50"/>
      <c r="AL66" s="51"/>
      <c r="AM66" s="51"/>
      <c r="AN66" s="51"/>
      <c r="AO66" s="51"/>
      <c r="AP66" s="51"/>
      <c r="AQ66" s="50"/>
      <c r="AR66" s="51"/>
      <c r="AS66" s="51"/>
      <c r="AT66" s="51"/>
      <c r="AU66" s="51"/>
      <c r="AV66" s="51"/>
      <c r="AW66" s="51"/>
      <c r="AX66" s="51"/>
      <c r="AY66" s="50"/>
      <c r="AZ66" s="51"/>
      <c r="BA66" s="51"/>
      <c r="BB66" s="51"/>
      <c r="BC66" s="51"/>
      <c r="BD66" s="51"/>
      <c r="BE66" s="50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2">
        <f t="shared" si="29"/>
        <v>0</v>
      </c>
      <c r="BR66" s="52">
        <f t="shared" si="30"/>
        <v>0</v>
      </c>
      <c r="BS66" s="52">
        <f t="shared" si="31"/>
        <v>0</v>
      </c>
      <c r="BT66" s="52">
        <f t="shared" si="32"/>
        <v>0</v>
      </c>
      <c r="BU66" s="52">
        <f t="shared" si="33"/>
        <v>0</v>
      </c>
      <c r="BV66" s="65"/>
      <c r="BW66" s="52">
        <f t="shared" si="34"/>
        <v>0</v>
      </c>
      <c r="BX66" s="52">
        <f t="shared" si="35"/>
        <v>0</v>
      </c>
      <c r="BY66" s="52">
        <f t="shared" si="36"/>
        <v>0</v>
      </c>
      <c r="BZ66" s="66">
        <f t="shared" si="37"/>
        <v>0</v>
      </c>
      <c r="CA66" s="54">
        <f t="shared" si="38"/>
        <v>0</v>
      </c>
      <c r="CB66" s="55">
        <f t="shared" si="39"/>
        <v>0</v>
      </c>
      <c r="CC66" s="56">
        <f t="shared" si="40"/>
        <v>0</v>
      </c>
      <c r="CD66" s="57">
        <f t="shared" si="41"/>
        <v>-1</v>
      </c>
      <c r="CE66" s="49"/>
      <c r="CF66" s="57" t="e">
        <f t="shared" si="42"/>
        <v>#N/A</v>
      </c>
      <c r="CG66" s="58">
        <f t="shared" si="43"/>
        <v>1</v>
      </c>
      <c r="CH66" s="57">
        <f t="shared" si="44"/>
        <v>0</v>
      </c>
      <c r="CI66" s="59" t="e">
        <f>VLOOKUP(A66,[1]DATA!$A$6:$AI$331,34,0)</f>
        <v>#N/A</v>
      </c>
      <c r="CJ66" s="60" t="e">
        <f>VLOOKUP(A66,[2]CHAMCONG!A$7:CI$333,79,0)</f>
        <v>#N/A</v>
      </c>
      <c r="CK66" s="61" t="e">
        <f t="shared" si="45"/>
        <v>#N/A</v>
      </c>
    </row>
    <row r="67" spans="1:89" s="62" customFormat="1" ht="15.75" customHeight="1" x14ac:dyDescent="0.25">
      <c r="A67" s="69"/>
      <c r="B67" s="64"/>
      <c r="C67" s="45"/>
      <c r="D67" s="46"/>
      <c r="E67" s="47"/>
      <c r="F67" s="48"/>
      <c r="G67" s="49"/>
      <c r="H67" s="51"/>
      <c r="I67" s="49"/>
      <c r="J67" s="51"/>
      <c r="K67" s="49"/>
      <c r="L67" s="51"/>
      <c r="M67" s="49"/>
      <c r="N67" s="51"/>
      <c r="O67" s="49"/>
      <c r="P67" s="51"/>
      <c r="Q67" s="50"/>
      <c r="R67" s="67"/>
      <c r="S67" s="49"/>
      <c r="T67" s="51"/>
      <c r="U67" s="49"/>
      <c r="V67" s="51"/>
      <c r="W67" s="49"/>
      <c r="X67" s="51"/>
      <c r="Y67" s="49"/>
      <c r="Z67" s="51"/>
      <c r="AA67" s="49"/>
      <c r="AB67" s="51"/>
      <c r="AC67" s="50"/>
      <c r="AD67" s="51"/>
      <c r="AE67" s="50"/>
      <c r="AF67" s="67"/>
      <c r="AG67" s="49"/>
      <c r="AH67" s="51"/>
      <c r="AI67" s="49"/>
      <c r="AJ67" s="51"/>
      <c r="AK67" s="49"/>
      <c r="AL67" s="51"/>
      <c r="AM67" s="49"/>
      <c r="AN67" s="51"/>
      <c r="AO67" s="49"/>
      <c r="AP67" s="51"/>
      <c r="AQ67" s="50"/>
      <c r="AR67" s="51"/>
      <c r="AS67" s="50"/>
      <c r="AT67" s="67"/>
      <c r="AU67" s="50"/>
      <c r="AV67" s="51"/>
      <c r="AW67" s="51"/>
      <c r="AX67" s="51"/>
      <c r="AY67" s="51"/>
      <c r="AZ67" s="51"/>
      <c r="BA67" s="51"/>
      <c r="BB67" s="51"/>
      <c r="BC67" s="51"/>
      <c r="BD67" s="51"/>
      <c r="BE67" s="72"/>
      <c r="BF67" s="51"/>
      <c r="BG67" s="72"/>
      <c r="BH67" s="72"/>
      <c r="BI67" s="72"/>
      <c r="BJ67" s="51"/>
      <c r="BK67" s="72"/>
      <c r="BL67" s="51"/>
      <c r="BM67" s="72"/>
      <c r="BN67" s="51"/>
      <c r="BO67" s="72"/>
      <c r="BP67" s="51"/>
      <c r="BQ67" s="52">
        <f t="shared" si="29"/>
        <v>0</v>
      </c>
      <c r="BR67" s="52">
        <f t="shared" si="30"/>
        <v>0</v>
      </c>
      <c r="BS67" s="52">
        <f t="shared" si="31"/>
        <v>0</v>
      </c>
      <c r="BT67" s="52">
        <f t="shared" si="32"/>
        <v>0</v>
      </c>
      <c r="BU67" s="52">
        <f t="shared" si="33"/>
        <v>0</v>
      </c>
      <c r="BV67" s="65"/>
      <c r="BW67" s="52">
        <f t="shared" si="34"/>
        <v>0</v>
      </c>
      <c r="BX67" s="52">
        <f t="shared" si="35"/>
        <v>0</v>
      </c>
      <c r="BY67" s="52">
        <f t="shared" si="36"/>
        <v>0</v>
      </c>
      <c r="BZ67" s="66">
        <f t="shared" si="37"/>
        <v>0</v>
      </c>
      <c r="CA67" s="54">
        <f t="shared" si="38"/>
        <v>0</v>
      </c>
      <c r="CB67" s="55">
        <f t="shared" si="39"/>
        <v>0</v>
      </c>
      <c r="CC67" s="56">
        <f t="shared" si="40"/>
        <v>0</v>
      </c>
      <c r="CD67" s="57">
        <f t="shared" si="41"/>
        <v>-1</v>
      </c>
      <c r="CE67" s="49">
        <v>4</v>
      </c>
      <c r="CF67" s="57" t="e">
        <f t="shared" si="42"/>
        <v>#N/A</v>
      </c>
      <c r="CG67" s="58">
        <f t="shared" si="43"/>
        <v>1</v>
      </c>
      <c r="CH67" s="57">
        <f t="shared" si="44"/>
        <v>64</v>
      </c>
      <c r="CI67" s="59" t="e">
        <f>VLOOKUP(A67,[1]DATA!$A$6:$AI$331,34,0)</f>
        <v>#N/A</v>
      </c>
      <c r="CJ67" s="60" t="e">
        <f>VLOOKUP(A67,[2]CHAMCONG!A$7:CI$333,79,0)</f>
        <v>#N/A</v>
      </c>
      <c r="CK67" s="61" t="e">
        <f t="shared" si="45"/>
        <v>#N/A</v>
      </c>
    </row>
    <row r="68" spans="1:89" s="62" customFormat="1" ht="15.75" customHeight="1" x14ac:dyDescent="0.25">
      <c r="A68" s="63"/>
      <c r="B68" s="64"/>
      <c r="C68" s="45"/>
      <c r="D68" s="46"/>
      <c r="E68" s="47"/>
      <c r="F68" s="48"/>
      <c r="G68" s="49"/>
      <c r="H68" s="51"/>
      <c r="I68" s="50"/>
      <c r="J68" s="51"/>
      <c r="K68" s="50"/>
      <c r="L68" s="51"/>
      <c r="M68" s="50"/>
      <c r="N68" s="51"/>
      <c r="O68" s="50"/>
      <c r="P68" s="51"/>
      <c r="Q68" s="50"/>
      <c r="R68" s="67"/>
      <c r="S68" s="50"/>
      <c r="T68" s="51"/>
      <c r="U68" s="50"/>
      <c r="V68" s="51"/>
      <c r="W68" s="50"/>
      <c r="X68" s="51"/>
      <c r="Y68" s="49"/>
      <c r="Z68" s="51"/>
      <c r="AA68" s="49"/>
      <c r="AB68" s="51"/>
      <c r="AC68" s="49"/>
      <c r="AD68" s="51"/>
      <c r="AE68" s="49"/>
      <c r="AF68" s="51"/>
      <c r="AG68" s="49"/>
      <c r="AH68" s="51"/>
      <c r="AI68" s="51"/>
      <c r="AJ68" s="51"/>
      <c r="AK68" s="49"/>
      <c r="AL68" s="51"/>
      <c r="AM68" s="49"/>
      <c r="AN68" s="51"/>
      <c r="AO68" s="49"/>
      <c r="AP68" s="51"/>
      <c r="AQ68" s="49"/>
      <c r="AR68" s="51"/>
      <c r="AS68" s="49"/>
      <c r="AT68" s="51"/>
      <c r="AU68" s="49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2">
        <f t="shared" si="29"/>
        <v>0</v>
      </c>
      <c r="BR68" s="52">
        <f t="shared" si="30"/>
        <v>0</v>
      </c>
      <c r="BS68" s="52">
        <f t="shared" si="31"/>
        <v>0</v>
      </c>
      <c r="BT68" s="52">
        <f t="shared" si="32"/>
        <v>0</v>
      </c>
      <c r="BU68" s="52">
        <f t="shared" si="33"/>
        <v>0</v>
      </c>
      <c r="BV68" s="65"/>
      <c r="BW68" s="52">
        <f t="shared" si="34"/>
        <v>0</v>
      </c>
      <c r="BX68" s="52">
        <f t="shared" si="35"/>
        <v>0</v>
      </c>
      <c r="BY68" s="52">
        <f t="shared" si="36"/>
        <v>0</v>
      </c>
      <c r="BZ68" s="66">
        <f t="shared" si="37"/>
        <v>0</v>
      </c>
      <c r="CA68" s="54">
        <f t="shared" si="38"/>
        <v>0</v>
      </c>
      <c r="CB68" s="55">
        <f t="shared" si="39"/>
        <v>0</v>
      </c>
      <c r="CC68" s="56">
        <f t="shared" si="40"/>
        <v>0</v>
      </c>
      <c r="CD68" s="57">
        <f t="shared" si="41"/>
        <v>-1</v>
      </c>
      <c r="CE68" s="49">
        <v>1</v>
      </c>
      <c r="CF68" s="57" t="e">
        <f t="shared" si="42"/>
        <v>#N/A</v>
      </c>
      <c r="CG68" s="58">
        <f t="shared" si="43"/>
        <v>1</v>
      </c>
      <c r="CH68" s="57">
        <f t="shared" si="44"/>
        <v>16</v>
      </c>
      <c r="CI68" s="59" t="e">
        <f>VLOOKUP(A68,[1]DATA!$A$6:$AI$331,34,0)</f>
        <v>#N/A</v>
      </c>
      <c r="CJ68" s="60" t="e">
        <f>VLOOKUP(A68,[2]CHAMCONG!A$7:CI$333,79,0)</f>
        <v>#N/A</v>
      </c>
      <c r="CK68" s="61" t="e">
        <f t="shared" si="45"/>
        <v>#N/A</v>
      </c>
    </row>
    <row r="69" spans="1:89" s="62" customFormat="1" ht="15.75" customHeight="1" x14ac:dyDescent="0.25">
      <c r="A69" s="63"/>
      <c r="B69" s="64"/>
      <c r="C69" s="45"/>
      <c r="D69" s="46"/>
      <c r="E69" s="47"/>
      <c r="F69" s="48"/>
      <c r="G69" s="49"/>
      <c r="H69" s="51"/>
      <c r="I69" s="49"/>
      <c r="J69" s="51"/>
      <c r="K69" s="49"/>
      <c r="L69" s="51"/>
      <c r="M69" s="51"/>
      <c r="N69" s="51"/>
      <c r="O69" s="50"/>
      <c r="P69" s="51"/>
      <c r="Q69" s="50"/>
      <c r="R69" s="67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49"/>
      <c r="AJ69" s="51"/>
      <c r="AK69" s="51"/>
      <c r="AL69" s="51"/>
      <c r="AM69" s="51"/>
      <c r="AN69" s="51"/>
      <c r="AO69" s="51"/>
      <c r="AP69" s="51"/>
      <c r="AQ69" s="49"/>
      <c r="AR69" s="51"/>
      <c r="AS69" s="49"/>
      <c r="AT69" s="51"/>
      <c r="AU69" s="49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2">
        <f t="shared" si="29"/>
        <v>0</v>
      </c>
      <c r="BR69" s="52">
        <f t="shared" si="30"/>
        <v>0</v>
      </c>
      <c r="BS69" s="52">
        <f t="shared" si="31"/>
        <v>0</v>
      </c>
      <c r="BT69" s="52">
        <f t="shared" si="32"/>
        <v>0</v>
      </c>
      <c r="BU69" s="52">
        <f t="shared" si="33"/>
        <v>0</v>
      </c>
      <c r="BV69" s="65"/>
      <c r="BW69" s="52">
        <f t="shared" si="34"/>
        <v>0</v>
      </c>
      <c r="BX69" s="52">
        <f t="shared" si="35"/>
        <v>0</v>
      </c>
      <c r="BY69" s="52">
        <f t="shared" si="36"/>
        <v>0</v>
      </c>
      <c r="BZ69" s="66">
        <f t="shared" si="37"/>
        <v>0</v>
      </c>
      <c r="CA69" s="54">
        <f t="shared" si="38"/>
        <v>0</v>
      </c>
      <c r="CB69" s="55">
        <f t="shared" si="39"/>
        <v>0</v>
      </c>
      <c r="CC69" s="56">
        <f t="shared" si="40"/>
        <v>0</v>
      </c>
      <c r="CD69" s="57">
        <f t="shared" si="41"/>
        <v>-1</v>
      </c>
      <c r="CE69" s="49"/>
      <c r="CF69" s="57" t="e">
        <f t="shared" si="42"/>
        <v>#N/A</v>
      </c>
      <c r="CG69" s="58">
        <f t="shared" si="43"/>
        <v>1</v>
      </c>
      <c r="CH69" s="57">
        <f t="shared" si="44"/>
        <v>0</v>
      </c>
      <c r="CI69" s="59" t="e">
        <f>VLOOKUP(A69,[1]DATA!$A$6:$AI$331,34,0)</f>
        <v>#N/A</v>
      </c>
      <c r="CJ69" s="60" t="e">
        <f>VLOOKUP(A69,[2]CHAMCONG!A$7:CI$333,79,0)</f>
        <v>#N/A</v>
      </c>
      <c r="CK69" s="61" t="e">
        <f t="shared" si="45"/>
        <v>#N/A</v>
      </c>
    </row>
    <row r="70" spans="1:89" s="62" customFormat="1" ht="15.75" customHeight="1" x14ac:dyDescent="0.25">
      <c r="A70" s="63"/>
      <c r="B70" s="64"/>
      <c r="C70" s="45"/>
      <c r="D70" s="46"/>
      <c r="E70" s="47"/>
      <c r="F70" s="48"/>
      <c r="G70" s="49"/>
      <c r="H70" s="51"/>
      <c r="I70" s="50"/>
      <c r="J70" s="51"/>
      <c r="K70" s="50"/>
      <c r="L70" s="51"/>
      <c r="M70" s="50"/>
      <c r="N70" s="51"/>
      <c r="O70" s="50"/>
      <c r="P70" s="51"/>
      <c r="Q70" s="51"/>
      <c r="R70" s="51"/>
      <c r="S70" s="50"/>
      <c r="T70" s="51"/>
      <c r="U70" s="50"/>
      <c r="V70" s="51"/>
      <c r="W70" s="50"/>
      <c r="X70" s="51"/>
      <c r="Y70" s="50"/>
      <c r="Z70" s="51"/>
      <c r="AA70" s="50"/>
      <c r="AB70" s="51"/>
      <c r="AC70" s="50"/>
      <c r="AD70" s="51"/>
      <c r="AE70" s="51"/>
      <c r="AF70" s="51"/>
      <c r="AG70" s="50"/>
      <c r="AH70" s="51"/>
      <c r="AI70" s="50"/>
      <c r="AJ70" s="51"/>
      <c r="AK70" s="50"/>
      <c r="AL70" s="51"/>
      <c r="AM70" s="50"/>
      <c r="AN70" s="51"/>
      <c r="AO70" s="50"/>
      <c r="AP70" s="51"/>
      <c r="AQ70" s="50"/>
      <c r="AR70" s="51"/>
      <c r="AS70" s="51"/>
      <c r="AT70" s="51"/>
      <c r="AU70" s="51"/>
      <c r="AV70" s="51"/>
      <c r="AW70" s="51"/>
      <c r="AX70" s="51"/>
      <c r="AY70" s="50"/>
      <c r="AZ70" s="51"/>
      <c r="BA70" s="51"/>
      <c r="BB70" s="51"/>
      <c r="BC70" s="51"/>
      <c r="BD70" s="51"/>
      <c r="BE70" s="50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2">
        <f t="shared" si="29"/>
        <v>0</v>
      </c>
      <c r="BR70" s="52">
        <f t="shared" si="30"/>
        <v>0</v>
      </c>
      <c r="BS70" s="52">
        <f t="shared" si="31"/>
        <v>0</v>
      </c>
      <c r="BT70" s="52">
        <f t="shared" si="32"/>
        <v>0</v>
      </c>
      <c r="BU70" s="52">
        <f t="shared" si="33"/>
        <v>0</v>
      </c>
      <c r="BV70" s="65"/>
      <c r="BW70" s="52">
        <f t="shared" si="34"/>
        <v>0</v>
      </c>
      <c r="BX70" s="52">
        <f t="shared" si="35"/>
        <v>0</v>
      </c>
      <c r="BY70" s="52">
        <f t="shared" si="36"/>
        <v>0</v>
      </c>
      <c r="BZ70" s="66">
        <f t="shared" si="37"/>
        <v>0</v>
      </c>
      <c r="CA70" s="54">
        <f t="shared" si="38"/>
        <v>0</v>
      </c>
      <c r="CB70" s="55">
        <f t="shared" si="39"/>
        <v>0</v>
      </c>
      <c r="CC70" s="56">
        <f t="shared" si="40"/>
        <v>0</v>
      </c>
      <c r="CD70" s="57">
        <f t="shared" si="41"/>
        <v>-1</v>
      </c>
      <c r="CE70" s="49"/>
      <c r="CF70" s="57" t="e">
        <f t="shared" si="42"/>
        <v>#N/A</v>
      </c>
      <c r="CG70" s="58">
        <f t="shared" si="43"/>
        <v>1</v>
      </c>
      <c r="CH70" s="57">
        <f t="shared" si="44"/>
        <v>0</v>
      </c>
      <c r="CI70" s="59" t="e">
        <f>VLOOKUP(A70,[1]DATA!$A$6:$AI$331,34,0)</f>
        <v>#N/A</v>
      </c>
      <c r="CJ70" s="60" t="e">
        <f>VLOOKUP(A70,[2]CHAMCONG!A$7:CI$333,79,0)</f>
        <v>#N/A</v>
      </c>
      <c r="CK70" s="61" t="e">
        <f t="shared" si="45"/>
        <v>#N/A</v>
      </c>
    </row>
    <row r="71" spans="1:89" s="62" customFormat="1" ht="15.75" customHeight="1" x14ac:dyDescent="0.25">
      <c r="A71" s="63"/>
      <c r="B71" s="64"/>
      <c r="C71" s="45"/>
      <c r="D71" s="46"/>
      <c r="E71" s="47"/>
      <c r="F71" s="48"/>
      <c r="G71" s="49"/>
      <c r="H71" s="51"/>
      <c r="I71" s="49"/>
      <c r="J71" s="51"/>
      <c r="K71" s="49"/>
      <c r="L71" s="51"/>
      <c r="M71" s="49"/>
      <c r="N71" s="51"/>
      <c r="O71" s="49"/>
      <c r="P71" s="51"/>
      <c r="Q71" s="49"/>
      <c r="R71" s="51"/>
      <c r="S71" s="49"/>
      <c r="T71" s="51"/>
      <c r="U71" s="49"/>
      <c r="V71" s="51"/>
      <c r="W71" s="49"/>
      <c r="X71" s="51"/>
      <c r="Y71" s="49"/>
      <c r="Z71" s="51"/>
      <c r="AA71" s="49"/>
      <c r="AB71" s="51"/>
      <c r="AC71" s="49"/>
      <c r="AD71" s="51"/>
      <c r="AE71" s="49"/>
      <c r="AF71" s="51"/>
      <c r="AG71" s="49"/>
      <c r="AH71" s="51"/>
      <c r="AI71" s="49"/>
      <c r="AJ71" s="51"/>
      <c r="AK71" s="49"/>
      <c r="AL71" s="51"/>
      <c r="AM71" s="49"/>
      <c r="AN71" s="51"/>
      <c r="AO71" s="49"/>
      <c r="AP71" s="51"/>
      <c r="AQ71" s="49"/>
      <c r="AR71" s="51"/>
      <c r="AS71" s="49"/>
      <c r="AT71" s="51"/>
      <c r="AU71" s="49"/>
      <c r="AV71" s="51"/>
      <c r="AW71" s="51"/>
      <c r="AX71" s="51"/>
      <c r="AY71" s="49"/>
      <c r="AZ71" s="51"/>
      <c r="BA71" s="49"/>
      <c r="BB71" s="51"/>
      <c r="BC71" s="51"/>
      <c r="BD71" s="51"/>
      <c r="BE71" s="49"/>
      <c r="BF71" s="51"/>
      <c r="BG71" s="49"/>
      <c r="BH71" s="51"/>
      <c r="BI71" s="51"/>
      <c r="BJ71" s="51"/>
      <c r="BK71" s="51"/>
      <c r="BL71" s="51"/>
      <c r="BM71" s="51"/>
      <c r="BN71" s="51"/>
      <c r="BO71" s="51"/>
      <c r="BP71" s="51"/>
      <c r="BQ71" s="52">
        <f t="shared" si="29"/>
        <v>0</v>
      </c>
      <c r="BR71" s="52">
        <f t="shared" si="30"/>
        <v>0</v>
      </c>
      <c r="BS71" s="52">
        <f t="shared" si="31"/>
        <v>0</v>
      </c>
      <c r="BT71" s="52">
        <f t="shared" si="32"/>
        <v>0</v>
      </c>
      <c r="BU71" s="52">
        <f t="shared" si="33"/>
        <v>0</v>
      </c>
      <c r="BV71" s="65"/>
      <c r="BW71" s="52">
        <f t="shared" si="34"/>
        <v>0</v>
      </c>
      <c r="BX71" s="52">
        <f t="shared" si="35"/>
        <v>0</v>
      </c>
      <c r="BY71" s="52">
        <f t="shared" si="36"/>
        <v>0</v>
      </c>
      <c r="BZ71" s="66">
        <f t="shared" si="37"/>
        <v>0</v>
      </c>
      <c r="CA71" s="54">
        <f t="shared" si="38"/>
        <v>0</v>
      </c>
      <c r="CB71" s="55">
        <f t="shared" si="39"/>
        <v>0</v>
      </c>
      <c r="CC71" s="56">
        <f t="shared" si="40"/>
        <v>0</v>
      </c>
      <c r="CD71" s="57">
        <f t="shared" si="41"/>
        <v>-1</v>
      </c>
      <c r="CE71" s="49">
        <v>1</v>
      </c>
      <c r="CF71" s="57" t="e">
        <f t="shared" si="42"/>
        <v>#N/A</v>
      </c>
      <c r="CG71" s="58">
        <f t="shared" si="43"/>
        <v>1</v>
      </c>
      <c r="CH71" s="57">
        <f t="shared" si="44"/>
        <v>16</v>
      </c>
      <c r="CI71" s="59" t="e">
        <f>VLOOKUP(A71,[1]DATA!$A$6:$AI$331,34,0)</f>
        <v>#N/A</v>
      </c>
      <c r="CJ71" s="60" t="e">
        <f>VLOOKUP(A71,[2]CHAMCONG!A$7:CI$333,79,0)</f>
        <v>#N/A</v>
      </c>
      <c r="CK71" s="61" t="e">
        <f t="shared" si="45"/>
        <v>#N/A</v>
      </c>
    </row>
    <row r="72" spans="1:89" s="62" customFormat="1" ht="15.75" customHeight="1" x14ac:dyDescent="0.25">
      <c r="A72" s="63"/>
      <c r="B72" s="64"/>
      <c r="C72" s="45"/>
      <c r="D72" s="46"/>
      <c r="E72" s="47"/>
      <c r="F72" s="48"/>
      <c r="G72" s="49"/>
      <c r="H72" s="51"/>
      <c r="I72" s="50"/>
      <c r="J72" s="51"/>
      <c r="K72" s="50"/>
      <c r="L72" s="51"/>
      <c r="M72" s="50"/>
      <c r="N72" s="51"/>
      <c r="O72" s="50"/>
      <c r="P72" s="51"/>
      <c r="Q72" s="49"/>
      <c r="R72" s="51"/>
      <c r="S72" s="50"/>
      <c r="T72" s="51"/>
      <c r="U72" s="50"/>
      <c r="V72" s="51"/>
      <c r="W72" s="50"/>
      <c r="X72" s="51"/>
      <c r="Y72" s="49"/>
      <c r="Z72" s="51"/>
      <c r="AA72" s="50"/>
      <c r="AB72" s="51"/>
      <c r="AC72" s="50"/>
      <c r="AD72" s="51"/>
      <c r="AE72" s="49"/>
      <c r="AF72" s="51"/>
      <c r="AG72" s="50"/>
      <c r="AH72" s="51"/>
      <c r="AI72" s="50"/>
      <c r="AJ72" s="51"/>
      <c r="AK72" s="50"/>
      <c r="AL72" s="51"/>
      <c r="AM72" s="50"/>
      <c r="AN72" s="51"/>
      <c r="AO72" s="50"/>
      <c r="AP72" s="51"/>
      <c r="AQ72" s="49"/>
      <c r="AR72" s="51"/>
      <c r="AS72" s="49"/>
      <c r="AT72" s="51"/>
      <c r="AU72" s="49"/>
      <c r="AV72" s="51"/>
      <c r="AW72" s="51"/>
      <c r="AX72" s="51"/>
      <c r="AY72" s="49"/>
      <c r="AZ72" s="51"/>
      <c r="BA72" s="49"/>
      <c r="BB72" s="51"/>
      <c r="BC72" s="51"/>
      <c r="BD72" s="51"/>
      <c r="BE72" s="49"/>
      <c r="BF72" s="51"/>
      <c r="BG72" s="49"/>
      <c r="BH72" s="51"/>
      <c r="BI72" s="51"/>
      <c r="BJ72" s="51"/>
      <c r="BK72" s="51"/>
      <c r="BL72" s="51"/>
      <c r="BM72" s="51"/>
      <c r="BN72" s="51"/>
      <c r="BO72" s="51"/>
      <c r="BP72" s="51"/>
      <c r="BQ72" s="52">
        <f t="shared" si="29"/>
        <v>0</v>
      </c>
      <c r="BR72" s="52">
        <f t="shared" si="30"/>
        <v>0</v>
      </c>
      <c r="BS72" s="52">
        <f t="shared" si="31"/>
        <v>0</v>
      </c>
      <c r="BT72" s="52">
        <f t="shared" si="32"/>
        <v>0</v>
      </c>
      <c r="BU72" s="52">
        <f t="shared" si="33"/>
        <v>0</v>
      </c>
      <c r="BV72" s="65"/>
      <c r="BW72" s="52">
        <f t="shared" si="34"/>
        <v>0</v>
      </c>
      <c r="BX72" s="52">
        <f t="shared" si="35"/>
        <v>0</v>
      </c>
      <c r="BY72" s="52">
        <f t="shared" si="36"/>
        <v>0</v>
      </c>
      <c r="BZ72" s="66">
        <f t="shared" si="37"/>
        <v>0</v>
      </c>
      <c r="CA72" s="54">
        <f t="shared" si="38"/>
        <v>0</v>
      </c>
      <c r="CB72" s="55">
        <f t="shared" si="39"/>
        <v>0</v>
      </c>
      <c r="CC72" s="56">
        <f t="shared" si="40"/>
        <v>0</v>
      </c>
      <c r="CD72" s="57">
        <f t="shared" si="41"/>
        <v>-1</v>
      </c>
      <c r="CE72" s="49">
        <v>1</v>
      </c>
      <c r="CF72" s="57" t="e">
        <f t="shared" si="42"/>
        <v>#N/A</v>
      </c>
      <c r="CG72" s="58">
        <f t="shared" si="43"/>
        <v>1</v>
      </c>
      <c r="CH72" s="57">
        <f t="shared" si="44"/>
        <v>16</v>
      </c>
      <c r="CI72" s="59" t="e">
        <f>VLOOKUP(A72,[1]DATA!$A$6:$AI$331,34,0)</f>
        <v>#N/A</v>
      </c>
      <c r="CJ72" s="60" t="e">
        <f>VLOOKUP(A72,[2]CHAMCONG!A$7:CI$333,79,0)</f>
        <v>#N/A</v>
      </c>
      <c r="CK72" s="61" t="e">
        <f t="shared" si="45"/>
        <v>#N/A</v>
      </c>
    </row>
    <row r="73" spans="1:89" s="62" customFormat="1" ht="15.75" customHeight="1" x14ac:dyDescent="0.25">
      <c r="A73" s="63"/>
      <c r="B73" s="64"/>
      <c r="C73" s="45"/>
      <c r="D73" s="46"/>
      <c r="E73" s="47"/>
      <c r="F73" s="48"/>
      <c r="G73" s="49"/>
      <c r="H73" s="51"/>
      <c r="I73" s="49"/>
      <c r="J73" s="51"/>
      <c r="K73" s="51"/>
      <c r="L73" s="51"/>
      <c r="M73" s="51"/>
      <c r="N73" s="51"/>
      <c r="O73" s="49"/>
      <c r="P73" s="51"/>
      <c r="Q73" s="49"/>
      <c r="R73" s="49"/>
      <c r="S73" s="49"/>
      <c r="T73" s="51"/>
      <c r="U73" s="49"/>
      <c r="V73" s="51"/>
      <c r="W73" s="51"/>
      <c r="X73" s="51"/>
      <c r="Y73" s="51"/>
      <c r="Z73" s="51"/>
      <c r="AA73" s="50"/>
      <c r="AB73" s="51"/>
      <c r="AC73" s="50"/>
      <c r="AD73" s="51"/>
      <c r="AE73" s="50"/>
      <c r="AF73" s="67"/>
      <c r="AG73" s="50"/>
      <c r="AH73" s="51"/>
      <c r="AI73" s="51"/>
      <c r="AJ73" s="51"/>
      <c r="AK73" s="51"/>
      <c r="AL73" s="51"/>
      <c r="AM73" s="51"/>
      <c r="AN73" s="51"/>
      <c r="AO73" s="51"/>
      <c r="AP73" s="51"/>
      <c r="AQ73" s="50"/>
      <c r="AR73" s="51"/>
      <c r="AS73" s="50"/>
      <c r="AT73" s="67"/>
      <c r="AU73" s="49"/>
      <c r="AV73" s="51"/>
      <c r="AW73" s="49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2">
        <f t="shared" si="29"/>
        <v>0</v>
      </c>
      <c r="BR73" s="52">
        <f t="shared" si="30"/>
        <v>0</v>
      </c>
      <c r="BS73" s="52">
        <f t="shared" si="31"/>
        <v>0</v>
      </c>
      <c r="BT73" s="52">
        <f t="shared" si="32"/>
        <v>0</v>
      </c>
      <c r="BU73" s="52">
        <f t="shared" si="33"/>
        <v>0</v>
      </c>
      <c r="BV73" s="65"/>
      <c r="BW73" s="52">
        <f t="shared" si="34"/>
        <v>0</v>
      </c>
      <c r="BX73" s="52">
        <f t="shared" si="35"/>
        <v>0</v>
      </c>
      <c r="BY73" s="52">
        <f t="shared" si="36"/>
        <v>0</v>
      </c>
      <c r="BZ73" s="66">
        <f t="shared" si="37"/>
        <v>0</v>
      </c>
      <c r="CA73" s="54">
        <f t="shared" si="38"/>
        <v>0</v>
      </c>
      <c r="CB73" s="55">
        <f t="shared" si="39"/>
        <v>0</v>
      </c>
      <c r="CC73" s="56">
        <f t="shared" si="40"/>
        <v>0</v>
      </c>
      <c r="CD73" s="57">
        <f t="shared" si="41"/>
        <v>-1</v>
      </c>
      <c r="CE73" s="49">
        <v>2</v>
      </c>
      <c r="CF73" s="57" t="e">
        <f t="shared" si="42"/>
        <v>#N/A</v>
      </c>
      <c r="CG73" s="58">
        <f t="shared" si="43"/>
        <v>1</v>
      </c>
      <c r="CH73" s="57">
        <f t="shared" si="44"/>
        <v>32</v>
      </c>
      <c r="CI73" s="59" t="e">
        <f>VLOOKUP(A73,[1]DATA!$A$6:$AI$331,34,0)</f>
        <v>#N/A</v>
      </c>
      <c r="CJ73" s="60" t="e">
        <f>VLOOKUP(A73,[2]CHAMCONG!A$7:CI$333,79,0)</f>
        <v>#N/A</v>
      </c>
      <c r="CK73" s="61" t="e">
        <f t="shared" si="45"/>
        <v>#N/A</v>
      </c>
    </row>
    <row r="74" spans="1:89" s="62" customFormat="1" ht="15.75" customHeight="1" x14ac:dyDescent="0.25">
      <c r="A74" s="63"/>
      <c r="B74" s="64"/>
      <c r="C74" s="45"/>
      <c r="D74" s="46"/>
      <c r="E74" s="47"/>
      <c r="F74" s="48"/>
      <c r="G74" s="49"/>
      <c r="H74" s="51"/>
      <c r="I74" s="50"/>
      <c r="J74" s="51"/>
      <c r="K74" s="50"/>
      <c r="L74" s="51"/>
      <c r="M74" s="50"/>
      <c r="N74" s="51"/>
      <c r="O74" s="50"/>
      <c r="P74" s="51"/>
      <c r="Q74" s="49"/>
      <c r="R74" s="51"/>
      <c r="S74" s="50"/>
      <c r="T74" s="51"/>
      <c r="U74" s="50"/>
      <c r="V74" s="51"/>
      <c r="W74" s="49"/>
      <c r="X74" s="51"/>
      <c r="Y74" s="50"/>
      <c r="Z74" s="51"/>
      <c r="AA74" s="50"/>
      <c r="AB74" s="51"/>
      <c r="AC74" s="50"/>
      <c r="AD74" s="51"/>
      <c r="AE74" s="49"/>
      <c r="AF74" s="51"/>
      <c r="AG74" s="50"/>
      <c r="AH74" s="51"/>
      <c r="AI74" s="50"/>
      <c r="AJ74" s="51"/>
      <c r="AK74" s="50"/>
      <c r="AL74" s="51"/>
      <c r="AM74" s="50"/>
      <c r="AN74" s="51"/>
      <c r="AO74" s="50"/>
      <c r="AP74" s="51"/>
      <c r="AQ74" s="49"/>
      <c r="AR74" s="51"/>
      <c r="AS74" s="49"/>
      <c r="AT74" s="51"/>
      <c r="AU74" s="49"/>
      <c r="AV74" s="51"/>
      <c r="AW74" s="51"/>
      <c r="AX74" s="51"/>
      <c r="AY74" s="49"/>
      <c r="AZ74" s="51"/>
      <c r="BA74" s="49"/>
      <c r="BB74" s="51"/>
      <c r="BC74" s="51"/>
      <c r="BD74" s="51"/>
      <c r="BE74" s="49"/>
      <c r="BF74" s="51"/>
      <c r="BG74" s="49"/>
      <c r="BH74" s="51"/>
      <c r="BI74" s="51"/>
      <c r="BJ74" s="51"/>
      <c r="BK74" s="51"/>
      <c r="BL74" s="51"/>
      <c r="BM74" s="51"/>
      <c r="BN74" s="51"/>
      <c r="BO74" s="51"/>
      <c r="BP74" s="51"/>
      <c r="BQ74" s="52">
        <f t="shared" si="29"/>
        <v>0</v>
      </c>
      <c r="BR74" s="52">
        <f t="shared" si="30"/>
        <v>0</v>
      </c>
      <c r="BS74" s="52">
        <f t="shared" si="31"/>
        <v>0</v>
      </c>
      <c r="BT74" s="52">
        <f t="shared" si="32"/>
        <v>0</v>
      </c>
      <c r="BU74" s="52">
        <f t="shared" si="33"/>
        <v>0</v>
      </c>
      <c r="BV74" s="65"/>
      <c r="BW74" s="52">
        <f t="shared" si="34"/>
        <v>0</v>
      </c>
      <c r="BX74" s="52">
        <f t="shared" si="35"/>
        <v>0</v>
      </c>
      <c r="BY74" s="52">
        <f t="shared" si="36"/>
        <v>0</v>
      </c>
      <c r="BZ74" s="66">
        <f t="shared" si="37"/>
        <v>0</v>
      </c>
      <c r="CA74" s="54">
        <f t="shared" si="38"/>
        <v>0</v>
      </c>
      <c r="CB74" s="55">
        <f t="shared" si="39"/>
        <v>0</v>
      </c>
      <c r="CC74" s="56">
        <f t="shared" si="40"/>
        <v>0</v>
      </c>
      <c r="CD74" s="57">
        <f t="shared" si="41"/>
        <v>-1</v>
      </c>
      <c r="CE74" s="49">
        <v>2</v>
      </c>
      <c r="CF74" s="57" t="e">
        <f t="shared" si="42"/>
        <v>#N/A</v>
      </c>
      <c r="CG74" s="58">
        <f t="shared" si="43"/>
        <v>1</v>
      </c>
      <c r="CH74" s="57">
        <f t="shared" si="44"/>
        <v>32</v>
      </c>
      <c r="CI74" s="59" t="e">
        <f>VLOOKUP(A74,[1]DATA!$A$6:$AI$331,34,0)</f>
        <v>#N/A</v>
      </c>
      <c r="CJ74" s="60" t="e">
        <f>VLOOKUP(A74,[2]CHAMCONG!A$7:CI$333,79,0)</f>
        <v>#N/A</v>
      </c>
      <c r="CK74" s="61" t="e">
        <f t="shared" si="45"/>
        <v>#N/A</v>
      </c>
    </row>
    <row r="75" spans="1:89" s="62" customFormat="1" ht="15.75" customHeight="1" x14ac:dyDescent="0.25">
      <c r="A75" s="63"/>
      <c r="B75" s="64"/>
      <c r="C75" s="45"/>
      <c r="D75" s="46"/>
      <c r="E75" s="47"/>
      <c r="F75" s="48"/>
      <c r="G75" s="49"/>
      <c r="H75" s="51"/>
      <c r="I75" s="50"/>
      <c r="J75" s="51"/>
      <c r="K75" s="49"/>
      <c r="L75" s="51"/>
      <c r="M75" s="49"/>
      <c r="N75" s="51"/>
      <c r="O75" s="50"/>
      <c r="P75" s="51"/>
      <c r="Q75" s="49"/>
      <c r="R75" s="51"/>
      <c r="S75" s="49"/>
      <c r="T75" s="51"/>
      <c r="U75" s="50"/>
      <c r="V75" s="51"/>
      <c r="W75" s="49"/>
      <c r="X75" s="51"/>
      <c r="Y75" s="50"/>
      <c r="Z75" s="51"/>
      <c r="AA75" s="50"/>
      <c r="AB75" s="51"/>
      <c r="AC75" s="49"/>
      <c r="AD75" s="51"/>
      <c r="AE75" s="51"/>
      <c r="AF75" s="51"/>
      <c r="AG75" s="49"/>
      <c r="AH75" s="51"/>
      <c r="AI75" s="49"/>
      <c r="AJ75" s="51"/>
      <c r="AK75" s="51"/>
      <c r="AL75" s="51"/>
      <c r="AM75" s="49"/>
      <c r="AN75" s="51"/>
      <c r="AO75" s="49"/>
      <c r="AP75" s="51"/>
      <c r="AQ75" s="51"/>
      <c r="AR75" s="51"/>
      <c r="AS75" s="49"/>
      <c r="AT75" s="51"/>
      <c r="AU75" s="49"/>
      <c r="AV75" s="51"/>
      <c r="AW75" s="51"/>
      <c r="AX75" s="51"/>
      <c r="AY75" s="50"/>
      <c r="AZ75" s="51"/>
      <c r="BA75" s="67"/>
      <c r="BB75" s="51"/>
      <c r="BC75" s="67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2">
        <f t="shared" ref="BQ75:BQ138" si="46">COUNTIF($G75:$BP75,"a")+COUNTIF($G75:$BP75,"r0,a5")/2+COUNTIF($G75:$BP75,"p5,a5")/2</f>
        <v>0</v>
      </c>
      <c r="BR75" s="52">
        <f t="shared" ref="BR75:BR138" si="47">COUNTIF($G75:$BP75,"d")+COUNTIF($G75:$BP75,"r0,d5")/2+COUNTIF($G75:$BP75,"p5,d5")/2</f>
        <v>0</v>
      </c>
      <c r="BS75" s="52">
        <f t="shared" ref="BS75:BS138" si="48">COUNTIF($G75:$BP75,"b")+COUNTIF($G75:$BP75,"r0,b5")/2+COUNTIF($G75:$BP75,"p5,b5")/2</f>
        <v>0</v>
      </c>
      <c r="BT75" s="52">
        <f t="shared" ref="BT75:BT138" si="49">COUNTIF($G75:$BP75,"c")+COUNTIF($G75:$BP75,"r0,c5")/2+COUNTIF($G75:$BP75,"p5,c5")/2</f>
        <v>0</v>
      </c>
      <c r="BU75" s="52">
        <f t="shared" ref="BU75:BU138" si="50">COUNTIF($G75:$BP75,"KH")+COUNTIF($G75:$BP75,"TL")+COUNTIF($G75:$BP75,"L")</f>
        <v>0</v>
      </c>
      <c r="BV75" s="65"/>
      <c r="BW75" s="52">
        <f t="shared" ref="BW75:BW138" si="51">COUNTIF($G75:$BP75,"hh")</f>
        <v>0</v>
      </c>
      <c r="BX75" s="52">
        <f t="shared" ref="BX75:BX138" si="52">COUNTIF($G75:$BP75,"nt7")</f>
        <v>0</v>
      </c>
      <c r="BY75" s="52">
        <f t="shared" ref="BY75:BY138" si="53">COUNTIF($G75:$BP75,"P")+COUNTIF($G75:$BP75,"p5,a5")/2+COUNTIF($G75:$BP75,"p5,b5")/2+COUNTIF($G75:$BP75,"p5,c5")/2+COUNTIF($G75:$BP75,"p5,d5")/2</f>
        <v>0</v>
      </c>
      <c r="BZ75" s="66">
        <f t="shared" ref="BZ75:BZ138" si="54">SUBTOTAL(9,BQ75:BY75)</f>
        <v>0</v>
      </c>
      <c r="CA75" s="54">
        <f t="shared" si="38"/>
        <v>0</v>
      </c>
      <c r="CB75" s="55">
        <f t="shared" si="39"/>
        <v>0</v>
      </c>
      <c r="CC75" s="56">
        <f t="shared" si="40"/>
        <v>0</v>
      </c>
      <c r="CD75" s="57">
        <f t="shared" si="41"/>
        <v>-1</v>
      </c>
      <c r="CE75" s="49">
        <v>2</v>
      </c>
      <c r="CF75" s="57" t="e">
        <f t="shared" si="42"/>
        <v>#N/A</v>
      </c>
      <c r="CG75" s="58">
        <f t="shared" si="43"/>
        <v>1</v>
      </c>
      <c r="CH75" s="57">
        <f t="shared" si="44"/>
        <v>32</v>
      </c>
      <c r="CI75" s="59" t="e">
        <f>VLOOKUP(A75,[1]DATA!$A$6:$AI$331,34,0)</f>
        <v>#N/A</v>
      </c>
      <c r="CJ75" s="60" t="e">
        <f>VLOOKUP(A75,[2]CHAMCONG!A$7:CI$333,79,0)</f>
        <v>#N/A</v>
      </c>
      <c r="CK75" s="61" t="e">
        <f t="shared" si="45"/>
        <v>#N/A</v>
      </c>
    </row>
    <row r="76" spans="1:89" s="62" customFormat="1" ht="15.75" customHeight="1" x14ac:dyDescent="0.25">
      <c r="A76" s="69"/>
      <c r="B76" s="64"/>
      <c r="C76" s="45"/>
      <c r="D76" s="46"/>
      <c r="E76" s="47"/>
      <c r="F76" s="48"/>
      <c r="G76" s="49"/>
      <c r="H76" s="51"/>
      <c r="I76" s="51"/>
      <c r="J76" s="51"/>
      <c r="K76" s="51"/>
      <c r="L76" s="51"/>
      <c r="M76" s="51"/>
      <c r="N76" s="51"/>
      <c r="O76" s="51"/>
      <c r="P76" s="51"/>
      <c r="Q76" s="50"/>
      <c r="R76" s="67"/>
      <c r="S76" s="49"/>
      <c r="T76" s="51"/>
      <c r="U76" s="49"/>
      <c r="V76" s="51"/>
      <c r="W76" s="50"/>
      <c r="X76" s="51"/>
      <c r="Y76" s="50"/>
      <c r="Z76" s="51"/>
      <c r="AA76" s="50"/>
      <c r="AB76" s="51"/>
      <c r="AC76" s="50"/>
      <c r="AD76" s="51"/>
      <c r="AE76" s="50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0"/>
      <c r="AZ76" s="51"/>
      <c r="BA76" s="67"/>
      <c r="BB76" s="51"/>
      <c r="BC76" s="67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2">
        <f t="shared" si="46"/>
        <v>0</v>
      </c>
      <c r="BR76" s="52">
        <f t="shared" si="47"/>
        <v>0</v>
      </c>
      <c r="BS76" s="52">
        <f t="shared" si="48"/>
        <v>0</v>
      </c>
      <c r="BT76" s="52">
        <f t="shared" si="49"/>
        <v>0</v>
      </c>
      <c r="BU76" s="52">
        <f t="shared" si="50"/>
        <v>0</v>
      </c>
      <c r="BV76" s="65"/>
      <c r="BW76" s="52">
        <f t="shared" si="51"/>
        <v>0</v>
      </c>
      <c r="BX76" s="52">
        <f t="shared" si="52"/>
        <v>0</v>
      </c>
      <c r="BY76" s="52">
        <f t="shared" si="53"/>
        <v>0</v>
      </c>
      <c r="BZ76" s="66">
        <f t="shared" si="54"/>
        <v>0</v>
      </c>
      <c r="CA76" s="54">
        <f t="shared" ref="CA76:CA139" si="55">SUM(J76,L76,N76,P76,R76,T76,X76,Z76,AB76,AD76,AF76,AH76,AL76,AN76,AP76,AR76,AT76,AV76,AZ76,BB76,BD76,BF76,BH76,BP76)</f>
        <v>0</v>
      </c>
      <c r="CB76" s="55">
        <f t="shared" ref="CB76:CB139" si="56">SUM(H76,V76,AJ76,AX76,BL76)</f>
        <v>0</v>
      </c>
      <c r="CC76" s="56">
        <f t="shared" ref="CC76:CC139" si="57">SUM(BJ76,BN76)</f>
        <v>0</v>
      </c>
      <c r="CD76" s="57"/>
      <c r="CE76" s="49"/>
      <c r="CF76" s="57" t="e">
        <f t="shared" ref="CF76:CF95" si="58">CD76*CI76</f>
        <v>#N/A</v>
      </c>
      <c r="CG76" s="58">
        <f t="shared" ref="CG76:CG139" si="59">F76-BY76+1</f>
        <v>1</v>
      </c>
      <c r="CH76" s="57">
        <f t="shared" ref="CH76:CH139" si="60">CE76*16</f>
        <v>0</v>
      </c>
      <c r="CI76" s="59" t="e">
        <f>VLOOKUP(A76,[1]DATA!$A$6:$AI$331,34,0)</f>
        <v>#N/A</v>
      </c>
      <c r="CJ76" s="60" t="e">
        <f>VLOOKUP(A76,[2]CHAMCONG!A$7:CI$333,79,0)</f>
        <v>#N/A</v>
      </c>
      <c r="CK76" s="61" t="e">
        <f t="shared" ref="CK76:CK139" si="61">CJ76-CA76</f>
        <v>#N/A</v>
      </c>
    </row>
    <row r="77" spans="1:89" s="62" customFormat="1" ht="15.75" customHeight="1" x14ac:dyDescent="0.25">
      <c r="A77" s="63"/>
      <c r="B77" s="64"/>
      <c r="C77" s="45"/>
      <c r="D77" s="46"/>
      <c r="E77" s="47"/>
      <c r="F77" s="48"/>
      <c r="G77" s="49"/>
      <c r="H77" s="51"/>
      <c r="I77" s="50"/>
      <c r="J77" s="51"/>
      <c r="K77" s="50"/>
      <c r="L77" s="51"/>
      <c r="M77" s="50"/>
      <c r="N77" s="51"/>
      <c r="O77" s="50"/>
      <c r="P77" s="51"/>
      <c r="Q77" s="51"/>
      <c r="R77" s="51"/>
      <c r="S77" s="50"/>
      <c r="T77" s="51"/>
      <c r="U77" s="50"/>
      <c r="V77" s="51"/>
      <c r="W77" s="50"/>
      <c r="X77" s="51"/>
      <c r="Y77" s="50"/>
      <c r="Z77" s="51"/>
      <c r="AA77" s="50"/>
      <c r="AB77" s="51"/>
      <c r="AC77" s="50"/>
      <c r="AD77" s="51"/>
      <c r="AE77" s="51"/>
      <c r="AF77" s="51"/>
      <c r="AG77" s="50"/>
      <c r="AH77" s="51"/>
      <c r="AI77" s="50"/>
      <c r="AJ77" s="51"/>
      <c r="AK77" s="50"/>
      <c r="AL77" s="51"/>
      <c r="AM77" s="50"/>
      <c r="AN77" s="51"/>
      <c r="AO77" s="50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2">
        <f t="shared" si="46"/>
        <v>0</v>
      </c>
      <c r="BR77" s="52">
        <f t="shared" si="47"/>
        <v>0</v>
      </c>
      <c r="BS77" s="52">
        <f t="shared" si="48"/>
        <v>0</v>
      </c>
      <c r="BT77" s="52">
        <f t="shared" si="49"/>
        <v>0</v>
      </c>
      <c r="BU77" s="52">
        <f t="shared" si="50"/>
        <v>0</v>
      </c>
      <c r="BV77" s="65"/>
      <c r="BW77" s="52">
        <f t="shared" si="51"/>
        <v>0</v>
      </c>
      <c r="BX77" s="52">
        <f t="shared" si="52"/>
        <v>0</v>
      </c>
      <c r="BY77" s="52">
        <f t="shared" si="53"/>
        <v>0</v>
      </c>
      <c r="BZ77" s="66">
        <f t="shared" si="54"/>
        <v>0</v>
      </c>
      <c r="CA77" s="54">
        <f t="shared" si="55"/>
        <v>0</v>
      </c>
      <c r="CB77" s="55">
        <f t="shared" si="56"/>
        <v>0</v>
      </c>
      <c r="CC77" s="56">
        <f t="shared" si="57"/>
        <v>0</v>
      </c>
      <c r="CD77" s="57">
        <f t="shared" ref="CD77:CD139" si="62">IF(BZ77&gt;25,4,IF(BZ77&gt;18,3,IF(BZ77&gt;12,2,IF(BZ77&gt;4,1,0))))-BX77-2+1</f>
        <v>-1</v>
      </c>
      <c r="CE77" s="49"/>
      <c r="CF77" s="57" t="e">
        <f t="shared" si="58"/>
        <v>#N/A</v>
      </c>
      <c r="CG77" s="58">
        <f t="shared" si="59"/>
        <v>1</v>
      </c>
      <c r="CH77" s="57">
        <f t="shared" si="60"/>
        <v>0</v>
      </c>
      <c r="CI77" s="59" t="e">
        <f>VLOOKUP(A77,[1]DATA!$A$6:$AI$331,34,0)</f>
        <v>#N/A</v>
      </c>
      <c r="CJ77" s="60" t="e">
        <f>VLOOKUP(A77,[2]CHAMCONG!A$7:CI$333,79,0)</f>
        <v>#N/A</v>
      </c>
      <c r="CK77" s="61" t="e">
        <f t="shared" si="61"/>
        <v>#N/A</v>
      </c>
    </row>
    <row r="78" spans="1:89" s="62" customFormat="1" ht="15.75" customHeight="1" x14ac:dyDescent="0.25">
      <c r="A78" s="63"/>
      <c r="B78" s="64"/>
      <c r="C78" s="45"/>
      <c r="D78" s="46"/>
      <c r="E78" s="47"/>
      <c r="F78" s="48"/>
      <c r="G78" s="49"/>
      <c r="H78" s="51"/>
      <c r="I78" s="49"/>
      <c r="J78" s="51"/>
      <c r="K78" s="49"/>
      <c r="L78" s="51"/>
      <c r="M78" s="49"/>
      <c r="N78" s="51"/>
      <c r="O78" s="49"/>
      <c r="P78" s="51"/>
      <c r="Q78" s="50"/>
      <c r="R78" s="67"/>
      <c r="S78" s="51"/>
      <c r="T78" s="51"/>
      <c r="U78" s="49"/>
      <c r="V78" s="51"/>
      <c r="W78" s="49"/>
      <c r="X78" s="51"/>
      <c r="Y78" s="49"/>
      <c r="Z78" s="51"/>
      <c r="AA78" s="49"/>
      <c r="AB78" s="51"/>
      <c r="AC78" s="51"/>
      <c r="AD78" s="51"/>
      <c r="AE78" s="51"/>
      <c r="AF78" s="51"/>
      <c r="AG78" s="49"/>
      <c r="AH78" s="51"/>
      <c r="AI78" s="49"/>
      <c r="AJ78" s="51"/>
      <c r="AK78" s="49"/>
      <c r="AL78" s="51"/>
      <c r="AM78" s="49"/>
      <c r="AN78" s="51"/>
      <c r="AO78" s="49"/>
      <c r="AP78" s="51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2">
        <f t="shared" si="46"/>
        <v>0</v>
      </c>
      <c r="BR78" s="52">
        <f t="shared" si="47"/>
        <v>0</v>
      </c>
      <c r="BS78" s="52">
        <f t="shared" si="48"/>
        <v>0</v>
      </c>
      <c r="BT78" s="52">
        <f t="shared" si="49"/>
        <v>0</v>
      </c>
      <c r="BU78" s="52">
        <f t="shared" si="50"/>
        <v>0</v>
      </c>
      <c r="BV78" s="65"/>
      <c r="BW78" s="52">
        <f t="shared" si="51"/>
        <v>0</v>
      </c>
      <c r="BX78" s="52">
        <f t="shared" si="52"/>
        <v>0</v>
      </c>
      <c r="BY78" s="52">
        <f t="shared" si="53"/>
        <v>0</v>
      </c>
      <c r="BZ78" s="66">
        <f t="shared" si="54"/>
        <v>0</v>
      </c>
      <c r="CA78" s="54">
        <f t="shared" si="55"/>
        <v>0</v>
      </c>
      <c r="CB78" s="55">
        <f t="shared" si="56"/>
        <v>0</v>
      </c>
      <c r="CC78" s="56">
        <f t="shared" si="57"/>
        <v>0</v>
      </c>
      <c r="CD78" s="57">
        <f t="shared" si="62"/>
        <v>-1</v>
      </c>
      <c r="CE78" s="49"/>
      <c r="CF78" s="57" t="e">
        <f t="shared" si="58"/>
        <v>#N/A</v>
      </c>
      <c r="CG78" s="58">
        <f t="shared" si="59"/>
        <v>1</v>
      </c>
      <c r="CH78" s="57">
        <f t="shared" si="60"/>
        <v>0</v>
      </c>
      <c r="CI78" s="59" t="e">
        <f>VLOOKUP(A78,[1]DATA!$A$6:$AI$331,34,0)</f>
        <v>#N/A</v>
      </c>
      <c r="CJ78" s="60" t="e">
        <f>VLOOKUP(A78,[2]CHAMCONG!A$7:CI$333,79,0)</f>
        <v>#N/A</v>
      </c>
      <c r="CK78" s="61" t="e">
        <f t="shared" si="61"/>
        <v>#N/A</v>
      </c>
    </row>
    <row r="79" spans="1:89" s="62" customFormat="1" ht="15.75" customHeight="1" x14ac:dyDescent="0.25">
      <c r="A79" s="69"/>
      <c r="B79" s="64"/>
      <c r="C79" s="45"/>
      <c r="D79" s="46"/>
      <c r="E79" s="47"/>
      <c r="F79" s="48"/>
      <c r="G79" s="49"/>
      <c r="H79" s="51"/>
      <c r="I79" s="49"/>
      <c r="J79" s="51"/>
      <c r="K79" s="49"/>
      <c r="L79" s="51"/>
      <c r="M79" s="49"/>
      <c r="N79" s="51"/>
      <c r="O79" s="49"/>
      <c r="P79" s="51"/>
      <c r="Q79" s="49"/>
      <c r="R79" s="51"/>
      <c r="S79" s="49"/>
      <c r="T79" s="51"/>
      <c r="U79" s="49"/>
      <c r="V79" s="51"/>
      <c r="W79" s="49"/>
      <c r="X79" s="51"/>
      <c r="Y79" s="49"/>
      <c r="Z79" s="51"/>
      <c r="AA79" s="49"/>
      <c r="AB79" s="51"/>
      <c r="AC79" s="49"/>
      <c r="AD79" s="51"/>
      <c r="AE79" s="50"/>
      <c r="AF79" s="67"/>
      <c r="AG79" s="50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0"/>
      <c r="AX79" s="51"/>
      <c r="AY79" s="49"/>
      <c r="AZ79" s="51"/>
      <c r="BA79" s="49"/>
      <c r="BB79" s="51"/>
      <c r="BC79" s="49"/>
      <c r="BD79" s="51"/>
      <c r="BE79" s="49"/>
      <c r="BF79" s="51"/>
      <c r="BG79" s="49"/>
      <c r="BH79" s="51"/>
      <c r="BI79" s="51"/>
      <c r="BJ79" s="51"/>
      <c r="BK79" s="51"/>
      <c r="BL79" s="51"/>
      <c r="BM79" s="51"/>
      <c r="BN79" s="51"/>
      <c r="BO79" s="49"/>
      <c r="BP79" s="51"/>
      <c r="BQ79" s="52">
        <f t="shared" si="46"/>
        <v>0</v>
      </c>
      <c r="BR79" s="52">
        <f t="shared" si="47"/>
        <v>0</v>
      </c>
      <c r="BS79" s="52">
        <f t="shared" si="48"/>
        <v>0</v>
      </c>
      <c r="BT79" s="52">
        <f t="shared" si="49"/>
        <v>0</v>
      </c>
      <c r="BU79" s="52">
        <f t="shared" si="50"/>
        <v>0</v>
      </c>
      <c r="BV79" s="65"/>
      <c r="BW79" s="52">
        <f t="shared" si="51"/>
        <v>0</v>
      </c>
      <c r="BX79" s="52">
        <f t="shared" si="52"/>
        <v>0</v>
      </c>
      <c r="BY79" s="52">
        <f t="shared" si="53"/>
        <v>0</v>
      </c>
      <c r="BZ79" s="66">
        <f t="shared" si="54"/>
        <v>0</v>
      </c>
      <c r="CA79" s="54">
        <f t="shared" si="55"/>
        <v>0</v>
      </c>
      <c r="CB79" s="55">
        <f t="shared" si="56"/>
        <v>0</v>
      </c>
      <c r="CC79" s="56">
        <f t="shared" si="57"/>
        <v>0</v>
      </c>
      <c r="CD79" s="57">
        <f t="shared" si="62"/>
        <v>-1</v>
      </c>
      <c r="CE79" s="49"/>
      <c r="CF79" s="57" t="e">
        <f t="shared" si="58"/>
        <v>#N/A</v>
      </c>
      <c r="CG79" s="58">
        <f t="shared" si="59"/>
        <v>1</v>
      </c>
      <c r="CH79" s="57">
        <f t="shared" si="60"/>
        <v>0</v>
      </c>
      <c r="CI79" s="59" t="e">
        <f>VLOOKUP(A79,[1]DATA!$A$6:$AI$331,34,0)</f>
        <v>#N/A</v>
      </c>
      <c r="CJ79" s="60" t="e">
        <f>VLOOKUP(A79,[2]CHAMCONG!A$7:CI$333,79,0)</f>
        <v>#N/A</v>
      </c>
      <c r="CK79" s="61" t="e">
        <f t="shared" si="61"/>
        <v>#N/A</v>
      </c>
    </row>
    <row r="80" spans="1:89" s="62" customFormat="1" ht="15.75" customHeight="1" x14ac:dyDescent="0.25">
      <c r="A80" s="63"/>
      <c r="B80" s="64"/>
      <c r="C80" s="45"/>
      <c r="D80" s="46"/>
      <c r="E80" s="47"/>
      <c r="F80" s="48"/>
      <c r="G80" s="49"/>
      <c r="H80" s="51"/>
      <c r="I80" s="50"/>
      <c r="J80" s="51"/>
      <c r="K80" s="50"/>
      <c r="L80" s="51"/>
      <c r="M80" s="50"/>
      <c r="N80" s="51"/>
      <c r="O80" s="50"/>
      <c r="P80" s="51"/>
      <c r="Q80" s="50"/>
      <c r="R80" s="67"/>
      <c r="S80" s="50"/>
      <c r="T80" s="51"/>
      <c r="U80" s="49"/>
      <c r="V80" s="51"/>
      <c r="W80" s="49"/>
      <c r="X80" s="51"/>
      <c r="Y80" s="49"/>
      <c r="Z80" s="51"/>
      <c r="AA80" s="49"/>
      <c r="AB80" s="51"/>
      <c r="AC80" s="49"/>
      <c r="AD80" s="51"/>
      <c r="AE80" s="51"/>
      <c r="AF80" s="51"/>
      <c r="AG80" s="49"/>
      <c r="AH80" s="51"/>
      <c r="AI80" s="49"/>
      <c r="AJ80" s="51"/>
      <c r="AK80" s="49"/>
      <c r="AL80" s="51"/>
      <c r="AM80" s="49"/>
      <c r="AN80" s="51"/>
      <c r="AO80" s="49"/>
      <c r="AP80" s="51"/>
      <c r="AQ80" s="51"/>
      <c r="AR80" s="51"/>
      <c r="AS80" s="49"/>
      <c r="AT80" s="51"/>
      <c r="AU80" s="49"/>
      <c r="AV80" s="51"/>
      <c r="AW80" s="51"/>
      <c r="AX80" s="51"/>
      <c r="AY80" s="50"/>
      <c r="AZ80" s="51"/>
      <c r="BA80" s="50"/>
      <c r="BB80" s="51"/>
      <c r="BC80" s="50"/>
      <c r="BD80" s="51"/>
      <c r="BE80" s="50"/>
      <c r="BF80" s="51"/>
      <c r="BG80" s="50"/>
      <c r="BH80" s="67"/>
      <c r="BI80" s="49"/>
      <c r="BJ80" s="51"/>
      <c r="BK80" s="49"/>
      <c r="BL80" s="51"/>
      <c r="BM80" s="49"/>
      <c r="BN80" s="51"/>
      <c r="BO80" s="51"/>
      <c r="BP80" s="51"/>
      <c r="BQ80" s="52">
        <f t="shared" si="46"/>
        <v>0</v>
      </c>
      <c r="BR80" s="52">
        <f t="shared" si="47"/>
        <v>0</v>
      </c>
      <c r="BS80" s="52">
        <f t="shared" si="48"/>
        <v>0</v>
      </c>
      <c r="BT80" s="52">
        <f t="shared" si="49"/>
        <v>0</v>
      </c>
      <c r="BU80" s="52">
        <f t="shared" si="50"/>
        <v>0</v>
      </c>
      <c r="BV80" s="65"/>
      <c r="BW80" s="52">
        <f t="shared" si="51"/>
        <v>0</v>
      </c>
      <c r="BX80" s="52">
        <f t="shared" si="52"/>
        <v>0</v>
      </c>
      <c r="BY80" s="52">
        <f t="shared" si="53"/>
        <v>0</v>
      </c>
      <c r="BZ80" s="66">
        <f t="shared" si="54"/>
        <v>0</v>
      </c>
      <c r="CA80" s="54">
        <f t="shared" si="55"/>
        <v>0</v>
      </c>
      <c r="CB80" s="55">
        <f t="shared" si="56"/>
        <v>0</v>
      </c>
      <c r="CC80" s="56">
        <f t="shared" si="57"/>
        <v>0</v>
      </c>
      <c r="CD80" s="57">
        <f t="shared" si="62"/>
        <v>-1</v>
      </c>
      <c r="CE80" s="49"/>
      <c r="CF80" s="57" t="e">
        <f t="shared" si="58"/>
        <v>#N/A</v>
      </c>
      <c r="CG80" s="58">
        <f t="shared" si="59"/>
        <v>1</v>
      </c>
      <c r="CH80" s="57">
        <f t="shared" si="60"/>
        <v>0</v>
      </c>
      <c r="CI80" s="59" t="e">
        <f>VLOOKUP(A80,[1]DATA!$A$6:$AI$331,34,0)</f>
        <v>#N/A</v>
      </c>
      <c r="CJ80" s="60" t="e">
        <f>VLOOKUP(A80,[2]CHAMCONG!A$7:CI$333,79,0)</f>
        <v>#N/A</v>
      </c>
      <c r="CK80" s="61" t="e">
        <f t="shared" si="61"/>
        <v>#N/A</v>
      </c>
    </row>
    <row r="81" spans="1:89" s="62" customFormat="1" ht="15.75" customHeight="1" x14ac:dyDescent="0.25">
      <c r="A81" s="63"/>
      <c r="B81" s="64"/>
      <c r="C81" s="45"/>
      <c r="D81" s="46"/>
      <c r="E81" s="47"/>
      <c r="F81" s="48"/>
      <c r="G81" s="49"/>
      <c r="H81" s="51"/>
      <c r="I81" s="50"/>
      <c r="J81" s="51"/>
      <c r="K81" s="51"/>
      <c r="L81" s="51"/>
      <c r="M81" s="51"/>
      <c r="N81" s="51"/>
      <c r="O81" s="50"/>
      <c r="P81" s="51"/>
      <c r="Q81" s="51"/>
      <c r="R81" s="67"/>
      <c r="S81" s="51"/>
      <c r="T81" s="51"/>
      <c r="U81" s="49"/>
      <c r="V81" s="51"/>
      <c r="W81" s="50"/>
      <c r="X81" s="51"/>
      <c r="Y81" s="51"/>
      <c r="Z81" s="51"/>
      <c r="AA81" s="51"/>
      <c r="AB81" s="51"/>
      <c r="AC81" s="50"/>
      <c r="AD81" s="51"/>
      <c r="AE81" s="51"/>
      <c r="AF81" s="51"/>
      <c r="AG81" s="51"/>
      <c r="AH81" s="51"/>
      <c r="AI81" s="51"/>
      <c r="AJ81" s="51"/>
      <c r="AK81" s="50"/>
      <c r="AL81" s="51"/>
      <c r="AM81" s="51"/>
      <c r="AN81" s="51"/>
      <c r="AO81" s="51"/>
      <c r="AP81" s="51"/>
      <c r="AQ81" s="50"/>
      <c r="AR81" s="51"/>
      <c r="AS81" s="51"/>
      <c r="AT81" s="51"/>
      <c r="AU81" s="51"/>
      <c r="AV81" s="51"/>
      <c r="AW81" s="51"/>
      <c r="AX81" s="51"/>
      <c r="AY81" s="50"/>
      <c r="AZ81" s="51"/>
      <c r="BA81" s="51"/>
      <c r="BB81" s="51"/>
      <c r="BC81" s="51"/>
      <c r="BD81" s="51"/>
      <c r="BE81" s="50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2">
        <f t="shared" si="46"/>
        <v>0</v>
      </c>
      <c r="BR81" s="52">
        <f t="shared" si="47"/>
        <v>0</v>
      </c>
      <c r="BS81" s="52">
        <f t="shared" si="48"/>
        <v>0</v>
      </c>
      <c r="BT81" s="52">
        <f t="shared" si="49"/>
        <v>0</v>
      </c>
      <c r="BU81" s="52">
        <f t="shared" si="50"/>
        <v>0</v>
      </c>
      <c r="BV81" s="65"/>
      <c r="BW81" s="52">
        <f t="shared" si="51"/>
        <v>0</v>
      </c>
      <c r="BX81" s="52">
        <f t="shared" si="52"/>
        <v>0</v>
      </c>
      <c r="BY81" s="52">
        <f t="shared" si="53"/>
        <v>0</v>
      </c>
      <c r="BZ81" s="66">
        <f t="shared" si="54"/>
        <v>0</v>
      </c>
      <c r="CA81" s="54">
        <f t="shared" si="55"/>
        <v>0</v>
      </c>
      <c r="CB81" s="55">
        <f t="shared" si="56"/>
        <v>0</v>
      </c>
      <c r="CC81" s="56">
        <f t="shared" si="57"/>
        <v>0</v>
      </c>
      <c r="CD81" s="57">
        <f t="shared" si="62"/>
        <v>-1</v>
      </c>
      <c r="CE81" s="49"/>
      <c r="CF81" s="57" t="e">
        <f t="shared" si="58"/>
        <v>#N/A</v>
      </c>
      <c r="CG81" s="58">
        <f t="shared" si="59"/>
        <v>1</v>
      </c>
      <c r="CH81" s="57">
        <f t="shared" si="60"/>
        <v>0</v>
      </c>
      <c r="CI81" s="59" t="e">
        <f>VLOOKUP(A81,[1]DATA!$A$6:$AI$331,34,0)</f>
        <v>#N/A</v>
      </c>
      <c r="CJ81" s="60" t="e">
        <f>VLOOKUP(A81,[2]CHAMCONG!A$7:CI$333,79,0)</f>
        <v>#N/A</v>
      </c>
      <c r="CK81" s="61" t="e">
        <f t="shared" si="61"/>
        <v>#N/A</v>
      </c>
    </row>
    <row r="82" spans="1:89" s="62" customFormat="1" ht="15.75" customHeight="1" x14ac:dyDescent="0.25">
      <c r="A82" s="69"/>
      <c r="B82" s="64"/>
      <c r="C82" s="45"/>
      <c r="D82" s="46"/>
      <c r="E82" s="47"/>
      <c r="F82" s="48"/>
      <c r="G82" s="49"/>
      <c r="H82" s="51"/>
      <c r="I82" s="50"/>
      <c r="J82" s="51"/>
      <c r="K82" s="51"/>
      <c r="L82" s="51"/>
      <c r="M82" s="51"/>
      <c r="N82" s="51"/>
      <c r="O82" s="50"/>
      <c r="P82" s="51"/>
      <c r="Q82" s="51"/>
      <c r="R82" s="51"/>
      <c r="S82" s="51"/>
      <c r="T82" s="51"/>
      <c r="U82" s="49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2">
        <f t="shared" si="46"/>
        <v>0</v>
      </c>
      <c r="BR82" s="52">
        <f t="shared" si="47"/>
        <v>0</v>
      </c>
      <c r="BS82" s="52">
        <f t="shared" si="48"/>
        <v>0</v>
      </c>
      <c r="BT82" s="52">
        <f t="shared" si="49"/>
        <v>0</v>
      </c>
      <c r="BU82" s="52">
        <f t="shared" si="50"/>
        <v>0</v>
      </c>
      <c r="BV82" s="65"/>
      <c r="BW82" s="52">
        <f t="shared" si="51"/>
        <v>0</v>
      </c>
      <c r="BX82" s="52">
        <f t="shared" si="52"/>
        <v>0</v>
      </c>
      <c r="BY82" s="52">
        <f t="shared" si="53"/>
        <v>0</v>
      </c>
      <c r="BZ82" s="66">
        <f t="shared" si="54"/>
        <v>0</v>
      </c>
      <c r="CA82" s="54">
        <f t="shared" si="55"/>
        <v>0</v>
      </c>
      <c r="CB82" s="55">
        <f t="shared" si="56"/>
        <v>0</v>
      </c>
      <c r="CC82" s="56">
        <f t="shared" si="57"/>
        <v>0</v>
      </c>
      <c r="CD82" s="57">
        <f t="shared" si="62"/>
        <v>-1</v>
      </c>
      <c r="CE82" s="49"/>
      <c r="CF82" s="57" t="e">
        <f t="shared" si="58"/>
        <v>#N/A</v>
      </c>
      <c r="CG82" s="58">
        <f t="shared" si="59"/>
        <v>1</v>
      </c>
      <c r="CH82" s="57">
        <f t="shared" si="60"/>
        <v>0</v>
      </c>
      <c r="CI82" s="59" t="e">
        <f>VLOOKUP(A82,[1]DATA!$A$6:$AI$331,34,0)</f>
        <v>#N/A</v>
      </c>
      <c r="CJ82" s="60" t="e">
        <f>VLOOKUP(A82,[2]CHAMCONG!A$7:CI$333,79,0)</f>
        <v>#N/A</v>
      </c>
      <c r="CK82" s="61" t="e">
        <f t="shared" si="61"/>
        <v>#N/A</v>
      </c>
    </row>
    <row r="83" spans="1:89" s="62" customFormat="1" ht="15.75" customHeight="1" x14ac:dyDescent="0.25">
      <c r="A83" s="69"/>
      <c r="B83" s="64"/>
      <c r="C83" s="45"/>
      <c r="D83" s="46"/>
      <c r="E83" s="47"/>
      <c r="F83" s="48"/>
      <c r="G83" s="49"/>
      <c r="H83" s="51"/>
      <c r="I83" s="50"/>
      <c r="J83" s="51"/>
      <c r="K83" s="50"/>
      <c r="L83" s="51"/>
      <c r="M83" s="50"/>
      <c r="N83" s="51"/>
      <c r="O83" s="50"/>
      <c r="P83" s="51"/>
      <c r="Q83" s="50"/>
      <c r="R83" s="67"/>
      <c r="S83" s="50"/>
      <c r="T83" s="51"/>
      <c r="U83" s="50"/>
      <c r="V83" s="51"/>
      <c r="W83" s="50"/>
      <c r="X83" s="51"/>
      <c r="Y83" s="50"/>
      <c r="Z83" s="51"/>
      <c r="AA83" s="50"/>
      <c r="AB83" s="51"/>
      <c r="AC83" s="50"/>
      <c r="AD83" s="51"/>
      <c r="AE83" s="50"/>
      <c r="AF83" s="67"/>
      <c r="AG83" s="50"/>
      <c r="AH83" s="51"/>
      <c r="AI83" s="50"/>
      <c r="AJ83" s="51"/>
      <c r="AK83" s="50"/>
      <c r="AL83" s="51"/>
      <c r="AM83" s="50"/>
      <c r="AN83" s="51"/>
      <c r="AO83" s="50"/>
      <c r="AP83" s="51"/>
      <c r="AQ83" s="50"/>
      <c r="AR83" s="51"/>
      <c r="AS83" s="50"/>
      <c r="AT83" s="67"/>
      <c r="AU83" s="50"/>
      <c r="AV83" s="51"/>
      <c r="AW83" s="51"/>
      <c r="AX83" s="51"/>
      <c r="AY83" s="50"/>
      <c r="AZ83" s="51"/>
      <c r="BA83" s="50"/>
      <c r="BB83" s="51"/>
      <c r="BC83" s="50"/>
      <c r="BD83" s="51"/>
      <c r="BE83" s="50"/>
      <c r="BF83" s="51"/>
      <c r="BG83" s="50"/>
      <c r="BH83" s="67"/>
      <c r="BI83" s="51"/>
      <c r="BJ83" s="51"/>
      <c r="BK83" s="51"/>
      <c r="BL83" s="51"/>
      <c r="BM83" s="51"/>
      <c r="BN83" s="51"/>
      <c r="BO83" s="51"/>
      <c r="BP83" s="51"/>
      <c r="BQ83" s="52">
        <f t="shared" si="46"/>
        <v>0</v>
      </c>
      <c r="BR83" s="52">
        <f t="shared" si="47"/>
        <v>0</v>
      </c>
      <c r="BS83" s="52">
        <f t="shared" si="48"/>
        <v>0</v>
      </c>
      <c r="BT83" s="52">
        <f t="shared" si="49"/>
        <v>0</v>
      </c>
      <c r="BU83" s="52">
        <f t="shared" si="50"/>
        <v>0</v>
      </c>
      <c r="BV83" s="65"/>
      <c r="BW83" s="52">
        <f t="shared" si="51"/>
        <v>0</v>
      </c>
      <c r="BX83" s="52">
        <f t="shared" si="52"/>
        <v>0</v>
      </c>
      <c r="BY83" s="52">
        <f t="shared" si="53"/>
        <v>0</v>
      </c>
      <c r="BZ83" s="66">
        <f t="shared" si="54"/>
        <v>0</v>
      </c>
      <c r="CA83" s="54">
        <f t="shared" si="55"/>
        <v>0</v>
      </c>
      <c r="CB83" s="55">
        <f t="shared" si="56"/>
        <v>0</v>
      </c>
      <c r="CC83" s="56">
        <f t="shared" si="57"/>
        <v>0</v>
      </c>
      <c r="CD83" s="57">
        <f t="shared" si="62"/>
        <v>-1</v>
      </c>
      <c r="CE83" s="49">
        <v>3</v>
      </c>
      <c r="CF83" s="57" t="e">
        <f t="shared" si="58"/>
        <v>#N/A</v>
      </c>
      <c r="CG83" s="58">
        <f t="shared" si="59"/>
        <v>1</v>
      </c>
      <c r="CH83" s="57">
        <f t="shared" si="60"/>
        <v>48</v>
      </c>
      <c r="CI83" s="59" t="e">
        <f>VLOOKUP(A83,[1]DATA!$A$6:$AI$331,34,0)</f>
        <v>#N/A</v>
      </c>
      <c r="CJ83" s="60" t="e">
        <f>VLOOKUP(A83,[2]CHAMCONG!A$7:CI$333,79,0)</f>
        <v>#N/A</v>
      </c>
      <c r="CK83" s="61" t="e">
        <f t="shared" si="61"/>
        <v>#N/A</v>
      </c>
    </row>
    <row r="84" spans="1:89" s="62" customFormat="1" ht="15.75" customHeight="1" x14ac:dyDescent="0.25">
      <c r="A84" s="63"/>
      <c r="B84" s="64"/>
      <c r="C84" s="45"/>
      <c r="D84" s="46"/>
      <c r="E84" s="47"/>
      <c r="F84" s="48"/>
      <c r="G84" s="49"/>
      <c r="H84" s="51"/>
      <c r="I84" s="49"/>
      <c r="J84" s="51"/>
      <c r="K84" s="49"/>
      <c r="L84" s="51"/>
      <c r="M84" s="49"/>
      <c r="N84" s="51"/>
      <c r="O84" s="49"/>
      <c r="P84" s="51"/>
      <c r="Q84" s="49"/>
      <c r="R84" s="51"/>
      <c r="S84" s="49"/>
      <c r="T84" s="51"/>
      <c r="U84" s="49"/>
      <c r="V84" s="51"/>
      <c r="W84" s="49"/>
      <c r="X84" s="51"/>
      <c r="Y84" s="49"/>
      <c r="Z84" s="51"/>
      <c r="AA84" s="49"/>
      <c r="AB84" s="51"/>
      <c r="AC84" s="49"/>
      <c r="AD84" s="51"/>
      <c r="AE84" s="49"/>
      <c r="AF84" s="51"/>
      <c r="AG84" s="49"/>
      <c r="AH84" s="51"/>
      <c r="AI84" s="51"/>
      <c r="AJ84" s="51"/>
      <c r="AK84" s="49"/>
      <c r="AL84" s="51"/>
      <c r="AM84" s="49"/>
      <c r="AN84" s="51"/>
      <c r="AO84" s="49"/>
      <c r="AP84" s="51"/>
      <c r="AQ84" s="49"/>
      <c r="AR84" s="51"/>
      <c r="AS84" s="49"/>
      <c r="AT84" s="51"/>
      <c r="AU84" s="49"/>
      <c r="AV84" s="51"/>
      <c r="AW84" s="51"/>
      <c r="AX84" s="51"/>
      <c r="AY84" s="49"/>
      <c r="AZ84" s="51"/>
      <c r="BA84" s="49"/>
      <c r="BB84" s="51"/>
      <c r="BC84" s="49"/>
      <c r="BD84" s="51"/>
      <c r="BE84" s="49"/>
      <c r="BF84" s="51"/>
      <c r="BG84" s="49"/>
      <c r="BH84" s="51"/>
      <c r="BI84" s="51"/>
      <c r="BJ84" s="51"/>
      <c r="BK84" s="51"/>
      <c r="BL84" s="51"/>
      <c r="BM84" s="51"/>
      <c r="BN84" s="51"/>
      <c r="BO84" s="51"/>
      <c r="BP84" s="51"/>
      <c r="BQ84" s="52">
        <f>COUNTIF($G84:$BP84,"a")+COUNTIF($G84:$BP84,"r0,a5")/2+COUNTIF($G84:$BP84,"p5,a5")/2</f>
        <v>0</v>
      </c>
      <c r="BR84" s="52">
        <f>COUNTIF($G84:$BP84,"d")+COUNTIF($G84:$BP84,"r0,d5")/2+COUNTIF($G84:$BP84,"p5,d5")/2</f>
        <v>0</v>
      </c>
      <c r="BS84" s="52">
        <f>COUNTIF($G84:$BP84,"b")+COUNTIF($G84:$BP84,"r0,b5")/2+COUNTIF($G84:$BP84,"p5,b5")/2</f>
        <v>0</v>
      </c>
      <c r="BT84" s="52">
        <f>COUNTIF($G84:$BP84,"c")+COUNTIF($G84:$BP84,"r0,c5")/2+COUNTIF($G84:$BP84,"p5,c5")/2</f>
        <v>0</v>
      </c>
      <c r="BU84" s="52">
        <f>COUNTIF($G84:$BP84,"KH")+COUNTIF($G84:$BP84,"TL")+COUNTIF($G84:$BP84,"L")</f>
        <v>0</v>
      </c>
      <c r="BV84" s="65"/>
      <c r="BW84" s="52">
        <f>COUNTIF($G84:$BP84,"hh")</f>
        <v>0</v>
      </c>
      <c r="BX84" s="52">
        <f>COUNTIF($G84:$BP84,"nt7")</f>
        <v>0</v>
      </c>
      <c r="BY84" s="52">
        <f t="shared" si="53"/>
        <v>0</v>
      </c>
      <c r="BZ84" s="66">
        <f t="shared" si="54"/>
        <v>0</v>
      </c>
      <c r="CA84" s="54">
        <f>SUM(J84,L84,N84,P84,R84,T84,X84,Z84,AB84,AD84,AF84,AH84,AL84,AN84,AP84,AR84,AT84,AV84,AZ84,BB84,BD84,BF84,BH84,BP84)</f>
        <v>0</v>
      </c>
      <c r="CB84" s="55">
        <f t="shared" si="56"/>
        <v>0</v>
      </c>
      <c r="CC84" s="56">
        <f t="shared" si="57"/>
        <v>0</v>
      </c>
      <c r="CD84" s="57">
        <f t="shared" si="62"/>
        <v>-1</v>
      </c>
      <c r="CE84" s="49">
        <v>2</v>
      </c>
      <c r="CF84" s="57" t="e">
        <f t="shared" si="58"/>
        <v>#N/A</v>
      </c>
      <c r="CG84" s="58">
        <f t="shared" si="59"/>
        <v>1</v>
      </c>
      <c r="CH84" s="57">
        <f t="shared" si="60"/>
        <v>32</v>
      </c>
      <c r="CI84" s="59" t="e">
        <f>VLOOKUP(A84,[1]DATA!$A$6:$AI$331,34,0)</f>
        <v>#N/A</v>
      </c>
      <c r="CJ84" s="60" t="e">
        <f>VLOOKUP(A84,[2]CHAMCONG!A$7:CI$333,79,0)</f>
        <v>#N/A</v>
      </c>
      <c r="CK84" s="61" t="e">
        <f t="shared" si="61"/>
        <v>#N/A</v>
      </c>
    </row>
    <row r="85" spans="1:89" s="62" customFormat="1" ht="15.75" customHeight="1" x14ac:dyDescent="0.25">
      <c r="A85" s="63"/>
      <c r="B85" s="64"/>
      <c r="C85" s="45"/>
      <c r="D85" s="46"/>
      <c r="E85" s="47"/>
      <c r="F85" s="48"/>
      <c r="G85" s="49"/>
      <c r="H85" s="51"/>
      <c r="I85" s="50"/>
      <c r="J85" s="51"/>
      <c r="K85" s="50"/>
      <c r="L85" s="51"/>
      <c r="M85" s="50"/>
      <c r="N85" s="51"/>
      <c r="O85" s="50"/>
      <c r="P85" s="51"/>
      <c r="Q85" s="50"/>
      <c r="R85" s="67"/>
      <c r="S85" s="50"/>
      <c r="T85" s="51"/>
      <c r="U85" s="50"/>
      <c r="V85" s="51"/>
      <c r="W85" s="50"/>
      <c r="X85" s="51"/>
      <c r="Y85" s="50"/>
      <c r="Z85" s="51"/>
      <c r="AA85" s="50"/>
      <c r="AB85" s="51"/>
      <c r="AC85" s="50"/>
      <c r="AD85" s="51"/>
      <c r="AE85" s="50"/>
      <c r="AF85" s="67"/>
      <c r="AG85" s="50"/>
      <c r="AH85" s="51"/>
      <c r="AI85" s="50"/>
      <c r="AJ85" s="51"/>
      <c r="AK85" s="50"/>
      <c r="AL85" s="51"/>
      <c r="AM85" s="50"/>
      <c r="AN85" s="51"/>
      <c r="AO85" s="50"/>
      <c r="AP85" s="51"/>
      <c r="AQ85" s="50"/>
      <c r="AR85" s="51"/>
      <c r="AS85" s="50"/>
      <c r="AT85" s="67"/>
      <c r="AU85" s="50"/>
      <c r="AV85" s="51"/>
      <c r="AW85" s="51"/>
      <c r="AX85" s="51"/>
      <c r="AY85" s="50"/>
      <c r="AZ85" s="51"/>
      <c r="BA85" s="50"/>
      <c r="BB85" s="51"/>
      <c r="BC85" s="50"/>
      <c r="BD85" s="51"/>
      <c r="BE85" s="50"/>
      <c r="BF85" s="51"/>
      <c r="BG85" s="50"/>
      <c r="BH85" s="67"/>
      <c r="BI85" s="51"/>
      <c r="BJ85" s="51"/>
      <c r="BK85" s="51"/>
      <c r="BL85" s="51"/>
      <c r="BM85" s="51"/>
      <c r="BN85" s="51"/>
      <c r="BO85" s="51"/>
      <c r="BP85" s="51"/>
      <c r="BQ85" s="52">
        <f t="shared" si="46"/>
        <v>0</v>
      </c>
      <c r="BR85" s="52">
        <f t="shared" si="47"/>
        <v>0</v>
      </c>
      <c r="BS85" s="52">
        <f t="shared" si="48"/>
        <v>0</v>
      </c>
      <c r="BT85" s="52">
        <f t="shared" si="49"/>
        <v>0</v>
      </c>
      <c r="BU85" s="52">
        <f t="shared" si="50"/>
        <v>0</v>
      </c>
      <c r="BV85" s="65"/>
      <c r="BW85" s="52">
        <f t="shared" si="51"/>
        <v>0</v>
      </c>
      <c r="BX85" s="52">
        <f t="shared" si="52"/>
        <v>0</v>
      </c>
      <c r="BY85" s="52">
        <f t="shared" si="53"/>
        <v>0</v>
      </c>
      <c r="BZ85" s="66">
        <f t="shared" si="54"/>
        <v>0</v>
      </c>
      <c r="CA85" s="54">
        <f t="shared" si="55"/>
        <v>0</v>
      </c>
      <c r="CB85" s="55">
        <f t="shared" si="56"/>
        <v>0</v>
      </c>
      <c r="CC85" s="56">
        <f t="shared" si="57"/>
        <v>0</v>
      </c>
      <c r="CD85" s="57">
        <f t="shared" si="62"/>
        <v>-1</v>
      </c>
      <c r="CE85" s="49">
        <v>4</v>
      </c>
      <c r="CF85" s="57" t="e">
        <f t="shared" si="58"/>
        <v>#N/A</v>
      </c>
      <c r="CG85" s="58">
        <f t="shared" si="59"/>
        <v>1</v>
      </c>
      <c r="CH85" s="57">
        <f t="shared" si="60"/>
        <v>64</v>
      </c>
      <c r="CI85" s="59" t="e">
        <f>VLOOKUP(A85,[1]DATA!$A$6:$AI$331,34,0)</f>
        <v>#N/A</v>
      </c>
      <c r="CJ85" s="60" t="e">
        <f>VLOOKUP(A85,[2]CHAMCONG!A$7:CI$333,79,0)</f>
        <v>#N/A</v>
      </c>
      <c r="CK85" s="61" t="e">
        <f t="shared" si="61"/>
        <v>#N/A</v>
      </c>
    </row>
    <row r="86" spans="1:89" s="62" customFormat="1" ht="15.75" customHeight="1" x14ac:dyDescent="0.25">
      <c r="A86" s="69"/>
      <c r="B86" s="64"/>
      <c r="C86" s="45"/>
      <c r="D86" s="46"/>
      <c r="E86" s="47"/>
      <c r="F86" s="48"/>
      <c r="G86" s="49"/>
      <c r="H86" s="51"/>
      <c r="I86" s="50"/>
      <c r="J86" s="51"/>
      <c r="K86" s="50"/>
      <c r="L86" s="51"/>
      <c r="M86" s="50"/>
      <c r="N86" s="51"/>
      <c r="O86" s="50"/>
      <c r="P86" s="51"/>
      <c r="Q86" s="50"/>
      <c r="R86" s="67"/>
      <c r="S86" s="50"/>
      <c r="T86" s="51"/>
      <c r="U86" s="50"/>
      <c r="V86" s="51"/>
      <c r="W86" s="50"/>
      <c r="X86" s="51"/>
      <c r="Y86" s="50"/>
      <c r="Z86" s="51"/>
      <c r="AA86" s="50"/>
      <c r="AB86" s="51"/>
      <c r="AC86" s="50"/>
      <c r="AD86" s="51"/>
      <c r="AE86" s="50"/>
      <c r="AF86" s="67"/>
      <c r="AG86" s="50"/>
      <c r="AH86" s="51"/>
      <c r="AI86" s="50"/>
      <c r="AJ86" s="51"/>
      <c r="AK86" s="50"/>
      <c r="AL86" s="51"/>
      <c r="AM86" s="50"/>
      <c r="AN86" s="51"/>
      <c r="AO86" s="50"/>
      <c r="AP86" s="51"/>
      <c r="AQ86" s="50"/>
      <c r="AR86" s="51"/>
      <c r="AS86" s="50"/>
      <c r="AT86" s="67"/>
      <c r="AU86" s="51"/>
      <c r="AV86" s="51"/>
      <c r="AW86" s="51"/>
      <c r="AX86" s="51"/>
      <c r="AY86" s="50"/>
      <c r="AZ86" s="51"/>
      <c r="BA86" s="50"/>
      <c r="BB86" s="51"/>
      <c r="BC86" s="50"/>
      <c r="BD86" s="51"/>
      <c r="BE86" s="50"/>
      <c r="BF86" s="51"/>
      <c r="BG86" s="50"/>
      <c r="BH86" s="67"/>
      <c r="BI86" s="51"/>
      <c r="BJ86" s="51"/>
      <c r="BK86" s="51"/>
      <c r="BL86" s="51"/>
      <c r="BM86" s="51"/>
      <c r="BN86" s="51"/>
      <c r="BO86" s="51"/>
      <c r="BP86" s="51"/>
      <c r="BQ86" s="52">
        <f t="shared" si="46"/>
        <v>0</v>
      </c>
      <c r="BR86" s="52">
        <f t="shared" si="47"/>
        <v>0</v>
      </c>
      <c r="BS86" s="52">
        <f t="shared" si="48"/>
        <v>0</v>
      </c>
      <c r="BT86" s="52">
        <f t="shared" si="49"/>
        <v>0</v>
      </c>
      <c r="BU86" s="52">
        <f t="shared" si="50"/>
        <v>0</v>
      </c>
      <c r="BV86" s="65"/>
      <c r="BW86" s="52">
        <f t="shared" si="51"/>
        <v>0</v>
      </c>
      <c r="BX86" s="52">
        <f t="shared" si="52"/>
        <v>0</v>
      </c>
      <c r="BY86" s="52">
        <f t="shared" si="53"/>
        <v>0</v>
      </c>
      <c r="BZ86" s="66">
        <f t="shared" si="54"/>
        <v>0</v>
      </c>
      <c r="CA86" s="54">
        <f t="shared" si="55"/>
        <v>0</v>
      </c>
      <c r="CB86" s="55">
        <f t="shared" si="56"/>
        <v>0</v>
      </c>
      <c r="CC86" s="56">
        <f t="shared" si="57"/>
        <v>0</v>
      </c>
      <c r="CD86" s="57">
        <f t="shared" si="62"/>
        <v>-1</v>
      </c>
      <c r="CE86" s="49">
        <v>4</v>
      </c>
      <c r="CF86" s="57" t="e">
        <f t="shared" si="58"/>
        <v>#N/A</v>
      </c>
      <c r="CG86" s="58">
        <f t="shared" si="59"/>
        <v>1</v>
      </c>
      <c r="CH86" s="57">
        <f t="shared" si="60"/>
        <v>64</v>
      </c>
      <c r="CI86" s="59" t="e">
        <f>VLOOKUP(A86,[1]DATA!$A$6:$AI$331,34,0)</f>
        <v>#N/A</v>
      </c>
      <c r="CJ86" s="60" t="e">
        <f>VLOOKUP(A86,[2]CHAMCONG!A$7:CI$333,79,0)</f>
        <v>#N/A</v>
      </c>
      <c r="CK86" s="61" t="e">
        <f t="shared" si="61"/>
        <v>#N/A</v>
      </c>
    </row>
    <row r="87" spans="1:89" s="62" customFormat="1" ht="15.75" customHeight="1" x14ac:dyDescent="0.25">
      <c r="A87" s="69"/>
      <c r="B87" s="64"/>
      <c r="C87" s="45"/>
      <c r="D87" s="46"/>
      <c r="E87" s="47"/>
      <c r="F87" s="48"/>
      <c r="G87" s="49"/>
      <c r="H87" s="51"/>
      <c r="I87" s="50"/>
      <c r="J87" s="51"/>
      <c r="K87" s="51"/>
      <c r="L87" s="51"/>
      <c r="M87" s="51"/>
      <c r="N87" s="51"/>
      <c r="O87" s="50"/>
      <c r="P87" s="51"/>
      <c r="Q87" s="51"/>
      <c r="R87" s="51"/>
      <c r="S87" s="51"/>
      <c r="T87" s="51"/>
      <c r="U87" s="49"/>
      <c r="V87" s="51"/>
      <c r="W87" s="50"/>
      <c r="X87" s="51"/>
      <c r="Y87" s="51"/>
      <c r="Z87" s="51"/>
      <c r="AA87" s="51"/>
      <c r="AB87" s="51"/>
      <c r="AC87" s="50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2">
        <f t="shared" si="46"/>
        <v>0</v>
      </c>
      <c r="BR87" s="52">
        <f t="shared" si="47"/>
        <v>0</v>
      </c>
      <c r="BS87" s="52">
        <f t="shared" si="48"/>
        <v>0</v>
      </c>
      <c r="BT87" s="52">
        <f t="shared" si="49"/>
        <v>0</v>
      </c>
      <c r="BU87" s="52">
        <f t="shared" si="50"/>
        <v>0</v>
      </c>
      <c r="BV87" s="65"/>
      <c r="BW87" s="52">
        <f t="shared" si="51"/>
        <v>0</v>
      </c>
      <c r="BX87" s="52">
        <f t="shared" si="52"/>
        <v>0</v>
      </c>
      <c r="BY87" s="52">
        <f t="shared" si="53"/>
        <v>0</v>
      </c>
      <c r="BZ87" s="66">
        <f t="shared" si="54"/>
        <v>0</v>
      </c>
      <c r="CA87" s="54">
        <f t="shared" si="55"/>
        <v>0</v>
      </c>
      <c r="CB87" s="55">
        <f t="shared" si="56"/>
        <v>0</v>
      </c>
      <c r="CC87" s="56">
        <f t="shared" si="57"/>
        <v>0</v>
      </c>
      <c r="CD87" s="57">
        <f t="shared" si="62"/>
        <v>-1</v>
      </c>
      <c r="CE87" s="49"/>
      <c r="CF87" s="57" t="e">
        <f t="shared" si="58"/>
        <v>#N/A</v>
      </c>
      <c r="CG87" s="58">
        <f t="shared" si="59"/>
        <v>1</v>
      </c>
      <c r="CH87" s="57">
        <f t="shared" si="60"/>
        <v>0</v>
      </c>
      <c r="CI87" s="59" t="e">
        <f>VLOOKUP(A87,[1]DATA!$A$6:$AI$331,34,0)</f>
        <v>#N/A</v>
      </c>
      <c r="CJ87" s="60" t="e">
        <f>VLOOKUP(A87,[2]CHAMCONG!A$7:CI$333,79,0)</f>
        <v>#N/A</v>
      </c>
      <c r="CK87" s="61" t="e">
        <f t="shared" si="61"/>
        <v>#N/A</v>
      </c>
    </row>
    <row r="88" spans="1:89" s="62" customFormat="1" ht="15.75" customHeight="1" x14ac:dyDescent="0.25">
      <c r="A88" s="69"/>
      <c r="B88" s="64"/>
      <c r="C88" s="45"/>
      <c r="D88" s="46"/>
      <c r="E88" s="47"/>
      <c r="F88" s="48"/>
      <c r="G88" s="49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49"/>
      <c r="T88" s="51"/>
      <c r="U88" s="49"/>
      <c r="V88" s="51"/>
      <c r="W88" s="51"/>
      <c r="X88" s="51"/>
      <c r="Y88" s="51"/>
      <c r="Z88" s="51"/>
      <c r="AA88" s="50"/>
      <c r="AB88" s="51"/>
      <c r="AC88" s="50"/>
      <c r="AD88" s="51"/>
      <c r="AE88" s="50"/>
      <c r="AF88" s="67"/>
      <c r="AG88" s="50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49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2">
        <f t="shared" si="46"/>
        <v>0</v>
      </c>
      <c r="BR88" s="52">
        <f t="shared" si="47"/>
        <v>0</v>
      </c>
      <c r="BS88" s="52">
        <f t="shared" si="48"/>
        <v>0</v>
      </c>
      <c r="BT88" s="52">
        <f t="shared" si="49"/>
        <v>0</v>
      </c>
      <c r="BU88" s="52">
        <f t="shared" si="50"/>
        <v>0</v>
      </c>
      <c r="BV88" s="65"/>
      <c r="BW88" s="52">
        <f t="shared" si="51"/>
        <v>0</v>
      </c>
      <c r="BX88" s="52">
        <f t="shared" si="52"/>
        <v>0</v>
      </c>
      <c r="BY88" s="52">
        <f t="shared" si="53"/>
        <v>0</v>
      </c>
      <c r="BZ88" s="66">
        <f t="shared" si="54"/>
        <v>0</v>
      </c>
      <c r="CA88" s="54">
        <f t="shared" si="55"/>
        <v>0</v>
      </c>
      <c r="CB88" s="55">
        <f t="shared" si="56"/>
        <v>0</v>
      </c>
      <c r="CC88" s="56">
        <f t="shared" si="57"/>
        <v>0</v>
      </c>
      <c r="CD88" s="57">
        <f t="shared" si="62"/>
        <v>-1</v>
      </c>
      <c r="CE88" s="49"/>
      <c r="CF88" s="57" t="e">
        <f t="shared" si="58"/>
        <v>#N/A</v>
      </c>
      <c r="CG88" s="58">
        <f t="shared" si="59"/>
        <v>1</v>
      </c>
      <c r="CH88" s="57">
        <f t="shared" si="60"/>
        <v>0</v>
      </c>
      <c r="CI88" s="59" t="e">
        <f>VLOOKUP(A88,[1]DATA!$A$6:$AI$331,34,0)</f>
        <v>#N/A</v>
      </c>
      <c r="CJ88" s="60" t="e">
        <f>VLOOKUP(A88,[2]CHAMCONG!A$7:CI$333,79,0)</f>
        <v>#N/A</v>
      </c>
      <c r="CK88" s="61" t="e">
        <f t="shared" si="61"/>
        <v>#N/A</v>
      </c>
    </row>
    <row r="89" spans="1:89" s="62" customFormat="1" ht="15.75" customHeight="1" x14ac:dyDescent="0.25">
      <c r="A89" s="69"/>
      <c r="B89" s="64"/>
      <c r="C89" s="45"/>
      <c r="D89" s="46"/>
      <c r="E89" s="47"/>
      <c r="F89" s="48"/>
      <c r="G89" s="49"/>
      <c r="H89" s="51"/>
      <c r="I89" s="50"/>
      <c r="J89" s="51"/>
      <c r="K89" s="50"/>
      <c r="L89" s="51"/>
      <c r="M89" s="50"/>
      <c r="N89" s="51"/>
      <c r="O89" s="50"/>
      <c r="P89" s="51"/>
      <c r="Q89" s="50"/>
      <c r="R89" s="67"/>
      <c r="S89" s="50"/>
      <c r="T89" s="51"/>
      <c r="U89" s="49"/>
      <c r="V89" s="51"/>
      <c r="W89" s="49"/>
      <c r="X89" s="51"/>
      <c r="Y89" s="49"/>
      <c r="Z89" s="51"/>
      <c r="AA89" s="49"/>
      <c r="AB89" s="51"/>
      <c r="AC89" s="49"/>
      <c r="AD89" s="51"/>
      <c r="AE89" s="49"/>
      <c r="AF89" s="49"/>
      <c r="AG89" s="49"/>
      <c r="AH89" s="51"/>
      <c r="AI89" s="51"/>
      <c r="AJ89" s="51"/>
      <c r="AK89" s="49"/>
      <c r="AL89" s="51"/>
      <c r="AM89" s="49"/>
      <c r="AN89" s="51"/>
      <c r="AO89" s="49"/>
      <c r="AP89" s="51"/>
      <c r="AQ89" s="49"/>
      <c r="AR89" s="51"/>
      <c r="AS89" s="49"/>
      <c r="AT89" s="49"/>
      <c r="AU89" s="49"/>
      <c r="AV89" s="51"/>
      <c r="AW89" s="51"/>
      <c r="AX89" s="51"/>
      <c r="AY89" s="49"/>
      <c r="AZ89" s="51"/>
      <c r="BA89" s="49"/>
      <c r="BB89" s="51"/>
      <c r="BC89" s="49"/>
      <c r="BD89" s="51"/>
      <c r="BE89" s="49"/>
      <c r="BF89" s="51"/>
      <c r="BG89" s="49"/>
      <c r="BH89" s="49"/>
      <c r="BI89" s="51"/>
      <c r="BJ89" s="51"/>
      <c r="BK89" s="51"/>
      <c r="BL89" s="51"/>
      <c r="BM89" s="51"/>
      <c r="BN89" s="51"/>
      <c r="BO89" s="51"/>
      <c r="BP89" s="51"/>
      <c r="BQ89" s="52">
        <f t="shared" si="46"/>
        <v>0</v>
      </c>
      <c r="BR89" s="52">
        <f t="shared" si="47"/>
        <v>0</v>
      </c>
      <c r="BS89" s="52">
        <f t="shared" si="48"/>
        <v>0</v>
      </c>
      <c r="BT89" s="52">
        <f t="shared" si="49"/>
        <v>0</v>
      </c>
      <c r="BU89" s="52">
        <f t="shared" si="50"/>
        <v>0</v>
      </c>
      <c r="BV89" s="65"/>
      <c r="BW89" s="52">
        <f t="shared" si="51"/>
        <v>0</v>
      </c>
      <c r="BX89" s="52">
        <f t="shared" si="52"/>
        <v>0</v>
      </c>
      <c r="BY89" s="52">
        <f t="shared" si="53"/>
        <v>0</v>
      </c>
      <c r="BZ89" s="66">
        <f t="shared" si="54"/>
        <v>0</v>
      </c>
      <c r="CA89" s="54">
        <f t="shared" si="55"/>
        <v>0</v>
      </c>
      <c r="CB89" s="55">
        <f t="shared" si="56"/>
        <v>0</v>
      </c>
      <c r="CC89" s="56">
        <f t="shared" si="57"/>
        <v>0</v>
      </c>
      <c r="CD89" s="57">
        <f t="shared" si="62"/>
        <v>-1</v>
      </c>
      <c r="CE89" s="49">
        <v>2</v>
      </c>
      <c r="CF89" s="57" t="e">
        <f t="shared" si="58"/>
        <v>#N/A</v>
      </c>
      <c r="CG89" s="58">
        <f t="shared" si="59"/>
        <v>1</v>
      </c>
      <c r="CH89" s="57">
        <f t="shared" si="60"/>
        <v>32</v>
      </c>
      <c r="CI89" s="59" t="e">
        <f>VLOOKUP(A89,[1]DATA!$A$6:$AI$331,34,0)</f>
        <v>#N/A</v>
      </c>
      <c r="CJ89" s="60" t="e">
        <f>VLOOKUP(A89,[2]CHAMCONG!A$7:CI$333,79,0)</f>
        <v>#N/A</v>
      </c>
      <c r="CK89" s="61" t="e">
        <f t="shared" si="61"/>
        <v>#N/A</v>
      </c>
    </row>
    <row r="90" spans="1:89" s="62" customFormat="1" ht="15.75" customHeight="1" x14ac:dyDescent="0.25">
      <c r="A90" s="69"/>
      <c r="B90" s="64"/>
      <c r="C90" s="45"/>
      <c r="D90" s="46"/>
      <c r="E90" s="47"/>
      <c r="F90" s="48"/>
      <c r="G90" s="49"/>
      <c r="H90" s="51"/>
      <c r="I90" s="50"/>
      <c r="J90" s="51"/>
      <c r="K90" s="50"/>
      <c r="L90" s="51"/>
      <c r="M90" s="50"/>
      <c r="N90" s="51"/>
      <c r="O90" s="50"/>
      <c r="P90" s="51"/>
      <c r="Q90" s="49"/>
      <c r="R90" s="51"/>
      <c r="S90" s="49"/>
      <c r="T90" s="51"/>
      <c r="U90" s="49"/>
      <c r="V90" s="51"/>
      <c r="W90" s="49"/>
      <c r="X90" s="51"/>
      <c r="Y90" s="49"/>
      <c r="Z90" s="51"/>
      <c r="AA90" s="49"/>
      <c r="AB90" s="51"/>
      <c r="AC90" s="49"/>
      <c r="AD90" s="51"/>
      <c r="AE90" s="50"/>
      <c r="AF90" s="67"/>
      <c r="AG90" s="50"/>
      <c r="AH90" s="51"/>
      <c r="AI90" s="50"/>
      <c r="AJ90" s="51"/>
      <c r="AK90" s="50"/>
      <c r="AL90" s="51"/>
      <c r="AM90" s="50"/>
      <c r="AN90" s="51"/>
      <c r="AO90" s="50"/>
      <c r="AP90" s="51"/>
      <c r="AQ90" s="49"/>
      <c r="AR90" s="51"/>
      <c r="AS90" s="49"/>
      <c r="AT90" s="51"/>
      <c r="AU90" s="49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49"/>
      <c r="BJ90" s="51"/>
      <c r="BK90" s="49"/>
      <c r="BL90" s="51"/>
      <c r="BM90" s="49"/>
      <c r="BN90" s="51"/>
      <c r="BO90" s="49"/>
      <c r="BP90" s="51"/>
      <c r="BQ90" s="52">
        <f t="shared" si="46"/>
        <v>0</v>
      </c>
      <c r="BR90" s="52">
        <f t="shared" si="47"/>
        <v>0</v>
      </c>
      <c r="BS90" s="52">
        <f t="shared" si="48"/>
        <v>0</v>
      </c>
      <c r="BT90" s="52">
        <f t="shared" si="49"/>
        <v>0</v>
      </c>
      <c r="BU90" s="52">
        <f t="shared" si="50"/>
        <v>0</v>
      </c>
      <c r="BV90" s="65"/>
      <c r="BW90" s="52">
        <f t="shared" si="51"/>
        <v>0</v>
      </c>
      <c r="BX90" s="52">
        <f t="shared" si="52"/>
        <v>0</v>
      </c>
      <c r="BY90" s="52">
        <f t="shared" si="53"/>
        <v>0</v>
      </c>
      <c r="BZ90" s="66">
        <f t="shared" si="54"/>
        <v>0</v>
      </c>
      <c r="CA90" s="54">
        <f t="shared" si="55"/>
        <v>0</v>
      </c>
      <c r="CB90" s="55">
        <f t="shared" si="56"/>
        <v>0</v>
      </c>
      <c r="CC90" s="56">
        <f t="shared" si="57"/>
        <v>0</v>
      </c>
      <c r="CD90" s="57">
        <f t="shared" si="62"/>
        <v>-1</v>
      </c>
      <c r="CE90" s="49">
        <v>5</v>
      </c>
      <c r="CF90" s="57" t="e">
        <f t="shared" si="58"/>
        <v>#N/A</v>
      </c>
      <c r="CG90" s="58">
        <f t="shared" si="59"/>
        <v>1</v>
      </c>
      <c r="CH90" s="57">
        <f t="shared" si="60"/>
        <v>80</v>
      </c>
      <c r="CI90" s="59" t="e">
        <f>VLOOKUP(A90,[1]DATA!$A$6:$AI$331,34,0)</f>
        <v>#N/A</v>
      </c>
      <c r="CJ90" s="60" t="e">
        <f>VLOOKUP(A90,[2]CHAMCONG!A$7:CI$333,79,0)</f>
        <v>#N/A</v>
      </c>
      <c r="CK90" s="61" t="e">
        <f t="shared" si="61"/>
        <v>#N/A</v>
      </c>
    </row>
    <row r="91" spans="1:89" s="62" customFormat="1" ht="15.75" customHeight="1" x14ac:dyDescent="0.25">
      <c r="A91" s="69"/>
      <c r="B91" s="64"/>
      <c r="C91" s="45"/>
      <c r="D91" s="46"/>
      <c r="E91" s="47"/>
      <c r="F91" s="48"/>
      <c r="G91" s="49"/>
      <c r="H91" s="51"/>
      <c r="I91" s="49"/>
      <c r="J91" s="51"/>
      <c r="K91" s="49"/>
      <c r="L91" s="51"/>
      <c r="M91" s="49"/>
      <c r="N91" s="51"/>
      <c r="O91" s="49"/>
      <c r="P91" s="51"/>
      <c r="Q91" s="49"/>
      <c r="R91" s="67"/>
      <c r="S91" s="50"/>
      <c r="T91" s="51"/>
      <c r="U91" s="49"/>
      <c r="V91" s="51"/>
      <c r="W91" s="50"/>
      <c r="X91" s="51"/>
      <c r="Y91" s="50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2">
        <f t="shared" si="46"/>
        <v>0</v>
      </c>
      <c r="BR91" s="52">
        <f t="shared" si="47"/>
        <v>0</v>
      </c>
      <c r="BS91" s="52">
        <f t="shared" si="48"/>
        <v>0</v>
      </c>
      <c r="BT91" s="52">
        <f t="shared" si="49"/>
        <v>0</v>
      </c>
      <c r="BU91" s="52">
        <f t="shared" si="50"/>
        <v>0</v>
      </c>
      <c r="BV91" s="65"/>
      <c r="BW91" s="52">
        <f t="shared" si="51"/>
        <v>0</v>
      </c>
      <c r="BX91" s="52">
        <f t="shared" si="52"/>
        <v>0</v>
      </c>
      <c r="BY91" s="52">
        <f t="shared" si="53"/>
        <v>0</v>
      </c>
      <c r="BZ91" s="66">
        <f t="shared" si="54"/>
        <v>0</v>
      </c>
      <c r="CA91" s="54">
        <f t="shared" si="55"/>
        <v>0</v>
      </c>
      <c r="CB91" s="55">
        <f t="shared" si="56"/>
        <v>0</v>
      </c>
      <c r="CC91" s="56">
        <f t="shared" si="57"/>
        <v>0</v>
      </c>
      <c r="CD91" s="57">
        <f t="shared" si="62"/>
        <v>-1</v>
      </c>
      <c r="CE91" s="49"/>
      <c r="CF91" s="57" t="e">
        <f t="shared" si="58"/>
        <v>#N/A</v>
      </c>
      <c r="CG91" s="58">
        <f t="shared" si="59"/>
        <v>1</v>
      </c>
      <c r="CH91" s="57">
        <f t="shared" si="60"/>
        <v>0</v>
      </c>
      <c r="CI91" s="59" t="e">
        <f>VLOOKUP(A91,[1]DATA!$A$6:$AI$331,34,0)</f>
        <v>#N/A</v>
      </c>
      <c r="CJ91" s="60" t="e">
        <f>VLOOKUP(A91,[2]CHAMCONG!A$7:CI$333,79,0)</f>
        <v>#N/A</v>
      </c>
      <c r="CK91" s="61" t="e">
        <f t="shared" si="61"/>
        <v>#N/A</v>
      </c>
    </row>
    <row r="92" spans="1:89" s="62" customFormat="1" ht="15.75" customHeight="1" x14ac:dyDescent="0.25">
      <c r="A92" s="69"/>
      <c r="B92" s="64"/>
      <c r="C92" s="45"/>
      <c r="D92" s="46"/>
      <c r="E92" s="47"/>
      <c r="F92" s="48"/>
      <c r="G92" s="49"/>
      <c r="H92" s="51"/>
      <c r="I92" s="50"/>
      <c r="J92" s="51"/>
      <c r="K92" s="51"/>
      <c r="L92" s="51"/>
      <c r="M92" s="51"/>
      <c r="N92" s="51"/>
      <c r="O92" s="50"/>
      <c r="P92" s="51"/>
      <c r="Q92" s="50"/>
      <c r="R92" s="67"/>
      <c r="S92" s="50"/>
      <c r="T92" s="51"/>
      <c r="U92" s="49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73"/>
      <c r="BI92" s="51"/>
      <c r="BJ92" s="51"/>
      <c r="BK92" s="51"/>
      <c r="BL92" s="51"/>
      <c r="BM92" s="51"/>
      <c r="BN92" s="51"/>
      <c r="BO92" s="51"/>
      <c r="BP92" s="51"/>
      <c r="BQ92" s="52">
        <f t="shared" si="46"/>
        <v>0</v>
      </c>
      <c r="BR92" s="52">
        <f t="shared" si="47"/>
        <v>0</v>
      </c>
      <c r="BS92" s="52">
        <f t="shared" si="48"/>
        <v>0</v>
      </c>
      <c r="BT92" s="52">
        <f t="shared" si="49"/>
        <v>0</v>
      </c>
      <c r="BU92" s="52">
        <f t="shared" si="50"/>
        <v>0</v>
      </c>
      <c r="BV92" s="65"/>
      <c r="BW92" s="52">
        <f t="shared" si="51"/>
        <v>0</v>
      </c>
      <c r="BX92" s="52">
        <f t="shared" si="52"/>
        <v>0</v>
      </c>
      <c r="BY92" s="52">
        <f t="shared" si="53"/>
        <v>0</v>
      </c>
      <c r="BZ92" s="66">
        <f t="shared" si="54"/>
        <v>0</v>
      </c>
      <c r="CA92" s="54">
        <f t="shared" si="55"/>
        <v>0</v>
      </c>
      <c r="CB92" s="55">
        <f t="shared" si="56"/>
        <v>0</v>
      </c>
      <c r="CC92" s="56">
        <f t="shared" si="57"/>
        <v>0</v>
      </c>
      <c r="CD92" s="57"/>
      <c r="CE92" s="49"/>
      <c r="CF92" s="57" t="e">
        <f t="shared" si="58"/>
        <v>#N/A</v>
      </c>
      <c r="CG92" s="58">
        <f t="shared" si="59"/>
        <v>1</v>
      </c>
      <c r="CH92" s="57">
        <f t="shared" si="60"/>
        <v>0</v>
      </c>
      <c r="CI92" s="59" t="e">
        <f>VLOOKUP(A92,[1]DATA!$A$6:$AI$331,34,0)</f>
        <v>#N/A</v>
      </c>
      <c r="CJ92" s="60" t="e">
        <f>VLOOKUP(A92,[2]CHAMCONG!A$7:CI$333,79,0)</f>
        <v>#N/A</v>
      </c>
      <c r="CK92" s="61" t="e">
        <f t="shared" si="61"/>
        <v>#N/A</v>
      </c>
    </row>
    <row r="93" spans="1:89" s="62" customFormat="1" ht="15.75" customHeight="1" x14ac:dyDescent="0.25">
      <c r="A93" s="69"/>
      <c r="B93" s="64"/>
      <c r="C93" s="45"/>
      <c r="D93" s="46"/>
      <c r="E93" s="47"/>
      <c r="F93" s="48"/>
      <c r="G93" s="49"/>
      <c r="H93" s="51"/>
      <c r="I93" s="49"/>
      <c r="J93" s="51"/>
      <c r="K93" s="49"/>
      <c r="L93" s="51"/>
      <c r="M93" s="49"/>
      <c r="N93" s="51"/>
      <c r="O93" s="49"/>
      <c r="P93" s="51"/>
      <c r="Q93" s="49"/>
      <c r="R93" s="51"/>
      <c r="S93" s="50"/>
      <c r="T93" s="51"/>
      <c r="U93" s="50"/>
      <c r="V93" s="51"/>
      <c r="W93" s="50"/>
      <c r="X93" s="51"/>
      <c r="Y93" s="50"/>
      <c r="Z93" s="51"/>
      <c r="AA93" s="49"/>
      <c r="AB93" s="51"/>
      <c r="AC93" s="50"/>
      <c r="AD93" s="51"/>
      <c r="AE93" s="49"/>
      <c r="AF93" s="51"/>
      <c r="AG93" s="49"/>
      <c r="AH93" s="51"/>
      <c r="AI93" s="49"/>
      <c r="AJ93" s="51"/>
      <c r="AK93" s="49"/>
      <c r="AL93" s="51"/>
      <c r="AM93" s="49"/>
      <c r="AN93" s="51"/>
      <c r="AO93" s="49"/>
      <c r="AP93" s="51"/>
      <c r="AQ93" s="49"/>
      <c r="AR93" s="51"/>
      <c r="AS93" s="49"/>
      <c r="AT93" s="51"/>
      <c r="AU93" s="49"/>
      <c r="AV93" s="51"/>
      <c r="AW93" s="49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49"/>
      <c r="BJ93" s="51"/>
      <c r="BK93" s="49"/>
      <c r="BL93" s="51"/>
      <c r="BM93" s="49"/>
      <c r="BN93" s="51"/>
      <c r="BO93" s="51"/>
      <c r="BP93" s="51"/>
      <c r="BQ93" s="52">
        <f t="shared" si="46"/>
        <v>0</v>
      </c>
      <c r="BR93" s="52">
        <f t="shared" si="47"/>
        <v>0</v>
      </c>
      <c r="BS93" s="52">
        <f t="shared" si="48"/>
        <v>0</v>
      </c>
      <c r="BT93" s="52">
        <f t="shared" si="49"/>
        <v>0</v>
      </c>
      <c r="BU93" s="52">
        <f t="shared" si="50"/>
        <v>0</v>
      </c>
      <c r="BV93" s="65"/>
      <c r="BW93" s="52">
        <f t="shared" si="51"/>
        <v>0</v>
      </c>
      <c r="BX93" s="52">
        <f t="shared" si="52"/>
        <v>0</v>
      </c>
      <c r="BY93" s="52">
        <f t="shared" si="53"/>
        <v>0</v>
      </c>
      <c r="BZ93" s="66">
        <f t="shared" si="54"/>
        <v>0</v>
      </c>
      <c r="CA93" s="54">
        <f t="shared" si="55"/>
        <v>0</v>
      </c>
      <c r="CB93" s="55">
        <f t="shared" si="56"/>
        <v>0</v>
      </c>
      <c r="CC93" s="56">
        <f t="shared" si="57"/>
        <v>0</v>
      </c>
      <c r="CD93" s="57">
        <f t="shared" si="62"/>
        <v>-1</v>
      </c>
      <c r="CE93" s="49"/>
      <c r="CF93" s="57" t="e">
        <f t="shared" si="58"/>
        <v>#N/A</v>
      </c>
      <c r="CG93" s="58">
        <f t="shared" si="59"/>
        <v>1</v>
      </c>
      <c r="CH93" s="57">
        <f t="shared" si="60"/>
        <v>0</v>
      </c>
      <c r="CI93" s="59" t="e">
        <f>VLOOKUP(A93,[1]DATA!$A$6:$AI$331,34,0)</f>
        <v>#N/A</v>
      </c>
      <c r="CJ93" s="60" t="e">
        <f>VLOOKUP(A93,[2]CHAMCONG!A$7:CI$333,79,0)</f>
        <v>#N/A</v>
      </c>
      <c r="CK93" s="61" t="e">
        <f t="shared" si="61"/>
        <v>#N/A</v>
      </c>
    </row>
    <row r="94" spans="1:89" s="62" customFormat="1" ht="15.75" customHeight="1" x14ac:dyDescent="0.25">
      <c r="A94" s="69"/>
      <c r="B94" s="64"/>
      <c r="C94" s="45"/>
      <c r="D94" s="46"/>
      <c r="E94" s="47"/>
      <c r="F94" s="48"/>
      <c r="G94" s="49"/>
      <c r="H94" s="51"/>
      <c r="I94" s="51"/>
      <c r="J94" s="51"/>
      <c r="K94" s="51"/>
      <c r="L94" s="51"/>
      <c r="M94" s="51"/>
      <c r="N94" s="51"/>
      <c r="O94" s="51"/>
      <c r="P94" s="51"/>
      <c r="Q94" s="49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49"/>
      <c r="AR94" s="51"/>
      <c r="AS94" s="49"/>
      <c r="AT94" s="49"/>
      <c r="AU94" s="49"/>
      <c r="AV94" s="51"/>
      <c r="AW94" s="50"/>
      <c r="AX94" s="51"/>
      <c r="AY94" s="49"/>
      <c r="AZ94" s="51"/>
      <c r="BA94" s="49"/>
      <c r="BB94" s="51"/>
      <c r="BC94" s="49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2">
        <f t="shared" si="46"/>
        <v>0</v>
      </c>
      <c r="BR94" s="52">
        <f t="shared" si="47"/>
        <v>0</v>
      </c>
      <c r="BS94" s="52">
        <f t="shared" si="48"/>
        <v>0</v>
      </c>
      <c r="BT94" s="52">
        <f t="shared" si="49"/>
        <v>0</v>
      </c>
      <c r="BU94" s="52">
        <f t="shared" si="50"/>
        <v>0</v>
      </c>
      <c r="BV94" s="65"/>
      <c r="BW94" s="52">
        <f t="shared" si="51"/>
        <v>0</v>
      </c>
      <c r="BX94" s="52">
        <f t="shared" si="52"/>
        <v>0</v>
      </c>
      <c r="BY94" s="52">
        <f t="shared" si="53"/>
        <v>0</v>
      </c>
      <c r="BZ94" s="66">
        <f t="shared" si="54"/>
        <v>0</v>
      </c>
      <c r="CA94" s="54">
        <f t="shared" si="55"/>
        <v>0</v>
      </c>
      <c r="CB94" s="55">
        <f t="shared" si="56"/>
        <v>0</v>
      </c>
      <c r="CC94" s="56">
        <f t="shared" si="57"/>
        <v>0</v>
      </c>
      <c r="CD94" s="57">
        <f t="shared" si="62"/>
        <v>-1</v>
      </c>
      <c r="CE94" s="49">
        <v>1</v>
      </c>
      <c r="CF94" s="57" t="e">
        <f t="shared" si="58"/>
        <v>#N/A</v>
      </c>
      <c r="CG94" s="58">
        <f t="shared" si="59"/>
        <v>1</v>
      </c>
      <c r="CH94" s="57">
        <f t="shared" si="60"/>
        <v>16</v>
      </c>
      <c r="CI94" s="59" t="e">
        <f>VLOOKUP(A94,[1]DATA!$A$6:$AI$331,34,0)</f>
        <v>#N/A</v>
      </c>
      <c r="CJ94" s="60" t="e">
        <f>VLOOKUP(A94,[2]CHAMCONG!A$7:CI$333,79,0)</f>
        <v>#N/A</v>
      </c>
      <c r="CK94" s="61" t="e">
        <f t="shared" si="61"/>
        <v>#N/A</v>
      </c>
    </row>
    <row r="95" spans="1:89" s="62" customFormat="1" ht="15.75" customHeight="1" x14ac:dyDescent="0.25">
      <c r="A95" s="69"/>
      <c r="B95" s="64"/>
      <c r="C95" s="45"/>
      <c r="D95" s="46"/>
      <c r="E95" s="47"/>
      <c r="F95" s="48"/>
      <c r="G95" s="49"/>
      <c r="H95" s="51"/>
      <c r="I95" s="50"/>
      <c r="J95" s="51"/>
      <c r="K95" s="51"/>
      <c r="L95" s="51"/>
      <c r="M95" s="51"/>
      <c r="N95" s="51"/>
      <c r="O95" s="50"/>
      <c r="P95" s="51"/>
      <c r="Q95" s="51"/>
      <c r="R95" s="51"/>
      <c r="S95" s="51"/>
      <c r="T95" s="51"/>
      <c r="U95" s="49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49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2">
        <f t="shared" si="46"/>
        <v>0</v>
      </c>
      <c r="BR95" s="52">
        <f t="shared" si="47"/>
        <v>0</v>
      </c>
      <c r="BS95" s="52">
        <f t="shared" si="48"/>
        <v>0</v>
      </c>
      <c r="BT95" s="52">
        <f t="shared" si="49"/>
        <v>0</v>
      </c>
      <c r="BU95" s="52">
        <f t="shared" si="50"/>
        <v>0</v>
      </c>
      <c r="BV95" s="65"/>
      <c r="BW95" s="52">
        <f t="shared" si="51"/>
        <v>0</v>
      </c>
      <c r="BX95" s="52">
        <f t="shared" si="52"/>
        <v>0</v>
      </c>
      <c r="BY95" s="52">
        <f t="shared" si="53"/>
        <v>0</v>
      </c>
      <c r="BZ95" s="66">
        <f t="shared" si="54"/>
        <v>0</v>
      </c>
      <c r="CA95" s="54">
        <f t="shared" si="55"/>
        <v>0</v>
      </c>
      <c r="CB95" s="55">
        <f t="shared" si="56"/>
        <v>0</v>
      </c>
      <c r="CC95" s="56">
        <f t="shared" si="57"/>
        <v>0</v>
      </c>
      <c r="CD95" s="57">
        <f t="shared" si="62"/>
        <v>-1</v>
      </c>
      <c r="CE95" s="49"/>
      <c r="CF95" s="57" t="e">
        <f t="shared" si="58"/>
        <v>#N/A</v>
      </c>
      <c r="CG95" s="58">
        <f t="shared" si="59"/>
        <v>1</v>
      </c>
      <c r="CH95" s="57">
        <f t="shared" si="60"/>
        <v>0</v>
      </c>
      <c r="CI95" s="59" t="e">
        <f>VLOOKUP(A95,[1]DATA!$A$6:$AI$331,34,0)</f>
        <v>#N/A</v>
      </c>
      <c r="CJ95" s="60" t="e">
        <f>VLOOKUP(A95,[2]CHAMCONG!A$7:CI$333,79,0)</f>
        <v>#N/A</v>
      </c>
      <c r="CK95" s="61" t="e">
        <f t="shared" si="61"/>
        <v>#N/A</v>
      </c>
    </row>
    <row r="96" spans="1:89" s="62" customFormat="1" ht="15.75" customHeight="1" x14ac:dyDescent="0.25">
      <c r="A96" s="69"/>
      <c r="B96" s="64"/>
      <c r="C96" s="45"/>
      <c r="D96" s="46"/>
      <c r="E96" s="47"/>
      <c r="F96" s="48"/>
      <c r="G96" s="49"/>
      <c r="H96" s="51"/>
      <c r="I96" s="49"/>
      <c r="J96" s="51"/>
      <c r="K96" s="49"/>
      <c r="L96" s="51"/>
      <c r="M96" s="51"/>
      <c r="N96" s="51"/>
      <c r="O96" s="50"/>
      <c r="P96" s="51"/>
      <c r="Q96" s="51"/>
      <c r="R96" s="51"/>
      <c r="S96" s="51"/>
      <c r="T96" s="51"/>
      <c r="U96" s="49"/>
      <c r="V96" s="51"/>
      <c r="W96" s="50"/>
      <c r="X96" s="51"/>
      <c r="Y96" s="49"/>
      <c r="Z96" s="51"/>
      <c r="AA96" s="49"/>
      <c r="AB96" s="51"/>
      <c r="AC96" s="49"/>
      <c r="AD96" s="51"/>
      <c r="AE96" s="49"/>
      <c r="AF96" s="49"/>
      <c r="AG96" s="49"/>
      <c r="AH96" s="51"/>
      <c r="AI96" s="51"/>
      <c r="AJ96" s="51"/>
      <c r="AK96" s="49"/>
      <c r="AL96" s="51"/>
      <c r="AM96" s="49"/>
      <c r="AN96" s="51"/>
      <c r="AO96" s="49"/>
      <c r="AP96" s="51"/>
      <c r="AQ96" s="49"/>
      <c r="AR96" s="51"/>
      <c r="AS96" s="49"/>
      <c r="AT96" s="49"/>
      <c r="AU96" s="49"/>
      <c r="AV96" s="51"/>
      <c r="AW96" s="49"/>
      <c r="AX96" s="51"/>
      <c r="AY96" s="49"/>
      <c r="AZ96" s="51"/>
      <c r="BA96" s="49"/>
      <c r="BB96" s="51"/>
      <c r="BC96" s="49"/>
      <c r="BD96" s="51"/>
      <c r="BE96" s="49"/>
      <c r="BF96" s="51"/>
      <c r="BG96" s="49"/>
      <c r="BH96" s="49"/>
      <c r="BI96" s="51"/>
      <c r="BJ96" s="51"/>
      <c r="BK96" s="51"/>
      <c r="BL96" s="51"/>
      <c r="BM96" s="51"/>
      <c r="BN96" s="51"/>
      <c r="BO96" s="51"/>
      <c r="BP96" s="51"/>
      <c r="BQ96" s="52">
        <f t="shared" si="46"/>
        <v>0</v>
      </c>
      <c r="BR96" s="52">
        <f t="shared" si="47"/>
        <v>0</v>
      </c>
      <c r="BS96" s="52">
        <f t="shared" si="48"/>
        <v>0</v>
      </c>
      <c r="BT96" s="52">
        <f t="shared" si="49"/>
        <v>0</v>
      </c>
      <c r="BU96" s="52">
        <f t="shared" si="50"/>
        <v>0</v>
      </c>
      <c r="BV96" s="65"/>
      <c r="BW96" s="52">
        <f t="shared" si="51"/>
        <v>0</v>
      </c>
      <c r="BX96" s="52">
        <f t="shared" si="52"/>
        <v>0</v>
      </c>
      <c r="BY96" s="52">
        <f t="shared" si="53"/>
        <v>0</v>
      </c>
      <c r="BZ96" s="66">
        <f t="shared" si="54"/>
        <v>0</v>
      </c>
      <c r="CA96" s="54">
        <f t="shared" si="55"/>
        <v>0</v>
      </c>
      <c r="CB96" s="55">
        <f t="shared" si="56"/>
        <v>0</v>
      </c>
      <c r="CC96" s="56">
        <f t="shared" si="57"/>
        <v>0</v>
      </c>
      <c r="CD96" s="57">
        <f t="shared" si="62"/>
        <v>-1</v>
      </c>
      <c r="CE96" s="49">
        <v>1</v>
      </c>
      <c r="CF96" s="57">
        <v>0</v>
      </c>
      <c r="CG96" s="58">
        <f t="shared" si="59"/>
        <v>1</v>
      </c>
      <c r="CH96" s="57">
        <f t="shared" si="60"/>
        <v>16</v>
      </c>
      <c r="CI96" s="59" t="e">
        <f>VLOOKUP(A96,[1]DATA!$A$6:$AI$331,34,0)</f>
        <v>#N/A</v>
      </c>
      <c r="CJ96" s="60" t="e">
        <f>VLOOKUP(A96,[2]CHAMCONG!A$7:CI$333,79,0)</f>
        <v>#N/A</v>
      </c>
      <c r="CK96" s="61" t="e">
        <f t="shared" si="61"/>
        <v>#N/A</v>
      </c>
    </row>
    <row r="97" spans="1:89" s="62" customFormat="1" ht="15.75" customHeight="1" x14ac:dyDescent="0.25">
      <c r="A97" s="69"/>
      <c r="B97" s="64"/>
      <c r="C97" s="45"/>
      <c r="D97" s="46"/>
      <c r="E97" s="47"/>
      <c r="F97" s="48"/>
      <c r="G97" s="49"/>
      <c r="H97" s="51"/>
      <c r="I97" s="50"/>
      <c r="J97" s="51"/>
      <c r="K97" s="50"/>
      <c r="L97" s="51"/>
      <c r="M97" s="50"/>
      <c r="N97" s="51"/>
      <c r="O97" s="50"/>
      <c r="P97" s="51"/>
      <c r="Q97" s="49"/>
      <c r="R97" s="51"/>
      <c r="S97" s="50"/>
      <c r="T97" s="51"/>
      <c r="U97" s="50"/>
      <c r="V97" s="51"/>
      <c r="W97" s="50"/>
      <c r="X97" s="51"/>
      <c r="Y97" s="50"/>
      <c r="Z97" s="51"/>
      <c r="AA97" s="50"/>
      <c r="AB97" s="51"/>
      <c r="AC97" s="50"/>
      <c r="AD97" s="51"/>
      <c r="AE97" s="49"/>
      <c r="AF97" s="51"/>
      <c r="AG97" s="50"/>
      <c r="AH97" s="51"/>
      <c r="AI97" s="50"/>
      <c r="AJ97" s="51"/>
      <c r="AK97" s="50"/>
      <c r="AL97" s="51"/>
      <c r="AM97" s="50"/>
      <c r="AN97" s="51"/>
      <c r="AO97" s="50"/>
      <c r="AP97" s="51"/>
      <c r="AQ97" s="49"/>
      <c r="AR97" s="51"/>
      <c r="AS97" s="49"/>
      <c r="AT97" s="51"/>
      <c r="AU97" s="49"/>
      <c r="AV97" s="51"/>
      <c r="AW97" s="51"/>
      <c r="AX97" s="51"/>
      <c r="AY97" s="49"/>
      <c r="AZ97" s="51"/>
      <c r="BA97" s="49"/>
      <c r="BB97" s="51"/>
      <c r="BC97" s="51"/>
      <c r="BD97" s="51"/>
      <c r="BE97" s="49"/>
      <c r="BF97" s="51"/>
      <c r="BG97" s="49"/>
      <c r="BH97" s="51"/>
      <c r="BI97" s="51"/>
      <c r="BJ97" s="51"/>
      <c r="BK97" s="51"/>
      <c r="BL97" s="51"/>
      <c r="BM97" s="51"/>
      <c r="BN97" s="51"/>
      <c r="BO97" s="51"/>
      <c r="BP97" s="51"/>
      <c r="BQ97" s="52">
        <f t="shared" si="46"/>
        <v>0</v>
      </c>
      <c r="BR97" s="52">
        <f t="shared" si="47"/>
        <v>0</v>
      </c>
      <c r="BS97" s="52">
        <f t="shared" si="48"/>
        <v>0</v>
      </c>
      <c r="BT97" s="52">
        <f t="shared" si="49"/>
        <v>0</v>
      </c>
      <c r="BU97" s="52">
        <f t="shared" si="50"/>
        <v>0</v>
      </c>
      <c r="BV97" s="65"/>
      <c r="BW97" s="52">
        <f t="shared" si="51"/>
        <v>0</v>
      </c>
      <c r="BX97" s="52">
        <f t="shared" si="52"/>
        <v>0</v>
      </c>
      <c r="BY97" s="52">
        <f t="shared" si="53"/>
        <v>0</v>
      </c>
      <c r="BZ97" s="66">
        <f t="shared" si="54"/>
        <v>0</v>
      </c>
      <c r="CA97" s="54">
        <f t="shared" si="55"/>
        <v>0</v>
      </c>
      <c r="CB97" s="55">
        <f t="shared" si="56"/>
        <v>0</v>
      </c>
      <c r="CC97" s="56">
        <f t="shared" si="57"/>
        <v>0</v>
      </c>
      <c r="CD97" s="57">
        <f t="shared" si="62"/>
        <v>-1</v>
      </c>
      <c r="CE97" s="49">
        <v>1</v>
      </c>
      <c r="CF97" s="57" t="e">
        <f t="shared" ref="CF97:CF160" si="63">CD97*CI97</f>
        <v>#N/A</v>
      </c>
      <c r="CG97" s="58">
        <f t="shared" si="59"/>
        <v>1</v>
      </c>
      <c r="CH97" s="57">
        <f t="shared" si="60"/>
        <v>16</v>
      </c>
      <c r="CI97" s="59" t="e">
        <f>VLOOKUP(A97,[1]DATA!$A$6:$AI$331,34,0)</f>
        <v>#N/A</v>
      </c>
      <c r="CJ97" s="60" t="e">
        <f>VLOOKUP(A97,[2]CHAMCONG!A$7:CI$333,79,0)</f>
        <v>#N/A</v>
      </c>
      <c r="CK97" s="61" t="e">
        <f t="shared" si="61"/>
        <v>#N/A</v>
      </c>
    </row>
    <row r="98" spans="1:89" s="62" customFormat="1" ht="15.75" customHeight="1" x14ac:dyDescent="0.25">
      <c r="A98" s="69"/>
      <c r="B98" s="64"/>
      <c r="C98" s="45"/>
      <c r="D98" s="46"/>
      <c r="E98" s="47"/>
      <c r="F98" s="48"/>
      <c r="G98" s="49"/>
      <c r="H98" s="51"/>
      <c r="I98" s="50"/>
      <c r="J98" s="51"/>
      <c r="K98" s="50"/>
      <c r="L98" s="51"/>
      <c r="M98" s="50"/>
      <c r="N98" s="51"/>
      <c r="O98" s="50"/>
      <c r="P98" s="51"/>
      <c r="Q98" s="49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49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49"/>
      <c r="AR98" s="51"/>
      <c r="AS98" s="49"/>
      <c r="AT98" s="51"/>
      <c r="AU98" s="49"/>
      <c r="AV98" s="51"/>
      <c r="AW98" s="51"/>
      <c r="AX98" s="51"/>
      <c r="AY98" s="49"/>
      <c r="AZ98" s="51"/>
      <c r="BA98" s="49"/>
      <c r="BB98" s="51"/>
      <c r="BC98" s="49"/>
      <c r="BD98" s="51"/>
      <c r="BE98" s="49"/>
      <c r="BF98" s="51"/>
      <c r="BG98" s="49"/>
      <c r="BH98" s="51"/>
      <c r="BI98" s="49"/>
      <c r="BJ98" s="51"/>
      <c r="BK98" s="49"/>
      <c r="BL98" s="51"/>
      <c r="BM98" s="49"/>
      <c r="BN98" s="51"/>
      <c r="BO98" s="49"/>
      <c r="BP98" s="51"/>
      <c r="BQ98" s="52">
        <f t="shared" si="46"/>
        <v>0</v>
      </c>
      <c r="BR98" s="52">
        <f t="shared" si="47"/>
        <v>0</v>
      </c>
      <c r="BS98" s="52">
        <f t="shared" si="48"/>
        <v>0</v>
      </c>
      <c r="BT98" s="52">
        <f t="shared" si="49"/>
        <v>0</v>
      </c>
      <c r="BU98" s="52">
        <f t="shared" si="50"/>
        <v>0</v>
      </c>
      <c r="BV98" s="65"/>
      <c r="BW98" s="52">
        <f t="shared" si="51"/>
        <v>0</v>
      </c>
      <c r="BX98" s="52">
        <f t="shared" si="52"/>
        <v>0</v>
      </c>
      <c r="BY98" s="52">
        <f t="shared" si="53"/>
        <v>0</v>
      </c>
      <c r="BZ98" s="66">
        <f t="shared" si="54"/>
        <v>0</v>
      </c>
      <c r="CA98" s="54">
        <f t="shared" si="55"/>
        <v>0</v>
      </c>
      <c r="CB98" s="55">
        <f t="shared" si="56"/>
        <v>0</v>
      </c>
      <c r="CC98" s="56">
        <f t="shared" si="57"/>
        <v>0</v>
      </c>
      <c r="CD98" s="57">
        <f t="shared" si="62"/>
        <v>-1</v>
      </c>
      <c r="CE98" s="49">
        <v>4</v>
      </c>
      <c r="CF98" s="57" t="e">
        <f t="shared" si="63"/>
        <v>#N/A</v>
      </c>
      <c r="CG98" s="58">
        <f t="shared" si="59"/>
        <v>1</v>
      </c>
      <c r="CH98" s="57">
        <f t="shared" si="60"/>
        <v>64</v>
      </c>
      <c r="CI98" s="59" t="e">
        <f>VLOOKUP(A98,[1]DATA!$A$6:$AI$331,34,0)</f>
        <v>#N/A</v>
      </c>
      <c r="CJ98" s="60" t="e">
        <f>VLOOKUP(A98,[2]CHAMCONG!A$7:CI$333,79,0)</f>
        <v>#N/A</v>
      </c>
      <c r="CK98" s="61" t="e">
        <f t="shared" si="61"/>
        <v>#N/A</v>
      </c>
    </row>
    <row r="99" spans="1:89" s="62" customFormat="1" ht="15.75" customHeight="1" x14ac:dyDescent="0.25">
      <c r="A99" s="69"/>
      <c r="B99" s="64"/>
      <c r="C99" s="45"/>
      <c r="D99" s="46"/>
      <c r="E99" s="47"/>
      <c r="F99" s="48"/>
      <c r="G99" s="49"/>
      <c r="H99" s="51"/>
      <c r="I99" s="50"/>
      <c r="J99" s="51"/>
      <c r="K99" s="50"/>
      <c r="L99" s="51"/>
      <c r="M99" s="50"/>
      <c r="N99" s="51"/>
      <c r="O99" s="50"/>
      <c r="P99" s="51"/>
      <c r="Q99" s="50"/>
      <c r="R99" s="67"/>
      <c r="S99" s="50"/>
      <c r="T99" s="51"/>
      <c r="U99" s="50"/>
      <c r="V99" s="51"/>
      <c r="W99" s="50"/>
      <c r="X99" s="51"/>
      <c r="Y99" s="50"/>
      <c r="Z99" s="51"/>
      <c r="AA99" s="50"/>
      <c r="AB99" s="51"/>
      <c r="AC99" s="50"/>
      <c r="AD99" s="51"/>
      <c r="AE99" s="50"/>
      <c r="AF99" s="67"/>
      <c r="AG99" s="50"/>
      <c r="AH99" s="51"/>
      <c r="AI99" s="50"/>
      <c r="AJ99" s="51"/>
      <c r="AK99" s="50"/>
      <c r="AL99" s="51"/>
      <c r="AM99" s="50"/>
      <c r="AN99" s="51"/>
      <c r="AO99" s="50"/>
      <c r="AP99" s="51"/>
      <c r="AQ99" s="50"/>
      <c r="AR99" s="51"/>
      <c r="AS99" s="50"/>
      <c r="AT99" s="67"/>
      <c r="AU99" s="50"/>
      <c r="AV99" s="51"/>
      <c r="AW99" s="51"/>
      <c r="AX99" s="51"/>
      <c r="AY99" s="50"/>
      <c r="AZ99" s="51"/>
      <c r="BA99" s="50"/>
      <c r="BB99" s="51"/>
      <c r="BC99" s="50"/>
      <c r="BD99" s="51"/>
      <c r="BE99" s="50"/>
      <c r="BF99" s="51"/>
      <c r="BG99" s="50"/>
      <c r="BH99" s="67"/>
      <c r="BI99" s="51"/>
      <c r="BJ99" s="51"/>
      <c r="BK99" s="49"/>
      <c r="BL99" s="51"/>
      <c r="BM99" s="51"/>
      <c r="BN99" s="51"/>
      <c r="BO99" s="51"/>
      <c r="BP99" s="51"/>
      <c r="BQ99" s="52">
        <f t="shared" si="46"/>
        <v>0</v>
      </c>
      <c r="BR99" s="52">
        <f t="shared" si="47"/>
        <v>0</v>
      </c>
      <c r="BS99" s="52">
        <f t="shared" si="48"/>
        <v>0</v>
      </c>
      <c r="BT99" s="52">
        <f t="shared" si="49"/>
        <v>0</v>
      </c>
      <c r="BU99" s="52">
        <f t="shared" si="50"/>
        <v>0</v>
      </c>
      <c r="BV99" s="65"/>
      <c r="BW99" s="52">
        <f t="shared" si="51"/>
        <v>0</v>
      </c>
      <c r="BX99" s="52">
        <f t="shared" si="52"/>
        <v>0</v>
      </c>
      <c r="BY99" s="52">
        <f t="shared" si="53"/>
        <v>0</v>
      </c>
      <c r="BZ99" s="66">
        <f t="shared" si="54"/>
        <v>0</v>
      </c>
      <c r="CA99" s="54">
        <f t="shared" si="55"/>
        <v>0</v>
      </c>
      <c r="CB99" s="55">
        <f t="shared" si="56"/>
        <v>0</v>
      </c>
      <c r="CC99" s="56">
        <f t="shared" si="57"/>
        <v>0</v>
      </c>
      <c r="CD99" s="57">
        <f t="shared" si="62"/>
        <v>-1</v>
      </c>
      <c r="CE99" s="49">
        <v>3</v>
      </c>
      <c r="CF99" s="57" t="e">
        <f t="shared" si="63"/>
        <v>#N/A</v>
      </c>
      <c r="CG99" s="58">
        <f t="shared" si="59"/>
        <v>1</v>
      </c>
      <c r="CH99" s="57">
        <f t="shared" si="60"/>
        <v>48</v>
      </c>
      <c r="CI99" s="59" t="e">
        <f>VLOOKUP(A99,[1]DATA!$A$6:$AI$331,34,0)</f>
        <v>#N/A</v>
      </c>
      <c r="CJ99" s="60" t="e">
        <f>VLOOKUP(A99,[2]CHAMCONG!A$7:CI$333,79,0)</f>
        <v>#N/A</v>
      </c>
      <c r="CK99" s="61" t="e">
        <f t="shared" si="61"/>
        <v>#N/A</v>
      </c>
    </row>
    <row r="100" spans="1:89" s="62" customFormat="1" ht="15.75" customHeight="1" x14ac:dyDescent="0.25">
      <c r="A100" s="63"/>
      <c r="B100" s="64"/>
      <c r="C100" s="45"/>
      <c r="D100" s="46"/>
      <c r="E100" s="47"/>
      <c r="F100" s="48"/>
      <c r="G100" s="49"/>
      <c r="H100" s="51"/>
      <c r="I100" s="49"/>
      <c r="J100" s="51"/>
      <c r="K100" s="49"/>
      <c r="L100" s="51"/>
      <c r="M100" s="49"/>
      <c r="N100" s="51"/>
      <c r="O100" s="49"/>
      <c r="P100" s="51"/>
      <c r="Q100" s="49"/>
      <c r="R100" s="51"/>
      <c r="S100" s="49"/>
      <c r="T100" s="51"/>
      <c r="U100" s="51"/>
      <c r="V100" s="51"/>
      <c r="W100" s="49"/>
      <c r="X100" s="51"/>
      <c r="Y100" s="49"/>
      <c r="Z100" s="51"/>
      <c r="AA100" s="49"/>
      <c r="AB100" s="51"/>
      <c r="AC100" s="49"/>
      <c r="AD100" s="51"/>
      <c r="AE100" s="49"/>
      <c r="AF100" s="51"/>
      <c r="AG100" s="49"/>
      <c r="AH100" s="51"/>
      <c r="AI100" s="51"/>
      <c r="AJ100" s="51"/>
      <c r="AK100" s="50"/>
      <c r="AL100" s="51"/>
      <c r="AM100" s="50"/>
      <c r="AN100" s="51"/>
      <c r="AO100" s="51"/>
      <c r="AP100" s="51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49"/>
      <c r="BB100" s="51"/>
      <c r="BC100" s="49"/>
      <c r="BD100" s="51"/>
      <c r="BE100" s="49"/>
      <c r="BF100" s="51"/>
      <c r="BG100" s="49"/>
      <c r="BH100" s="51"/>
      <c r="BI100" s="51"/>
      <c r="BJ100" s="51"/>
      <c r="BK100" s="51"/>
      <c r="BL100" s="51"/>
      <c r="BM100" s="51"/>
      <c r="BN100" s="51"/>
      <c r="BO100" s="49"/>
      <c r="BP100" s="51"/>
      <c r="BQ100" s="52">
        <f t="shared" si="46"/>
        <v>0</v>
      </c>
      <c r="BR100" s="52">
        <f t="shared" si="47"/>
        <v>0</v>
      </c>
      <c r="BS100" s="52">
        <f t="shared" si="48"/>
        <v>0</v>
      </c>
      <c r="BT100" s="52">
        <f t="shared" si="49"/>
        <v>0</v>
      </c>
      <c r="BU100" s="52">
        <f t="shared" si="50"/>
        <v>0</v>
      </c>
      <c r="BV100" s="65"/>
      <c r="BW100" s="52">
        <f t="shared" si="51"/>
        <v>0</v>
      </c>
      <c r="BX100" s="52">
        <f t="shared" si="52"/>
        <v>0</v>
      </c>
      <c r="BY100" s="52">
        <f t="shared" si="53"/>
        <v>0</v>
      </c>
      <c r="BZ100" s="66">
        <f t="shared" si="54"/>
        <v>0</v>
      </c>
      <c r="CA100" s="54">
        <f t="shared" si="55"/>
        <v>0</v>
      </c>
      <c r="CB100" s="55">
        <f t="shared" si="56"/>
        <v>0</v>
      </c>
      <c r="CC100" s="56">
        <f t="shared" si="57"/>
        <v>0</v>
      </c>
      <c r="CD100" s="57">
        <f t="shared" si="62"/>
        <v>-1</v>
      </c>
      <c r="CE100" s="49">
        <v>1</v>
      </c>
      <c r="CF100" s="57" t="e">
        <f t="shared" si="63"/>
        <v>#N/A</v>
      </c>
      <c r="CG100" s="58">
        <f t="shared" si="59"/>
        <v>1</v>
      </c>
      <c r="CH100" s="57">
        <f t="shared" si="60"/>
        <v>16</v>
      </c>
      <c r="CI100" s="59" t="e">
        <f>VLOOKUP(A100,[1]DATA!$A$6:$AI$331,34,0)</f>
        <v>#N/A</v>
      </c>
      <c r="CJ100" s="60" t="e">
        <f>VLOOKUP(A100,[2]CHAMCONG!A$7:CI$333,79,0)</f>
        <v>#N/A</v>
      </c>
      <c r="CK100" s="61" t="e">
        <f t="shared" si="61"/>
        <v>#N/A</v>
      </c>
    </row>
    <row r="101" spans="1:89" s="62" customFormat="1" ht="15.75" customHeight="1" x14ac:dyDescent="0.25">
      <c r="A101" s="63"/>
      <c r="B101" s="64"/>
      <c r="C101" s="45"/>
      <c r="D101" s="46"/>
      <c r="E101" s="47"/>
      <c r="F101" s="48"/>
      <c r="G101" s="49"/>
      <c r="H101" s="51"/>
      <c r="I101" s="49"/>
      <c r="J101" s="51"/>
      <c r="K101" s="49"/>
      <c r="L101" s="51"/>
      <c r="M101" s="49"/>
      <c r="N101" s="51"/>
      <c r="O101" s="49"/>
      <c r="P101" s="51"/>
      <c r="Q101" s="49"/>
      <c r="R101" s="51"/>
      <c r="S101" s="50"/>
      <c r="T101" s="51"/>
      <c r="U101" s="50"/>
      <c r="V101" s="51"/>
      <c r="W101" s="50"/>
      <c r="X101" s="51"/>
      <c r="Y101" s="50"/>
      <c r="Z101" s="51"/>
      <c r="AA101" s="50"/>
      <c r="AB101" s="51"/>
      <c r="AC101" s="50"/>
      <c r="AD101" s="51"/>
      <c r="AE101" s="49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49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49"/>
      <c r="BJ101" s="51"/>
      <c r="BK101" s="49"/>
      <c r="BL101" s="51"/>
      <c r="BM101" s="49"/>
      <c r="BN101" s="51"/>
      <c r="BO101" s="49"/>
      <c r="BP101" s="51"/>
      <c r="BQ101" s="52">
        <f t="shared" si="46"/>
        <v>0</v>
      </c>
      <c r="BR101" s="52">
        <f t="shared" si="47"/>
        <v>0</v>
      </c>
      <c r="BS101" s="52">
        <f t="shared" si="48"/>
        <v>0</v>
      </c>
      <c r="BT101" s="52">
        <f t="shared" si="49"/>
        <v>0</v>
      </c>
      <c r="BU101" s="52">
        <f t="shared" si="50"/>
        <v>0</v>
      </c>
      <c r="BV101" s="65"/>
      <c r="BW101" s="52">
        <f t="shared" si="51"/>
        <v>0</v>
      </c>
      <c r="BX101" s="52">
        <f t="shared" si="52"/>
        <v>0</v>
      </c>
      <c r="BY101" s="52">
        <f t="shared" si="53"/>
        <v>0</v>
      </c>
      <c r="BZ101" s="66">
        <f t="shared" si="54"/>
        <v>0</v>
      </c>
      <c r="CA101" s="54">
        <f t="shared" si="55"/>
        <v>0</v>
      </c>
      <c r="CB101" s="55">
        <f t="shared" si="56"/>
        <v>0</v>
      </c>
      <c r="CC101" s="56">
        <f t="shared" si="57"/>
        <v>0</v>
      </c>
      <c r="CD101" s="57">
        <f t="shared" si="62"/>
        <v>-1</v>
      </c>
      <c r="CE101" s="49"/>
      <c r="CF101" s="57" t="e">
        <f t="shared" si="63"/>
        <v>#N/A</v>
      </c>
      <c r="CG101" s="58">
        <f t="shared" si="59"/>
        <v>1</v>
      </c>
      <c r="CH101" s="57">
        <f t="shared" si="60"/>
        <v>0</v>
      </c>
      <c r="CI101" s="59" t="e">
        <f>VLOOKUP(A101,[1]DATA!$A$6:$AI$331,34,0)</f>
        <v>#N/A</v>
      </c>
      <c r="CJ101" s="60" t="e">
        <f>VLOOKUP(A101,[2]CHAMCONG!A$7:CI$333,79,0)</f>
        <v>#N/A</v>
      </c>
      <c r="CK101" s="61" t="e">
        <f t="shared" si="61"/>
        <v>#N/A</v>
      </c>
    </row>
    <row r="102" spans="1:89" s="62" customFormat="1" ht="15.75" customHeight="1" x14ac:dyDescent="0.25">
      <c r="A102" s="63"/>
      <c r="B102" s="64"/>
      <c r="C102" s="45"/>
      <c r="D102" s="46"/>
      <c r="E102" s="47"/>
      <c r="F102" s="48"/>
      <c r="G102" s="49"/>
      <c r="H102" s="51"/>
      <c r="I102" s="50"/>
      <c r="J102" s="51"/>
      <c r="K102" s="51"/>
      <c r="L102" s="51"/>
      <c r="M102" s="51"/>
      <c r="N102" s="51"/>
      <c r="O102" s="50"/>
      <c r="P102" s="51"/>
      <c r="Q102" s="51"/>
      <c r="R102" s="51"/>
      <c r="S102" s="51"/>
      <c r="T102" s="51"/>
      <c r="U102" s="49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0"/>
      <c r="AL102" s="51"/>
      <c r="AM102" s="51"/>
      <c r="AN102" s="51"/>
      <c r="AO102" s="51"/>
      <c r="AP102" s="51"/>
      <c r="AQ102" s="50"/>
      <c r="AR102" s="51"/>
      <c r="AS102" s="51"/>
      <c r="AT102" s="51"/>
      <c r="AU102" s="50"/>
      <c r="AV102" s="51"/>
      <c r="AW102" s="51"/>
      <c r="AX102" s="51"/>
      <c r="AY102" s="50"/>
      <c r="AZ102" s="51"/>
      <c r="BA102" s="50"/>
      <c r="BB102" s="51"/>
      <c r="BC102" s="50"/>
      <c r="BD102" s="51"/>
      <c r="BE102" s="50"/>
      <c r="BF102" s="51"/>
      <c r="BG102" s="50"/>
      <c r="BH102" s="50"/>
      <c r="BI102" s="51"/>
      <c r="BJ102" s="51"/>
      <c r="BK102" s="51"/>
      <c r="BL102" s="51"/>
      <c r="BM102" s="51"/>
      <c r="BN102" s="51"/>
      <c r="BO102" s="51"/>
      <c r="BP102" s="51"/>
      <c r="BQ102" s="52">
        <f t="shared" si="46"/>
        <v>0</v>
      </c>
      <c r="BR102" s="52">
        <f t="shared" si="47"/>
        <v>0</v>
      </c>
      <c r="BS102" s="52">
        <f t="shared" si="48"/>
        <v>0</v>
      </c>
      <c r="BT102" s="52">
        <f t="shared" si="49"/>
        <v>0</v>
      </c>
      <c r="BU102" s="52">
        <f t="shared" si="50"/>
        <v>0</v>
      </c>
      <c r="BV102" s="65"/>
      <c r="BW102" s="52">
        <f t="shared" si="51"/>
        <v>0</v>
      </c>
      <c r="BX102" s="52">
        <f t="shared" si="52"/>
        <v>0</v>
      </c>
      <c r="BY102" s="52">
        <f t="shared" si="53"/>
        <v>0</v>
      </c>
      <c r="BZ102" s="66">
        <f t="shared" si="54"/>
        <v>0</v>
      </c>
      <c r="CA102" s="54">
        <f t="shared" si="55"/>
        <v>0</v>
      </c>
      <c r="CB102" s="55">
        <f t="shared" si="56"/>
        <v>0</v>
      </c>
      <c r="CC102" s="56">
        <f t="shared" si="57"/>
        <v>0</v>
      </c>
      <c r="CD102" s="57">
        <f t="shared" si="62"/>
        <v>-1</v>
      </c>
      <c r="CE102" s="49"/>
      <c r="CF102" s="57" t="e">
        <f t="shared" si="63"/>
        <v>#N/A</v>
      </c>
      <c r="CG102" s="58">
        <f t="shared" si="59"/>
        <v>1</v>
      </c>
      <c r="CH102" s="57">
        <f t="shared" si="60"/>
        <v>0</v>
      </c>
      <c r="CI102" s="59" t="e">
        <f>VLOOKUP(A102,[1]DATA!$A$6:$AI$331,34,0)</f>
        <v>#N/A</v>
      </c>
      <c r="CJ102" s="60" t="e">
        <f>VLOOKUP(A102,[2]CHAMCONG!A$7:CI$333,79,0)</f>
        <v>#N/A</v>
      </c>
      <c r="CK102" s="61" t="e">
        <f t="shared" si="61"/>
        <v>#N/A</v>
      </c>
    </row>
    <row r="103" spans="1:89" s="62" customFormat="1" ht="14.1" customHeight="1" x14ac:dyDescent="0.25">
      <c r="A103" s="63"/>
      <c r="B103" s="64"/>
      <c r="C103" s="45"/>
      <c r="D103" s="46"/>
      <c r="E103" s="47"/>
      <c r="F103" s="48"/>
      <c r="G103" s="49"/>
      <c r="H103" s="51"/>
      <c r="I103" s="49"/>
      <c r="J103" s="51"/>
      <c r="K103" s="49"/>
      <c r="L103" s="51"/>
      <c r="M103" s="49"/>
      <c r="N103" s="51"/>
      <c r="O103" s="49"/>
      <c r="P103" s="51"/>
      <c r="Q103" s="49"/>
      <c r="R103" s="51"/>
      <c r="S103" s="49"/>
      <c r="T103" s="51"/>
      <c r="U103" s="49"/>
      <c r="V103" s="51"/>
      <c r="W103" s="49"/>
      <c r="X103" s="51"/>
      <c r="Y103" s="49"/>
      <c r="Z103" s="51"/>
      <c r="AA103" s="49"/>
      <c r="AB103" s="51"/>
      <c r="AC103" s="49"/>
      <c r="AD103" s="51"/>
      <c r="AE103" s="49"/>
      <c r="AF103" s="51"/>
      <c r="AG103" s="51"/>
      <c r="AH103" s="51"/>
      <c r="AI103" s="51"/>
      <c r="AJ103" s="51"/>
      <c r="AK103" s="51"/>
      <c r="AL103" s="51"/>
      <c r="AM103" s="51"/>
      <c r="AN103" s="51"/>
      <c r="AO103" s="50"/>
      <c r="AP103" s="51"/>
      <c r="AQ103" s="50"/>
      <c r="AR103" s="51"/>
      <c r="AS103" s="50"/>
      <c r="AT103" s="67"/>
      <c r="AU103" s="50"/>
      <c r="AV103" s="51"/>
      <c r="AW103" s="49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2">
        <f t="shared" si="46"/>
        <v>0</v>
      </c>
      <c r="BR103" s="52">
        <f t="shared" si="47"/>
        <v>0</v>
      </c>
      <c r="BS103" s="52">
        <f t="shared" si="48"/>
        <v>0</v>
      </c>
      <c r="BT103" s="52">
        <f t="shared" si="49"/>
        <v>0</v>
      </c>
      <c r="BU103" s="52">
        <f t="shared" si="50"/>
        <v>0</v>
      </c>
      <c r="BV103" s="65"/>
      <c r="BW103" s="52">
        <f t="shared" si="51"/>
        <v>0</v>
      </c>
      <c r="BX103" s="52">
        <f t="shared" si="52"/>
        <v>0</v>
      </c>
      <c r="BY103" s="52">
        <f t="shared" si="53"/>
        <v>0</v>
      </c>
      <c r="BZ103" s="66">
        <f t="shared" si="54"/>
        <v>0</v>
      </c>
      <c r="CA103" s="54">
        <f t="shared" si="55"/>
        <v>0</v>
      </c>
      <c r="CB103" s="55">
        <f t="shared" si="56"/>
        <v>0</v>
      </c>
      <c r="CC103" s="56">
        <f t="shared" si="57"/>
        <v>0</v>
      </c>
      <c r="CD103" s="57">
        <f t="shared" si="62"/>
        <v>-1</v>
      </c>
      <c r="CE103" s="49"/>
      <c r="CF103" s="57" t="e">
        <f t="shared" si="63"/>
        <v>#N/A</v>
      </c>
      <c r="CG103" s="58">
        <f t="shared" si="59"/>
        <v>1</v>
      </c>
      <c r="CH103" s="57">
        <f t="shared" si="60"/>
        <v>0</v>
      </c>
      <c r="CI103" s="59" t="e">
        <f>VLOOKUP(A103,[1]DATA!$A$6:$AI$331,34,0)</f>
        <v>#N/A</v>
      </c>
      <c r="CJ103" s="60" t="e">
        <f>VLOOKUP(A103,[2]CHAMCONG!A$7:CI$333,79,0)</f>
        <v>#N/A</v>
      </c>
      <c r="CK103" s="61" t="e">
        <f t="shared" si="61"/>
        <v>#N/A</v>
      </c>
    </row>
    <row r="104" spans="1:89" s="62" customFormat="1" ht="15.75" customHeight="1" x14ac:dyDescent="0.25">
      <c r="A104" s="63"/>
      <c r="B104" s="64"/>
      <c r="C104" s="45"/>
      <c r="D104" s="46"/>
      <c r="E104" s="47"/>
      <c r="F104" s="48"/>
      <c r="G104" s="49"/>
      <c r="H104" s="51"/>
      <c r="I104" s="50"/>
      <c r="J104" s="51"/>
      <c r="K104" s="50"/>
      <c r="L104" s="51"/>
      <c r="M104" s="50"/>
      <c r="N104" s="51"/>
      <c r="O104" s="50"/>
      <c r="P104" s="51"/>
      <c r="Q104" s="51"/>
      <c r="R104" s="51"/>
      <c r="S104" s="50"/>
      <c r="T104" s="51"/>
      <c r="U104" s="49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2">
        <f t="shared" si="46"/>
        <v>0</v>
      </c>
      <c r="BR104" s="52">
        <f t="shared" si="47"/>
        <v>0</v>
      </c>
      <c r="BS104" s="52">
        <f t="shared" si="48"/>
        <v>0</v>
      </c>
      <c r="BT104" s="52">
        <f t="shared" si="49"/>
        <v>0</v>
      </c>
      <c r="BU104" s="52">
        <f t="shared" si="50"/>
        <v>0</v>
      </c>
      <c r="BV104" s="65"/>
      <c r="BW104" s="52">
        <f t="shared" si="51"/>
        <v>0</v>
      </c>
      <c r="BX104" s="52">
        <f t="shared" si="52"/>
        <v>0</v>
      </c>
      <c r="BY104" s="52">
        <f t="shared" si="53"/>
        <v>0</v>
      </c>
      <c r="BZ104" s="66">
        <f t="shared" si="54"/>
        <v>0</v>
      </c>
      <c r="CA104" s="54">
        <f t="shared" si="55"/>
        <v>0</v>
      </c>
      <c r="CB104" s="55">
        <f t="shared" si="56"/>
        <v>0</v>
      </c>
      <c r="CC104" s="56">
        <f t="shared" si="57"/>
        <v>0</v>
      </c>
      <c r="CD104" s="57">
        <f t="shared" si="62"/>
        <v>-1</v>
      </c>
      <c r="CE104" s="49"/>
      <c r="CF104" s="57" t="e">
        <f t="shared" si="63"/>
        <v>#N/A</v>
      </c>
      <c r="CG104" s="58">
        <f t="shared" si="59"/>
        <v>1</v>
      </c>
      <c r="CH104" s="57">
        <f t="shared" si="60"/>
        <v>0</v>
      </c>
      <c r="CI104" s="59" t="e">
        <f>VLOOKUP(A104,[1]DATA!$A$6:$AI$331,34,0)</f>
        <v>#N/A</v>
      </c>
      <c r="CJ104" s="60" t="e">
        <f>VLOOKUP(A104,[2]CHAMCONG!A$7:CI$333,79,0)</f>
        <v>#N/A</v>
      </c>
      <c r="CK104" s="61" t="e">
        <f t="shared" si="61"/>
        <v>#N/A</v>
      </c>
    </row>
    <row r="105" spans="1:89" s="62" customFormat="1" ht="15.75" customHeight="1" x14ac:dyDescent="0.25">
      <c r="A105" s="63"/>
      <c r="B105" s="64"/>
      <c r="C105" s="45"/>
      <c r="D105" s="46"/>
      <c r="E105" s="47"/>
      <c r="F105" s="48"/>
      <c r="G105" s="49"/>
      <c r="H105" s="51"/>
      <c r="I105" s="49"/>
      <c r="J105" s="51"/>
      <c r="K105" s="49"/>
      <c r="L105" s="51"/>
      <c r="M105" s="49"/>
      <c r="N105" s="51"/>
      <c r="O105" s="49"/>
      <c r="P105" s="51"/>
      <c r="Q105" s="49"/>
      <c r="R105" s="51"/>
      <c r="S105" s="49"/>
      <c r="T105" s="51"/>
      <c r="U105" s="49"/>
      <c r="V105" s="51"/>
      <c r="W105" s="49"/>
      <c r="X105" s="51"/>
      <c r="Y105" s="49"/>
      <c r="Z105" s="51"/>
      <c r="AA105" s="49"/>
      <c r="AB105" s="51"/>
      <c r="AC105" s="49"/>
      <c r="AD105" s="51"/>
      <c r="AE105" s="49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49"/>
      <c r="AR105" s="51"/>
      <c r="AS105" s="49"/>
      <c r="AT105" s="51"/>
      <c r="AU105" s="49"/>
      <c r="AV105" s="51"/>
      <c r="AW105" s="49"/>
      <c r="AX105" s="51"/>
      <c r="AY105" s="49"/>
      <c r="AZ105" s="51"/>
      <c r="BA105" s="49"/>
      <c r="BB105" s="51"/>
      <c r="BC105" s="49"/>
      <c r="BD105" s="51"/>
      <c r="BE105" s="49"/>
      <c r="BF105" s="51"/>
      <c r="BG105" s="49"/>
      <c r="BH105" s="51"/>
      <c r="BI105" s="51"/>
      <c r="BJ105" s="51"/>
      <c r="BK105" s="51"/>
      <c r="BL105" s="51"/>
      <c r="BM105" s="51"/>
      <c r="BN105" s="51"/>
      <c r="BO105" s="51"/>
      <c r="BP105" s="51"/>
      <c r="BQ105" s="52">
        <f t="shared" si="46"/>
        <v>0</v>
      </c>
      <c r="BR105" s="52">
        <f t="shared" si="47"/>
        <v>0</v>
      </c>
      <c r="BS105" s="52">
        <f t="shared" si="48"/>
        <v>0</v>
      </c>
      <c r="BT105" s="52">
        <f t="shared" si="49"/>
        <v>0</v>
      </c>
      <c r="BU105" s="52">
        <f t="shared" si="50"/>
        <v>0</v>
      </c>
      <c r="BV105" s="65"/>
      <c r="BW105" s="52">
        <f t="shared" si="51"/>
        <v>0</v>
      </c>
      <c r="BX105" s="52">
        <f t="shared" si="52"/>
        <v>0</v>
      </c>
      <c r="BY105" s="52">
        <f t="shared" si="53"/>
        <v>0</v>
      </c>
      <c r="BZ105" s="66">
        <f t="shared" si="54"/>
        <v>0</v>
      </c>
      <c r="CA105" s="54">
        <f t="shared" si="55"/>
        <v>0</v>
      </c>
      <c r="CB105" s="55">
        <f t="shared" si="56"/>
        <v>0</v>
      </c>
      <c r="CC105" s="56">
        <f t="shared" si="57"/>
        <v>0</v>
      </c>
      <c r="CD105" s="57">
        <f t="shared" si="62"/>
        <v>-1</v>
      </c>
      <c r="CE105" s="49"/>
      <c r="CF105" s="57" t="e">
        <f t="shared" si="63"/>
        <v>#N/A</v>
      </c>
      <c r="CG105" s="58">
        <f t="shared" si="59"/>
        <v>1</v>
      </c>
      <c r="CH105" s="57">
        <f t="shared" si="60"/>
        <v>0</v>
      </c>
      <c r="CI105" s="59" t="e">
        <f>VLOOKUP(A105,[1]DATA!$A$6:$AI$331,34,0)</f>
        <v>#N/A</v>
      </c>
      <c r="CJ105" s="60" t="e">
        <f>VLOOKUP(A105,[2]CHAMCONG!A$7:CI$333,79,0)</f>
        <v>#N/A</v>
      </c>
      <c r="CK105" s="61" t="e">
        <f t="shared" si="61"/>
        <v>#N/A</v>
      </c>
    </row>
    <row r="106" spans="1:89" s="62" customFormat="1" ht="15.75" customHeight="1" x14ac:dyDescent="0.25">
      <c r="A106" s="63"/>
      <c r="B106" s="64"/>
      <c r="C106" s="45"/>
      <c r="D106" s="46"/>
      <c r="E106" s="47"/>
      <c r="F106" s="48"/>
      <c r="G106" s="49"/>
      <c r="H106" s="51"/>
      <c r="I106" s="50"/>
      <c r="J106" s="51"/>
      <c r="K106" s="51"/>
      <c r="L106" s="51"/>
      <c r="M106" s="51"/>
      <c r="N106" s="51"/>
      <c r="O106" s="50"/>
      <c r="P106" s="51"/>
      <c r="Q106" s="51"/>
      <c r="R106" s="51"/>
      <c r="S106" s="51"/>
      <c r="T106" s="51"/>
      <c r="U106" s="49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49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2">
        <f t="shared" si="46"/>
        <v>0</v>
      </c>
      <c r="BR106" s="52">
        <f t="shared" si="47"/>
        <v>0</v>
      </c>
      <c r="BS106" s="52">
        <f t="shared" si="48"/>
        <v>0</v>
      </c>
      <c r="BT106" s="52">
        <f t="shared" si="49"/>
        <v>0</v>
      </c>
      <c r="BU106" s="52">
        <f t="shared" si="50"/>
        <v>0</v>
      </c>
      <c r="BV106" s="65"/>
      <c r="BW106" s="52">
        <f t="shared" si="51"/>
        <v>0</v>
      </c>
      <c r="BX106" s="52">
        <f t="shared" si="52"/>
        <v>0</v>
      </c>
      <c r="BY106" s="52">
        <f t="shared" si="53"/>
        <v>0</v>
      </c>
      <c r="BZ106" s="66">
        <f t="shared" si="54"/>
        <v>0</v>
      </c>
      <c r="CA106" s="54">
        <f t="shared" si="55"/>
        <v>0</v>
      </c>
      <c r="CB106" s="55">
        <f t="shared" si="56"/>
        <v>0</v>
      </c>
      <c r="CC106" s="56">
        <f t="shared" si="57"/>
        <v>0</v>
      </c>
      <c r="CD106" s="57"/>
      <c r="CE106" s="49"/>
      <c r="CF106" s="57" t="e">
        <f t="shared" si="63"/>
        <v>#N/A</v>
      </c>
      <c r="CG106" s="58">
        <f t="shared" si="59"/>
        <v>1</v>
      </c>
      <c r="CH106" s="57">
        <f t="shared" si="60"/>
        <v>0</v>
      </c>
      <c r="CI106" s="59" t="e">
        <f>VLOOKUP(A106,[1]DATA!$A$6:$AI$331,34,0)</f>
        <v>#N/A</v>
      </c>
      <c r="CJ106" s="60" t="e">
        <f>VLOOKUP(A106,[2]CHAMCONG!A$7:CI$333,79,0)</f>
        <v>#N/A</v>
      </c>
      <c r="CK106" s="61" t="e">
        <f t="shared" si="61"/>
        <v>#N/A</v>
      </c>
    </row>
    <row r="107" spans="1:89" s="62" customFormat="1" ht="15.75" customHeight="1" x14ac:dyDescent="0.25">
      <c r="A107" s="69"/>
      <c r="B107" s="64"/>
      <c r="C107" s="45"/>
      <c r="D107" s="46"/>
      <c r="E107" s="47"/>
      <c r="F107" s="48"/>
      <c r="G107" s="49"/>
      <c r="H107" s="51"/>
      <c r="I107" s="50"/>
      <c r="J107" s="51"/>
      <c r="K107" s="50"/>
      <c r="L107" s="51"/>
      <c r="M107" s="50"/>
      <c r="N107" s="51"/>
      <c r="O107" s="50"/>
      <c r="P107" s="51"/>
      <c r="Q107" s="51"/>
      <c r="R107" s="51"/>
      <c r="S107" s="50"/>
      <c r="T107" s="51"/>
      <c r="U107" s="50"/>
      <c r="V107" s="51"/>
      <c r="W107" s="50"/>
      <c r="X107" s="51"/>
      <c r="Y107" s="50"/>
      <c r="Z107" s="51"/>
      <c r="AA107" s="50"/>
      <c r="AB107" s="51"/>
      <c r="AC107" s="50"/>
      <c r="AD107" s="51"/>
      <c r="AE107" s="51"/>
      <c r="AF107" s="51"/>
      <c r="AG107" s="50"/>
      <c r="AH107" s="51"/>
      <c r="AI107" s="50"/>
      <c r="AJ107" s="51"/>
      <c r="AK107" s="50"/>
      <c r="AL107" s="51"/>
      <c r="AM107" s="50"/>
      <c r="AN107" s="51"/>
      <c r="AO107" s="51"/>
      <c r="AP107" s="51"/>
      <c r="AQ107" s="50"/>
      <c r="AR107" s="51"/>
      <c r="AS107" s="51"/>
      <c r="AT107" s="51"/>
      <c r="AU107" s="51"/>
      <c r="AV107" s="51"/>
      <c r="AW107" s="51"/>
      <c r="AX107" s="51"/>
      <c r="AY107" s="50"/>
      <c r="AZ107" s="51"/>
      <c r="BA107" s="51"/>
      <c r="BB107" s="51"/>
      <c r="BC107" s="51"/>
      <c r="BD107" s="51"/>
      <c r="BE107" s="50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2">
        <f t="shared" si="46"/>
        <v>0</v>
      </c>
      <c r="BR107" s="52">
        <f t="shared" si="47"/>
        <v>0</v>
      </c>
      <c r="BS107" s="52">
        <f t="shared" si="48"/>
        <v>0</v>
      </c>
      <c r="BT107" s="52">
        <f t="shared" si="49"/>
        <v>0</v>
      </c>
      <c r="BU107" s="52">
        <f t="shared" si="50"/>
        <v>0</v>
      </c>
      <c r="BV107" s="65"/>
      <c r="BW107" s="52">
        <f t="shared" si="51"/>
        <v>0</v>
      </c>
      <c r="BX107" s="52">
        <f t="shared" si="52"/>
        <v>0</v>
      </c>
      <c r="BY107" s="52">
        <f t="shared" si="53"/>
        <v>0</v>
      </c>
      <c r="BZ107" s="66">
        <f t="shared" si="54"/>
        <v>0</v>
      </c>
      <c r="CA107" s="54">
        <f t="shared" si="55"/>
        <v>0</v>
      </c>
      <c r="CB107" s="55">
        <f t="shared" si="56"/>
        <v>0</v>
      </c>
      <c r="CC107" s="56">
        <f t="shared" si="57"/>
        <v>0</v>
      </c>
      <c r="CD107" s="57">
        <f t="shared" si="62"/>
        <v>-1</v>
      </c>
      <c r="CE107" s="49"/>
      <c r="CF107" s="57" t="e">
        <f t="shared" si="63"/>
        <v>#N/A</v>
      </c>
      <c r="CG107" s="58">
        <f t="shared" si="59"/>
        <v>1</v>
      </c>
      <c r="CH107" s="57">
        <f t="shared" si="60"/>
        <v>0</v>
      </c>
      <c r="CI107" s="59" t="e">
        <f>VLOOKUP(A107,[1]DATA!$A$6:$AI$331,34,0)</f>
        <v>#N/A</v>
      </c>
      <c r="CJ107" s="60" t="e">
        <f>VLOOKUP(A107,[2]CHAMCONG!A$7:CI$333,79,0)</f>
        <v>#N/A</v>
      </c>
      <c r="CK107" s="61" t="e">
        <f t="shared" si="61"/>
        <v>#N/A</v>
      </c>
    </row>
    <row r="108" spans="1:89" s="62" customFormat="1" ht="15.75" customHeight="1" x14ac:dyDescent="0.25">
      <c r="A108" s="63"/>
      <c r="B108" s="64"/>
      <c r="C108" s="45"/>
      <c r="D108" s="46"/>
      <c r="E108" s="47"/>
      <c r="F108" s="48"/>
      <c r="G108" s="49"/>
      <c r="H108" s="51"/>
      <c r="I108" s="50"/>
      <c r="J108" s="51"/>
      <c r="K108" s="50"/>
      <c r="L108" s="51"/>
      <c r="M108" s="50"/>
      <c r="N108" s="51"/>
      <c r="O108" s="50"/>
      <c r="P108" s="51"/>
      <c r="Q108" s="51"/>
      <c r="R108" s="51"/>
      <c r="S108" s="50"/>
      <c r="T108" s="51"/>
      <c r="U108" s="50"/>
      <c r="V108" s="51"/>
      <c r="W108" s="50"/>
      <c r="X108" s="51"/>
      <c r="Y108" s="50"/>
      <c r="Z108" s="51"/>
      <c r="AA108" s="50"/>
      <c r="AB108" s="51"/>
      <c r="AC108" s="50"/>
      <c r="AD108" s="51"/>
      <c r="AE108" s="51"/>
      <c r="AF108" s="51"/>
      <c r="AG108" s="50"/>
      <c r="AH108" s="51"/>
      <c r="AI108" s="50"/>
      <c r="AJ108" s="51"/>
      <c r="AK108" s="50"/>
      <c r="AL108" s="51"/>
      <c r="AM108" s="51"/>
      <c r="AN108" s="51"/>
      <c r="AO108" s="51"/>
      <c r="AP108" s="51"/>
      <c r="AQ108" s="50"/>
      <c r="AR108" s="51"/>
      <c r="AS108" s="51"/>
      <c r="AT108" s="51"/>
      <c r="AU108" s="51"/>
      <c r="AV108" s="51"/>
      <c r="AW108" s="51"/>
      <c r="AX108" s="51"/>
      <c r="AY108" s="50"/>
      <c r="AZ108" s="51"/>
      <c r="BA108" s="51"/>
      <c r="BB108" s="51"/>
      <c r="BC108" s="51"/>
      <c r="BD108" s="51"/>
      <c r="BE108" s="50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2">
        <f t="shared" si="46"/>
        <v>0</v>
      </c>
      <c r="BR108" s="52">
        <f t="shared" si="47"/>
        <v>0</v>
      </c>
      <c r="BS108" s="52">
        <f t="shared" si="48"/>
        <v>0</v>
      </c>
      <c r="BT108" s="52">
        <f t="shared" si="49"/>
        <v>0</v>
      </c>
      <c r="BU108" s="52">
        <f t="shared" si="50"/>
        <v>0</v>
      </c>
      <c r="BV108" s="65"/>
      <c r="BW108" s="52">
        <f t="shared" si="51"/>
        <v>0</v>
      </c>
      <c r="BX108" s="52">
        <f t="shared" si="52"/>
        <v>0</v>
      </c>
      <c r="BY108" s="52">
        <f t="shared" si="53"/>
        <v>0</v>
      </c>
      <c r="BZ108" s="66">
        <f t="shared" si="54"/>
        <v>0</v>
      </c>
      <c r="CA108" s="54">
        <f t="shared" si="55"/>
        <v>0</v>
      </c>
      <c r="CB108" s="55">
        <f t="shared" si="56"/>
        <v>0</v>
      </c>
      <c r="CC108" s="56">
        <f t="shared" si="57"/>
        <v>0</v>
      </c>
      <c r="CD108" s="57">
        <f t="shared" si="62"/>
        <v>-1</v>
      </c>
      <c r="CE108" s="49"/>
      <c r="CF108" s="57" t="e">
        <f t="shared" si="63"/>
        <v>#N/A</v>
      </c>
      <c r="CG108" s="58">
        <f t="shared" si="59"/>
        <v>1</v>
      </c>
      <c r="CH108" s="57">
        <f t="shared" si="60"/>
        <v>0</v>
      </c>
      <c r="CI108" s="59" t="e">
        <f>VLOOKUP(A108,[1]DATA!$A$6:$AI$331,34,0)</f>
        <v>#N/A</v>
      </c>
      <c r="CJ108" s="60" t="e">
        <f>VLOOKUP(A108,[2]CHAMCONG!A$7:CI$333,79,0)</f>
        <v>#N/A</v>
      </c>
      <c r="CK108" s="61" t="e">
        <f t="shared" si="61"/>
        <v>#N/A</v>
      </c>
    </row>
    <row r="109" spans="1:89" s="62" customFormat="1" ht="15.75" customHeight="1" x14ac:dyDescent="0.25">
      <c r="A109" s="63"/>
      <c r="B109" s="64"/>
      <c r="C109" s="45"/>
      <c r="D109" s="46"/>
      <c r="E109" s="47"/>
      <c r="F109" s="48"/>
      <c r="G109" s="49"/>
      <c r="H109" s="51"/>
      <c r="I109" s="50"/>
      <c r="J109" s="51"/>
      <c r="K109" s="51"/>
      <c r="L109" s="51"/>
      <c r="M109" s="51"/>
      <c r="N109" s="51"/>
      <c r="O109" s="51"/>
      <c r="P109" s="51"/>
      <c r="Q109" s="51"/>
      <c r="R109" s="49"/>
      <c r="S109" s="51"/>
      <c r="T109" s="51"/>
      <c r="U109" s="49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49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49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2">
        <f t="shared" si="46"/>
        <v>0</v>
      </c>
      <c r="BR109" s="52">
        <f t="shared" si="47"/>
        <v>0</v>
      </c>
      <c r="BS109" s="52">
        <f t="shared" si="48"/>
        <v>0</v>
      </c>
      <c r="BT109" s="52">
        <f t="shared" si="49"/>
        <v>0</v>
      </c>
      <c r="BU109" s="52">
        <f t="shared" si="50"/>
        <v>0</v>
      </c>
      <c r="BV109" s="65"/>
      <c r="BW109" s="52">
        <f t="shared" si="51"/>
        <v>0</v>
      </c>
      <c r="BX109" s="52">
        <f t="shared" si="52"/>
        <v>0</v>
      </c>
      <c r="BY109" s="52">
        <f t="shared" si="53"/>
        <v>0</v>
      </c>
      <c r="BZ109" s="66">
        <f t="shared" si="54"/>
        <v>0</v>
      </c>
      <c r="CA109" s="54">
        <f t="shared" si="55"/>
        <v>0</v>
      </c>
      <c r="CB109" s="55">
        <f t="shared" si="56"/>
        <v>0</v>
      </c>
      <c r="CC109" s="56">
        <f t="shared" si="57"/>
        <v>0</v>
      </c>
      <c r="CD109" s="57">
        <f t="shared" si="62"/>
        <v>-1</v>
      </c>
      <c r="CE109" s="49"/>
      <c r="CF109" s="57" t="e">
        <f t="shared" si="63"/>
        <v>#N/A</v>
      </c>
      <c r="CG109" s="58">
        <f t="shared" si="59"/>
        <v>1</v>
      </c>
      <c r="CH109" s="57">
        <f t="shared" si="60"/>
        <v>0</v>
      </c>
      <c r="CI109" s="59" t="e">
        <f>VLOOKUP(A109,[1]DATA!$A$6:$AI$331,34,0)</f>
        <v>#N/A</v>
      </c>
      <c r="CJ109" s="60" t="e">
        <f>VLOOKUP(A109,[2]CHAMCONG!A$7:CI$333,79,0)</f>
        <v>#N/A</v>
      </c>
      <c r="CK109" s="61" t="e">
        <f t="shared" si="61"/>
        <v>#N/A</v>
      </c>
    </row>
    <row r="110" spans="1:89" s="62" customFormat="1" ht="15.75" customHeight="1" x14ac:dyDescent="0.25">
      <c r="A110" s="63"/>
      <c r="B110" s="64"/>
      <c r="C110" s="45"/>
      <c r="D110" s="46"/>
      <c r="E110" s="47"/>
      <c r="F110" s="48"/>
      <c r="G110" s="49"/>
      <c r="H110" s="51"/>
      <c r="I110" s="50"/>
      <c r="J110" s="51"/>
      <c r="K110" s="50"/>
      <c r="L110" s="51"/>
      <c r="M110" s="50"/>
      <c r="N110" s="51"/>
      <c r="O110" s="50"/>
      <c r="P110" s="51"/>
      <c r="Q110" s="51"/>
      <c r="R110" s="51"/>
      <c r="S110" s="50"/>
      <c r="T110" s="51"/>
      <c r="U110" s="50"/>
      <c r="V110" s="51"/>
      <c r="W110" s="50"/>
      <c r="X110" s="51"/>
      <c r="Y110" s="50"/>
      <c r="Z110" s="51"/>
      <c r="AA110" s="50"/>
      <c r="AB110" s="51"/>
      <c r="AC110" s="50"/>
      <c r="AD110" s="51"/>
      <c r="AE110" s="51"/>
      <c r="AF110" s="51"/>
      <c r="AG110" s="50"/>
      <c r="AH110" s="51"/>
      <c r="AI110" s="50"/>
      <c r="AJ110" s="51"/>
      <c r="AK110" s="51"/>
      <c r="AL110" s="51"/>
      <c r="AM110" s="50"/>
      <c r="AN110" s="51"/>
      <c r="AO110" s="50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2">
        <f t="shared" si="46"/>
        <v>0</v>
      </c>
      <c r="BR110" s="52">
        <f t="shared" si="47"/>
        <v>0</v>
      </c>
      <c r="BS110" s="52">
        <f t="shared" si="48"/>
        <v>0</v>
      </c>
      <c r="BT110" s="52">
        <f t="shared" si="49"/>
        <v>0</v>
      </c>
      <c r="BU110" s="52">
        <f t="shared" si="50"/>
        <v>0</v>
      </c>
      <c r="BV110" s="65"/>
      <c r="BW110" s="52">
        <f t="shared" si="51"/>
        <v>0</v>
      </c>
      <c r="BX110" s="52">
        <f t="shared" si="52"/>
        <v>0</v>
      </c>
      <c r="BY110" s="52">
        <f t="shared" si="53"/>
        <v>0</v>
      </c>
      <c r="BZ110" s="66">
        <f t="shared" si="54"/>
        <v>0</v>
      </c>
      <c r="CA110" s="54">
        <f t="shared" si="55"/>
        <v>0</v>
      </c>
      <c r="CB110" s="55">
        <f t="shared" si="56"/>
        <v>0</v>
      </c>
      <c r="CC110" s="56">
        <f t="shared" si="57"/>
        <v>0</v>
      </c>
      <c r="CD110" s="57">
        <f t="shared" si="62"/>
        <v>-1</v>
      </c>
      <c r="CE110" s="49"/>
      <c r="CF110" s="57" t="e">
        <f t="shared" si="63"/>
        <v>#N/A</v>
      </c>
      <c r="CG110" s="58">
        <f t="shared" si="59"/>
        <v>1</v>
      </c>
      <c r="CH110" s="57">
        <f t="shared" si="60"/>
        <v>0</v>
      </c>
      <c r="CI110" s="59" t="e">
        <f>VLOOKUP(A110,[1]DATA!$A$6:$AI$331,34,0)</f>
        <v>#N/A</v>
      </c>
      <c r="CJ110" s="60" t="e">
        <f>VLOOKUP(A110,[2]CHAMCONG!A$7:CI$333,79,0)</f>
        <v>#N/A</v>
      </c>
      <c r="CK110" s="61" t="e">
        <f t="shared" si="61"/>
        <v>#N/A</v>
      </c>
    </row>
    <row r="111" spans="1:89" s="62" customFormat="1" ht="15.75" customHeight="1" x14ac:dyDescent="0.25">
      <c r="A111" s="69"/>
      <c r="B111" s="64"/>
      <c r="C111" s="45"/>
      <c r="D111" s="46"/>
      <c r="E111" s="47"/>
      <c r="F111" s="48"/>
      <c r="G111" s="49"/>
      <c r="H111" s="74"/>
      <c r="I111" s="50"/>
      <c r="J111" s="74"/>
      <c r="K111" s="51"/>
      <c r="L111" s="74"/>
      <c r="M111" s="51"/>
      <c r="N111" s="74"/>
      <c r="O111" s="50"/>
      <c r="P111" s="74"/>
      <c r="Q111" s="51"/>
      <c r="R111" s="51"/>
      <c r="S111" s="51"/>
      <c r="T111" s="74"/>
      <c r="U111" s="49"/>
      <c r="V111" s="74"/>
      <c r="W111" s="50"/>
      <c r="X111" s="74"/>
      <c r="Y111" s="51"/>
      <c r="Z111" s="74"/>
      <c r="AA111" s="51"/>
      <c r="AB111" s="74"/>
      <c r="AC111" s="50"/>
      <c r="AD111" s="74"/>
      <c r="AE111" s="51"/>
      <c r="AF111" s="51"/>
      <c r="AG111" s="51"/>
      <c r="AH111" s="74"/>
      <c r="AI111" s="51"/>
      <c r="AJ111" s="74"/>
      <c r="AK111" s="50"/>
      <c r="AL111" s="74"/>
      <c r="AM111" s="51"/>
      <c r="AN111" s="74"/>
      <c r="AO111" s="51"/>
      <c r="AP111" s="74"/>
      <c r="AQ111" s="50"/>
      <c r="AR111" s="74"/>
      <c r="AS111" s="51"/>
      <c r="AT111" s="51"/>
      <c r="AU111" s="51"/>
      <c r="AV111" s="74"/>
      <c r="AW111" s="51"/>
      <c r="AX111" s="74"/>
      <c r="AY111" s="51"/>
      <c r="AZ111" s="74"/>
      <c r="BA111" s="51"/>
      <c r="BB111" s="74"/>
      <c r="BC111" s="51"/>
      <c r="BD111" s="74"/>
      <c r="BE111" s="50"/>
      <c r="BF111" s="74"/>
      <c r="BG111" s="51"/>
      <c r="BH111" s="51"/>
      <c r="BI111" s="51"/>
      <c r="BJ111" s="74"/>
      <c r="BK111" s="51"/>
      <c r="BL111" s="74"/>
      <c r="BM111" s="51"/>
      <c r="BN111" s="74"/>
      <c r="BO111" s="51"/>
      <c r="BP111" s="74"/>
      <c r="BQ111" s="52">
        <f t="shared" si="46"/>
        <v>0</v>
      </c>
      <c r="BR111" s="52">
        <f t="shared" si="47"/>
        <v>0</v>
      </c>
      <c r="BS111" s="52">
        <f t="shared" si="48"/>
        <v>0</v>
      </c>
      <c r="BT111" s="52">
        <f t="shared" si="49"/>
        <v>0</v>
      </c>
      <c r="BU111" s="52">
        <f t="shared" si="50"/>
        <v>0</v>
      </c>
      <c r="BV111" s="65"/>
      <c r="BW111" s="52">
        <f t="shared" si="51"/>
        <v>0</v>
      </c>
      <c r="BX111" s="52">
        <f t="shared" si="52"/>
        <v>0</v>
      </c>
      <c r="BY111" s="52">
        <f t="shared" si="53"/>
        <v>0</v>
      </c>
      <c r="BZ111" s="66">
        <f t="shared" si="54"/>
        <v>0</v>
      </c>
      <c r="CA111" s="54">
        <f t="shared" si="55"/>
        <v>0</v>
      </c>
      <c r="CB111" s="55">
        <f t="shared" si="56"/>
        <v>0</v>
      </c>
      <c r="CC111" s="56">
        <f t="shared" si="57"/>
        <v>0</v>
      </c>
      <c r="CD111" s="57">
        <f t="shared" si="62"/>
        <v>-1</v>
      </c>
      <c r="CE111" s="49"/>
      <c r="CF111" s="57" t="e">
        <f t="shared" si="63"/>
        <v>#N/A</v>
      </c>
      <c r="CG111" s="58">
        <f t="shared" si="59"/>
        <v>1</v>
      </c>
      <c r="CH111" s="57">
        <f t="shared" si="60"/>
        <v>0</v>
      </c>
      <c r="CI111" s="59" t="e">
        <f>VLOOKUP(A111,[1]DATA!$A$6:$AI$331,34,0)</f>
        <v>#N/A</v>
      </c>
      <c r="CJ111" s="60" t="e">
        <f>VLOOKUP(A111,[2]CHAMCONG!A$7:CI$333,79,0)</f>
        <v>#N/A</v>
      </c>
      <c r="CK111" s="61" t="e">
        <f t="shared" si="61"/>
        <v>#N/A</v>
      </c>
    </row>
    <row r="112" spans="1:89" s="62" customFormat="1" ht="15.75" customHeight="1" x14ac:dyDescent="0.25">
      <c r="A112" s="63"/>
      <c r="B112" s="64"/>
      <c r="C112" s="45"/>
      <c r="D112" s="46"/>
      <c r="E112" s="47"/>
      <c r="F112" s="48"/>
      <c r="G112" s="49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49"/>
      <c r="V112" s="51"/>
      <c r="W112" s="49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72"/>
      <c r="BF112" s="51"/>
      <c r="BG112" s="72"/>
      <c r="BH112" s="72"/>
      <c r="BI112" s="51"/>
      <c r="BJ112" s="51"/>
      <c r="BK112" s="72"/>
      <c r="BL112" s="51"/>
      <c r="BM112" s="72"/>
      <c r="BN112" s="51"/>
      <c r="BO112" s="72"/>
      <c r="BP112" s="51"/>
      <c r="BQ112" s="52">
        <f t="shared" si="46"/>
        <v>0</v>
      </c>
      <c r="BR112" s="52">
        <f t="shared" si="47"/>
        <v>0</v>
      </c>
      <c r="BS112" s="52">
        <f t="shared" si="48"/>
        <v>0</v>
      </c>
      <c r="BT112" s="52">
        <f t="shared" si="49"/>
        <v>0</v>
      </c>
      <c r="BU112" s="52">
        <f t="shared" si="50"/>
        <v>0</v>
      </c>
      <c r="BV112" s="65"/>
      <c r="BW112" s="52">
        <f t="shared" si="51"/>
        <v>0</v>
      </c>
      <c r="BX112" s="52">
        <f t="shared" si="52"/>
        <v>0</v>
      </c>
      <c r="BY112" s="52">
        <f t="shared" si="53"/>
        <v>0</v>
      </c>
      <c r="BZ112" s="66">
        <f t="shared" si="54"/>
        <v>0</v>
      </c>
      <c r="CA112" s="54">
        <f>SUM(J112,L112,N112,P112,R112,T112,X112,Z112,AB112,AD112,AF112,AH112,AL112,AN112,AP112,AR112,AT112,AV112,AZ112,BB112,BD112,BF112,BH112,BP112)</f>
        <v>0</v>
      </c>
      <c r="CB112" s="55">
        <f t="shared" si="56"/>
        <v>0</v>
      </c>
      <c r="CC112" s="56">
        <f t="shared" si="57"/>
        <v>0</v>
      </c>
      <c r="CD112" s="57">
        <f t="shared" si="62"/>
        <v>-1</v>
      </c>
      <c r="CE112" s="49">
        <v>1</v>
      </c>
      <c r="CF112" s="57" t="e">
        <f t="shared" si="63"/>
        <v>#N/A</v>
      </c>
      <c r="CG112" s="58">
        <f t="shared" si="59"/>
        <v>1</v>
      </c>
      <c r="CH112" s="57">
        <f t="shared" si="60"/>
        <v>16</v>
      </c>
      <c r="CI112" s="59" t="e">
        <f>VLOOKUP(A112,[1]DATA!$A$6:$AI$331,34,0)</f>
        <v>#N/A</v>
      </c>
      <c r="CJ112" s="60" t="e">
        <f>VLOOKUP(A112,[2]CHAMCONG!A$7:CI$333,79,0)</f>
        <v>#N/A</v>
      </c>
      <c r="CK112" s="61" t="e">
        <f t="shared" si="61"/>
        <v>#N/A</v>
      </c>
    </row>
    <row r="113" spans="1:89" s="62" customFormat="1" ht="15.75" customHeight="1" x14ac:dyDescent="0.25">
      <c r="A113" s="69"/>
      <c r="B113" s="64"/>
      <c r="C113" s="45"/>
      <c r="D113" s="46"/>
      <c r="E113" s="47"/>
      <c r="F113" s="48"/>
      <c r="G113" s="49"/>
      <c r="H113" s="51"/>
      <c r="I113" s="50"/>
      <c r="J113" s="51"/>
      <c r="K113" s="50"/>
      <c r="L113" s="51"/>
      <c r="M113" s="50"/>
      <c r="N113" s="51"/>
      <c r="O113" s="50"/>
      <c r="P113" s="51"/>
      <c r="Q113" s="51"/>
      <c r="R113" s="51"/>
      <c r="S113" s="50"/>
      <c r="T113" s="51"/>
      <c r="U113" s="50"/>
      <c r="V113" s="51"/>
      <c r="W113" s="50"/>
      <c r="X113" s="51"/>
      <c r="Y113" s="50"/>
      <c r="Z113" s="51"/>
      <c r="AA113" s="50"/>
      <c r="AB113" s="51"/>
      <c r="AC113" s="51"/>
      <c r="AD113" s="51"/>
      <c r="AE113" s="51"/>
      <c r="AF113" s="51"/>
      <c r="AG113" s="51"/>
      <c r="AH113" s="51"/>
      <c r="AI113" s="50"/>
      <c r="AJ113" s="51"/>
      <c r="AK113" s="50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2">
        <f t="shared" si="46"/>
        <v>0</v>
      </c>
      <c r="BR113" s="52">
        <f t="shared" si="47"/>
        <v>0</v>
      </c>
      <c r="BS113" s="52">
        <f t="shared" si="48"/>
        <v>0</v>
      </c>
      <c r="BT113" s="52">
        <f t="shared" si="49"/>
        <v>0</v>
      </c>
      <c r="BU113" s="52">
        <f t="shared" si="50"/>
        <v>0</v>
      </c>
      <c r="BV113" s="65"/>
      <c r="BW113" s="52">
        <f t="shared" si="51"/>
        <v>0</v>
      </c>
      <c r="BX113" s="52">
        <f t="shared" si="52"/>
        <v>0</v>
      </c>
      <c r="BY113" s="52">
        <f t="shared" si="53"/>
        <v>0</v>
      </c>
      <c r="BZ113" s="66">
        <f t="shared" si="54"/>
        <v>0</v>
      </c>
      <c r="CA113" s="54">
        <f t="shared" si="55"/>
        <v>0</v>
      </c>
      <c r="CB113" s="55">
        <f t="shared" si="56"/>
        <v>0</v>
      </c>
      <c r="CC113" s="56">
        <f t="shared" si="57"/>
        <v>0</v>
      </c>
      <c r="CD113" s="57">
        <f t="shared" si="62"/>
        <v>-1</v>
      </c>
      <c r="CE113" s="49"/>
      <c r="CF113" s="57" t="e">
        <f t="shared" si="63"/>
        <v>#N/A</v>
      </c>
      <c r="CG113" s="58">
        <f t="shared" si="59"/>
        <v>1</v>
      </c>
      <c r="CH113" s="57">
        <f t="shared" si="60"/>
        <v>0</v>
      </c>
      <c r="CI113" s="59" t="e">
        <f>VLOOKUP(A113,[1]DATA!$A$6:$AI$331,34,0)</f>
        <v>#N/A</v>
      </c>
      <c r="CJ113" s="60" t="e">
        <f>VLOOKUP(A113,[2]CHAMCONG!A$7:CI$333,79,0)</f>
        <v>#N/A</v>
      </c>
      <c r="CK113" s="61" t="e">
        <f t="shared" si="61"/>
        <v>#N/A</v>
      </c>
    </row>
    <row r="114" spans="1:89" s="62" customFormat="1" ht="15" customHeight="1" x14ac:dyDescent="0.25">
      <c r="A114" s="63"/>
      <c r="B114" s="64"/>
      <c r="C114" s="45"/>
      <c r="D114" s="46"/>
      <c r="E114" s="47"/>
      <c r="F114" s="48"/>
      <c r="G114" s="49"/>
      <c r="H114" s="51"/>
      <c r="I114" s="50"/>
      <c r="J114" s="51"/>
      <c r="K114" s="50"/>
      <c r="L114" s="51"/>
      <c r="M114" s="50"/>
      <c r="N114" s="51"/>
      <c r="O114" s="50"/>
      <c r="P114" s="51"/>
      <c r="Q114" s="50"/>
      <c r="R114" s="51"/>
      <c r="S114" s="50"/>
      <c r="T114" s="51"/>
      <c r="U114" s="49"/>
      <c r="V114" s="51"/>
      <c r="W114" s="50"/>
      <c r="X114" s="51"/>
      <c r="Y114" s="50"/>
      <c r="Z114" s="51"/>
      <c r="AA114" s="50"/>
      <c r="AB114" s="51"/>
      <c r="AC114" s="50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2">
        <f t="shared" si="46"/>
        <v>0</v>
      </c>
      <c r="BR114" s="52">
        <f t="shared" si="47"/>
        <v>0</v>
      </c>
      <c r="BS114" s="52">
        <f t="shared" si="48"/>
        <v>0</v>
      </c>
      <c r="BT114" s="52">
        <f t="shared" si="49"/>
        <v>0</v>
      </c>
      <c r="BU114" s="52">
        <f t="shared" si="50"/>
        <v>0</v>
      </c>
      <c r="BV114" s="65"/>
      <c r="BW114" s="52">
        <f t="shared" si="51"/>
        <v>0</v>
      </c>
      <c r="BX114" s="52">
        <f t="shared" si="52"/>
        <v>0</v>
      </c>
      <c r="BY114" s="52">
        <f t="shared" si="53"/>
        <v>0</v>
      </c>
      <c r="BZ114" s="66">
        <f t="shared" si="54"/>
        <v>0</v>
      </c>
      <c r="CA114" s="54">
        <f t="shared" si="55"/>
        <v>0</v>
      </c>
      <c r="CB114" s="55">
        <f t="shared" si="56"/>
        <v>0</v>
      </c>
      <c r="CC114" s="56">
        <f t="shared" si="57"/>
        <v>0</v>
      </c>
      <c r="CD114" s="57">
        <f t="shared" si="62"/>
        <v>-1</v>
      </c>
      <c r="CE114" s="49"/>
      <c r="CF114" s="57" t="e">
        <f t="shared" si="63"/>
        <v>#N/A</v>
      </c>
      <c r="CG114" s="58">
        <f t="shared" si="59"/>
        <v>1</v>
      </c>
      <c r="CH114" s="57">
        <f t="shared" si="60"/>
        <v>0</v>
      </c>
      <c r="CI114" s="59" t="e">
        <f>VLOOKUP(A114,[1]DATA!$A$6:$AI$331,34,0)</f>
        <v>#N/A</v>
      </c>
      <c r="CJ114" s="60" t="e">
        <f>VLOOKUP(A114,[2]CHAMCONG!A$7:CI$333,79,0)</f>
        <v>#N/A</v>
      </c>
      <c r="CK114" s="61" t="e">
        <f t="shared" si="61"/>
        <v>#N/A</v>
      </c>
    </row>
    <row r="115" spans="1:89" s="62" customFormat="1" ht="15.75" customHeight="1" x14ac:dyDescent="0.25">
      <c r="A115" s="63"/>
      <c r="B115" s="64"/>
      <c r="C115" s="45"/>
      <c r="D115" s="46"/>
      <c r="E115" s="47"/>
      <c r="F115" s="48"/>
      <c r="G115" s="49"/>
      <c r="H115" s="51"/>
      <c r="I115" s="50"/>
      <c r="J115" s="51"/>
      <c r="K115" s="51"/>
      <c r="L115" s="51"/>
      <c r="M115" s="51"/>
      <c r="N115" s="51"/>
      <c r="O115" s="50"/>
      <c r="P115" s="51"/>
      <c r="Q115" s="51"/>
      <c r="R115" s="51"/>
      <c r="S115" s="51"/>
      <c r="T115" s="51"/>
      <c r="U115" s="49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49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2">
        <f t="shared" si="46"/>
        <v>0</v>
      </c>
      <c r="BR115" s="52">
        <f t="shared" si="47"/>
        <v>0</v>
      </c>
      <c r="BS115" s="52">
        <f t="shared" si="48"/>
        <v>0</v>
      </c>
      <c r="BT115" s="52">
        <f t="shared" si="49"/>
        <v>0</v>
      </c>
      <c r="BU115" s="52">
        <f t="shared" si="50"/>
        <v>0</v>
      </c>
      <c r="BV115" s="65"/>
      <c r="BW115" s="52">
        <f t="shared" si="51"/>
        <v>0</v>
      </c>
      <c r="BX115" s="52">
        <f t="shared" si="52"/>
        <v>0</v>
      </c>
      <c r="BY115" s="52">
        <f t="shared" si="53"/>
        <v>0</v>
      </c>
      <c r="BZ115" s="66">
        <f t="shared" si="54"/>
        <v>0</v>
      </c>
      <c r="CA115" s="54">
        <f t="shared" si="55"/>
        <v>0</v>
      </c>
      <c r="CB115" s="55">
        <f t="shared" si="56"/>
        <v>0</v>
      </c>
      <c r="CC115" s="56">
        <f t="shared" si="57"/>
        <v>0</v>
      </c>
      <c r="CD115" s="57">
        <f t="shared" si="62"/>
        <v>-1</v>
      </c>
      <c r="CE115" s="49">
        <v>3</v>
      </c>
      <c r="CF115" s="57" t="e">
        <f t="shared" si="63"/>
        <v>#N/A</v>
      </c>
      <c r="CG115" s="58">
        <f t="shared" si="59"/>
        <v>1</v>
      </c>
      <c r="CH115" s="57">
        <f t="shared" si="60"/>
        <v>48</v>
      </c>
      <c r="CI115" s="59" t="e">
        <f>VLOOKUP(A115,[1]DATA!$A$6:$AI$331,34,0)</f>
        <v>#N/A</v>
      </c>
      <c r="CJ115" s="60" t="e">
        <f>VLOOKUP(A115,[2]CHAMCONG!A$7:CI$333,79,0)</f>
        <v>#N/A</v>
      </c>
      <c r="CK115" s="61" t="e">
        <f t="shared" si="61"/>
        <v>#N/A</v>
      </c>
    </row>
    <row r="116" spans="1:89" s="62" customFormat="1" ht="15.75" customHeight="1" x14ac:dyDescent="0.25">
      <c r="A116" s="63"/>
      <c r="B116" s="64"/>
      <c r="C116" s="45"/>
      <c r="D116" s="46"/>
      <c r="E116" s="47"/>
      <c r="F116" s="48"/>
      <c r="G116" s="49"/>
      <c r="H116" s="51"/>
      <c r="I116" s="50"/>
      <c r="J116" s="51"/>
      <c r="K116" s="51"/>
      <c r="L116" s="51"/>
      <c r="M116" s="51"/>
      <c r="N116" s="51"/>
      <c r="O116" s="50"/>
      <c r="P116" s="51"/>
      <c r="Q116" s="51"/>
      <c r="R116" s="51"/>
      <c r="S116" s="51"/>
      <c r="T116" s="51"/>
      <c r="U116" s="49"/>
      <c r="V116" s="51"/>
      <c r="W116" s="50"/>
      <c r="X116" s="51"/>
      <c r="Y116" s="51"/>
      <c r="Z116" s="51"/>
      <c r="AA116" s="51"/>
      <c r="AB116" s="51"/>
      <c r="AC116" s="50"/>
      <c r="AD116" s="51"/>
      <c r="AE116" s="51"/>
      <c r="AF116" s="51"/>
      <c r="AG116" s="51"/>
      <c r="AH116" s="51"/>
      <c r="AI116" s="51"/>
      <c r="AJ116" s="51"/>
      <c r="AK116" s="50"/>
      <c r="AL116" s="51"/>
      <c r="AM116" s="51"/>
      <c r="AN116" s="51"/>
      <c r="AO116" s="51"/>
      <c r="AP116" s="51"/>
      <c r="AQ116" s="50"/>
      <c r="AR116" s="51"/>
      <c r="AS116" s="51"/>
      <c r="AT116" s="51"/>
      <c r="AU116" s="51"/>
      <c r="AV116" s="51"/>
      <c r="AW116" s="51"/>
      <c r="AX116" s="51"/>
      <c r="AY116" s="50"/>
      <c r="AZ116" s="51"/>
      <c r="BA116" s="51"/>
      <c r="BB116" s="51"/>
      <c r="BC116" s="51"/>
      <c r="BD116" s="51"/>
      <c r="BE116" s="50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2">
        <f t="shared" si="46"/>
        <v>0</v>
      </c>
      <c r="BR116" s="52">
        <f t="shared" si="47"/>
        <v>0</v>
      </c>
      <c r="BS116" s="52">
        <f t="shared" si="48"/>
        <v>0</v>
      </c>
      <c r="BT116" s="52">
        <f t="shared" si="49"/>
        <v>0</v>
      </c>
      <c r="BU116" s="52">
        <f t="shared" si="50"/>
        <v>0</v>
      </c>
      <c r="BV116" s="65"/>
      <c r="BW116" s="52">
        <f t="shared" si="51"/>
        <v>0</v>
      </c>
      <c r="BX116" s="52">
        <f t="shared" si="52"/>
        <v>0</v>
      </c>
      <c r="BY116" s="52">
        <f t="shared" si="53"/>
        <v>0</v>
      </c>
      <c r="BZ116" s="66">
        <f t="shared" si="54"/>
        <v>0</v>
      </c>
      <c r="CA116" s="54">
        <f t="shared" si="55"/>
        <v>0</v>
      </c>
      <c r="CB116" s="55">
        <f t="shared" si="56"/>
        <v>0</v>
      </c>
      <c r="CC116" s="56">
        <f t="shared" si="57"/>
        <v>0</v>
      </c>
      <c r="CD116" s="57">
        <f t="shared" si="62"/>
        <v>-1</v>
      </c>
      <c r="CE116" s="49"/>
      <c r="CF116" s="57" t="e">
        <f t="shared" si="63"/>
        <v>#N/A</v>
      </c>
      <c r="CG116" s="58">
        <f t="shared" si="59"/>
        <v>1</v>
      </c>
      <c r="CH116" s="57">
        <f t="shared" si="60"/>
        <v>0</v>
      </c>
      <c r="CI116" s="59" t="e">
        <f>VLOOKUP(A116,[1]DATA!$A$6:$AI$331,34,0)</f>
        <v>#N/A</v>
      </c>
      <c r="CJ116" s="60" t="e">
        <f>VLOOKUP(A116,[2]CHAMCONG!A$7:CI$333,79,0)</f>
        <v>#N/A</v>
      </c>
      <c r="CK116" s="61" t="e">
        <f t="shared" si="61"/>
        <v>#N/A</v>
      </c>
    </row>
    <row r="117" spans="1:89" s="62" customFormat="1" ht="15.75" customHeight="1" x14ac:dyDescent="0.25">
      <c r="A117" s="63"/>
      <c r="B117" s="64"/>
      <c r="C117" s="45"/>
      <c r="D117" s="46"/>
      <c r="E117" s="47"/>
      <c r="F117" s="48"/>
      <c r="G117" s="49"/>
      <c r="H117" s="51"/>
      <c r="I117" s="50"/>
      <c r="J117" s="51"/>
      <c r="K117" s="50"/>
      <c r="L117" s="51"/>
      <c r="M117" s="50"/>
      <c r="N117" s="51"/>
      <c r="O117" s="50"/>
      <c r="P117" s="51"/>
      <c r="Q117" s="67"/>
      <c r="R117" s="67"/>
      <c r="S117" s="50"/>
      <c r="T117" s="51"/>
      <c r="U117" s="50"/>
      <c r="V117" s="51"/>
      <c r="W117" s="50"/>
      <c r="X117" s="51"/>
      <c r="Y117" s="50"/>
      <c r="Z117" s="51"/>
      <c r="AA117" s="50"/>
      <c r="AB117" s="51"/>
      <c r="AC117" s="50"/>
      <c r="AD117" s="51"/>
      <c r="AE117" s="50"/>
      <c r="AF117" s="67"/>
      <c r="AG117" s="50"/>
      <c r="AH117" s="51"/>
      <c r="AI117" s="50"/>
      <c r="AJ117" s="51"/>
      <c r="AK117" s="50"/>
      <c r="AL117" s="51"/>
      <c r="AM117" s="50"/>
      <c r="AN117" s="51"/>
      <c r="AO117" s="50"/>
      <c r="AP117" s="51"/>
      <c r="AQ117" s="50"/>
      <c r="AR117" s="51"/>
      <c r="AS117" s="51"/>
      <c r="AT117" s="51"/>
      <c r="AU117" s="50"/>
      <c r="AV117" s="51"/>
      <c r="AW117" s="50"/>
      <c r="AX117" s="51"/>
      <c r="AY117" s="50"/>
      <c r="AZ117" s="51"/>
      <c r="BA117" s="50"/>
      <c r="BB117" s="51"/>
      <c r="BC117" s="50"/>
      <c r="BD117" s="51"/>
      <c r="BE117" s="50"/>
      <c r="BF117" s="51"/>
      <c r="BG117" s="51"/>
      <c r="BH117" s="51"/>
      <c r="BI117" s="50"/>
      <c r="BJ117" s="51"/>
      <c r="BK117" s="51"/>
      <c r="BL117" s="51"/>
      <c r="BM117" s="51"/>
      <c r="BN117" s="51"/>
      <c r="BO117" s="51"/>
      <c r="BP117" s="51"/>
      <c r="BQ117" s="52">
        <f t="shared" si="46"/>
        <v>0</v>
      </c>
      <c r="BR117" s="52">
        <f t="shared" si="47"/>
        <v>0</v>
      </c>
      <c r="BS117" s="52">
        <f t="shared" si="48"/>
        <v>0</v>
      </c>
      <c r="BT117" s="52">
        <f t="shared" si="49"/>
        <v>0</v>
      </c>
      <c r="BU117" s="52">
        <f t="shared" si="50"/>
        <v>0</v>
      </c>
      <c r="BV117" s="65"/>
      <c r="BW117" s="52">
        <f t="shared" si="51"/>
        <v>0</v>
      </c>
      <c r="BX117" s="52">
        <f t="shared" si="52"/>
        <v>0</v>
      </c>
      <c r="BY117" s="52">
        <f t="shared" si="53"/>
        <v>0</v>
      </c>
      <c r="BZ117" s="66">
        <f t="shared" si="54"/>
        <v>0</v>
      </c>
      <c r="CA117" s="54">
        <f t="shared" si="55"/>
        <v>0</v>
      </c>
      <c r="CB117" s="55">
        <f t="shared" si="56"/>
        <v>0</v>
      </c>
      <c r="CC117" s="56">
        <f t="shared" si="57"/>
        <v>0</v>
      </c>
      <c r="CD117" s="57"/>
      <c r="CE117" s="49">
        <v>15</v>
      </c>
      <c r="CF117" s="57" t="e">
        <f t="shared" si="63"/>
        <v>#N/A</v>
      </c>
      <c r="CG117" s="58">
        <f t="shared" si="59"/>
        <v>1</v>
      </c>
      <c r="CH117" s="57">
        <f t="shared" si="60"/>
        <v>240</v>
      </c>
      <c r="CI117" s="59" t="e">
        <f>VLOOKUP(A117,[1]DATA!$A$6:$AI$331,34,0)</f>
        <v>#N/A</v>
      </c>
      <c r="CJ117" s="60" t="e">
        <f>VLOOKUP(A117,[2]CHAMCONG!A$7:CI$333,79,0)</f>
        <v>#N/A</v>
      </c>
      <c r="CK117" s="61" t="e">
        <f t="shared" si="61"/>
        <v>#N/A</v>
      </c>
    </row>
    <row r="118" spans="1:89" s="62" customFormat="1" ht="15.75" customHeight="1" x14ac:dyDescent="0.25">
      <c r="A118" s="63"/>
      <c r="B118" s="64"/>
      <c r="C118" s="45"/>
      <c r="D118" s="46"/>
      <c r="E118" s="47"/>
      <c r="F118" s="48"/>
      <c r="G118" s="49"/>
      <c r="H118" s="51"/>
      <c r="I118" s="50"/>
      <c r="J118" s="51"/>
      <c r="K118" s="51"/>
      <c r="L118" s="51"/>
      <c r="M118" s="51"/>
      <c r="N118" s="51"/>
      <c r="O118" s="50"/>
      <c r="P118" s="51"/>
      <c r="Q118" s="51"/>
      <c r="R118" s="51"/>
      <c r="S118" s="51"/>
      <c r="T118" s="51"/>
      <c r="U118" s="49"/>
      <c r="V118" s="51"/>
      <c r="W118" s="50"/>
      <c r="X118" s="51"/>
      <c r="Y118" s="51"/>
      <c r="Z118" s="51"/>
      <c r="AA118" s="51"/>
      <c r="AB118" s="51"/>
      <c r="AC118" s="50"/>
      <c r="AD118" s="51"/>
      <c r="AE118" s="51"/>
      <c r="AF118" s="51"/>
      <c r="AG118" s="51"/>
      <c r="AH118" s="51"/>
      <c r="AI118" s="51"/>
      <c r="AJ118" s="51"/>
      <c r="AK118" s="50"/>
      <c r="AL118" s="51"/>
      <c r="AM118" s="51"/>
      <c r="AN118" s="51"/>
      <c r="AO118" s="51"/>
      <c r="AP118" s="51"/>
      <c r="AQ118" s="50"/>
      <c r="AR118" s="51"/>
      <c r="AS118" s="51"/>
      <c r="AT118" s="51"/>
      <c r="AU118" s="51"/>
      <c r="AV118" s="51"/>
      <c r="AW118" s="51"/>
      <c r="AX118" s="51"/>
      <c r="AY118" s="50"/>
      <c r="AZ118" s="51"/>
      <c r="BA118" s="51"/>
      <c r="BB118" s="51"/>
      <c r="BC118" s="51"/>
      <c r="BD118" s="51"/>
      <c r="BE118" s="50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2">
        <f t="shared" si="46"/>
        <v>0</v>
      </c>
      <c r="BR118" s="52">
        <f t="shared" si="47"/>
        <v>0</v>
      </c>
      <c r="BS118" s="52">
        <f t="shared" si="48"/>
        <v>0</v>
      </c>
      <c r="BT118" s="52">
        <f t="shared" si="49"/>
        <v>0</v>
      </c>
      <c r="BU118" s="52">
        <f t="shared" si="50"/>
        <v>0</v>
      </c>
      <c r="BV118" s="65"/>
      <c r="BW118" s="52">
        <f t="shared" si="51"/>
        <v>0</v>
      </c>
      <c r="BX118" s="52">
        <f t="shared" si="52"/>
        <v>0</v>
      </c>
      <c r="BY118" s="52">
        <f t="shared" si="53"/>
        <v>0</v>
      </c>
      <c r="BZ118" s="66">
        <f t="shared" si="54"/>
        <v>0</v>
      </c>
      <c r="CA118" s="54">
        <f t="shared" si="55"/>
        <v>0</v>
      </c>
      <c r="CB118" s="55">
        <f t="shared" si="56"/>
        <v>0</v>
      </c>
      <c r="CC118" s="56">
        <f t="shared" si="57"/>
        <v>0</v>
      </c>
      <c r="CD118" s="57">
        <f t="shared" si="62"/>
        <v>-1</v>
      </c>
      <c r="CE118" s="49"/>
      <c r="CF118" s="57" t="e">
        <f t="shared" si="63"/>
        <v>#N/A</v>
      </c>
      <c r="CG118" s="58">
        <f t="shared" si="59"/>
        <v>1</v>
      </c>
      <c r="CH118" s="57">
        <f t="shared" si="60"/>
        <v>0</v>
      </c>
      <c r="CI118" s="59" t="e">
        <f>VLOOKUP(A118,[1]DATA!$A$6:$AI$331,34,0)</f>
        <v>#N/A</v>
      </c>
      <c r="CJ118" s="60" t="e">
        <f>VLOOKUP(A118,[2]CHAMCONG!A$7:CI$333,79,0)</f>
        <v>#N/A</v>
      </c>
      <c r="CK118" s="61" t="e">
        <f t="shared" si="61"/>
        <v>#N/A</v>
      </c>
    </row>
    <row r="119" spans="1:89" s="62" customFormat="1" ht="15.75" customHeight="1" x14ac:dyDescent="0.25">
      <c r="A119" s="63"/>
      <c r="B119" s="64"/>
      <c r="C119" s="45"/>
      <c r="D119" s="46"/>
      <c r="E119" s="47"/>
      <c r="F119" s="48"/>
      <c r="G119" s="49"/>
      <c r="H119" s="51"/>
      <c r="I119" s="49"/>
      <c r="J119" s="51"/>
      <c r="K119" s="49"/>
      <c r="L119" s="51"/>
      <c r="M119" s="49"/>
      <c r="N119" s="51"/>
      <c r="O119" s="49"/>
      <c r="P119" s="51"/>
      <c r="Q119" s="67"/>
      <c r="R119" s="67"/>
      <c r="S119" s="50"/>
      <c r="T119" s="51"/>
      <c r="U119" s="49"/>
      <c r="V119" s="51"/>
      <c r="W119" s="50"/>
      <c r="X119" s="51"/>
      <c r="Y119" s="50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2">
        <f t="shared" si="46"/>
        <v>0</v>
      </c>
      <c r="BR119" s="52">
        <f t="shared" si="47"/>
        <v>0</v>
      </c>
      <c r="BS119" s="52">
        <f t="shared" si="48"/>
        <v>0</v>
      </c>
      <c r="BT119" s="52">
        <f t="shared" si="49"/>
        <v>0</v>
      </c>
      <c r="BU119" s="52">
        <f t="shared" si="50"/>
        <v>0</v>
      </c>
      <c r="BV119" s="65"/>
      <c r="BW119" s="52">
        <f t="shared" si="51"/>
        <v>0</v>
      </c>
      <c r="BX119" s="52">
        <f t="shared" si="52"/>
        <v>0</v>
      </c>
      <c r="BY119" s="52">
        <f t="shared" si="53"/>
        <v>0</v>
      </c>
      <c r="BZ119" s="66">
        <f t="shared" si="54"/>
        <v>0</v>
      </c>
      <c r="CA119" s="54">
        <f t="shared" si="55"/>
        <v>0</v>
      </c>
      <c r="CB119" s="55">
        <f t="shared" si="56"/>
        <v>0</v>
      </c>
      <c r="CC119" s="56">
        <f t="shared" si="57"/>
        <v>0</v>
      </c>
      <c r="CD119" s="57">
        <f t="shared" si="62"/>
        <v>-1</v>
      </c>
      <c r="CE119" s="49">
        <v>1</v>
      </c>
      <c r="CF119" s="57" t="e">
        <f t="shared" si="63"/>
        <v>#N/A</v>
      </c>
      <c r="CG119" s="58">
        <f t="shared" si="59"/>
        <v>1</v>
      </c>
      <c r="CH119" s="57">
        <f t="shared" si="60"/>
        <v>16</v>
      </c>
      <c r="CI119" s="59" t="e">
        <f>VLOOKUP(A119,[1]DATA!$A$6:$AI$331,34,0)</f>
        <v>#N/A</v>
      </c>
      <c r="CJ119" s="60" t="e">
        <f>VLOOKUP(A119,[2]CHAMCONG!A$7:CI$333,79,0)</f>
        <v>#N/A</v>
      </c>
      <c r="CK119" s="61" t="e">
        <f t="shared" si="61"/>
        <v>#N/A</v>
      </c>
    </row>
    <row r="120" spans="1:89" s="62" customFormat="1" ht="15.75" customHeight="1" x14ac:dyDescent="0.25">
      <c r="A120" s="63"/>
      <c r="B120" s="64"/>
      <c r="C120" s="45"/>
      <c r="D120" s="46"/>
      <c r="E120" s="47"/>
      <c r="F120" s="48"/>
      <c r="G120" s="49"/>
      <c r="H120" s="51"/>
      <c r="I120" s="50"/>
      <c r="J120" s="51"/>
      <c r="K120" s="50"/>
      <c r="L120" s="51"/>
      <c r="M120" s="50"/>
      <c r="N120" s="51"/>
      <c r="O120" s="50"/>
      <c r="P120" s="51"/>
      <c r="Q120" s="67"/>
      <c r="R120" s="67"/>
      <c r="S120" s="50"/>
      <c r="T120" s="51"/>
      <c r="U120" s="50"/>
      <c r="V120" s="51"/>
      <c r="W120" s="50"/>
      <c r="X120" s="51"/>
      <c r="Y120" s="50"/>
      <c r="Z120" s="51"/>
      <c r="AA120" s="50"/>
      <c r="AB120" s="51"/>
      <c r="AC120" s="50"/>
      <c r="AD120" s="51"/>
      <c r="AE120" s="50"/>
      <c r="AF120" s="67"/>
      <c r="AG120" s="50"/>
      <c r="AH120" s="51"/>
      <c r="AI120" s="50"/>
      <c r="AJ120" s="51"/>
      <c r="AK120" s="50"/>
      <c r="AL120" s="51"/>
      <c r="AM120" s="50"/>
      <c r="AN120" s="51"/>
      <c r="AO120" s="50"/>
      <c r="AP120" s="51"/>
      <c r="AQ120" s="50"/>
      <c r="AR120" s="51"/>
      <c r="AS120" s="51"/>
      <c r="AT120" s="51"/>
      <c r="AU120" s="50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2">
        <f t="shared" si="46"/>
        <v>0</v>
      </c>
      <c r="BR120" s="52">
        <f t="shared" si="47"/>
        <v>0</v>
      </c>
      <c r="BS120" s="52">
        <f t="shared" si="48"/>
        <v>0</v>
      </c>
      <c r="BT120" s="52">
        <f t="shared" si="49"/>
        <v>0</v>
      </c>
      <c r="BU120" s="52">
        <f t="shared" si="50"/>
        <v>0</v>
      </c>
      <c r="BV120" s="65"/>
      <c r="BW120" s="52">
        <f t="shared" si="51"/>
        <v>0</v>
      </c>
      <c r="BX120" s="52">
        <f t="shared" si="52"/>
        <v>0</v>
      </c>
      <c r="BY120" s="52">
        <f t="shared" si="53"/>
        <v>0</v>
      </c>
      <c r="BZ120" s="66">
        <f>SUBTOTAL(9,BQ120:BY120)</f>
        <v>0</v>
      </c>
      <c r="CA120" s="54">
        <f t="shared" si="55"/>
        <v>0</v>
      </c>
      <c r="CB120" s="55">
        <f t="shared" si="56"/>
        <v>0</v>
      </c>
      <c r="CC120" s="56">
        <f t="shared" si="57"/>
        <v>0</v>
      </c>
      <c r="CD120" s="57"/>
      <c r="CE120" s="49">
        <v>17</v>
      </c>
      <c r="CF120" s="57" t="e">
        <f t="shared" si="63"/>
        <v>#N/A</v>
      </c>
      <c r="CG120" s="58">
        <f t="shared" si="59"/>
        <v>1</v>
      </c>
      <c r="CH120" s="57">
        <f t="shared" si="60"/>
        <v>272</v>
      </c>
      <c r="CI120" s="59" t="e">
        <f>VLOOKUP(A120,[1]DATA!$A$6:$AI$331,34,0)</f>
        <v>#N/A</v>
      </c>
      <c r="CJ120" s="60" t="e">
        <f>VLOOKUP(A120,[2]CHAMCONG!A$7:CI$333,79,0)</f>
        <v>#N/A</v>
      </c>
      <c r="CK120" s="61" t="e">
        <f t="shared" si="61"/>
        <v>#N/A</v>
      </c>
    </row>
    <row r="121" spans="1:89" s="62" customFormat="1" ht="15.75" customHeight="1" x14ac:dyDescent="0.25">
      <c r="A121" s="63"/>
      <c r="B121" s="64"/>
      <c r="C121" s="45"/>
      <c r="D121" s="46"/>
      <c r="E121" s="47"/>
      <c r="F121" s="48"/>
      <c r="G121" s="49"/>
      <c r="H121" s="51"/>
      <c r="I121" s="50"/>
      <c r="J121" s="51"/>
      <c r="K121" s="51"/>
      <c r="L121" s="51"/>
      <c r="M121" s="51"/>
      <c r="N121" s="51"/>
      <c r="O121" s="50"/>
      <c r="P121" s="51"/>
      <c r="Q121" s="51"/>
      <c r="R121" s="51"/>
      <c r="S121" s="51"/>
      <c r="T121" s="51"/>
      <c r="U121" s="49"/>
      <c r="V121" s="51"/>
      <c r="W121" s="50"/>
      <c r="X121" s="51"/>
      <c r="Y121" s="51"/>
      <c r="Z121" s="51"/>
      <c r="AA121" s="51"/>
      <c r="AB121" s="51"/>
      <c r="AC121" s="50"/>
      <c r="AD121" s="51"/>
      <c r="AE121" s="51"/>
      <c r="AF121" s="51"/>
      <c r="AG121" s="51"/>
      <c r="AH121" s="51"/>
      <c r="AI121" s="51"/>
      <c r="AJ121" s="51"/>
      <c r="AK121" s="50"/>
      <c r="AL121" s="51"/>
      <c r="AM121" s="51"/>
      <c r="AN121" s="51"/>
      <c r="AO121" s="51"/>
      <c r="AP121" s="51"/>
      <c r="AQ121" s="50"/>
      <c r="AR121" s="51"/>
      <c r="AS121" s="51"/>
      <c r="AT121" s="51"/>
      <c r="AU121" s="51"/>
      <c r="AV121" s="51"/>
      <c r="AW121" s="51"/>
      <c r="AX121" s="51"/>
      <c r="AY121" s="50"/>
      <c r="AZ121" s="51"/>
      <c r="BA121" s="51"/>
      <c r="BB121" s="51"/>
      <c r="BC121" s="51"/>
      <c r="BD121" s="51"/>
      <c r="BE121" s="50"/>
      <c r="BF121" s="51"/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2">
        <f t="shared" si="46"/>
        <v>0</v>
      </c>
      <c r="BR121" s="52">
        <f t="shared" si="47"/>
        <v>0</v>
      </c>
      <c r="BS121" s="52">
        <f t="shared" si="48"/>
        <v>0</v>
      </c>
      <c r="BT121" s="52">
        <f t="shared" si="49"/>
        <v>0</v>
      </c>
      <c r="BU121" s="52">
        <f t="shared" si="50"/>
        <v>0</v>
      </c>
      <c r="BV121" s="65"/>
      <c r="BW121" s="52">
        <f t="shared" si="51"/>
        <v>0</v>
      </c>
      <c r="BX121" s="52">
        <f t="shared" si="52"/>
        <v>0</v>
      </c>
      <c r="BY121" s="52">
        <f t="shared" si="53"/>
        <v>0</v>
      </c>
      <c r="BZ121" s="66">
        <f t="shared" si="54"/>
        <v>0</v>
      </c>
      <c r="CA121" s="54">
        <f t="shared" si="55"/>
        <v>0</v>
      </c>
      <c r="CB121" s="55">
        <f t="shared" si="56"/>
        <v>0</v>
      </c>
      <c r="CC121" s="56">
        <f t="shared" si="57"/>
        <v>0</v>
      </c>
      <c r="CD121" s="57">
        <f t="shared" si="62"/>
        <v>-1</v>
      </c>
      <c r="CE121" s="49"/>
      <c r="CF121" s="57" t="e">
        <f t="shared" si="63"/>
        <v>#N/A</v>
      </c>
      <c r="CG121" s="58">
        <f t="shared" si="59"/>
        <v>1</v>
      </c>
      <c r="CH121" s="57">
        <f t="shared" si="60"/>
        <v>0</v>
      </c>
      <c r="CI121" s="59" t="e">
        <f>VLOOKUP(A121,[1]DATA!$A$6:$AI$331,34,0)</f>
        <v>#N/A</v>
      </c>
      <c r="CJ121" s="60" t="e">
        <f>VLOOKUP(A121,[2]CHAMCONG!A$7:CI$333,79,0)</f>
        <v>#N/A</v>
      </c>
      <c r="CK121" s="61" t="e">
        <f t="shared" si="61"/>
        <v>#N/A</v>
      </c>
    </row>
    <row r="122" spans="1:89" s="62" customFormat="1" ht="15.75" customHeight="1" x14ac:dyDescent="0.25">
      <c r="A122" s="63"/>
      <c r="B122" s="64"/>
      <c r="C122" s="45"/>
      <c r="D122" s="46"/>
      <c r="E122" s="47"/>
      <c r="F122" s="48"/>
      <c r="G122" s="49"/>
      <c r="H122" s="51"/>
      <c r="I122" s="50"/>
      <c r="J122" s="51"/>
      <c r="K122" s="50"/>
      <c r="L122" s="51"/>
      <c r="M122" s="50"/>
      <c r="N122" s="51"/>
      <c r="O122" s="50"/>
      <c r="P122" s="51"/>
      <c r="Q122" s="50"/>
      <c r="R122" s="51"/>
      <c r="S122" s="50"/>
      <c r="T122" s="51"/>
      <c r="U122" s="49"/>
      <c r="V122" s="51"/>
      <c r="W122" s="50"/>
      <c r="X122" s="51"/>
      <c r="Y122" s="50"/>
      <c r="Z122" s="51"/>
      <c r="AA122" s="50"/>
      <c r="AB122" s="51"/>
      <c r="AC122" s="50"/>
      <c r="AD122" s="51"/>
      <c r="AE122" s="50"/>
      <c r="AF122" s="51"/>
      <c r="AG122" s="50"/>
      <c r="AH122" s="51"/>
      <c r="AI122" s="49"/>
      <c r="AJ122" s="51"/>
      <c r="AK122" s="67"/>
      <c r="AL122" s="51"/>
      <c r="AM122" s="67"/>
      <c r="AN122" s="51"/>
      <c r="AO122" s="67"/>
      <c r="AP122" s="51"/>
      <c r="AQ122" s="67"/>
      <c r="AR122" s="51"/>
      <c r="AS122" s="67"/>
      <c r="AT122" s="67"/>
      <c r="AU122" s="67"/>
      <c r="AV122" s="51"/>
      <c r="AW122" s="51"/>
      <c r="AX122" s="51"/>
      <c r="AY122" s="67"/>
      <c r="AZ122" s="51"/>
      <c r="BA122" s="67"/>
      <c r="BB122" s="51"/>
      <c r="BC122" s="67"/>
      <c r="BD122" s="51"/>
      <c r="BE122" s="67"/>
      <c r="BF122" s="51"/>
      <c r="BG122" s="67"/>
      <c r="BH122" s="67"/>
      <c r="BI122" s="51"/>
      <c r="BJ122" s="51"/>
      <c r="BK122" s="51"/>
      <c r="BL122" s="51"/>
      <c r="BM122" s="51"/>
      <c r="BN122" s="51"/>
      <c r="BO122" s="49"/>
      <c r="BP122" s="51"/>
      <c r="BQ122" s="52">
        <f t="shared" si="46"/>
        <v>0</v>
      </c>
      <c r="BR122" s="52">
        <f t="shared" si="47"/>
        <v>0</v>
      </c>
      <c r="BS122" s="52">
        <f t="shared" si="48"/>
        <v>0</v>
      </c>
      <c r="BT122" s="52">
        <f t="shared" si="49"/>
        <v>0</v>
      </c>
      <c r="BU122" s="52">
        <f t="shared" si="50"/>
        <v>0</v>
      </c>
      <c r="BV122" s="65"/>
      <c r="BW122" s="52">
        <f t="shared" si="51"/>
        <v>0</v>
      </c>
      <c r="BX122" s="52">
        <f t="shared" si="52"/>
        <v>0</v>
      </c>
      <c r="BY122" s="52">
        <f t="shared" si="53"/>
        <v>0</v>
      </c>
      <c r="BZ122" s="66">
        <f t="shared" si="54"/>
        <v>0</v>
      </c>
      <c r="CA122" s="54">
        <f t="shared" si="55"/>
        <v>0</v>
      </c>
      <c r="CB122" s="55">
        <f t="shared" si="56"/>
        <v>0</v>
      </c>
      <c r="CC122" s="56">
        <f t="shared" si="57"/>
        <v>0</v>
      </c>
      <c r="CD122" s="57">
        <f t="shared" si="62"/>
        <v>-1</v>
      </c>
      <c r="CE122" s="49">
        <v>4</v>
      </c>
      <c r="CF122" s="57" t="e">
        <f t="shared" si="63"/>
        <v>#N/A</v>
      </c>
      <c r="CG122" s="58">
        <f t="shared" si="59"/>
        <v>1</v>
      </c>
      <c r="CH122" s="57">
        <f t="shared" si="60"/>
        <v>64</v>
      </c>
      <c r="CI122" s="59" t="e">
        <f>VLOOKUP(A122,[1]DATA!$A$6:$AI$331,34,0)</f>
        <v>#N/A</v>
      </c>
      <c r="CJ122" s="60" t="e">
        <f>VLOOKUP(A122,[2]CHAMCONG!A$7:CI$333,79,0)</f>
        <v>#N/A</v>
      </c>
      <c r="CK122" s="61" t="e">
        <f t="shared" si="61"/>
        <v>#N/A</v>
      </c>
    </row>
    <row r="123" spans="1:89" s="62" customFormat="1" ht="15.75" customHeight="1" x14ac:dyDescent="0.25">
      <c r="A123" s="63"/>
      <c r="B123" s="64"/>
      <c r="C123" s="45"/>
      <c r="D123" s="46"/>
      <c r="E123" s="47"/>
      <c r="F123" s="48"/>
      <c r="G123" s="49"/>
      <c r="H123" s="51"/>
      <c r="I123" s="50"/>
      <c r="J123" s="51"/>
      <c r="K123" s="50"/>
      <c r="L123" s="51"/>
      <c r="M123" s="50"/>
      <c r="N123" s="51"/>
      <c r="O123" s="50"/>
      <c r="P123" s="51"/>
      <c r="Q123" s="49"/>
      <c r="R123" s="51"/>
      <c r="S123" s="50"/>
      <c r="T123" s="51"/>
      <c r="U123" s="50"/>
      <c r="V123" s="51"/>
      <c r="W123" s="50"/>
      <c r="X123" s="51"/>
      <c r="Y123" s="50"/>
      <c r="Z123" s="51"/>
      <c r="AA123" s="50"/>
      <c r="AB123" s="51"/>
      <c r="AC123" s="50"/>
      <c r="AD123" s="51"/>
      <c r="AE123" s="50"/>
      <c r="AF123" s="67"/>
      <c r="AG123" s="50"/>
      <c r="AH123" s="51"/>
      <c r="AI123" s="50"/>
      <c r="AJ123" s="51"/>
      <c r="AK123" s="50"/>
      <c r="AL123" s="51"/>
      <c r="AM123" s="50"/>
      <c r="AN123" s="51"/>
      <c r="AO123" s="50"/>
      <c r="AP123" s="51"/>
      <c r="AQ123" s="49"/>
      <c r="AR123" s="51"/>
      <c r="AS123" s="49"/>
      <c r="AT123" s="51"/>
      <c r="AU123" s="49"/>
      <c r="AV123" s="51"/>
      <c r="AW123" s="49"/>
      <c r="AX123" s="51"/>
      <c r="AY123" s="49"/>
      <c r="AZ123" s="51"/>
      <c r="BA123" s="49"/>
      <c r="BB123" s="51"/>
      <c r="BC123" s="51"/>
      <c r="BD123" s="51"/>
      <c r="BE123" s="49"/>
      <c r="BF123" s="51"/>
      <c r="BG123" s="49"/>
      <c r="BH123" s="51"/>
      <c r="BI123" s="51"/>
      <c r="BJ123" s="51"/>
      <c r="BK123" s="51"/>
      <c r="BL123" s="51"/>
      <c r="BM123" s="51"/>
      <c r="BN123" s="51"/>
      <c r="BO123" s="51"/>
      <c r="BP123" s="51"/>
      <c r="BQ123" s="52">
        <f t="shared" si="46"/>
        <v>0</v>
      </c>
      <c r="BR123" s="52">
        <f t="shared" si="47"/>
        <v>0</v>
      </c>
      <c r="BS123" s="52">
        <f t="shared" si="48"/>
        <v>0</v>
      </c>
      <c r="BT123" s="52">
        <f t="shared" si="49"/>
        <v>0</v>
      </c>
      <c r="BU123" s="52">
        <f t="shared" si="50"/>
        <v>0</v>
      </c>
      <c r="BV123" s="65"/>
      <c r="BW123" s="52">
        <f t="shared" si="51"/>
        <v>0</v>
      </c>
      <c r="BX123" s="52">
        <f t="shared" si="52"/>
        <v>0</v>
      </c>
      <c r="BY123" s="52">
        <f t="shared" si="53"/>
        <v>0</v>
      </c>
      <c r="BZ123" s="66">
        <f t="shared" si="54"/>
        <v>0</v>
      </c>
      <c r="CA123" s="54">
        <f t="shared" si="55"/>
        <v>0</v>
      </c>
      <c r="CB123" s="55">
        <f t="shared" si="56"/>
        <v>0</v>
      </c>
      <c r="CC123" s="56">
        <f t="shared" si="57"/>
        <v>0</v>
      </c>
      <c r="CD123" s="57">
        <f t="shared" si="62"/>
        <v>-1</v>
      </c>
      <c r="CE123" s="49">
        <v>1</v>
      </c>
      <c r="CF123" s="57" t="e">
        <f t="shared" si="63"/>
        <v>#N/A</v>
      </c>
      <c r="CG123" s="58">
        <f t="shared" si="59"/>
        <v>1</v>
      </c>
      <c r="CH123" s="57">
        <f t="shared" si="60"/>
        <v>16</v>
      </c>
      <c r="CI123" s="59" t="e">
        <f>VLOOKUP(A123,[1]DATA!$A$6:$AI$331,34,0)</f>
        <v>#N/A</v>
      </c>
      <c r="CJ123" s="60" t="e">
        <f>VLOOKUP(A123,[2]CHAMCONG!A$7:CI$333,79,0)</f>
        <v>#N/A</v>
      </c>
      <c r="CK123" s="61" t="e">
        <f t="shared" si="61"/>
        <v>#N/A</v>
      </c>
    </row>
    <row r="124" spans="1:89" s="62" customFormat="1" ht="15.75" customHeight="1" x14ac:dyDescent="0.25">
      <c r="A124" s="63"/>
      <c r="B124" s="64"/>
      <c r="C124" s="45"/>
      <c r="D124" s="46"/>
      <c r="E124" s="47"/>
      <c r="F124" s="48"/>
      <c r="G124" s="49"/>
      <c r="H124" s="51"/>
      <c r="I124" s="50"/>
      <c r="J124" s="51"/>
      <c r="K124" s="50"/>
      <c r="L124" s="51"/>
      <c r="M124" s="50"/>
      <c r="N124" s="51"/>
      <c r="O124" s="50"/>
      <c r="P124" s="51"/>
      <c r="Q124" s="50"/>
      <c r="R124" s="67"/>
      <c r="S124" s="50"/>
      <c r="T124" s="51"/>
      <c r="U124" s="49"/>
      <c r="V124" s="51"/>
      <c r="W124" s="50"/>
      <c r="X124" s="51"/>
      <c r="Y124" s="50"/>
      <c r="Z124" s="51"/>
      <c r="AA124" s="50"/>
      <c r="AB124" s="51"/>
      <c r="AC124" s="50"/>
      <c r="AD124" s="51"/>
      <c r="AE124" s="50"/>
      <c r="AF124" s="67"/>
      <c r="AG124" s="50"/>
      <c r="AH124" s="51"/>
      <c r="AI124" s="51"/>
      <c r="AJ124" s="51"/>
      <c r="AK124" s="50"/>
      <c r="AL124" s="51"/>
      <c r="AM124" s="50"/>
      <c r="AN124" s="51"/>
      <c r="AO124" s="50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2">
        <f t="shared" si="46"/>
        <v>0</v>
      </c>
      <c r="BR124" s="52">
        <f t="shared" si="47"/>
        <v>0</v>
      </c>
      <c r="BS124" s="52">
        <f t="shared" si="48"/>
        <v>0</v>
      </c>
      <c r="BT124" s="52">
        <f t="shared" si="49"/>
        <v>0</v>
      </c>
      <c r="BU124" s="52">
        <f t="shared" si="50"/>
        <v>0</v>
      </c>
      <c r="BV124" s="65"/>
      <c r="BW124" s="52">
        <f t="shared" si="51"/>
        <v>0</v>
      </c>
      <c r="BX124" s="52">
        <f t="shared" si="52"/>
        <v>0</v>
      </c>
      <c r="BY124" s="52">
        <f t="shared" si="53"/>
        <v>0</v>
      </c>
      <c r="BZ124" s="66">
        <f t="shared" si="54"/>
        <v>0</v>
      </c>
      <c r="CA124" s="54">
        <f t="shared" si="55"/>
        <v>0</v>
      </c>
      <c r="CB124" s="55">
        <f t="shared" si="56"/>
        <v>0</v>
      </c>
      <c r="CC124" s="56">
        <f t="shared" si="57"/>
        <v>0</v>
      </c>
      <c r="CD124" s="57"/>
      <c r="CE124" s="49">
        <v>16</v>
      </c>
      <c r="CF124" s="57" t="e">
        <f t="shared" si="63"/>
        <v>#N/A</v>
      </c>
      <c r="CG124" s="58">
        <f t="shared" si="59"/>
        <v>1</v>
      </c>
      <c r="CH124" s="57">
        <f t="shared" si="60"/>
        <v>256</v>
      </c>
      <c r="CI124" s="59" t="e">
        <f>VLOOKUP(A124,[1]DATA!$A$6:$AI$331,34,0)</f>
        <v>#N/A</v>
      </c>
      <c r="CJ124" s="60" t="e">
        <f>VLOOKUP(A124,[2]CHAMCONG!A$7:CI$333,79,0)</f>
        <v>#N/A</v>
      </c>
      <c r="CK124" s="61" t="e">
        <f t="shared" si="61"/>
        <v>#N/A</v>
      </c>
    </row>
    <row r="125" spans="1:89" s="62" customFormat="1" ht="15.75" customHeight="1" x14ac:dyDescent="0.25">
      <c r="A125" s="63"/>
      <c r="B125" s="64"/>
      <c r="C125" s="45"/>
      <c r="D125" s="46"/>
      <c r="E125" s="47"/>
      <c r="F125" s="48"/>
      <c r="G125" s="49"/>
      <c r="H125" s="51"/>
      <c r="I125" s="49"/>
      <c r="J125" s="51"/>
      <c r="K125" s="49"/>
      <c r="L125" s="51"/>
      <c r="M125" s="51"/>
      <c r="N125" s="51"/>
      <c r="O125" s="50"/>
      <c r="P125" s="51"/>
      <c r="Q125" s="50"/>
      <c r="R125" s="67"/>
      <c r="S125" s="49"/>
      <c r="T125" s="51"/>
      <c r="U125" s="49"/>
      <c r="V125" s="51"/>
      <c r="W125" s="49"/>
      <c r="X125" s="51"/>
      <c r="Y125" s="49"/>
      <c r="Z125" s="51"/>
      <c r="AA125" s="49"/>
      <c r="AB125" s="51"/>
      <c r="AC125" s="49"/>
      <c r="AD125" s="51"/>
      <c r="AE125" s="49"/>
      <c r="AF125" s="51"/>
      <c r="AG125" s="49"/>
      <c r="AH125" s="51"/>
      <c r="AI125" s="49"/>
      <c r="AJ125" s="51"/>
      <c r="AK125" s="49"/>
      <c r="AL125" s="51"/>
      <c r="AM125" s="49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2">
        <f t="shared" si="46"/>
        <v>0</v>
      </c>
      <c r="BR125" s="52">
        <f t="shared" si="47"/>
        <v>0</v>
      </c>
      <c r="BS125" s="52">
        <f t="shared" si="48"/>
        <v>0</v>
      </c>
      <c r="BT125" s="52">
        <f t="shared" si="49"/>
        <v>0</v>
      </c>
      <c r="BU125" s="52">
        <f t="shared" si="50"/>
        <v>0</v>
      </c>
      <c r="BV125" s="65"/>
      <c r="BW125" s="52">
        <f t="shared" si="51"/>
        <v>0</v>
      </c>
      <c r="BX125" s="52">
        <f t="shared" si="52"/>
        <v>0</v>
      </c>
      <c r="BY125" s="52">
        <f t="shared" si="53"/>
        <v>0</v>
      </c>
      <c r="BZ125" s="66">
        <f t="shared" si="54"/>
        <v>0</v>
      </c>
      <c r="CA125" s="54">
        <f t="shared" si="55"/>
        <v>0</v>
      </c>
      <c r="CB125" s="55">
        <f t="shared" si="56"/>
        <v>0</v>
      </c>
      <c r="CC125" s="56">
        <f t="shared" si="57"/>
        <v>0</v>
      </c>
      <c r="CD125" s="57">
        <f t="shared" si="62"/>
        <v>-1</v>
      </c>
      <c r="CE125" s="49"/>
      <c r="CF125" s="57" t="e">
        <f t="shared" si="63"/>
        <v>#N/A</v>
      </c>
      <c r="CG125" s="58">
        <f t="shared" si="59"/>
        <v>1</v>
      </c>
      <c r="CH125" s="57">
        <f t="shared" si="60"/>
        <v>0</v>
      </c>
      <c r="CI125" s="59" t="e">
        <f>VLOOKUP(A125,[1]DATA!$A$6:$AI$331,34,0)</f>
        <v>#N/A</v>
      </c>
      <c r="CJ125" s="60" t="e">
        <f>VLOOKUP(A125,[2]CHAMCONG!A$7:CI$333,79,0)</f>
        <v>#N/A</v>
      </c>
      <c r="CK125" s="61" t="e">
        <f t="shared" si="61"/>
        <v>#N/A</v>
      </c>
    </row>
    <row r="126" spans="1:89" s="62" customFormat="1" ht="15.75" customHeight="1" x14ac:dyDescent="0.25">
      <c r="A126" s="63"/>
      <c r="B126" s="64"/>
      <c r="C126" s="45"/>
      <c r="D126" s="46"/>
      <c r="E126" s="47"/>
      <c r="F126" s="48"/>
      <c r="G126" s="49"/>
      <c r="H126" s="51"/>
      <c r="I126" s="49"/>
      <c r="J126" s="51"/>
      <c r="K126" s="49"/>
      <c r="L126" s="51"/>
      <c r="M126" s="49"/>
      <c r="N126" s="51"/>
      <c r="O126" s="49"/>
      <c r="P126" s="51"/>
      <c r="Q126" s="49"/>
      <c r="R126" s="51"/>
      <c r="S126" s="49"/>
      <c r="T126" s="51"/>
      <c r="U126" s="49"/>
      <c r="V126" s="51"/>
      <c r="W126" s="49"/>
      <c r="X126" s="51"/>
      <c r="Y126" s="49"/>
      <c r="Z126" s="51"/>
      <c r="AA126" s="49"/>
      <c r="AB126" s="51"/>
      <c r="AC126" s="49"/>
      <c r="AD126" s="51"/>
      <c r="AE126" s="49"/>
      <c r="AF126" s="51"/>
      <c r="AG126" s="49"/>
      <c r="AH126" s="51"/>
      <c r="AI126" s="49"/>
      <c r="AJ126" s="51"/>
      <c r="AK126" s="49"/>
      <c r="AL126" s="51"/>
      <c r="AM126" s="49"/>
      <c r="AN126" s="51"/>
      <c r="AO126" s="49"/>
      <c r="AP126" s="51"/>
      <c r="AQ126" s="49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49"/>
      <c r="BJ126" s="51"/>
      <c r="BK126" s="49"/>
      <c r="BL126" s="51"/>
      <c r="BM126" s="49"/>
      <c r="BN126" s="51"/>
      <c r="BO126" s="49"/>
      <c r="BP126" s="51"/>
      <c r="BQ126" s="52">
        <f t="shared" si="46"/>
        <v>0</v>
      </c>
      <c r="BR126" s="52">
        <f t="shared" si="47"/>
        <v>0</v>
      </c>
      <c r="BS126" s="52">
        <f t="shared" si="48"/>
        <v>0</v>
      </c>
      <c r="BT126" s="52">
        <f t="shared" si="49"/>
        <v>0</v>
      </c>
      <c r="BU126" s="52">
        <f t="shared" si="50"/>
        <v>0</v>
      </c>
      <c r="BV126" s="65"/>
      <c r="BW126" s="52">
        <f t="shared" si="51"/>
        <v>0</v>
      </c>
      <c r="BX126" s="52">
        <f t="shared" si="52"/>
        <v>0</v>
      </c>
      <c r="BY126" s="52">
        <f t="shared" si="53"/>
        <v>0</v>
      </c>
      <c r="BZ126" s="66">
        <f t="shared" si="54"/>
        <v>0</v>
      </c>
      <c r="CA126" s="54">
        <f t="shared" si="55"/>
        <v>0</v>
      </c>
      <c r="CB126" s="55">
        <f t="shared" si="56"/>
        <v>0</v>
      </c>
      <c r="CC126" s="56">
        <f t="shared" si="57"/>
        <v>0</v>
      </c>
      <c r="CD126" s="57">
        <f t="shared" si="62"/>
        <v>-1</v>
      </c>
      <c r="CE126" s="49"/>
      <c r="CF126" s="57" t="e">
        <f>CD126*CI126</f>
        <v>#N/A</v>
      </c>
      <c r="CG126" s="58">
        <f t="shared" si="59"/>
        <v>1</v>
      </c>
      <c r="CH126" s="57">
        <f t="shared" si="60"/>
        <v>0</v>
      </c>
      <c r="CI126" s="59" t="e">
        <f>VLOOKUP(A126,[1]DATA!$A$6:$AI$331,34,0)</f>
        <v>#N/A</v>
      </c>
      <c r="CJ126" s="60" t="e">
        <f>VLOOKUP(A126,[2]CHAMCONG!A$7:CI$333,79,0)</f>
        <v>#N/A</v>
      </c>
      <c r="CK126" s="61" t="e">
        <f t="shared" si="61"/>
        <v>#N/A</v>
      </c>
    </row>
    <row r="127" spans="1:89" s="62" customFormat="1" ht="15.75" customHeight="1" x14ac:dyDescent="0.25">
      <c r="A127" s="69"/>
      <c r="B127" s="64"/>
      <c r="C127" s="45"/>
      <c r="D127" s="46"/>
      <c r="E127" s="47"/>
      <c r="F127" s="48"/>
      <c r="G127" s="49"/>
      <c r="H127" s="51"/>
      <c r="I127" s="49"/>
      <c r="J127" s="51"/>
      <c r="K127" s="49"/>
      <c r="L127" s="51"/>
      <c r="M127" s="51"/>
      <c r="N127" s="51"/>
      <c r="O127" s="51"/>
      <c r="P127" s="51"/>
      <c r="Q127" s="51"/>
      <c r="R127" s="51"/>
      <c r="S127" s="51"/>
      <c r="T127" s="51"/>
      <c r="U127" s="49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49"/>
      <c r="AJ127" s="51"/>
      <c r="AK127" s="49"/>
      <c r="AL127" s="51"/>
      <c r="AM127" s="49"/>
      <c r="AN127" s="51"/>
      <c r="AO127" s="51"/>
      <c r="AP127" s="51"/>
      <c r="AQ127" s="51"/>
      <c r="AR127" s="51"/>
      <c r="AS127" s="49"/>
      <c r="AT127" s="51"/>
      <c r="AU127" s="49"/>
      <c r="AV127" s="51"/>
      <c r="AW127" s="49"/>
      <c r="AX127" s="51"/>
      <c r="AY127" s="49"/>
      <c r="AZ127" s="51"/>
      <c r="BA127" s="49"/>
      <c r="BB127" s="51"/>
      <c r="BC127" s="51"/>
      <c r="BD127" s="51"/>
      <c r="BE127" s="49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2">
        <f t="shared" si="46"/>
        <v>0</v>
      </c>
      <c r="BR127" s="52">
        <f t="shared" si="47"/>
        <v>0</v>
      </c>
      <c r="BS127" s="52">
        <f t="shared" si="48"/>
        <v>0</v>
      </c>
      <c r="BT127" s="52">
        <f t="shared" si="49"/>
        <v>0</v>
      </c>
      <c r="BU127" s="52">
        <f t="shared" si="50"/>
        <v>0</v>
      </c>
      <c r="BV127" s="65"/>
      <c r="BW127" s="52">
        <f t="shared" si="51"/>
        <v>0</v>
      </c>
      <c r="BX127" s="52">
        <f t="shared" si="52"/>
        <v>0</v>
      </c>
      <c r="BY127" s="52">
        <f t="shared" si="53"/>
        <v>0</v>
      </c>
      <c r="BZ127" s="66">
        <f t="shared" si="54"/>
        <v>0</v>
      </c>
      <c r="CA127" s="54">
        <f t="shared" si="55"/>
        <v>0</v>
      </c>
      <c r="CB127" s="55">
        <f t="shared" si="56"/>
        <v>0</v>
      </c>
      <c r="CC127" s="56">
        <f t="shared" si="57"/>
        <v>0</v>
      </c>
      <c r="CD127" s="57"/>
      <c r="CE127" s="49"/>
      <c r="CF127" s="57" t="e">
        <f t="shared" si="63"/>
        <v>#N/A</v>
      </c>
      <c r="CG127" s="58">
        <f t="shared" si="59"/>
        <v>1</v>
      </c>
      <c r="CH127" s="57">
        <f t="shared" si="60"/>
        <v>0</v>
      </c>
      <c r="CI127" s="59" t="e">
        <f>VLOOKUP(A127,[1]DATA!$A$6:$AI$331,34,0)</f>
        <v>#N/A</v>
      </c>
      <c r="CJ127" s="60" t="e">
        <f>VLOOKUP(A127,[2]CHAMCONG!A$7:CI$333,79,0)</f>
        <v>#N/A</v>
      </c>
      <c r="CK127" s="61" t="e">
        <f t="shared" si="61"/>
        <v>#N/A</v>
      </c>
    </row>
    <row r="128" spans="1:89" s="62" customFormat="1" ht="15.75" customHeight="1" x14ac:dyDescent="0.25">
      <c r="A128" s="69"/>
      <c r="B128" s="64"/>
      <c r="C128" s="45"/>
      <c r="D128" s="46"/>
      <c r="E128" s="47"/>
      <c r="F128" s="48"/>
      <c r="G128" s="49"/>
      <c r="H128" s="51"/>
      <c r="I128" s="49"/>
      <c r="J128" s="51"/>
      <c r="K128" s="49"/>
      <c r="L128" s="51"/>
      <c r="M128" s="49"/>
      <c r="N128" s="51"/>
      <c r="O128" s="49"/>
      <c r="P128" s="51"/>
      <c r="Q128" s="49"/>
      <c r="R128" s="51"/>
      <c r="S128" s="49"/>
      <c r="T128" s="51"/>
      <c r="U128" s="49"/>
      <c r="V128" s="51"/>
      <c r="W128" s="49"/>
      <c r="X128" s="51"/>
      <c r="Y128" s="49"/>
      <c r="Z128" s="51"/>
      <c r="AA128" s="49"/>
      <c r="AB128" s="51"/>
      <c r="AC128" s="49"/>
      <c r="AD128" s="51"/>
      <c r="AE128" s="49"/>
      <c r="AF128" s="51"/>
      <c r="AG128" s="49"/>
      <c r="AH128" s="51"/>
      <c r="AI128" s="49"/>
      <c r="AJ128" s="51"/>
      <c r="AK128" s="49"/>
      <c r="AL128" s="51"/>
      <c r="AM128" s="49"/>
      <c r="AN128" s="51"/>
      <c r="AO128" s="49"/>
      <c r="AP128" s="51"/>
      <c r="AQ128" s="49"/>
      <c r="AR128" s="51"/>
      <c r="AS128" s="51"/>
      <c r="AT128" s="51"/>
      <c r="AU128" s="51"/>
      <c r="AV128" s="51"/>
      <c r="AW128" s="51"/>
      <c r="AX128" s="51"/>
      <c r="AY128" s="49"/>
      <c r="AZ128" s="51"/>
      <c r="BA128" s="49"/>
      <c r="BB128" s="51"/>
      <c r="BC128" s="49"/>
      <c r="BD128" s="51"/>
      <c r="BE128" s="49"/>
      <c r="BF128" s="51"/>
      <c r="BG128" s="49"/>
      <c r="BH128" s="51"/>
      <c r="BI128" s="49"/>
      <c r="BJ128" s="51"/>
      <c r="BK128" s="49"/>
      <c r="BL128" s="51"/>
      <c r="BM128" s="49"/>
      <c r="BN128" s="51"/>
      <c r="BO128" s="49"/>
      <c r="BP128" s="51"/>
      <c r="BQ128" s="52">
        <f t="shared" si="46"/>
        <v>0</v>
      </c>
      <c r="BR128" s="52">
        <f t="shared" si="47"/>
        <v>0</v>
      </c>
      <c r="BS128" s="52">
        <f t="shared" si="48"/>
        <v>0</v>
      </c>
      <c r="BT128" s="52">
        <f t="shared" si="49"/>
        <v>0</v>
      </c>
      <c r="BU128" s="52">
        <f t="shared" si="50"/>
        <v>0</v>
      </c>
      <c r="BV128" s="65"/>
      <c r="BW128" s="52">
        <f t="shared" si="51"/>
        <v>0</v>
      </c>
      <c r="BX128" s="52">
        <f t="shared" si="52"/>
        <v>0</v>
      </c>
      <c r="BY128" s="52">
        <f t="shared" si="53"/>
        <v>0</v>
      </c>
      <c r="BZ128" s="66">
        <f t="shared" si="54"/>
        <v>0</v>
      </c>
      <c r="CA128" s="54">
        <f t="shared" si="55"/>
        <v>0</v>
      </c>
      <c r="CB128" s="55">
        <f t="shared" si="56"/>
        <v>0</v>
      </c>
      <c r="CC128" s="56">
        <f t="shared" si="57"/>
        <v>0</v>
      </c>
      <c r="CD128" s="57">
        <f t="shared" si="62"/>
        <v>-1</v>
      </c>
      <c r="CE128" s="49"/>
      <c r="CF128" s="57" t="e">
        <f t="shared" si="63"/>
        <v>#N/A</v>
      </c>
      <c r="CG128" s="58">
        <f t="shared" si="59"/>
        <v>1</v>
      </c>
      <c r="CH128" s="57">
        <f t="shared" si="60"/>
        <v>0</v>
      </c>
      <c r="CI128" s="59" t="e">
        <f>VLOOKUP(A128,[1]DATA!$A$6:$AI$331,34,0)</f>
        <v>#N/A</v>
      </c>
      <c r="CJ128" s="60" t="e">
        <f>VLOOKUP(A128,[2]CHAMCONG!A$7:CI$333,79,0)</f>
        <v>#N/A</v>
      </c>
      <c r="CK128" s="61" t="e">
        <f t="shared" si="61"/>
        <v>#N/A</v>
      </c>
    </row>
    <row r="129" spans="1:89" s="62" customFormat="1" ht="15.75" customHeight="1" x14ac:dyDescent="0.25">
      <c r="A129" s="69"/>
      <c r="B129" s="64"/>
      <c r="C129" s="45"/>
      <c r="D129" s="46"/>
      <c r="E129" s="47"/>
      <c r="F129" s="48"/>
      <c r="G129" s="49"/>
      <c r="H129" s="51"/>
      <c r="I129" s="49"/>
      <c r="J129" s="51"/>
      <c r="K129" s="49"/>
      <c r="L129" s="51"/>
      <c r="M129" s="49"/>
      <c r="N129" s="51"/>
      <c r="O129" s="49"/>
      <c r="P129" s="51"/>
      <c r="Q129" s="49"/>
      <c r="R129" s="51"/>
      <c r="S129" s="49"/>
      <c r="T129" s="51"/>
      <c r="U129" s="49"/>
      <c r="V129" s="51"/>
      <c r="W129" s="49"/>
      <c r="X129" s="51"/>
      <c r="Y129" s="49"/>
      <c r="Z129" s="51"/>
      <c r="AA129" s="49"/>
      <c r="AB129" s="51"/>
      <c r="AC129" s="49"/>
      <c r="AD129" s="51"/>
      <c r="AE129" s="49"/>
      <c r="AF129" s="51"/>
      <c r="AG129" s="49"/>
      <c r="AH129" s="51"/>
      <c r="AI129" s="49"/>
      <c r="AJ129" s="51"/>
      <c r="AK129" s="49"/>
      <c r="AL129" s="51"/>
      <c r="AM129" s="49"/>
      <c r="AN129" s="51"/>
      <c r="AO129" s="49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/>
      <c r="BE129" s="51"/>
      <c r="BF129" s="51"/>
      <c r="BG129" s="51"/>
      <c r="BH129" s="51"/>
      <c r="BI129" s="49"/>
      <c r="BJ129" s="51"/>
      <c r="BK129" s="49"/>
      <c r="BL129" s="51"/>
      <c r="BM129" s="49"/>
      <c r="BN129" s="51"/>
      <c r="BO129" s="51"/>
      <c r="BP129" s="51"/>
      <c r="BQ129" s="52">
        <f t="shared" si="46"/>
        <v>0</v>
      </c>
      <c r="BR129" s="52">
        <f t="shared" si="47"/>
        <v>0</v>
      </c>
      <c r="BS129" s="52">
        <f t="shared" si="48"/>
        <v>0</v>
      </c>
      <c r="BT129" s="52">
        <f t="shared" si="49"/>
        <v>0</v>
      </c>
      <c r="BU129" s="52">
        <f t="shared" si="50"/>
        <v>0</v>
      </c>
      <c r="BV129" s="65"/>
      <c r="BW129" s="52">
        <f t="shared" si="51"/>
        <v>0</v>
      </c>
      <c r="BX129" s="52">
        <f t="shared" si="52"/>
        <v>0</v>
      </c>
      <c r="BY129" s="52">
        <f t="shared" si="53"/>
        <v>0</v>
      </c>
      <c r="BZ129" s="66">
        <f t="shared" si="54"/>
        <v>0</v>
      </c>
      <c r="CA129" s="54">
        <f t="shared" si="55"/>
        <v>0</v>
      </c>
      <c r="CB129" s="55">
        <f t="shared" si="56"/>
        <v>0</v>
      </c>
      <c r="CC129" s="56">
        <f t="shared" si="57"/>
        <v>0</v>
      </c>
      <c r="CD129" s="57">
        <f t="shared" si="62"/>
        <v>-1</v>
      </c>
      <c r="CE129" s="49">
        <v>4</v>
      </c>
      <c r="CF129" s="57" t="e">
        <f t="shared" si="63"/>
        <v>#N/A</v>
      </c>
      <c r="CG129" s="58">
        <f t="shared" si="59"/>
        <v>1</v>
      </c>
      <c r="CH129" s="57">
        <f t="shared" si="60"/>
        <v>64</v>
      </c>
      <c r="CI129" s="59" t="e">
        <f>VLOOKUP(A129,[1]DATA!$A$6:$AI$331,34,0)</f>
        <v>#N/A</v>
      </c>
      <c r="CJ129" s="60" t="e">
        <f>VLOOKUP(A129,[2]CHAMCONG!A$7:CI$333,79,0)</f>
        <v>#N/A</v>
      </c>
      <c r="CK129" s="61" t="e">
        <f t="shared" si="61"/>
        <v>#N/A</v>
      </c>
    </row>
    <row r="130" spans="1:89" s="62" customFormat="1" ht="15.75" customHeight="1" x14ac:dyDescent="0.25">
      <c r="A130" s="63"/>
      <c r="B130" s="64"/>
      <c r="C130" s="45"/>
      <c r="D130" s="46"/>
      <c r="E130" s="47"/>
      <c r="F130" s="48"/>
      <c r="G130" s="49"/>
      <c r="H130" s="51"/>
      <c r="I130" s="50"/>
      <c r="J130" s="51"/>
      <c r="K130" s="51"/>
      <c r="L130" s="51"/>
      <c r="M130" s="51"/>
      <c r="N130" s="51"/>
      <c r="O130" s="50"/>
      <c r="P130" s="51"/>
      <c r="Q130" s="51"/>
      <c r="R130" s="51"/>
      <c r="S130" s="51"/>
      <c r="T130" s="51"/>
      <c r="U130" s="49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/>
      <c r="BE130" s="51"/>
      <c r="BF130" s="51"/>
      <c r="BG130" s="51"/>
      <c r="BH130" s="51"/>
      <c r="BI130" s="49"/>
      <c r="BJ130" s="51"/>
      <c r="BK130" s="51"/>
      <c r="BL130" s="51"/>
      <c r="BM130" s="49"/>
      <c r="BN130" s="51"/>
      <c r="BO130" s="51"/>
      <c r="BP130" s="51"/>
      <c r="BQ130" s="52">
        <f t="shared" si="46"/>
        <v>0</v>
      </c>
      <c r="BR130" s="52">
        <f t="shared" si="47"/>
        <v>0</v>
      </c>
      <c r="BS130" s="52">
        <f t="shared" si="48"/>
        <v>0</v>
      </c>
      <c r="BT130" s="52">
        <f t="shared" si="49"/>
        <v>0</v>
      </c>
      <c r="BU130" s="52">
        <f t="shared" si="50"/>
        <v>0</v>
      </c>
      <c r="BV130" s="65"/>
      <c r="BW130" s="52">
        <f t="shared" si="51"/>
        <v>0</v>
      </c>
      <c r="BX130" s="52">
        <f t="shared" si="52"/>
        <v>0</v>
      </c>
      <c r="BY130" s="52">
        <f t="shared" si="53"/>
        <v>0</v>
      </c>
      <c r="BZ130" s="66">
        <f t="shared" si="54"/>
        <v>0</v>
      </c>
      <c r="CA130" s="54">
        <f t="shared" si="55"/>
        <v>0</v>
      </c>
      <c r="CB130" s="55">
        <f t="shared" si="56"/>
        <v>0</v>
      </c>
      <c r="CC130" s="56">
        <f t="shared" si="57"/>
        <v>0</v>
      </c>
      <c r="CD130" s="57">
        <f t="shared" si="62"/>
        <v>-1</v>
      </c>
      <c r="CE130" s="49"/>
      <c r="CF130" s="57" t="e">
        <f t="shared" si="63"/>
        <v>#N/A</v>
      </c>
      <c r="CG130" s="58">
        <f t="shared" si="59"/>
        <v>1</v>
      </c>
      <c r="CH130" s="57">
        <f t="shared" si="60"/>
        <v>0</v>
      </c>
      <c r="CI130" s="59" t="e">
        <f>VLOOKUP(A130,[1]DATA!$A$6:$AI$331,34,0)</f>
        <v>#N/A</v>
      </c>
      <c r="CJ130" s="60" t="e">
        <f>VLOOKUP(A130,[2]CHAMCONG!A$7:CI$333,79,0)</f>
        <v>#N/A</v>
      </c>
      <c r="CK130" s="61" t="e">
        <f t="shared" si="61"/>
        <v>#N/A</v>
      </c>
    </row>
    <row r="131" spans="1:89" s="62" customFormat="1" ht="15.75" customHeight="1" x14ac:dyDescent="0.25">
      <c r="A131" s="63"/>
      <c r="B131" s="64"/>
      <c r="C131" s="45"/>
      <c r="D131" s="46"/>
      <c r="E131" s="47"/>
      <c r="F131" s="48"/>
      <c r="G131" s="49"/>
      <c r="H131" s="51"/>
      <c r="I131" s="50"/>
      <c r="J131" s="51"/>
      <c r="K131" s="51"/>
      <c r="L131" s="51"/>
      <c r="M131" s="51"/>
      <c r="N131" s="51"/>
      <c r="O131" s="50"/>
      <c r="P131" s="51"/>
      <c r="Q131" s="50"/>
      <c r="R131" s="67"/>
      <c r="S131" s="50"/>
      <c r="T131" s="51"/>
      <c r="U131" s="49"/>
      <c r="V131" s="51"/>
      <c r="W131" s="50"/>
      <c r="X131" s="51"/>
      <c r="Y131" s="50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2">
        <f t="shared" si="46"/>
        <v>0</v>
      </c>
      <c r="BR131" s="52">
        <f t="shared" si="47"/>
        <v>0</v>
      </c>
      <c r="BS131" s="52">
        <f t="shared" si="48"/>
        <v>0</v>
      </c>
      <c r="BT131" s="52">
        <f t="shared" si="49"/>
        <v>0</v>
      </c>
      <c r="BU131" s="52">
        <f t="shared" si="50"/>
        <v>0</v>
      </c>
      <c r="BV131" s="65"/>
      <c r="BW131" s="52">
        <f t="shared" si="51"/>
        <v>0</v>
      </c>
      <c r="BX131" s="52">
        <f t="shared" si="52"/>
        <v>0</v>
      </c>
      <c r="BY131" s="52">
        <f t="shared" si="53"/>
        <v>0</v>
      </c>
      <c r="BZ131" s="66">
        <f t="shared" si="54"/>
        <v>0</v>
      </c>
      <c r="CA131" s="54">
        <f t="shared" si="55"/>
        <v>0</v>
      </c>
      <c r="CB131" s="55">
        <f t="shared" si="56"/>
        <v>0</v>
      </c>
      <c r="CC131" s="56">
        <f t="shared" si="57"/>
        <v>0</v>
      </c>
      <c r="CD131" s="57">
        <f t="shared" si="62"/>
        <v>-1</v>
      </c>
      <c r="CE131" s="49"/>
      <c r="CF131" s="57" t="e">
        <f t="shared" si="63"/>
        <v>#N/A</v>
      </c>
      <c r="CG131" s="58">
        <f t="shared" si="59"/>
        <v>1</v>
      </c>
      <c r="CH131" s="57">
        <f t="shared" si="60"/>
        <v>0</v>
      </c>
      <c r="CI131" s="59" t="e">
        <f>VLOOKUP(A131,[1]DATA!$A$6:$AI$331,34,0)</f>
        <v>#N/A</v>
      </c>
      <c r="CJ131" s="60" t="e">
        <f>VLOOKUP(A131,[2]CHAMCONG!A$7:CI$333,79,0)</f>
        <v>#N/A</v>
      </c>
      <c r="CK131" s="61" t="e">
        <f t="shared" si="61"/>
        <v>#N/A</v>
      </c>
    </row>
    <row r="132" spans="1:89" s="62" customFormat="1" ht="15.75" customHeight="1" x14ac:dyDescent="0.25">
      <c r="A132" s="63"/>
      <c r="B132" s="64"/>
      <c r="C132" s="45"/>
      <c r="D132" s="46"/>
      <c r="E132" s="47"/>
      <c r="F132" s="48"/>
      <c r="G132" s="49"/>
      <c r="H132" s="51"/>
      <c r="I132" s="51"/>
      <c r="J132" s="51"/>
      <c r="K132" s="51"/>
      <c r="L132" s="51"/>
      <c r="M132" s="51"/>
      <c r="N132" s="51"/>
      <c r="O132" s="51"/>
      <c r="P132" s="51"/>
      <c r="Q132" s="49"/>
      <c r="R132" s="51"/>
      <c r="S132" s="49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0"/>
      <c r="AF132" s="67"/>
      <c r="AG132" s="49"/>
      <c r="AH132" s="51"/>
      <c r="AI132" s="49"/>
      <c r="AJ132" s="51"/>
      <c r="AK132" s="49"/>
      <c r="AL132" s="51"/>
      <c r="AM132" s="49"/>
      <c r="AN132" s="51"/>
      <c r="AO132" s="49"/>
      <c r="AP132" s="51"/>
      <c r="AQ132" s="51"/>
      <c r="AR132" s="51"/>
      <c r="AS132" s="51"/>
      <c r="AT132" s="51"/>
      <c r="AU132" s="51"/>
      <c r="AV132" s="51"/>
      <c r="AW132" s="51"/>
      <c r="AX132" s="51"/>
      <c r="AY132" s="49"/>
      <c r="AZ132" s="51"/>
      <c r="BA132" s="49"/>
      <c r="BB132" s="51"/>
      <c r="BC132" s="49"/>
      <c r="BD132" s="51"/>
      <c r="BE132" s="49"/>
      <c r="BF132" s="51"/>
      <c r="BG132" s="49"/>
      <c r="BH132" s="51"/>
      <c r="BI132" s="49"/>
      <c r="BJ132" s="51"/>
      <c r="BK132" s="49"/>
      <c r="BL132" s="51"/>
      <c r="BM132" s="49"/>
      <c r="BN132" s="51"/>
      <c r="BO132" s="51"/>
      <c r="BP132" s="51"/>
      <c r="BQ132" s="52">
        <f t="shared" si="46"/>
        <v>0</v>
      </c>
      <c r="BR132" s="52">
        <f t="shared" si="47"/>
        <v>0</v>
      </c>
      <c r="BS132" s="52">
        <f t="shared" si="48"/>
        <v>0</v>
      </c>
      <c r="BT132" s="52">
        <f t="shared" si="49"/>
        <v>0</v>
      </c>
      <c r="BU132" s="52">
        <f t="shared" si="50"/>
        <v>0</v>
      </c>
      <c r="BV132" s="65"/>
      <c r="BW132" s="52">
        <f t="shared" si="51"/>
        <v>0</v>
      </c>
      <c r="BX132" s="52">
        <f t="shared" si="52"/>
        <v>0</v>
      </c>
      <c r="BY132" s="52">
        <f t="shared" si="53"/>
        <v>0</v>
      </c>
      <c r="BZ132" s="66">
        <f t="shared" si="54"/>
        <v>0</v>
      </c>
      <c r="CA132" s="54">
        <f t="shared" si="55"/>
        <v>0</v>
      </c>
      <c r="CB132" s="55">
        <f t="shared" si="56"/>
        <v>0</v>
      </c>
      <c r="CC132" s="56">
        <f t="shared" si="57"/>
        <v>0</v>
      </c>
      <c r="CD132" s="57">
        <f t="shared" si="62"/>
        <v>-1</v>
      </c>
      <c r="CE132" s="49"/>
      <c r="CF132" s="57" t="e">
        <f t="shared" si="63"/>
        <v>#N/A</v>
      </c>
      <c r="CG132" s="58">
        <f t="shared" si="59"/>
        <v>1</v>
      </c>
      <c r="CH132" s="57">
        <f t="shared" si="60"/>
        <v>0</v>
      </c>
      <c r="CI132" s="59" t="e">
        <f>VLOOKUP(A132,[1]DATA!$A$6:$AI$331,34,0)</f>
        <v>#N/A</v>
      </c>
      <c r="CJ132" s="60" t="e">
        <f>VLOOKUP(A132,[2]CHAMCONG!A$7:CI$333,79,0)</f>
        <v>#N/A</v>
      </c>
      <c r="CK132" s="61" t="e">
        <f t="shared" si="61"/>
        <v>#N/A</v>
      </c>
    </row>
    <row r="133" spans="1:89" s="62" customFormat="1" ht="15.75" customHeight="1" x14ac:dyDescent="0.25">
      <c r="A133" s="63"/>
      <c r="B133" s="64"/>
      <c r="C133" s="45"/>
      <c r="D133" s="46"/>
      <c r="E133" s="47"/>
      <c r="F133" s="48"/>
      <c r="G133" s="49"/>
      <c r="H133" s="51"/>
      <c r="I133" s="49"/>
      <c r="J133" s="51"/>
      <c r="K133" s="49"/>
      <c r="L133" s="51"/>
      <c r="M133" s="49"/>
      <c r="N133" s="51"/>
      <c r="O133" s="49"/>
      <c r="P133" s="51"/>
      <c r="Q133" s="49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0"/>
      <c r="AF133" s="67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  <c r="AT133" s="51"/>
      <c r="AU133" s="51"/>
      <c r="AV133" s="51"/>
      <c r="AW133" s="51"/>
      <c r="AX133" s="51"/>
      <c r="AY133" s="49"/>
      <c r="AZ133" s="51"/>
      <c r="BA133" s="49"/>
      <c r="BB133" s="51"/>
      <c r="BC133" s="49"/>
      <c r="BD133" s="51"/>
      <c r="BE133" s="49"/>
      <c r="BF133" s="51"/>
      <c r="BG133" s="49"/>
      <c r="BH133" s="51"/>
      <c r="BI133" s="49"/>
      <c r="BJ133" s="51"/>
      <c r="BK133" s="49"/>
      <c r="BL133" s="51"/>
      <c r="BM133" s="49"/>
      <c r="BN133" s="51"/>
      <c r="BO133" s="51"/>
      <c r="BP133" s="51"/>
      <c r="BQ133" s="52">
        <f t="shared" si="46"/>
        <v>0</v>
      </c>
      <c r="BR133" s="52">
        <f t="shared" si="47"/>
        <v>0</v>
      </c>
      <c r="BS133" s="52">
        <f t="shared" si="48"/>
        <v>0</v>
      </c>
      <c r="BT133" s="52">
        <f t="shared" si="49"/>
        <v>0</v>
      </c>
      <c r="BU133" s="52">
        <f t="shared" si="50"/>
        <v>0</v>
      </c>
      <c r="BV133" s="65"/>
      <c r="BW133" s="52">
        <f t="shared" si="51"/>
        <v>0</v>
      </c>
      <c r="BX133" s="52">
        <f t="shared" si="52"/>
        <v>0</v>
      </c>
      <c r="BY133" s="52">
        <f t="shared" si="53"/>
        <v>0</v>
      </c>
      <c r="BZ133" s="66">
        <f t="shared" si="54"/>
        <v>0</v>
      </c>
      <c r="CA133" s="54">
        <f t="shared" si="55"/>
        <v>0</v>
      </c>
      <c r="CB133" s="55">
        <f t="shared" si="56"/>
        <v>0</v>
      </c>
      <c r="CC133" s="56">
        <f t="shared" si="57"/>
        <v>0</v>
      </c>
      <c r="CD133" s="57">
        <f t="shared" si="62"/>
        <v>-1</v>
      </c>
      <c r="CE133" s="49">
        <v>5</v>
      </c>
      <c r="CF133" s="57" t="e">
        <f t="shared" si="63"/>
        <v>#N/A</v>
      </c>
      <c r="CG133" s="58">
        <f t="shared" si="59"/>
        <v>1</v>
      </c>
      <c r="CH133" s="57">
        <f t="shared" si="60"/>
        <v>80</v>
      </c>
      <c r="CI133" s="59" t="e">
        <f>VLOOKUP(A133,[1]DATA!$A$6:$AI$331,34,0)</f>
        <v>#N/A</v>
      </c>
      <c r="CJ133" s="60" t="e">
        <f>VLOOKUP(A133,[2]CHAMCONG!A$7:CI$333,79,0)</f>
        <v>#N/A</v>
      </c>
      <c r="CK133" s="61" t="e">
        <f t="shared" si="61"/>
        <v>#N/A</v>
      </c>
    </row>
    <row r="134" spans="1:89" s="62" customFormat="1" ht="15.75" customHeight="1" x14ac:dyDescent="0.25">
      <c r="A134" s="63"/>
      <c r="B134" s="64"/>
      <c r="C134" s="45"/>
      <c r="D134" s="46"/>
      <c r="E134" s="47"/>
      <c r="F134" s="48"/>
      <c r="G134" s="49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0"/>
      <c r="T134" s="51"/>
      <c r="U134" s="50"/>
      <c r="V134" s="51"/>
      <c r="W134" s="50"/>
      <c r="X134" s="51"/>
      <c r="Y134" s="50"/>
      <c r="Z134" s="51"/>
      <c r="AA134" s="50"/>
      <c r="AB134" s="51"/>
      <c r="AC134" s="50"/>
      <c r="AD134" s="51"/>
      <c r="AE134" s="50"/>
      <c r="AF134" s="67"/>
      <c r="AG134" s="49"/>
      <c r="AH134" s="51"/>
      <c r="AI134" s="49"/>
      <c r="AJ134" s="51"/>
      <c r="AK134" s="49"/>
      <c r="AL134" s="51"/>
      <c r="AM134" s="49"/>
      <c r="AN134" s="51"/>
      <c r="AO134" s="49"/>
      <c r="AP134" s="51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2">
        <f t="shared" si="46"/>
        <v>0</v>
      </c>
      <c r="BR134" s="52">
        <f t="shared" si="47"/>
        <v>0</v>
      </c>
      <c r="BS134" s="52">
        <f t="shared" si="48"/>
        <v>0</v>
      </c>
      <c r="BT134" s="52">
        <f t="shared" si="49"/>
        <v>0</v>
      </c>
      <c r="BU134" s="52">
        <f t="shared" si="50"/>
        <v>0</v>
      </c>
      <c r="BV134" s="65"/>
      <c r="BW134" s="52">
        <f t="shared" si="51"/>
        <v>0</v>
      </c>
      <c r="BX134" s="52">
        <f t="shared" si="52"/>
        <v>0</v>
      </c>
      <c r="BY134" s="52">
        <f t="shared" si="53"/>
        <v>0</v>
      </c>
      <c r="BZ134" s="66">
        <f t="shared" si="54"/>
        <v>0</v>
      </c>
      <c r="CA134" s="54">
        <f t="shared" si="55"/>
        <v>0</v>
      </c>
      <c r="CB134" s="55">
        <f t="shared" si="56"/>
        <v>0</v>
      </c>
      <c r="CC134" s="56">
        <f t="shared" si="57"/>
        <v>0</v>
      </c>
      <c r="CD134" s="57">
        <f t="shared" si="62"/>
        <v>-1</v>
      </c>
      <c r="CE134" s="49">
        <v>1</v>
      </c>
      <c r="CF134" s="57" t="e">
        <f t="shared" si="63"/>
        <v>#N/A</v>
      </c>
      <c r="CG134" s="58">
        <f t="shared" si="59"/>
        <v>1</v>
      </c>
      <c r="CH134" s="57">
        <f>CE134*16</f>
        <v>16</v>
      </c>
      <c r="CI134" s="59" t="e">
        <f>VLOOKUP(A134,[1]DATA!$A$6:$AI$331,34,0)</f>
        <v>#N/A</v>
      </c>
      <c r="CJ134" s="60" t="e">
        <f>VLOOKUP(A134,[2]CHAMCONG!A$7:CI$333,79,0)</f>
        <v>#N/A</v>
      </c>
      <c r="CK134" s="61" t="e">
        <f t="shared" si="61"/>
        <v>#N/A</v>
      </c>
    </row>
    <row r="135" spans="1:89" s="62" customFormat="1" ht="15.75" customHeight="1" x14ac:dyDescent="0.25">
      <c r="A135" s="63"/>
      <c r="B135" s="64"/>
      <c r="C135" s="45"/>
      <c r="D135" s="46"/>
      <c r="E135" s="47"/>
      <c r="F135" s="48"/>
      <c r="G135" s="49"/>
      <c r="H135" s="51"/>
      <c r="I135" s="50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0"/>
      <c r="V135" s="51"/>
      <c r="W135" s="50"/>
      <c r="X135" s="51"/>
      <c r="Y135" s="50"/>
      <c r="Z135" s="51"/>
      <c r="AA135" s="50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2">
        <f t="shared" si="46"/>
        <v>0</v>
      </c>
      <c r="BR135" s="52">
        <f t="shared" si="47"/>
        <v>0</v>
      </c>
      <c r="BS135" s="52">
        <f t="shared" si="48"/>
        <v>0</v>
      </c>
      <c r="BT135" s="52">
        <f t="shared" si="49"/>
        <v>0</v>
      </c>
      <c r="BU135" s="52">
        <f t="shared" si="50"/>
        <v>0</v>
      </c>
      <c r="BV135" s="65"/>
      <c r="BW135" s="52">
        <f t="shared" si="51"/>
        <v>0</v>
      </c>
      <c r="BX135" s="52">
        <f t="shared" si="52"/>
        <v>0</v>
      </c>
      <c r="BY135" s="52">
        <f t="shared" si="53"/>
        <v>0</v>
      </c>
      <c r="BZ135" s="66">
        <f t="shared" si="54"/>
        <v>0</v>
      </c>
      <c r="CA135" s="54">
        <f t="shared" si="55"/>
        <v>0</v>
      </c>
      <c r="CB135" s="55">
        <f t="shared" si="56"/>
        <v>0</v>
      </c>
      <c r="CC135" s="56">
        <f t="shared" si="57"/>
        <v>0</v>
      </c>
      <c r="CD135" s="57">
        <f t="shared" si="62"/>
        <v>-1</v>
      </c>
      <c r="CE135" s="49">
        <v>1</v>
      </c>
      <c r="CF135" s="57" t="e">
        <f t="shared" si="63"/>
        <v>#N/A</v>
      </c>
      <c r="CG135" s="58">
        <f t="shared" si="59"/>
        <v>1</v>
      </c>
      <c r="CH135" s="57">
        <f t="shared" si="60"/>
        <v>16</v>
      </c>
      <c r="CI135" s="59" t="e">
        <f>VLOOKUP(A135,[1]DATA!$A$6:$AI$331,34,0)</f>
        <v>#N/A</v>
      </c>
      <c r="CJ135" s="60" t="e">
        <f>VLOOKUP(A135,[2]CHAMCONG!A$7:CI$333,79,0)</f>
        <v>#N/A</v>
      </c>
      <c r="CK135" s="61" t="e">
        <f t="shared" si="61"/>
        <v>#N/A</v>
      </c>
    </row>
    <row r="136" spans="1:89" s="62" customFormat="1" ht="15.75" customHeight="1" x14ac:dyDescent="0.25">
      <c r="A136" s="63"/>
      <c r="B136" s="64"/>
      <c r="C136" s="45"/>
      <c r="D136" s="46"/>
      <c r="E136" s="47"/>
      <c r="F136" s="48"/>
      <c r="G136" s="49"/>
      <c r="H136" s="51"/>
      <c r="I136" s="49"/>
      <c r="J136" s="51"/>
      <c r="K136" s="49"/>
      <c r="L136" s="51"/>
      <c r="M136" s="49"/>
      <c r="N136" s="51"/>
      <c r="O136" s="49"/>
      <c r="P136" s="51"/>
      <c r="Q136" s="49"/>
      <c r="R136" s="51"/>
      <c r="S136" s="49"/>
      <c r="T136" s="51"/>
      <c r="U136" s="49"/>
      <c r="V136" s="51"/>
      <c r="W136" s="49"/>
      <c r="X136" s="51"/>
      <c r="Y136" s="49"/>
      <c r="Z136" s="51"/>
      <c r="AA136" s="49"/>
      <c r="AB136" s="51"/>
      <c r="AC136" s="49"/>
      <c r="AD136" s="51"/>
      <c r="AE136" s="49"/>
      <c r="AF136" s="51"/>
      <c r="AG136" s="49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2">
        <f t="shared" si="46"/>
        <v>0</v>
      </c>
      <c r="BR136" s="52">
        <f t="shared" si="47"/>
        <v>0</v>
      </c>
      <c r="BS136" s="52">
        <f t="shared" si="48"/>
        <v>0</v>
      </c>
      <c r="BT136" s="52">
        <f t="shared" si="49"/>
        <v>0</v>
      </c>
      <c r="BU136" s="52">
        <f t="shared" si="50"/>
        <v>0</v>
      </c>
      <c r="BV136" s="65"/>
      <c r="BW136" s="52">
        <f t="shared" si="51"/>
        <v>0</v>
      </c>
      <c r="BX136" s="52">
        <f t="shared" si="52"/>
        <v>0</v>
      </c>
      <c r="BY136" s="52">
        <f t="shared" si="53"/>
        <v>0</v>
      </c>
      <c r="BZ136" s="66">
        <f t="shared" si="54"/>
        <v>0</v>
      </c>
      <c r="CA136" s="54">
        <f t="shared" si="55"/>
        <v>0</v>
      </c>
      <c r="CB136" s="55">
        <f t="shared" si="56"/>
        <v>0</v>
      </c>
      <c r="CC136" s="56">
        <f t="shared" si="57"/>
        <v>0</v>
      </c>
      <c r="CD136" s="57">
        <f t="shared" si="62"/>
        <v>-1</v>
      </c>
      <c r="CE136" s="49">
        <v>4</v>
      </c>
      <c r="CF136" s="57" t="e">
        <f t="shared" si="63"/>
        <v>#N/A</v>
      </c>
      <c r="CG136" s="58">
        <f t="shared" si="59"/>
        <v>1</v>
      </c>
      <c r="CH136" s="57">
        <f t="shared" si="60"/>
        <v>64</v>
      </c>
      <c r="CI136" s="59" t="e">
        <f>VLOOKUP(A136,[1]DATA!$A$6:$AI$331,34,0)</f>
        <v>#N/A</v>
      </c>
      <c r="CJ136" s="60" t="e">
        <f>VLOOKUP(A136,[2]CHAMCONG!A$7:CI$333,79,0)</f>
        <v>#N/A</v>
      </c>
      <c r="CK136" s="61" t="e">
        <f t="shared" si="61"/>
        <v>#N/A</v>
      </c>
    </row>
    <row r="137" spans="1:89" s="62" customFormat="1" ht="15.75" customHeight="1" x14ac:dyDescent="0.25">
      <c r="A137" s="63"/>
      <c r="B137" s="64"/>
      <c r="C137" s="45"/>
      <c r="D137" s="46"/>
      <c r="E137" s="47"/>
      <c r="F137" s="48"/>
      <c r="G137" s="49"/>
      <c r="H137" s="51"/>
      <c r="I137" s="49"/>
      <c r="J137" s="51"/>
      <c r="K137" s="49"/>
      <c r="L137" s="51"/>
      <c r="M137" s="49"/>
      <c r="N137" s="51"/>
      <c r="O137" s="51"/>
      <c r="P137" s="51"/>
      <c r="Q137" s="51"/>
      <c r="R137" s="51"/>
      <c r="S137" s="49"/>
      <c r="T137" s="51"/>
      <c r="U137" s="49"/>
      <c r="V137" s="51"/>
      <c r="W137" s="49"/>
      <c r="X137" s="51"/>
      <c r="Y137" s="49"/>
      <c r="Z137" s="51"/>
      <c r="AA137" s="49"/>
      <c r="AB137" s="51"/>
      <c r="AC137" s="49"/>
      <c r="AD137" s="51"/>
      <c r="AE137" s="50"/>
      <c r="AF137" s="67"/>
      <c r="AG137" s="50"/>
      <c r="AH137" s="51"/>
      <c r="AI137" s="50"/>
      <c r="AJ137" s="51"/>
      <c r="AK137" s="50"/>
      <c r="AL137" s="51"/>
      <c r="AM137" s="50"/>
      <c r="AN137" s="51"/>
      <c r="AO137" s="50"/>
      <c r="AP137" s="51"/>
      <c r="AQ137" s="51"/>
      <c r="AR137" s="51"/>
      <c r="AS137" s="51"/>
      <c r="AT137" s="51"/>
      <c r="AU137" s="51"/>
      <c r="AV137" s="51"/>
      <c r="AW137" s="50"/>
      <c r="AX137" s="51"/>
      <c r="AY137" s="49"/>
      <c r="AZ137" s="51"/>
      <c r="BA137" s="49"/>
      <c r="BB137" s="51"/>
      <c r="BC137" s="49"/>
      <c r="BD137" s="51"/>
      <c r="BE137" s="49"/>
      <c r="BF137" s="51"/>
      <c r="BG137" s="49"/>
      <c r="BH137" s="51"/>
      <c r="BI137" s="51"/>
      <c r="BJ137" s="51"/>
      <c r="BK137" s="51"/>
      <c r="BL137" s="51"/>
      <c r="BM137" s="51"/>
      <c r="BN137" s="51"/>
      <c r="BO137" s="51"/>
      <c r="BP137" s="51"/>
      <c r="BQ137" s="52">
        <f t="shared" si="46"/>
        <v>0</v>
      </c>
      <c r="BR137" s="52">
        <f t="shared" si="47"/>
        <v>0</v>
      </c>
      <c r="BS137" s="52">
        <f t="shared" si="48"/>
        <v>0</v>
      </c>
      <c r="BT137" s="52">
        <f t="shared" si="49"/>
        <v>0</v>
      </c>
      <c r="BU137" s="52">
        <f t="shared" si="50"/>
        <v>0</v>
      </c>
      <c r="BV137" s="65"/>
      <c r="BW137" s="52">
        <f t="shared" si="51"/>
        <v>0</v>
      </c>
      <c r="BX137" s="52">
        <f t="shared" si="52"/>
        <v>0</v>
      </c>
      <c r="BY137" s="52">
        <f t="shared" si="53"/>
        <v>0</v>
      </c>
      <c r="BZ137" s="66">
        <f t="shared" si="54"/>
        <v>0</v>
      </c>
      <c r="CA137" s="54">
        <f t="shared" si="55"/>
        <v>0</v>
      </c>
      <c r="CB137" s="55">
        <f t="shared" si="56"/>
        <v>0</v>
      </c>
      <c r="CC137" s="56">
        <f t="shared" si="57"/>
        <v>0</v>
      </c>
      <c r="CD137" s="57">
        <f t="shared" si="62"/>
        <v>-1</v>
      </c>
      <c r="CE137" s="49"/>
      <c r="CF137" s="57" t="e">
        <f t="shared" si="63"/>
        <v>#N/A</v>
      </c>
      <c r="CG137" s="58">
        <f t="shared" si="59"/>
        <v>1</v>
      </c>
      <c r="CH137" s="57">
        <f t="shared" si="60"/>
        <v>0</v>
      </c>
      <c r="CI137" s="59" t="e">
        <f>VLOOKUP(A137,[1]DATA!$A$6:$AI$331,34,0)</f>
        <v>#N/A</v>
      </c>
      <c r="CJ137" s="60" t="e">
        <f>VLOOKUP(A137,[2]CHAMCONG!A$7:CI$333,79,0)</f>
        <v>#N/A</v>
      </c>
      <c r="CK137" s="61" t="e">
        <f t="shared" si="61"/>
        <v>#N/A</v>
      </c>
    </row>
    <row r="138" spans="1:89" s="62" customFormat="1" ht="15.75" customHeight="1" x14ac:dyDescent="0.25">
      <c r="A138" s="63"/>
      <c r="B138" s="64"/>
      <c r="C138" s="45"/>
      <c r="D138" s="46"/>
      <c r="E138" s="47"/>
      <c r="F138" s="48"/>
      <c r="G138" s="49"/>
      <c r="H138" s="51"/>
      <c r="I138" s="51"/>
      <c r="J138" s="51"/>
      <c r="K138" s="51"/>
      <c r="L138" s="51"/>
      <c r="M138" s="51"/>
      <c r="N138" s="51"/>
      <c r="O138" s="49"/>
      <c r="P138" s="51"/>
      <c r="Q138" s="49"/>
      <c r="R138" s="51"/>
      <c r="S138" s="50"/>
      <c r="T138" s="51"/>
      <c r="U138" s="50"/>
      <c r="V138" s="51"/>
      <c r="W138" s="50"/>
      <c r="X138" s="51"/>
      <c r="Y138" s="50"/>
      <c r="Z138" s="51"/>
      <c r="AA138" s="50"/>
      <c r="AB138" s="51"/>
      <c r="AC138" s="50"/>
      <c r="AD138" s="51"/>
      <c r="AE138" s="49"/>
      <c r="AF138" s="51"/>
      <c r="AG138" s="49"/>
      <c r="AH138" s="51"/>
      <c r="AI138" s="49"/>
      <c r="AJ138" s="51"/>
      <c r="AK138" s="49"/>
      <c r="AL138" s="51"/>
      <c r="AM138" s="49"/>
      <c r="AN138" s="51"/>
      <c r="AO138" s="49"/>
      <c r="AP138" s="51"/>
      <c r="AQ138" s="49"/>
      <c r="AR138" s="51"/>
      <c r="AS138" s="49"/>
      <c r="AT138" s="72"/>
      <c r="AU138" s="49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2">
        <f t="shared" si="46"/>
        <v>0</v>
      </c>
      <c r="BR138" s="52">
        <f t="shared" si="47"/>
        <v>0</v>
      </c>
      <c r="BS138" s="52">
        <f t="shared" si="48"/>
        <v>0</v>
      </c>
      <c r="BT138" s="52">
        <f t="shared" si="49"/>
        <v>0</v>
      </c>
      <c r="BU138" s="52">
        <f t="shared" si="50"/>
        <v>0</v>
      </c>
      <c r="BV138" s="65"/>
      <c r="BW138" s="52">
        <f t="shared" si="51"/>
        <v>0</v>
      </c>
      <c r="BX138" s="52">
        <f t="shared" si="52"/>
        <v>0</v>
      </c>
      <c r="BY138" s="52">
        <f t="shared" si="53"/>
        <v>0</v>
      </c>
      <c r="BZ138" s="66">
        <f t="shared" si="54"/>
        <v>0</v>
      </c>
      <c r="CA138" s="54">
        <f t="shared" si="55"/>
        <v>0</v>
      </c>
      <c r="CB138" s="55">
        <f t="shared" si="56"/>
        <v>0</v>
      </c>
      <c r="CC138" s="56">
        <f t="shared" si="57"/>
        <v>0</v>
      </c>
      <c r="CD138" s="57">
        <f t="shared" si="62"/>
        <v>-1</v>
      </c>
      <c r="CE138" s="49">
        <v>5</v>
      </c>
      <c r="CF138" s="57" t="e">
        <f t="shared" si="63"/>
        <v>#N/A</v>
      </c>
      <c r="CG138" s="58">
        <f t="shared" si="59"/>
        <v>1</v>
      </c>
      <c r="CH138" s="57">
        <f t="shared" si="60"/>
        <v>80</v>
      </c>
      <c r="CI138" s="59" t="e">
        <f>VLOOKUP(A138,[1]DATA!$A$6:$AI$331,34,0)</f>
        <v>#N/A</v>
      </c>
      <c r="CJ138" s="60" t="e">
        <f>VLOOKUP(A138,[2]CHAMCONG!A$7:CI$333,79,0)</f>
        <v>#N/A</v>
      </c>
      <c r="CK138" s="61" t="e">
        <f t="shared" si="61"/>
        <v>#N/A</v>
      </c>
    </row>
    <row r="139" spans="1:89" s="62" customFormat="1" ht="15.75" customHeight="1" x14ac:dyDescent="0.25">
      <c r="A139" s="63"/>
      <c r="B139" s="64"/>
      <c r="C139" s="45"/>
      <c r="D139" s="46"/>
      <c r="E139" s="47"/>
      <c r="F139" s="48"/>
      <c r="G139" s="49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49"/>
      <c r="T139" s="51"/>
      <c r="U139" s="49"/>
      <c r="V139" s="51"/>
      <c r="W139" s="49"/>
      <c r="X139" s="51"/>
      <c r="Y139" s="49"/>
      <c r="Z139" s="51"/>
      <c r="AA139" s="49"/>
      <c r="AB139" s="51"/>
      <c r="AC139" s="49"/>
      <c r="AD139" s="51"/>
      <c r="AE139" s="50"/>
      <c r="AF139" s="67"/>
      <c r="AG139" s="50"/>
      <c r="AH139" s="51"/>
      <c r="AI139" s="50"/>
      <c r="AJ139" s="51"/>
      <c r="AK139" s="50"/>
      <c r="AL139" s="51"/>
      <c r="AM139" s="50"/>
      <c r="AN139" s="51"/>
      <c r="AO139" s="50"/>
      <c r="AP139" s="51"/>
      <c r="AQ139" s="51"/>
      <c r="AR139" s="51"/>
      <c r="AS139" s="51"/>
      <c r="AT139" s="51"/>
      <c r="AU139" s="51"/>
      <c r="AV139" s="51"/>
      <c r="AW139" s="50"/>
      <c r="AX139" s="51"/>
      <c r="AY139" s="49"/>
      <c r="AZ139" s="51"/>
      <c r="BA139" s="49"/>
      <c r="BB139" s="51"/>
      <c r="BC139" s="49"/>
      <c r="BD139" s="51"/>
      <c r="BE139" s="49"/>
      <c r="BF139" s="51"/>
      <c r="BG139" s="49"/>
      <c r="BH139" s="51"/>
      <c r="BI139" s="51"/>
      <c r="BJ139" s="51"/>
      <c r="BK139" s="51"/>
      <c r="BL139" s="51"/>
      <c r="BM139" s="51"/>
      <c r="BN139" s="51"/>
      <c r="BO139" s="51"/>
      <c r="BP139" s="51"/>
      <c r="BQ139" s="52">
        <f t="shared" ref="BQ139:BQ202" si="64">COUNTIF($G139:$BP139,"a")+COUNTIF($G139:$BP139,"r0,a5")/2+COUNTIF($G139:$BP139,"p5,a5")/2</f>
        <v>0</v>
      </c>
      <c r="BR139" s="52">
        <f t="shared" ref="BR139:BR202" si="65">COUNTIF($G139:$BP139,"d")+COUNTIF($G139:$BP139,"r0,d5")/2+COUNTIF($G139:$BP139,"p5,d5")/2</f>
        <v>0</v>
      </c>
      <c r="BS139" s="52">
        <f t="shared" ref="BS139:BS202" si="66">COUNTIF($G139:$BP139,"b")+COUNTIF($G139:$BP139,"r0,b5")/2+COUNTIF($G139:$BP139,"p5,b5")/2</f>
        <v>0</v>
      </c>
      <c r="BT139" s="52">
        <f t="shared" ref="BT139:BT202" si="67">COUNTIF($G139:$BP139,"c")+COUNTIF($G139:$BP139,"r0,c5")/2+COUNTIF($G139:$BP139,"p5,c5")/2</f>
        <v>0</v>
      </c>
      <c r="BU139" s="52">
        <f t="shared" ref="BU139:BU202" si="68">COUNTIF($G139:$BP139,"KH")+COUNTIF($G139:$BP139,"TL")+COUNTIF($G139:$BP139,"L")</f>
        <v>0</v>
      </c>
      <c r="BV139" s="65"/>
      <c r="BW139" s="52">
        <f t="shared" ref="BW139:BW202" si="69">COUNTIF($G139:$BP139,"hh")</f>
        <v>0</v>
      </c>
      <c r="BX139" s="52">
        <f t="shared" ref="BX139:BX202" si="70">COUNTIF($G139:$BP139,"nt7")</f>
        <v>0</v>
      </c>
      <c r="BY139" s="52">
        <f t="shared" ref="BY139:BY202" si="71">COUNTIF($G139:$BP139,"P")+COUNTIF($G139:$BP139,"p5,a5")/2+COUNTIF($G139:$BP139,"p5,b5")/2+COUNTIF($G139:$BP139,"p5,c5")/2+COUNTIF($G139:$BP139,"p5,d5")/2</f>
        <v>0</v>
      </c>
      <c r="BZ139" s="66">
        <f t="shared" ref="BZ139:BZ202" si="72">SUBTOTAL(9,BQ139:BY139)</f>
        <v>0</v>
      </c>
      <c r="CA139" s="54">
        <f t="shared" si="55"/>
        <v>0</v>
      </c>
      <c r="CB139" s="55">
        <f t="shared" si="56"/>
        <v>0</v>
      </c>
      <c r="CC139" s="56">
        <f t="shared" si="57"/>
        <v>0</v>
      </c>
      <c r="CD139" s="57">
        <f t="shared" si="62"/>
        <v>-1</v>
      </c>
      <c r="CE139" s="49"/>
      <c r="CF139" s="57" t="e">
        <f t="shared" si="63"/>
        <v>#N/A</v>
      </c>
      <c r="CG139" s="58">
        <f t="shared" si="59"/>
        <v>1</v>
      </c>
      <c r="CH139" s="57">
        <f t="shared" si="60"/>
        <v>0</v>
      </c>
      <c r="CI139" s="59" t="e">
        <f>VLOOKUP(A139,[1]DATA!$A$6:$AI$331,34,0)</f>
        <v>#N/A</v>
      </c>
      <c r="CJ139" s="60" t="e">
        <f>VLOOKUP(A139,[2]CHAMCONG!A$7:CI$333,79,0)</f>
        <v>#N/A</v>
      </c>
      <c r="CK139" s="61" t="e">
        <f t="shared" si="61"/>
        <v>#N/A</v>
      </c>
    </row>
    <row r="140" spans="1:89" s="62" customFormat="1" ht="15.75" customHeight="1" x14ac:dyDescent="0.25">
      <c r="A140" s="63"/>
      <c r="B140" s="64"/>
      <c r="C140" s="45"/>
      <c r="D140" s="46"/>
      <c r="E140" s="47"/>
      <c r="F140" s="48"/>
      <c r="G140" s="49"/>
      <c r="H140" s="51"/>
      <c r="I140" s="50"/>
      <c r="J140" s="51"/>
      <c r="K140" s="50"/>
      <c r="L140" s="51"/>
      <c r="M140" s="50"/>
      <c r="N140" s="51"/>
      <c r="O140" s="50"/>
      <c r="P140" s="51"/>
      <c r="Q140" s="50"/>
      <c r="R140" s="67"/>
      <c r="S140" s="50"/>
      <c r="T140" s="51"/>
      <c r="U140" s="50"/>
      <c r="V140" s="51"/>
      <c r="W140" s="50"/>
      <c r="X140" s="51"/>
      <c r="Y140" s="50"/>
      <c r="Z140" s="51"/>
      <c r="AA140" s="50"/>
      <c r="AB140" s="51"/>
      <c r="AC140" s="50"/>
      <c r="AD140" s="51"/>
      <c r="AE140" s="50"/>
      <c r="AF140" s="67"/>
      <c r="AG140" s="50"/>
      <c r="AH140" s="51"/>
      <c r="AI140" s="50"/>
      <c r="AJ140" s="51"/>
      <c r="AK140" s="50"/>
      <c r="AL140" s="51"/>
      <c r="AM140" s="50"/>
      <c r="AN140" s="51"/>
      <c r="AO140" s="50"/>
      <c r="AP140" s="51"/>
      <c r="AQ140" s="50"/>
      <c r="AR140" s="51"/>
      <c r="AS140" s="50"/>
      <c r="AT140" s="67"/>
      <c r="AU140" s="50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2">
        <f t="shared" si="64"/>
        <v>0</v>
      </c>
      <c r="BR140" s="52">
        <f t="shared" si="65"/>
        <v>0</v>
      </c>
      <c r="BS140" s="52">
        <f t="shared" si="66"/>
        <v>0</v>
      </c>
      <c r="BT140" s="52">
        <f t="shared" si="67"/>
        <v>0</v>
      </c>
      <c r="BU140" s="52">
        <f t="shared" si="68"/>
        <v>0</v>
      </c>
      <c r="BV140" s="65"/>
      <c r="BW140" s="52">
        <f t="shared" si="69"/>
        <v>0</v>
      </c>
      <c r="BX140" s="52">
        <f t="shared" si="70"/>
        <v>0</v>
      </c>
      <c r="BY140" s="52">
        <f t="shared" si="71"/>
        <v>0</v>
      </c>
      <c r="BZ140" s="66">
        <f t="shared" si="72"/>
        <v>0</v>
      </c>
      <c r="CA140" s="54">
        <f t="shared" ref="CA140:CA203" si="73">SUM(J140,L140,N140,P140,R140,T140,X140,Z140,AB140,AD140,AF140,AH140,AL140,AN140,AP140,AR140,AT140,AV140,AZ140,BB140,BD140,BF140,BH140,BP140)</f>
        <v>0</v>
      </c>
      <c r="CB140" s="55">
        <f t="shared" ref="CB140:CB203" si="74">SUM(H140,V140,AJ140,AX140,BL140)</f>
        <v>0</v>
      </c>
      <c r="CC140" s="56">
        <f t="shared" ref="CC140:CC203" si="75">SUM(BJ140,BN140)</f>
        <v>0</v>
      </c>
      <c r="CD140" s="57"/>
      <c r="CE140" s="49">
        <v>18</v>
      </c>
      <c r="CF140" s="57" t="e">
        <f t="shared" si="63"/>
        <v>#N/A</v>
      </c>
      <c r="CG140" s="58">
        <f t="shared" ref="CG140:CG203" si="76">F140-BY140+1</f>
        <v>1</v>
      </c>
      <c r="CH140" s="57">
        <f t="shared" ref="CH140:CH203" si="77">CE140*16</f>
        <v>288</v>
      </c>
      <c r="CI140" s="59" t="e">
        <f>VLOOKUP(A140,[1]DATA!$A$6:$AI$331,34,0)</f>
        <v>#N/A</v>
      </c>
      <c r="CJ140" s="60" t="e">
        <f>VLOOKUP(A140,[2]CHAMCONG!A$7:CI$333,79,0)</f>
        <v>#N/A</v>
      </c>
      <c r="CK140" s="61" t="e">
        <f t="shared" ref="CK140:CK203" si="78">CJ140-CA140</f>
        <v>#N/A</v>
      </c>
    </row>
    <row r="141" spans="1:89" s="62" customFormat="1" ht="15.75" customHeight="1" x14ac:dyDescent="0.25">
      <c r="A141" s="63"/>
      <c r="B141" s="64"/>
      <c r="C141" s="45"/>
      <c r="D141" s="46"/>
      <c r="E141" s="47"/>
      <c r="F141" s="48"/>
      <c r="G141" s="49"/>
      <c r="H141" s="51"/>
      <c r="I141" s="49"/>
      <c r="J141" s="51"/>
      <c r="K141" s="49"/>
      <c r="L141" s="51"/>
      <c r="M141" s="49"/>
      <c r="N141" s="51"/>
      <c r="O141" s="49"/>
      <c r="P141" s="51"/>
      <c r="Q141" s="51"/>
      <c r="R141" s="51"/>
      <c r="S141" s="50"/>
      <c r="T141" s="51"/>
      <c r="U141" s="50"/>
      <c r="V141" s="51"/>
      <c r="W141" s="51"/>
      <c r="X141" s="51"/>
      <c r="Y141" s="50"/>
      <c r="Z141" s="51"/>
      <c r="AA141" s="50"/>
      <c r="AB141" s="51"/>
      <c r="AC141" s="50"/>
      <c r="AD141" s="51"/>
      <c r="AE141" s="51"/>
      <c r="AF141" s="51"/>
      <c r="AG141" s="51"/>
      <c r="AH141" s="51"/>
      <c r="AI141" s="49"/>
      <c r="AJ141" s="51"/>
      <c r="AK141" s="49"/>
      <c r="AL141" s="51"/>
      <c r="AM141" s="49"/>
      <c r="AN141" s="51"/>
      <c r="AO141" s="49"/>
      <c r="AP141" s="51"/>
      <c r="AQ141" s="51"/>
      <c r="AR141" s="51"/>
      <c r="AS141" s="50"/>
      <c r="AT141" s="50"/>
      <c r="AU141" s="50"/>
      <c r="AV141" s="51"/>
      <c r="AW141" s="51"/>
      <c r="AX141" s="51"/>
      <c r="AY141" s="49"/>
      <c r="AZ141" s="51"/>
      <c r="BA141" s="49"/>
      <c r="BB141" s="51"/>
      <c r="BC141" s="49"/>
      <c r="BD141" s="51"/>
      <c r="BE141" s="49"/>
      <c r="BF141" s="51"/>
      <c r="BG141" s="49"/>
      <c r="BH141" s="51"/>
      <c r="BI141" s="51"/>
      <c r="BJ141" s="51"/>
      <c r="BK141" s="51"/>
      <c r="BL141" s="51"/>
      <c r="BM141" s="51"/>
      <c r="BN141" s="51"/>
      <c r="BO141" s="51"/>
      <c r="BP141" s="51"/>
      <c r="BQ141" s="52">
        <f t="shared" si="64"/>
        <v>0</v>
      </c>
      <c r="BR141" s="52">
        <f t="shared" si="65"/>
        <v>0</v>
      </c>
      <c r="BS141" s="52">
        <f t="shared" si="66"/>
        <v>0</v>
      </c>
      <c r="BT141" s="52">
        <f t="shared" si="67"/>
        <v>0</v>
      </c>
      <c r="BU141" s="52">
        <f t="shared" si="68"/>
        <v>0</v>
      </c>
      <c r="BV141" s="65"/>
      <c r="BW141" s="52">
        <f t="shared" si="69"/>
        <v>0</v>
      </c>
      <c r="BX141" s="52">
        <f t="shared" si="70"/>
        <v>0</v>
      </c>
      <c r="BY141" s="52">
        <f t="shared" si="71"/>
        <v>0</v>
      </c>
      <c r="BZ141" s="66">
        <f t="shared" si="72"/>
        <v>0</v>
      </c>
      <c r="CA141" s="54">
        <f t="shared" si="73"/>
        <v>0</v>
      </c>
      <c r="CB141" s="55">
        <f t="shared" si="74"/>
        <v>0</v>
      </c>
      <c r="CC141" s="56">
        <f t="shared" si="75"/>
        <v>0</v>
      </c>
      <c r="CD141" s="57">
        <f t="shared" ref="CD141:CD204" si="79">IF(BZ141&gt;25,4,IF(BZ141&gt;18,3,IF(BZ141&gt;12,2,IF(BZ141&gt;4,1,0))))-BX141-2+1</f>
        <v>-1</v>
      </c>
      <c r="CE141" s="49">
        <v>2</v>
      </c>
      <c r="CF141" s="57" t="e">
        <f t="shared" si="63"/>
        <v>#N/A</v>
      </c>
      <c r="CG141" s="58">
        <f t="shared" si="76"/>
        <v>1</v>
      </c>
      <c r="CH141" s="57">
        <f t="shared" si="77"/>
        <v>32</v>
      </c>
      <c r="CI141" s="59" t="e">
        <f>VLOOKUP(A141,[1]DATA!$A$6:$AI$331,34,0)</f>
        <v>#N/A</v>
      </c>
      <c r="CJ141" s="60" t="e">
        <f>VLOOKUP(A141,[2]CHAMCONG!A$7:CI$333,79,0)</f>
        <v>#N/A</v>
      </c>
      <c r="CK141" s="61" t="e">
        <f t="shared" si="78"/>
        <v>#N/A</v>
      </c>
    </row>
    <row r="142" spans="1:89" s="62" customFormat="1" ht="15.75" customHeight="1" x14ac:dyDescent="0.25">
      <c r="A142" s="63"/>
      <c r="B142" s="64"/>
      <c r="C142" s="45"/>
      <c r="D142" s="46"/>
      <c r="E142" s="47"/>
      <c r="F142" s="48"/>
      <c r="G142" s="49"/>
      <c r="H142" s="51"/>
      <c r="I142" s="50"/>
      <c r="J142" s="51"/>
      <c r="K142" s="50"/>
      <c r="L142" s="51"/>
      <c r="M142" s="50"/>
      <c r="N142" s="51"/>
      <c r="O142" s="50"/>
      <c r="P142" s="51"/>
      <c r="Q142" s="50"/>
      <c r="R142" s="67"/>
      <c r="S142" s="50"/>
      <c r="T142" s="51"/>
      <c r="U142" s="49"/>
      <c r="V142" s="51"/>
      <c r="W142" s="50"/>
      <c r="X142" s="51"/>
      <c r="Y142" s="50"/>
      <c r="Z142" s="51"/>
      <c r="AA142" s="50"/>
      <c r="AB142" s="51"/>
      <c r="AC142" s="50"/>
      <c r="AD142" s="51"/>
      <c r="AE142" s="50"/>
      <c r="AF142" s="67"/>
      <c r="AG142" s="50"/>
      <c r="AH142" s="51"/>
      <c r="AI142" s="51"/>
      <c r="AJ142" s="51"/>
      <c r="AK142" s="50"/>
      <c r="AL142" s="51"/>
      <c r="AM142" s="50"/>
      <c r="AN142" s="51"/>
      <c r="AO142" s="50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2">
        <f t="shared" si="64"/>
        <v>0</v>
      </c>
      <c r="BR142" s="52">
        <f t="shared" si="65"/>
        <v>0</v>
      </c>
      <c r="BS142" s="52">
        <f t="shared" si="66"/>
        <v>0</v>
      </c>
      <c r="BT142" s="52">
        <f t="shared" si="67"/>
        <v>0</v>
      </c>
      <c r="BU142" s="52">
        <f t="shared" si="68"/>
        <v>0</v>
      </c>
      <c r="BV142" s="65"/>
      <c r="BW142" s="52">
        <f t="shared" si="69"/>
        <v>0</v>
      </c>
      <c r="BX142" s="52">
        <f t="shared" si="70"/>
        <v>0</v>
      </c>
      <c r="BY142" s="52">
        <f t="shared" si="71"/>
        <v>0</v>
      </c>
      <c r="BZ142" s="66">
        <f t="shared" si="72"/>
        <v>0</v>
      </c>
      <c r="CA142" s="54">
        <f t="shared" si="73"/>
        <v>0</v>
      </c>
      <c r="CB142" s="55">
        <f t="shared" si="74"/>
        <v>0</v>
      </c>
      <c r="CC142" s="56">
        <f t="shared" si="75"/>
        <v>0</v>
      </c>
      <c r="CD142" s="57"/>
      <c r="CE142" s="49">
        <v>15</v>
      </c>
      <c r="CF142" s="57" t="e">
        <f t="shared" si="63"/>
        <v>#N/A</v>
      </c>
      <c r="CG142" s="58">
        <f t="shared" si="76"/>
        <v>1</v>
      </c>
      <c r="CH142" s="57">
        <f t="shared" si="77"/>
        <v>240</v>
      </c>
      <c r="CI142" s="59" t="e">
        <f>VLOOKUP(A142,[1]DATA!$A$6:$AI$331,34,0)</f>
        <v>#N/A</v>
      </c>
      <c r="CJ142" s="60" t="e">
        <f>VLOOKUP(A142,[2]CHAMCONG!A$7:CI$333,79,0)</f>
        <v>#N/A</v>
      </c>
      <c r="CK142" s="61" t="e">
        <f t="shared" si="78"/>
        <v>#N/A</v>
      </c>
    </row>
    <row r="143" spans="1:89" s="62" customFormat="1" ht="15.75" customHeight="1" x14ac:dyDescent="0.25">
      <c r="A143" s="63"/>
      <c r="B143" s="64"/>
      <c r="C143" s="45"/>
      <c r="D143" s="46"/>
      <c r="E143" s="47"/>
      <c r="F143" s="48"/>
      <c r="G143" s="49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49"/>
      <c r="V143" s="51"/>
      <c r="W143" s="50"/>
      <c r="X143" s="51"/>
      <c r="Y143" s="51"/>
      <c r="Z143" s="51"/>
      <c r="AA143" s="50"/>
      <c r="AB143" s="51"/>
      <c r="AC143" s="50"/>
      <c r="AD143" s="51"/>
      <c r="AE143" s="50"/>
      <c r="AF143" s="50"/>
      <c r="AG143" s="51"/>
      <c r="AH143" s="51"/>
      <c r="AI143" s="51"/>
      <c r="AJ143" s="51"/>
      <c r="AK143" s="50"/>
      <c r="AL143" s="51"/>
      <c r="AM143" s="50"/>
      <c r="AN143" s="51"/>
      <c r="AO143" s="50"/>
      <c r="AP143" s="51"/>
      <c r="AQ143" s="50"/>
      <c r="AR143" s="51"/>
      <c r="AS143" s="50"/>
      <c r="AT143" s="50"/>
      <c r="AU143" s="50"/>
      <c r="AV143" s="51"/>
      <c r="AW143" s="51"/>
      <c r="AX143" s="51"/>
      <c r="AY143" s="50"/>
      <c r="AZ143" s="51"/>
      <c r="BA143" s="50"/>
      <c r="BB143" s="51"/>
      <c r="BC143" s="50"/>
      <c r="BD143" s="51"/>
      <c r="BE143" s="50"/>
      <c r="BF143" s="51"/>
      <c r="BG143" s="50"/>
      <c r="BH143" s="50"/>
      <c r="BI143" s="51"/>
      <c r="BJ143" s="51"/>
      <c r="BK143" s="51"/>
      <c r="BL143" s="51"/>
      <c r="BM143" s="51"/>
      <c r="BN143" s="51"/>
      <c r="BO143" s="51"/>
      <c r="BP143" s="51"/>
      <c r="BQ143" s="52">
        <f t="shared" si="64"/>
        <v>0</v>
      </c>
      <c r="BR143" s="52">
        <f t="shared" si="65"/>
        <v>0</v>
      </c>
      <c r="BS143" s="52">
        <f t="shared" si="66"/>
        <v>0</v>
      </c>
      <c r="BT143" s="52">
        <f t="shared" si="67"/>
        <v>0</v>
      </c>
      <c r="BU143" s="52">
        <f t="shared" si="68"/>
        <v>0</v>
      </c>
      <c r="BV143" s="65"/>
      <c r="BW143" s="52">
        <f t="shared" si="69"/>
        <v>0</v>
      </c>
      <c r="BX143" s="52">
        <f t="shared" si="70"/>
        <v>0</v>
      </c>
      <c r="BY143" s="52">
        <f t="shared" si="71"/>
        <v>0</v>
      </c>
      <c r="BZ143" s="66">
        <f t="shared" si="72"/>
        <v>0</v>
      </c>
      <c r="CA143" s="54">
        <f t="shared" si="73"/>
        <v>0</v>
      </c>
      <c r="CB143" s="55">
        <f t="shared" si="74"/>
        <v>0</v>
      </c>
      <c r="CC143" s="56">
        <f t="shared" si="75"/>
        <v>0</v>
      </c>
      <c r="CD143" s="57">
        <f t="shared" si="79"/>
        <v>-1</v>
      </c>
      <c r="CE143" s="49"/>
      <c r="CF143" s="57" t="e">
        <f t="shared" si="63"/>
        <v>#N/A</v>
      </c>
      <c r="CG143" s="58">
        <f t="shared" si="76"/>
        <v>1</v>
      </c>
      <c r="CH143" s="57">
        <f t="shared" si="77"/>
        <v>0</v>
      </c>
      <c r="CI143" s="59" t="e">
        <f>VLOOKUP(A143,[1]DATA!$A$6:$AI$331,34,0)</f>
        <v>#N/A</v>
      </c>
      <c r="CJ143" s="60" t="e">
        <f>VLOOKUP(A143,[2]CHAMCONG!A$7:CI$333,79,0)</f>
        <v>#N/A</v>
      </c>
      <c r="CK143" s="61" t="e">
        <f t="shared" si="78"/>
        <v>#N/A</v>
      </c>
    </row>
    <row r="144" spans="1:89" s="62" customFormat="1" ht="15.75" customHeight="1" x14ac:dyDescent="0.25">
      <c r="A144" s="63"/>
      <c r="B144" s="64"/>
      <c r="C144" s="45"/>
      <c r="D144" s="46"/>
      <c r="E144" s="47"/>
      <c r="F144" s="48"/>
      <c r="G144" s="49"/>
      <c r="H144" s="51"/>
      <c r="I144" s="50"/>
      <c r="J144" s="51"/>
      <c r="K144" s="51"/>
      <c r="L144" s="51"/>
      <c r="M144" s="51"/>
      <c r="N144" s="51"/>
      <c r="O144" s="51"/>
      <c r="P144" s="51"/>
      <c r="Q144" s="50"/>
      <c r="R144" s="67"/>
      <c r="S144" s="49"/>
      <c r="T144" s="51"/>
      <c r="U144" s="49"/>
      <c r="V144" s="51"/>
      <c r="W144" s="49"/>
      <c r="X144" s="51"/>
      <c r="Y144" s="49"/>
      <c r="Z144" s="51"/>
      <c r="AA144" s="49"/>
      <c r="AB144" s="51"/>
      <c r="AC144" s="49"/>
      <c r="AD144" s="51"/>
      <c r="AE144" s="50"/>
      <c r="AF144" s="67"/>
      <c r="AG144" s="50"/>
      <c r="AH144" s="51"/>
      <c r="AI144" s="50"/>
      <c r="AJ144" s="51"/>
      <c r="AK144" s="51"/>
      <c r="AL144" s="51"/>
      <c r="AM144" s="50"/>
      <c r="AN144" s="51"/>
      <c r="AO144" s="50"/>
      <c r="AP144" s="51"/>
      <c r="AQ144" s="51"/>
      <c r="AR144" s="51"/>
      <c r="AS144" s="51"/>
      <c r="AT144" s="51"/>
      <c r="AU144" s="51"/>
      <c r="AV144" s="51"/>
      <c r="AW144" s="51"/>
      <c r="AX144" s="51"/>
      <c r="AY144" s="49"/>
      <c r="AZ144" s="51"/>
      <c r="BA144" s="49"/>
      <c r="BB144" s="51"/>
      <c r="BC144" s="49"/>
      <c r="BD144" s="51"/>
      <c r="BE144" s="49"/>
      <c r="BF144" s="51"/>
      <c r="BG144" s="49"/>
      <c r="BH144" s="51"/>
      <c r="BI144" s="51"/>
      <c r="BJ144" s="51"/>
      <c r="BK144" s="51"/>
      <c r="BL144" s="51"/>
      <c r="BM144" s="51"/>
      <c r="BN144" s="51"/>
      <c r="BO144" s="51"/>
      <c r="BP144" s="51"/>
      <c r="BQ144" s="52">
        <f t="shared" si="64"/>
        <v>0</v>
      </c>
      <c r="BR144" s="52">
        <f t="shared" si="65"/>
        <v>0</v>
      </c>
      <c r="BS144" s="52">
        <f t="shared" si="66"/>
        <v>0</v>
      </c>
      <c r="BT144" s="52">
        <f t="shared" si="67"/>
        <v>0</v>
      </c>
      <c r="BU144" s="52">
        <f t="shared" si="68"/>
        <v>0</v>
      </c>
      <c r="BV144" s="65"/>
      <c r="BW144" s="52">
        <f t="shared" si="69"/>
        <v>0</v>
      </c>
      <c r="BX144" s="52">
        <f t="shared" si="70"/>
        <v>0</v>
      </c>
      <c r="BY144" s="52">
        <f t="shared" si="71"/>
        <v>0</v>
      </c>
      <c r="BZ144" s="66">
        <f t="shared" si="72"/>
        <v>0</v>
      </c>
      <c r="CA144" s="54">
        <f t="shared" si="73"/>
        <v>0</v>
      </c>
      <c r="CB144" s="55">
        <f t="shared" si="74"/>
        <v>0</v>
      </c>
      <c r="CC144" s="56">
        <f t="shared" si="75"/>
        <v>0</v>
      </c>
      <c r="CD144" s="57">
        <f t="shared" si="79"/>
        <v>-1</v>
      </c>
      <c r="CE144" s="49"/>
      <c r="CF144" s="57" t="e">
        <f t="shared" si="63"/>
        <v>#N/A</v>
      </c>
      <c r="CG144" s="58">
        <f t="shared" si="76"/>
        <v>1</v>
      </c>
      <c r="CH144" s="57">
        <f t="shared" si="77"/>
        <v>0</v>
      </c>
      <c r="CI144" s="59" t="e">
        <f>VLOOKUP(A144,[1]DATA!$A$6:$AI$331,34,0)</f>
        <v>#N/A</v>
      </c>
      <c r="CJ144" s="60" t="e">
        <f>VLOOKUP(A144,[2]CHAMCONG!A$7:CI$333,79,0)</f>
        <v>#N/A</v>
      </c>
      <c r="CK144" s="61" t="e">
        <f t="shared" si="78"/>
        <v>#N/A</v>
      </c>
    </row>
    <row r="145" spans="1:89" s="62" customFormat="1" ht="15.75" customHeight="1" x14ac:dyDescent="0.25">
      <c r="A145" s="63"/>
      <c r="B145" s="64"/>
      <c r="C145" s="45"/>
      <c r="D145" s="46"/>
      <c r="E145" s="47"/>
      <c r="F145" s="48"/>
      <c r="G145" s="49"/>
      <c r="H145" s="51"/>
      <c r="I145" s="50"/>
      <c r="J145" s="51"/>
      <c r="K145" s="51"/>
      <c r="L145" s="51"/>
      <c r="M145" s="51"/>
      <c r="N145" s="51"/>
      <c r="O145" s="50"/>
      <c r="P145" s="51"/>
      <c r="Q145" s="51"/>
      <c r="R145" s="51"/>
      <c r="S145" s="51"/>
      <c r="T145" s="51"/>
      <c r="U145" s="49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49"/>
      <c r="AL145" s="51"/>
      <c r="AM145" s="49"/>
      <c r="AN145" s="51"/>
      <c r="AO145" s="49"/>
      <c r="AP145" s="51"/>
      <c r="AQ145" s="49"/>
      <c r="AR145" s="51"/>
      <c r="AS145" s="49"/>
      <c r="AT145" s="51"/>
      <c r="AU145" s="49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2">
        <f t="shared" si="64"/>
        <v>0</v>
      </c>
      <c r="BR145" s="52">
        <f t="shared" si="65"/>
        <v>0</v>
      </c>
      <c r="BS145" s="52">
        <f t="shared" si="66"/>
        <v>0</v>
      </c>
      <c r="BT145" s="52">
        <f t="shared" si="67"/>
        <v>0</v>
      </c>
      <c r="BU145" s="52">
        <f t="shared" si="68"/>
        <v>0</v>
      </c>
      <c r="BV145" s="65"/>
      <c r="BW145" s="52">
        <f t="shared" si="69"/>
        <v>0</v>
      </c>
      <c r="BX145" s="52">
        <f t="shared" si="70"/>
        <v>0</v>
      </c>
      <c r="BY145" s="52">
        <f t="shared" si="71"/>
        <v>0</v>
      </c>
      <c r="BZ145" s="66">
        <f t="shared" si="72"/>
        <v>0</v>
      </c>
      <c r="CA145" s="54">
        <f>SUM(J145,L145,N145,P145,R145,T145,X145,Z145,AB145,AD145,AF145,AH145,AL145,AN145,AP145,AR145,AT145,AV145,AZ145,BB145,BD145,BF145,BH145,BP145)</f>
        <v>0</v>
      </c>
      <c r="CB145" s="55">
        <f t="shared" si="74"/>
        <v>0</v>
      </c>
      <c r="CC145" s="56">
        <f t="shared" si="75"/>
        <v>0</v>
      </c>
      <c r="CD145" s="57">
        <f t="shared" si="79"/>
        <v>-1</v>
      </c>
      <c r="CE145" s="49">
        <v>3</v>
      </c>
      <c r="CF145" s="57" t="e">
        <f t="shared" si="63"/>
        <v>#N/A</v>
      </c>
      <c r="CG145" s="58">
        <f t="shared" si="76"/>
        <v>1</v>
      </c>
      <c r="CH145" s="57">
        <f t="shared" si="77"/>
        <v>48</v>
      </c>
      <c r="CI145" s="59" t="e">
        <f>VLOOKUP(A145,[1]DATA!$A$6:$AI$331,34,0)</f>
        <v>#N/A</v>
      </c>
      <c r="CJ145" s="60" t="e">
        <f>VLOOKUP(A145,[2]CHAMCONG!A$7:CI$333,79,0)</f>
        <v>#N/A</v>
      </c>
      <c r="CK145" s="61" t="e">
        <f t="shared" si="78"/>
        <v>#N/A</v>
      </c>
    </row>
    <row r="146" spans="1:89" s="62" customFormat="1" ht="15.75" customHeight="1" x14ac:dyDescent="0.25">
      <c r="A146" s="63"/>
      <c r="B146" s="64"/>
      <c r="C146" s="45"/>
      <c r="D146" s="46"/>
      <c r="E146" s="47"/>
      <c r="F146" s="48"/>
      <c r="G146" s="49"/>
      <c r="H146" s="51"/>
      <c r="I146" s="50"/>
      <c r="J146" s="51"/>
      <c r="K146" s="50"/>
      <c r="L146" s="51"/>
      <c r="M146" s="50"/>
      <c r="N146" s="51"/>
      <c r="O146" s="50"/>
      <c r="P146" s="51"/>
      <c r="Q146" s="50"/>
      <c r="R146" s="51"/>
      <c r="S146" s="50"/>
      <c r="T146" s="51"/>
      <c r="U146" s="50"/>
      <c r="V146" s="51"/>
      <c r="W146" s="50"/>
      <c r="X146" s="51"/>
      <c r="Y146" s="50"/>
      <c r="Z146" s="51"/>
      <c r="AA146" s="50"/>
      <c r="AB146" s="51"/>
      <c r="AC146" s="50"/>
      <c r="AD146" s="51"/>
      <c r="AE146" s="50"/>
      <c r="AF146" s="51"/>
      <c r="AG146" s="50"/>
      <c r="AH146" s="51"/>
      <c r="AI146" s="50"/>
      <c r="AJ146" s="51"/>
      <c r="AK146" s="50"/>
      <c r="AL146" s="51"/>
      <c r="AM146" s="50"/>
      <c r="AN146" s="51"/>
      <c r="AO146" s="50"/>
      <c r="AP146" s="51"/>
      <c r="AQ146" s="50"/>
      <c r="AR146" s="51"/>
      <c r="AS146" s="50"/>
      <c r="AT146" s="51"/>
      <c r="AU146" s="50"/>
      <c r="AV146" s="51"/>
      <c r="AW146" s="51"/>
      <c r="AX146" s="51"/>
      <c r="AY146" s="50"/>
      <c r="AZ146" s="51"/>
      <c r="BA146" s="50"/>
      <c r="BB146" s="51"/>
      <c r="BC146" s="50"/>
      <c r="BD146" s="51"/>
      <c r="BE146" s="50"/>
      <c r="BF146" s="51"/>
      <c r="BG146" s="50"/>
      <c r="BH146" s="51"/>
      <c r="BI146" s="51"/>
      <c r="BJ146" s="51"/>
      <c r="BK146" s="51"/>
      <c r="BL146" s="51"/>
      <c r="BM146" s="51"/>
      <c r="BN146" s="51"/>
      <c r="BO146" s="51"/>
      <c r="BP146" s="51"/>
      <c r="BQ146" s="52">
        <f t="shared" si="64"/>
        <v>0</v>
      </c>
      <c r="BR146" s="52">
        <f t="shared" si="65"/>
        <v>0</v>
      </c>
      <c r="BS146" s="52">
        <f t="shared" si="66"/>
        <v>0</v>
      </c>
      <c r="BT146" s="52">
        <f t="shared" si="67"/>
        <v>0</v>
      </c>
      <c r="BU146" s="52">
        <f t="shared" si="68"/>
        <v>0</v>
      </c>
      <c r="BV146" s="65"/>
      <c r="BW146" s="52">
        <f t="shared" si="69"/>
        <v>0</v>
      </c>
      <c r="BX146" s="52">
        <f t="shared" si="70"/>
        <v>0</v>
      </c>
      <c r="BY146" s="52">
        <f t="shared" si="71"/>
        <v>0</v>
      </c>
      <c r="BZ146" s="66">
        <f t="shared" si="72"/>
        <v>0</v>
      </c>
      <c r="CA146" s="54">
        <f t="shared" si="73"/>
        <v>0</v>
      </c>
      <c r="CB146" s="55">
        <f t="shared" si="74"/>
        <v>0</v>
      </c>
      <c r="CC146" s="56">
        <f t="shared" si="75"/>
        <v>0</v>
      </c>
      <c r="CD146" s="57"/>
      <c r="CE146" s="49">
        <v>17</v>
      </c>
      <c r="CF146" s="57" t="e">
        <f t="shared" si="63"/>
        <v>#N/A</v>
      </c>
      <c r="CG146" s="58">
        <f t="shared" si="76"/>
        <v>1</v>
      </c>
      <c r="CH146" s="57">
        <f t="shared" si="77"/>
        <v>272</v>
      </c>
      <c r="CI146" s="59" t="e">
        <f>VLOOKUP(A146,[1]DATA!$A$6:$AI$331,34,0)</f>
        <v>#N/A</v>
      </c>
      <c r="CJ146" s="60" t="e">
        <f>VLOOKUP(A146,[2]CHAMCONG!A$7:CI$333,79,0)</f>
        <v>#N/A</v>
      </c>
      <c r="CK146" s="61" t="e">
        <f t="shared" si="78"/>
        <v>#N/A</v>
      </c>
    </row>
    <row r="147" spans="1:89" s="62" customFormat="1" ht="15.75" customHeight="1" x14ac:dyDescent="0.25">
      <c r="A147" s="63"/>
      <c r="B147" s="64"/>
      <c r="C147" s="45"/>
      <c r="D147" s="46"/>
      <c r="E147" s="47"/>
      <c r="F147" s="48"/>
      <c r="G147" s="49"/>
      <c r="H147" s="51"/>
      <c r="I147" s="50"/>
      <c r="J147" s="51"/>
      <c r="K147" s="50"/>
      <c r="L147" s="51"/>
      <c r="M147" s="50"/>
      <c r="N147" s="51"/>
      <c r="O147" s="50"/>
      <c r="P147" s="51"/>
      <c r="Q147" s="50"/>
      <c r="R147" s="67"/>
      <c r="S147" s="50"/>
      <c r="T147" s="51"/>
      <c r="U147" s="50"/>
      <c r="V147" s="51"/>
      <c r="W147" s="50"/>
      <c r="X147" s="51"/>
      <c r="Y147" s="50"/>
      <c r="Z147" s="51"/>
      <c r="AA147" s="50"/>
      <c r="AB147" s="51"/>
      <c r="AC147" s="50"/>
      <c r="AD147" s="51"/>
      <c r="AE147" s="50"/>
      <c r="AF147" s="67"/>
      <c r="AG147" s="50"/>
      <c r="AH147" s="51"/>
      <c r="AI147" s="50"/>
      <c r="AJ147" s="51"/>
      <c r="AK147" s="50"/>
      <c r="AL147" s="51"/>
      <c r="AM147" s="50"/>
      <c r="AN147" s="51"/>
      <c r="AO147" s="50"/>
      <c r="AP147" s="51"/>
      <c r="AQ147" s="50"/>
      <c r="AR147" s="51"/>
      <c r="AS147" s="50"/>
      <c r="AT147" s="67"/>
      <c r="AU147" s="50"/>
      <c r="AV147" s="51"/>
      <c r="AW147" s="51"/>
      <c r="AX147" s="51"/>
      <c r="AY147" s="50"/>
      <c r="AZ147" s="51"/>
      <c r="BA147" s="50"/>
      <c r="BB147" s="51"/>
      <c r="BC147" s="50"/>
      <c r="BD147" s="51"/>
      <c r="BE147" s="50"/>
      <c r="BF147" s="51"/>
      <c r="BG147" s="50"/>
      <c r="BH147" s="67"/>
      <c r="BI147" s="51"/>
      <c r="BJ147" s="51"/>
      <c r="BK147" s="49"/>
      <c r="BL147" s="51"/>
      <c r="BM147" s="51"/>
      <c r="BN147" s="51"/>
      <c r="BO147" s="51"/>
      <c r="BP147" s="51"/>
      <c r="BQ147" s="52">
        <f t="shared" si="64"/>
        <v>0</v>
      </c>
      <c r="BR147" s="52">
        <f t="shared" si="65"/>
        <v>0</v>
      </c>
      <c r="BS147" s="52">
        <f t="shared" si="66"/>
        <v>0</v>
      </c>
      <c r="BT147" s="52">
        <f t="shared" si="67"/>
        <v>0</v>
      </c>
      <c r="BU147" s="52">
        <f t="shared" si="68"/>
        <v>0</v>
      </c>
      <c r="BV147" s="65"/>
      <c r="BW147" s="52">
        <f t="shared" si="69"/>
        <v>0</v>
      </c>
      <c r="BX147" s="52">
        <f t="shared" si="70"/>
        <v>0</v>
      </c>
      <c r="BY147" s="52">
        <f t="shared" si="71"/>
        <v>0</v>
      </c>
      <c r="BZ147" s="66">
        <f t="shared" si="72"/>
        <v>0</v>
      </c>
      <c r="CA147" s="54">
        <f t="shared" si="73"/>
        <v>0</v>
      </c>
      <c r="CB147" s="55">
        <f t="shared" si="74"/>
        <v>0</v>
      </c>
      <c r="CC147" s="56">
        <f t="shared" si="75"/>
        <v>0</v>
      </c>
      <c r="CD147" s="57">
        <f t="shared" si="79"/>
        <v>-1</v>
      </c>
      <c r="CE147" s="49">
        <v>2</v>
      </c>
      <c r="CF147" s="57" t="e">
        <f t="shared" si="63"/>
        <v>#N/A</v>
      </c>
      <c r="CG147" s="58">
        <f t="shared" si="76"/>
        <v>1</v>
      </c>
      <c r="CH147" s="57">
        <f t="shared" si="77"/>
        <v>32</v>
      </c>
      <c r="CI147" s="59" t="e">
        <f>VLOOKUP(A147,[1]DATA!$A$6:$AI$331,34,0)</f>
        <v>#N/A</v>
      </c>
      <c r="CJ147" s="60" t="e">
        <f>VLOOKUP(A147,[2]CHAMCONG!A$7:CI$333,79,0)</f>
        <v>#N/A</v>
      </c>
      <c r="CK147" s="61" t="e">
        <f t="shared" si="78"/>
        <v>#N/A</v>
      </c>
    </row>
    <row r="148" spans="1:89" s="62" customFormat="1" ht="15.75" customHeight="1" x14ac:dyDescent="0.25">
      <c r="A148" s="63"/>
      <c r="B148" s="64"/>
      <c r="C148" s="45"/>
      <c r="D148" s="46"/>
      <c r="E148" s="47"/>
      <c r="F148" s="48"/>
      <c r="G148" s="49"/>
      <c r="H148" s="51"/>
      <c r="I148" s="50"/>
      <c r="J148" s="51"/>
      <c r="K148" s="51"/>
      <c r="L148" s="51"/>
      <c r="M148" s="51"/>
      <c r="N148" s="51"/>
      <c r="O148" s="50"/>
      <c r="P148" s="51"/>
      <c r="Q148" s="50"/>
      <c r="R148" s="67"/>
      <c r="S148" s="50"/>
      <c r="T148" s="51"/>
      <c r="U148" s="49"/>
      <c r="V148" s="51"/>
      <c r="W148" s="49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0"/>
      <c r="AT148" s="50"/>
      <c r="AU148" s="50"/>
      <c r="AV148" s="51"/>
      <c r="AW148" s="51"/>
      <c r="AX148" s="51"/>
      <c r="AY148" s="51"/>
      <c r="AZ148" s="51"/>
      <c r="BA148" s="51"/>
      <c r="BB148" s="51"/>
      <c r="BC148" s="51"/>
      <c r="BD148" s="51"/>
      <c r="BE148" s="50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2">
        <f t="shared" si="64"/>
        <v>0</v>
      </c>
      <c r="BR148" s="52">
        <f t="shared" si="65"/>
        <v>0</v>
      </c>
      <c r="BS148" s="52">
        <f t="shared" si="66"/>
        <v>0</v>
      </c>
      <c r="BT148" s="52">
        <f t="shared" si="67"/>
        <v>0</v>
      </c>
      <c r="BU148" s="52">
        <f t="shared" si="68"/>
        <v>0</v>
      </c>
      <c r="BV148" s="65"/>
      <c r="BW148" s="52">
        <f t="shared" si="69"/>
        <v>0</v>
      </c>
      <c r="BX148" s="52">
        <f t="shared" si="70"/>
        <v>0</v>
      </c>
      <c r="BY148" s="52">
        <f t="shared" si="71"/>
        <v>0</v>
      </c>
      <c r="BZ148" s="66">
        <f t="shared" si="72"/>
        <v>0</v>
      </c>
      <c r="CA148" s="54">
        <f t="shared" si="73"/>
        <v>0</v>
      </c>
      <c r="CB148" s="55">
        <f t="shared" si="74"/>
        <v>0</v>
      </c>
      <c r="CC148" s="56">
        <f t="shared" si="75"/>
        <v>0</v>
      </c>
      <c r="CD148" s="57">
        <f t="shared" si="79"/>
        <v>-1</v>
      </c>
      <c r="CE148" s="49">
        <v>1</v>
      </c>
      <c r="CF148" s="57" t="e">
        <f t="shared" si="63"/>
        <v>#N/A</v>
      </c>
      <c r="CG148" s="58">
        <f t="shared" si="76"/>
        <v>1</v>
      </c>
      <c r="CH148" s="57">
        <f t="shared" si="77"/>
        <v>16</v>
      </c>
      <c r="CI148" s="59" t="e">
        <f>VLOOKUP(A148,[1]DATA!$A$6:$AI$331,34,0)</f>
        <v>#N/A</v>
      </c>
      <c r="CJ148" s="60" t="e">
        <f>VLOOKUP(A148,[2]CHAMCONG!A$7:CI$333,79,0)</f>
        <v>#N/A</v>
      </c>
      <c r="CK148" s="61" t="e">
        <f t="shared" si="78"/>
        <v>#N/A</v>
      </c>
    </row>
    <row r="149" spans="1:89" s="62" customFormat="1" ht="15.75" customHeight="1" x14ac:dyDescent="0.25">
      <c r="A149" s="63"/>
      <c r="B149" s="64"/>
      <c r="C149" s="45"/>
      <c r="D149" s="46"/>
      <c r="E149" s="47"/>
      <c r="F149" s="48"/>
      <c r="G149" s="49"/>
      <c r="H149" s="51"/>
      <c r="I149" s="49"/>
      <c r="J149" s="51"/>
      <c r="K149" s="49"/>
      <c r="L149" s="51"/>
      <c r="M149" s="49"/>
      <c r="N149" s="51"/>
      <c r="O149" s="49"/>
      <c r="P149" s="51"/>
      <c r="Q149" s="49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49"/>
      <c r="AF149" s="51"/>
      <c r="AG149" s="49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49"/>
      <c r="AZ149" s="51"/>
      <c r="BA149" s="49"/>
      <c r="BB149" s="51"/>
      <c r="BC149" s="49"/>
      <c r="BD149" s="51"/>
      <c r="BE149" s="49"/>
      <c r="BF149" s="51"/>
      <c r="BG149" s="49"/>
      <c r="BH149" s="51"/>
      <c r="BI149" s="51"/>
      <c r="BJ149" s="51"/>
      <c r="BK149" s="51"/>
      <c r="BL149" s="51"/>
      <c r="BM149" s="51"/>
      <c r="BN149" s="51"/>
      <c r="BO149" s="51"/>
      <c r="BP149" s="51"/>
      <c r="BQ149" s="52">
        <f t="shared" si="64"/>
        <v>0</v>
      </c>
      <c r="BR149" s="52">
        <f t="shared" si="65"/>
        <v>0</v>
      </c>
      <c r="BS149" s="52">
        <f t="shared" si="66"/>
        <v>0</v>
      </c>
      <c r="BT149" s="52">
        <f t="shared" si="67"/>
        <v>0</v>
      </c>
      <c r="BU149" s="52">
        <f t="shared" si="68"/>
        <v>0</v>
      </c>
      <c r="BV149" s="65"/>
      <c r="BW149" s="52">
        <f t="shared" si="69"/>
        <v>0</v>
      </c>
      <c r="BX149" s="52">
        <f t="shared" si="70"/>
        <v>0</v>
      </c>
      <c r="BY149" s="52">
        <f t="shared" si="71"/>
        <v>0</v>
      </c>
      <c r="BZ149" s="66">
        <f t="shared" si="72"/>
        <v>0</v>
      </c>
      <c r="CA149" s="54">
        <f t="shared" si="73"/>
        <v>0</v>
      </c>
      <c r="CB149" s="55">
        <f t="shared" si="74"/>
        <v>0</v>
      </c>
      <c r="CC149" s="56">
        <f t="shared" si="75"/>
        <v>0</v>
      </c>
      <c r="CD149" s="57">
        <f t="shared" si="79"/>
        <v>-1</v>
      </c>
      <c r="CE149" s="49">
        <v>1</v>
      </c>
      <c r="CF149" s="57" t="e">
        <f t="shared" si="63"/>
        <v>#N/A</v>
      </c>
      <c r="CG149" s="58">
        <f t="shared" si="76"/>
        <v>1</v>
      </c>
      <c r="CH149" s="57">
        <f t="shared" si="77"/>
        <v>16</v>
      </c>
      <c r="CI149" s="59" t="e">
        <f>VLOOKUP(A149,[1]DATA!$A$6:$AI$331,34,0)</f>
        <v>#N/A</v>
      </c>
      <c r="CJ149" s="60" t="e">
        <f>VLOOKUP(A149,[2]CHAMCONG!A$7:CI$333,79,0)</f>
        <v>#N/A</v>
      </c>
      <c r="CK149" s="61" t="e">
        <f t="shared" si="78"/>
        <v>#N/A</v>
      </c>
    </row>
    <row r="150" spans="1:89" s="62" customFormat="1" ht="15.75" customHeight="1" x14ac:dyDescent="0.25">
      <c r="A150" s="69"/>
      <c r="B150" s="64"/>
      <c r="C150" s="45"/>
      <c r="D150" s="46"/>
      <c r="E150" s="47"/>
      <c r="F150" s="48"/>
      <c r="G150" s="49"/>
      <c r="H150" s="51"/>
      <c r="I150" s="50"/>
      <c r="J150" s="51"/>
      <c r="K150" s="67"/>
      <c r="L150" s="51"/>
      <c r="M150" s="67"/>
      <c r="N150" s="51"/>
      <c r="O150" s="67"/>
      <c r="P150" s="51"/>
      <c r="Q150" s="51"/>
      <c r="R150" s="51"/>
      <c r="S150" s="51"/>
      <c r="T150" s="51"/>
      <c r="U150" s="49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67"/>
      <c r="AH150" s="51"/>
      <c r="AI150" s="67"/>
      <c r="AJ150" s="51"/>
      <c r="AK150" s="67"/>
      <c r="AL150" s="51"/>
      <c r="AM150" s="67"/>
      <c r="AN150" s="51"/>
      <c r="AO150" s="67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2">
        <f t="shared" si="64"/>
        <v>0</v>
      </c>
      <c r="BR150" s="52">
        <f t="shared" si="65"/>
        <v>0</v>
      </c>
      <c r="BS150" s="52">
        <f t="shared" si="66"/>
        <v>0</v>
      </c>
      <c r="BT150" s="52">
        <f t="shared" si="67"/>
        <v>0</v>
      </c>
      <c r="BU150" s="52">
        <f t="shared" si="68"/>
        <v>0</v>
      </c>
      <c r="BV150" s="65"/>
      <c r="BW150" s="52">
        <f t="shared" si="69"/>
        <v>0</v>
      </c>
      <c r="BX150" s="52">
        <f t="shared" si="70"/>
        <v>0</v>
      </c>
      <c r="BY150" s="52">
        <f t="shared" si="71"/>
        <v>0</v>
      </c>
      <c r="BZ150" s="66">
        <f t="shared" si="72"/>
        <v>0</v>
      </c>
      <c r="CA150" s="54">
        <f t="shared" si="73"/>
        <v>0</v>
      </c>
      <c r="CB150" s="55">
        <f t="shared" si="74"/>
        <v>0</v>
      </c>
      <c r="CC150" s="56">
        <f t="shared" si="75"/>
        <v>0</v>
      </c>
      <c r="CD150" s="57">
        <f t="shared" si="79"/>
        <v>-1</v>
      </c>
      <c r="CE150" s="49"/>
      <c r="CF150" s="57" t="e">
        <f t="shared" si="63"/>
        <v>#N/A</v>
      </c>
      <c r="CG150" s="58">
        <f t="shared" si="76"/>
        <v>1</v>
      </c>
      <c r="CH150" s="57">
        <f t="shared" si="77"/>
        <v>0</v>
      </c>
      <c r="CI150" s="59" t="e">
        <f>VLOOKUP(A150,[1]DATA!$A$6:$AI$331,34,0)</f>
        <v>#N/A</v>
      </c>
      <c r="CJ150" s="60" t="e">
        <f>VLOOKUP(A150,[2]CHAMCONG!A$7:CI$333,79,0)</f>
        <v>#N/A</v>
      </c>
      <c r="CK150" s="61" t="e">
        <f t="shared" si="78"/>
        <v>#N/A</v>
      </c>
    </row>
    <row r="151" spans="1:89" s="62" customFormat="1" ht="15.75" customHeight="1" x14ac:dyDescent="0.25">
      <c r="A151" s="69"/>
      <c r="B151" s="64"/>
      <c r="C151" s="45"/>
      <c r="D151" s="46"/>
      <c r="E151" s="47"/>
      <c r="F151" s="48"/>
      <c r="G151" s="49"/>
      <c r="H151" s="51"/>
      <c r="I151" s="50"/>
      <c r="J151" s="51"/>
      <c r="K151" s="50"/>
      <c r="L151" s="51"/>
      <c r="M151" s="50"/>
      <c r="N151" s="51"/>
      <c r="O151" s="50"/>
      <c r="P151" s="51"/>
      <c r="Q151" s="50"/>
      <c r="R151" s="67"/>
      <c r="S151" s="51"/>
      <c r="T151" s="51"/>
      <c r="U151" s="51"/>
      <c r="V151" s="51"/>
      <c r="W151" s="51"/>
      <c r="X151" s="51"/>
      <c r="Y151" s="49"/>
      <c r="Z151" s="51"/>
      <c r="AA151" s="51"/>
      <c r="AB151" s="51"/>
      <c r="AC151" s="51"/>
      <c r="AD151" s="51"/>
      <c r="AE151" s="49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0"/>
      <c r="AR151" s="51"/>
      <c r="AS151" s="50"/>
      <c r="AT151" s="67"/>
      <c r="AU151" s="50"/>
      <c r="AV151" s="51"/>
      <c r="AW151" s="51"/>
      <c r="AX151" s="51"/>
      <c r="AY151" s="49"/>
      <c r="AZ151" s="51"/>
      <c r="BA151" s="49"/>
      <c r="BB151" s="51"/>
      <c r="BC151" s="49"/>
      <c r="BD151" s="51"/>
      <c r="BE151" s="49"/>
      <c r="BF151" s="51"/>
      <c r="BG151" s="49"/>
      <c r="BH151" s="51"/>
      <c r="BI151" s="51"/>
      <c r="BJ151" s="51"/>
      <c r="BK151" s="51"/>
      <c r="BL151" s="51"/>
      <c r="BM151" s="51"/>
      <c r="BN151" s="51"/>
      <c r="BO151" s="51"/>
      <c r="BP151" s="51"/>
      <c r="BQ151" s="52">
        <f t="shared" si="64"/>
        <v>0</v>
      </c>
      <c r="BR151" s="52">
        <f t="shared" si="65"/>
        <v>0</v>
      </c>
      <c r="BS151" s="52">
        <f t="shared" si="66"/>
        <v>0</v>
      </c>
      <c r="BT151" s="52">
        <f t="shared" si="67"/>
        <v>0</v>
      </c>
      <c r="BU151" s="52">
        <f t="shared" si="68"/>
        <v>0</v>
      </c>
      <c r="BV151" s="65"/>
      <c r="BW151" s="52">
        <f t="shared" si="69"/>
        <v>0</v>
      </c>
      <c r="BX151" s="52">
        <f t="shared" si="70"/>
        <v>0</v>
      </c>
      <c r="BY151" s="52">
        <f t="shared" si="71"/>
        <v>0</v>
      </c>
      <c r="BZ151" s="66">
        <f t="shared" si="72"/>
        <v>0</v>
      </c>
      <c r="CA151" s="54">
        <f t="shared" si="73"/>
        <v>0</v>
      </c>
      <c r="CB151" s="55">
        <f t="shared" si="74"/>
        <v>0</v>
      </c>
      <c r="CC151" s="56">
        <f t="shared" si="75"/>
        <v>0</v>
      </c>
      <c r="CD151" s="57">
        <f t="shared" si="79"/>
        <v>-1</v>
      </c>
      <c r="CE151" s="49">
        <v>2</v>
      </c>
      <c r="CF151" s="57" t="e">
        <f t="shared" si="63"/>
        <v>#N/A</v>
      </c>
      <c r="CG151" s="58">
        <f t="shared" si="76"/>
        <v>1</v>
      </c>
      <c r="CH151" s="57">
        <f t="shared" si="77"/>
        <v>32</v>
      </c>
      <c r="CI151" s="59" t="e">
        <f>VLOOKUP(A151,[1]DATA!$A$6:$AI$331,34,0)</f>
        <v>#N/A</v>
      </c>
      <c r="CJ151" s="60" t="e">
        <f>VLOOKUP(A151,[2]CHAMCONG!A$7:CI$333,79,0)</f>
        <v>#N/A</v>
      </c>
      <c r="CK151" s="61" t="e">
        <f t="shared" si="78"/>
        <v>#N/A</v>
      </c>
    </row>
    <row r="152" spans="1:89" s="62" customFormat="1" ht="15.75" customHeight="1" x14ac:dyDescent="0.25">
      <c r="A152" s="63"/>
      <c r="B152" s="64"/>
      <c r="C152" s="45"/>
      <c r="D152" s="46"/>
      <c r="E152" s="47"/>
      <c r="F152" s="48"/>
      <c r="G152" s="49"/>
      <c r="H152" s="51"/>
      <c r="I152" s="50"/>
      <c r="J152" s="51"/>
      <c r="K152" s="51"/>
      <c r="L152" s="51"/>
      <c r="M152" s="51"/>
      <c r="N152" s="51"/>
      <c r="O152" s="51"/>
      <c r="P152" s="51"/>
      <c r="Q152" s="50"/>
      <c r="R152" s="67"/>
      <c r="S152" s="51"/>
      <c r="T152" s="51"/>
      <c r="U152" s="51"/>
      <c r="V152" s="51"/>
      <c r="W152" s="49"/>
      <c r="X152" s="51"/>
      <c r="Y152" s="51"/>
      <c r="Z152" s="51"/>
      <c r="AA152" s="51"/>
      <c r="AB152" s="51"/>
      <c r="AC152" s="51"/>
      <c r="AD152" s="51"/>
      <c r="AE152" s="49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72"/>
      <c r="AR152" s="51"/>
      <c r="AS152" s="72"/>
      <c r="AT152" s="51"/>
      <c r="AU152" s="72"/>
      <c r="AV152" s="51"/>
      <c r="AW152" s="51"/>
      <c r="AX152" s="51"/>
      <c r="AY152" s="49"/>
      <c r="AZ152" s="51"/>
      <c r="BA152" s="49"/>
      <c r="BB152" s="51"/>
      <c r="BC152" s="49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2">
        <f t="shared" si="64"/>
        <v>0</v>
      </c>
      <c r="BR152" s="52">
        <f t="shared" si="65"/>
        <v>0</v>
      </c>
      <c r="BS152" s="52">
        <f t="shared" si="66"/>
        <v>0</v>
      </c>
      <c r="BT152" s="52">
        <f t="shared" si="67"/>
        <v>0</v>
      </c>
      <c r="BU152" s="52">
        <f t="shared" si="68"/>
        <v>0</v>
      </c>
      <c r="BV152" s="65"/>
      <c r="BW152" s="52">
        <f t="shared" si="69"/>
        <v>0</v>
      </c>
      <c r="BX152" s="52">
        <f t="shared" si="70"/>
        <v>0</v>
      </c>
      <c r="BY152" s="52">
        <f t="shared" si="71"/>
        <v>0</v>
      </c>
      <c r="BZ152" s="66">
        <f t="shared" si="72"/>
        <v>0</v>
      </c>
      <c r="CA152" s="54">
        <f t="shared" si="73"/>
        <v>0</v>
      </c>
      <c r="CB152" s="55">
        <f t="shared" si="74"/>
        <v>0</v>
      </c>
      <c r="CC152" s="56">
        <f t="shared" si="75"/>
        <v>0</v>
      </c>
      <c r="CD152" s="57">
        <f t="shared" si="79"/>
        <v>-1</v>
      </c>
      <c r="CE152" s="49"/>
      <c r="CF152" s="57" t="e">
        <f t="shared" si="63"/>
        <v>#N/A</v>
      </c>
      <c r="CG152" s="58">
        <f t="shared" si="76"/>
        <v>1</v>
      </c>
      <c r="CH152" s="57">
        <f t="shared" si="77"/>
        <v>0</v>
      </c>
      <c r="CI152" s="59" t="e">
        <f>VLOOKUP(A152,[1]DATA!$A$6:$AI$331,34,0)</f>
        <v>#N/A</v>
      </c>
      <c r="CJ152" s="60" t="e">
        <f>VLOOKUP(A152,[2]CHAMCONG!A$7:CI$333,79,0)</f>
        <v>#N/A</v>
      </c>
      <c r="CK152" s="61" t="e">
        <f t="shared" si="78"/>
        <v>#N/A</v>
      </c>
    </row>
    <row r="153" spans="1:89" s="62" customFormat="1" ht="15.75" customHeight="1" x14ac:dyDescent="0.25">
      <c r="A153" s="63"/>
      <c r="B153" s="64"/>
      <c r="C153" s="45"/>
      <c r="D153" s="46"/>
      <c r="E153" s="47"/>
      <c r="F153" s="48"/>
      <c r="G153" s="49"/>
      <c r="H153" s="51"/>
      <c r="I153" s="49"/>
      <c r="J153" s="51"/>
      <c r="K153" s="49"/>
      <c r="L153" s="51"/>
      <c r="M153" s="49"/>
      <c r="N153" s="51"/>
      <c r="O153" s="49"/>
      <c r="P153" s="51"/>
      <c r="Q153" s="49"/>
      <c r="R153" s="51"/>
      <c r="S153" s="49"/>
      <c r="T153" s="51"/>
      <c r="U153" s="49"/>
      <c r="V153" s="51"/>
      <c r="W153" s="49"/>
      <c r="X153" s="51"/>
      <c r="Y153" s="49"/>
      <c r="Z153" s="51"/>
      <c r="AA153" s="49"/>
      <c r="AB153" s="51"/>
      <c r="AC153" s="49"/>
      <c r="AD153" s="51"/>
      <c r="AE153" s="49"/>
      <c r="AF153" s="51"/>
      <c r="AG153" s="49"/>
      <c r="AH153" s="51"/>
      <c r="AI153" s="49"/>
      <c r="AJ153" s="51"/>
      <c r="AK153" s="49"/>
      <c r="AL153" s="51"/>
      <c r="AM153" s="49"/>
      <c r="AN153" s="51"/>
      <c r="AO153" s="49"/>
      <c r="AP153" s="51"/>
      <c r="AQ153" s="49"/>
      <c r="AR153" s="51"/>
      <c r="AS153" s="49"/>
      <c r="AT153" s="51"/>
      <c r="AU153" s="49"/>
      <c r="AV153" s="51"/>
      <c r="AW153" s="49"/>
      <c r="AX153" s="51"/>
      <c r="AY153" s="49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2">
        <f t="shared" si="64"/>
        <v>0</v>
      </c>
      <c r="BR153" s="52">
        <f t="shared" si="65"/>
        <v>0</v>
      </c>
      <c r="BS153" s="52">
        <f t="shared" si="66"/>
        <v>0</v>
      </c>
      <c r="BT153" s="52">
        <f t="shared" si="67"/>
        <v>0</v>
      </c>
      <c r="BU153" s="52">
        <f t="shared" si="68"/>
        <v>0</v>
      </c>
      <c r="BV153" s="65"/>
      <c r="BW153" s="52">
        <f t="shared" si="69"/>
        <v>0</v>
      </c>
      <c r="BX153" s="52">
        <f t="shared" si="70"/>
        <v>0</v>
      </c>
      <c r="BY153" s="52">
        <f t="shared" si="71"/>
        <v>0</v>
      </c>
      <c r="BZ153" s="66">
        <f t="shared" si="72"/>
        <v>0</v>
      </c>
      <c r="CA153" s="54">
        <f t="shared" si="73"/>
        <v>0</v>
      </c>
      <c r="CB153" s="55">
        <f t="shared" si="74"/>
        <v>0</v>
      </c>
      <c r="CC153" s="56">
        <f t="shared" si="75"/>
        <v>0</v>
      </c>
      <c r="CD153" s="57">
        <f t="shared" si="79"/>
        <v>-1</v>
      </c>
      <c r="CE153" s="49"/>
      <c r="CF153" s="57" t="e">
        <f t="shared" si="63"/>
        <v>#N/A</v>
      </c>
      <c r="CG153" s="58">
        <f t="shared" si="76"/>
        <v>1</v>
      </c>
      <c r="CH153" s="57">
        <f t="shared" si="77"/>
        <v>0</v>
      </c>
      <c r="CI153" s="59" t="e">
        <f>VLOOKUP(A153,[1]DATA!$A$6:$AI$331,34,0)</f>
        <v>#N/A</v>
      </c>
      <c r="CJ153" s="60" t="e">
        <f>VLOOKUP(A153,[2]CHAMCONG!A$7:CI$333,79,0)</f>
        <v>#N/A</v>
      </c>
      <c r="CK153" s="61" t="e">
        <f t="shared" si="78"/>
        <v>#N/A</v>
      </c>
    </row>
    <row r="154" spans="1:89" s="62" customFormat="1" ht="15.75" customHeight="1" x14ac:dyDescent="0.25">
      <c r="A154" s="69"/>
      <c r="B154" s="64"/>
      <c r="C154" s="45"/>
      <c r="D154" s="46"/>
      <c r="E154" s="47"/>
      <c r="F154" s="48"/>
      <c r="G154" s="49"/>
      <c r="H154" s="51"/>
      <c r="I154" s="50"/>
      <c r="J154" s="51"/>
      <c r="K154" s="51"/>
      <c r="L154" s="51"/>
      <c r="M154" s="51"/>
      <c r="N154" s="51"/>
      <c r="O154" s="50"/>
      <c r="P154" s="51"/>
      <c r="Q154" s="49"/>
      <c r="R154" s="51"/>
      <c r="S154" s="49"/>
      <c r="T154" s="51"/>
      <c r="U154" s="49"/>
      <c r="V154" s="51"/>
      <c r="W154" s="49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2">
        <f t="shared" si="64"/>
        <v>0</v>
      </c>
      <c r="BR154" s="52">
        <f t="shared" si="65"/>
        <v>0</v>
      </c>
      <c r="BS154" s="52">
        <f t="shared" si="66"/>
        <v>0</v>
      </c>
      <c r="BT154" s="52">
        <f t="shared" si="67"/>
        <v>0</v>
      </c>
      <c r="BU154" s="52">
        <f t="shared" si="68"/>
        <v>0</v>
      </c>
      <c r="BV154" s="65"/>
      <c r="BW154" s="52">
        <f t="shared" si="69"/>
        <v>0</v>
      </c>
      <c r="BX154" s="52">
        <f t="shared" si="70"/>
        <v>0</v>
      </c>
      <c r="BY154" s="52">
        <f t="shared" si="71"/>
        <v>0</v>
      </c>
      <c r="BZ154" s="66">
        <f t="shared" si="72"/>
        <v>0</v>
      </c>
      <c r="CA154" s="54">
        <f t="shared" si="73"/>
        <v>0</v>
      </c>
      <c r="CB154" s="55">
        <f t="shared" si="74"/>
        <v>0</v>
      </c>
      <c r="CC154" s="56">
        <f t="shared" si="75"/>
        <v>0</v>
      </c>
      <c r="CD154" s="57">
        <f t="shared" si="79"/>
        <v>-1</v>
      </c>
      <c r="CE154" s="49"/>
      <c r="CF154" s="57" t="e">
        <f t="shared" si="63"/>
        <v>#N/A</v>
      </c>
      <c r="CG154" s="58">
        <f t="shared" si="76"/>
        <v>1</v>
      </c>
      <c r="CH154" s="57">
        <f t="shared" si="77"/>
        <v>0</v>
      </c>
      <c r="CI154" s="59" t="e">
        <f>VLOOKUP(A154,[1]DATA!$A$6:$AI$331,34,0)</f>
        <v>#N/A</v>
      </c>
      <c r="CJ154" s="60" t="e">
        <f>VLOOKUP(A154,[2]CHAMCONG!A$7:CI$333,79,0)</f>
        <v>#N/A</v>
      </c>
      <c r="CK154" s="61" t="e">
        <f t="shared" si="78"/>
        <v>#N/A</v>
      </c>
    </row>
    <row r="155" spans="1:89" s="62" customFormat="1" ht="15.75" customHeight="1" x14ac:dyDescent="0.25">
      <c r="A155" s="63"/>
      <c r="B155" s="64"/>
      <c r="C155" s="45"/>
      <c r="D155" s="46"/>
      <c r="E155" s="47"/>
      <c r="F155" s="48"/>
      <c r="G155" s="49"/>
      <c r="H155" s="51"/>
      <c r="I155" s="50"/>
      <c r="J155" s="51"/>
      <c r="K155" s="50"/>
      <c r="L155" s="51"/>
      <c r="M155" s="50"/>
      <c r="N155" s="51"/>
      <c r="O155" s="50"/>
      <c r="P155" s="51"/>
      <c r="Q155" s="50"/>
      <c r="R155" s="51"/>
      <c r="S155" s="50"/>
      <c r="T155" s="51"/>
      <c r="U155" s="49"/>
      <c r="V155" s="51"/>
      <c r="W155" s="50"/>
      <c r="X155" s="51"/>
      <c r="Y155" s="50"/>
      <c r="Z155" s="51"/>
      <c r="AA155" s="50"/>
      <c r="AB155" s="51"/>
      <c r="AC155" s="50"/>
      <c r="AD155" s="51"/>
      <c r="AE155" s="50"/>
      <c r="AF155" s="67"/>
      <c r="AG155" s="50"/>
      <c r="AH155" s="51"/>
      <c r="AI155" s="51"/>
      <c r="AJ155" s="51"/>
      <c r="AK155" s="50"/>
      <c r="AL155" s="51"/>
      <c r="AM155" s="50"/>
      <c r="AN155" s="51"/>
      <c r="AO155" s="50"/>
      <c r="AP155" s="51"/>
      <c r="AQ155" s="50"/>
      <c r="AR155" s="51"/>
      <c r="AS155" s="50"/>
      <c r="AT155" s="67"/>
      <c r="AU155" s="50"/>
      <c r="AV155" s="51"/>
      <c r="AW155" s="51"/>
      <c r="AX155" s="51"/>
      <c r="AY155" s="49"/>
      <c r="AZ155" s="51"/>
      <c r="BA155" s="49"/>
      <c r="BB155" s="51"/>
      <c r="BC155" s="51"/>
      <c r="BD155" s="51"/>
      <c r="BE155" s="50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2">
        <f t="shared" si="64"/>
        <v>0</v>
      </c>
      <c r="BR155" s="52">
        <f t="shared" si="65"/>
        <v>0</v>
      </c>
      <c r="BS155" s="52">
        <f t="shared" si="66"/>
        <v>0</v>
      </c>
      <c r="BT155" s="52">
        <f t="shared" si="67"/>
        <v>0</v>
      </c>
      <c r="BU155" s="52">
        <f t="shared" si="68"/>
        <v>0</v>
      </c>
      <c r="BV155" s="65"/>
      <c r="BW155" s="52">
        <f t="shared" si="69"/>
        <v>0</v>
      </c>
      <c r="BX155" s="52">
        <f t="shared" si="70"/>
        <v>0</v>
      </c>
      <c r="BY155" s="52">
        <f t="shared" si="71"/>
        <v>0</v>
      </c>
      <c r="BZ155" s="66">
        <f t="shared" si="72"/>
        <v>0</v>
      </c>
      <c r="CA155" s="54">
        <f t="shared" si="73"/>
        <v>0</v>
      </c>
      <c r="CB155" s="55">
        <f t="shared" si="74"/>
        <v>0</v>
      </c>
      <c r="CC155" s="56">
        <f t="shared" si="75"/>
        <v>0</v>
      </c>
      <c r="CD155" s="57">
        <f t="shared" si="79"/>
        <v>-1</v>
      </c>
      <c r="CE155" s="49">
        <v>4</v>
      </c>
      <c r="CF155" s="57" t="e">
        <f t="shared" si="63"/>
        <v>#N/A</v>
      </c>
      <c r="CG155" s="58">
        <f t="shared" si="76"/>
        <v>1</v>
      </c>
      <c r="CH155" s="57">
        <f t="shared" si="77"/>
        <v>64</v>
      </c>
      <c r="CI155" s="59" t="e">
        <f>VLOOKUP(A155,[1]DATA!$A$6:$AI$331,34,0)</f>
        <v>#N/A</v>
      </c>
      <c r="CJ155" s="60" t="e">
        <f>VLOOKUP(A155,[2]CHAMCONG!A$7:CI$333,79,0)</f>
        <v>#N/A</v>
      </c>
      <c r="CK155" s="61" t="e">
        <f t="shared" si="78"/>
        <v>#N/A</v>
      </c>
    </row>
    <row r="156" spans="1:89" s="62" customFormat="1" ht="15.75" customHeight="1" x14ac:dyDescent="0.25">
      <c r="A156" s="63"/>
      <c r="B156" s="64"/>
      <c r="C156" s="45"/>
      <c r="D156" s="46"/>
      <c r="E156" s="47"/>
      <c r="F156" s="48"/>
      <c r="G156" s="49"/>
      <c r="H156" s="51"/>
      <c r="I156" s="49"/>
      <c r="J156" s="51"/>
      <c r="K156" s="49"/>
      <c r="L156" s="51"/>
      <c r="M156" s="50"/>
      <c r="N156" s="51"/>
      <c r="O156" s="50"/>
      <c r="P156" s="51"/>
      <c r="Q156" s="49"/>
      <c r="R156" s="51"/>
      <c r="S156" s="50"/>
      <c r="T156" s="51"/>
      <c r="U156" s="50"/>
      <c r="V156" s="51"/>
      <c r="W156" s="50"/>
      <c r="X156" s="51"/>
      <c r="Y156" s="50"/>
      <c r="Z156" s="51"/>
      <c r="AA156" s="50"/>
      <c r="AB156" s="51"/>
      <c r="AC156" s="50"/>
      <c r="AD156" s="51"/>
      <c r="AE156" s="49"/>
      <c r="AF156" s="51"/>
      <c r="AG156" s="50"/>
      <c r="AH156" s="51"/>
      <c r="AI156" s="50"/>
      <c r="AJ156" s="51"/>
      <c r="AK156" s="50"/>
      <c r="AL156" s="51"/>
      <c r="AM156" s="50"/>
      <c r="AN156" s="51"/>
      <c r="AO156" s="50"/>
      <c r="AP156" s="51"/>
      <c r="AQ156" s="49"/>
      <c r="AR156" s="51"/>
      <c r="AS156" s="49"/>
      <c r="AT156" s="51"/>
      <c r="AU156" s="49"/>
      <c r="AV156" s="51"/>
      <c r="AW156" s="51"/>
      <c r="AX156" s="51"/>
      <c r="AY156" s="49"/>
      <c r="AZ156" s="51"/>
      <c r="BA156" s="49"/>
      <c r="BB156" s="51"/>
      <c r="BC156" s="51"/>
      <c r="BD156" s="51"/>
      <c r="BE156" s="49"/>
      <c r="BF156" s="51"/>
      <c r="BG156" s="49"/>
      <c r="BH156" s="51"/>
      <c r="BI156" s="51"/>
      <c r="BJ156" s="51"/>
      <c r="BK156" s="51"/>
      <c r="BL156" s="51"/>
      <c r="BM156" s="51"/>
      <c r="BN156" s="51"/>
      <c r="BO156" s="51"/>
      <c r="BP156" s="51"/>
      <c r="BQ156" s="52">
        <f t="shared" si="64"/>
        <v>0</v>
      </c>
      <c r="BR156" s="52">
        <f t="shared" si="65"/>
        <v>0</v>
      </c>
      <c r="BS156" s="52">
        <f t="shared" si="66"/>
        <v>0</v>
      </c>
      <c r="BT156" s="52">
        <f t="shared" si="67"/>
        <v>0</v>
      </c>
      <c r="BU156" s="52">
        <f t="shared" si="68"/>
        <v>0</v>
      </c>
      <c r="BV156" s="65"/>
      <c r="BW156" s="52">
        <f t="shared" si="69"/>
        <v>0</v>
      </c>
      <c r="BX156" s="52">
        <f t="shared" si="70"/>
        <v>0</v>
      </c>
      <c r="BY156" s="52">
        <f t="shared" si="71"/>
        <v>0</v>
      </c>
      <c r="BZ156" s="66">
        <f t="shared" si="72"/>
        <v>0</v>
      </c>
      <c r="CA156" s="54">
        <f t="shared" si="73"/>
        <v>0</v>
      </c>
      <c r="CB156" s="55">
        <f t="shared" si="74"/>
        <v>0</v>
      </c>
      <c r="CC156" s="56">
        <f>SUM(BJ156,BN156)</f>
        <v>0</v>
      </c>
      <c r="CD156" s="57">
        <f t="shared" si="79"/>
        <v>-1</v>
      </c>
      <c r="CE156" s="49">
        <v>2</v>
      </c>
      <c r="CF156" s="57" t="e">
        <f t="shared" si="63"/>
        <v>#N/A</v>
      </c>
      <c r="CG156" s="58">
        <f t="shared" si="76"/>
        <v>1</v>
      </c>
      <c r="CH156" s="57">
        <f t="shared" si="77"/>
        <v>32</v>
      </c>
      <c r="CI156" s="59" t="e">
        <f>VLOOKUP(A156,[1]DATA!$A$6:$AI$331,34,0)</f>
        <v>#N/A</v>
      </c>
      <c r="CJ156" s="60" t="e">
        <f>VLOOKUP(A156,[2]CHAMCONG!A$7:CI$333,79,0)</f>
        <v>#N/A</v>
      </c>
      <c r="CK156" s="61" t="e">
        <f t="shared" si="78"/>
        <v>#N/A</v>
      </c>
    </row>
    <row r="157" spans="1:89" s="62" customFormat="1" ht="15.75" customHeight="1" x14ac:dyDescent="0.25">
      <c r="A157" s="63"/>
      <c r="B157" s="64"/>
      <c r="C157" s="45"/>
      <c r="D157" s="46"/>
      <c r="E157" s="47"/>
      <c r="F157" s="48"/>
      <c r="G157" s="49"/>
      <c r="H157" s="51"/>
      <c r="I157" s="49"/>
      <c r="J157" s="51"/>
      <c r="K157" s="49"/>
      <c r="L157" s="51"/>
      <c r="M157" s="49"/>
      <c r="N157" s="51"/>
      <c r="O157" s="49"/>
      <c r="P157" s="51"/>
      <c r="Q157" s="49"/>
      <c r="R157" s="51"/>
      <c r="S157" s="50"/>
      <c r="T157" s="51"/>
      <c r="U157" s="50"/>
      <c r="V157" s="51"/>
      <c r="W157" s="50"/>
      <c r="X157" s="51"/>
      <c r="Y157" s="50"/>
      <c r="Z157" s="51"/>
      <c r="AA157" s="50"/>
      <c r="AB157" s="51"/>
      <c r="AC157" s="50"/>
      <c r="AD157" s="51"/>
      <c r="AE157" s="50"/>
      <c r="AF157" s="67"/>
      <c r="AG157" s="49"/>
      <c r="AH157" s="51"/>
      <c r="AI157" s="49"/>
      <c r="AJ157" s="51"/>
      <c r="AK157" s="49"/>
      <c r="AL157" s="51"/>
      <c r="AM157" s="50"/>
      <c r="AN157" s="51"/>
      <c r="AO157" s="49"/>
      <c r="AP157" s="51"/>
      <c r="AQ157" s="50"/>
      <c r="AR157" s="51"/>
      <c r="AS157" s="50"/>
      <c r="AT157" s="67"/>
      <c r="AU157" s="51"/>
      <c r="AV157" s="51"/>
      <c r="AW157" s="51"/>
      <c r="AX157" s="51"/>
      <c r="AY157" s="49"/>
      <c r="AZ157" s="51"/>
      <c r="BA157" s="49"/>
      <c r="BB157" s="51"/>
      <c r="BC157" s="49"/>
      <c r="BD157" s="51"/>
      <c r="BE157" s="49"/>
      <c r="BF157" s="51"/>
      <c r="BG157" s="49"/>
      <c r="BH157" s="51"/>
      <c r="BI157" s="51"/>
      <c r="BJ157" s="51"/>
      <c r="BK157" s="51"/>
      <c r="BL157" s="51"/>
      <c r="BM157" s="51"/>
      <c r="BN157" s="51"/>
      <c r="BO157" s="51"/>
      <c r="BP157" s="51"/>
      <c r="BQ157" s="52">
        <f t="shared" si="64"/>
        <v>0</v>
      </c>
      <c r="BR157" s="52">
        <f t="shared" si="65"/>
        <v>0</v>
      </c>
      <c r="BS157" s="52">
        <f t="shared" si="66"/>
        <v>0</v>
      </c>
      <c r="BT157" s="52">
        <f t="shared" si="67"/>
        <v>0</v>
      </c>
      <c r="BU157" s="52">
        <f t="shared" si="68"/>
        <v>0</v>
      </c>
      <c r="BV157" s="65"/>
      <c r="BW157" s="52">
        <f t="shared" si="69"/>
        <v>0</v>
      </c>
      <c r="BX157" s="52">
        <f t="shared" si="70"/>
        <v>0</v>
      </c>
      <c r="BY157" s="52">
        <f t="shared" si="71"/>
        <v>0</v>
      </c>
      <c r="BZ157" s="66">
        <f t="shared" si="72"/>
        <v>0</v>
      </c>
      <c r="CA157" s="54">
        <f t="shared" si="73"/>
        <v>0</v>
      </c>
      <c r="CB157" s="55">
        <f t="shared" si="74"/>
        <v>0</v>
      </c>
      <c r="CC157" s="56">
        <f t="shared" si="75"/>
        <v>0</v>
      </c>
      <c r="CD157" s="57">
        <f t="shared" si="79"/>
        <v>-1</v>
      </c>
      <c r="CE157" s="49">
        <v>2</v>
      </c>
      <c r="CF157" s="57" t="e">
        <f t="shared" si="63"/>
        <v>#N/A</v>
      </c>
      <c r="CG157" s="58">
        <f t="shared" si="76"/>
        <v>1</v>
      </c>
      <c r="CH157" s="57">
        <f t="shared" si="77"/>
        <v>32</v>
      </c>
      <c r="CI157" s="59" t="e">
        <f>VLOOKUP(A157,[1]DATA!$A$6:$AI$331,34,0)</f>
        <v>#N/A</v>
      </c>
      <c r="CJ157" s="60" t="e">
        <f>VLOOKUP(A157,[2]CHAMCONG!A$7:CI$333,79,0)</f>
        <v>#N/A</v>
      </c>
      <c r="CK157" s="61" t="e">
        <f t="shared" si="78"/>
        <v>#N/A</v>
      </c>
    </row>
    <row r="158" spans="1:89" s="62" customFormat="1" ht="15.75" customHeight="1" x14ac:dyDescent="0.25">
      <c r="A158" s="63"/>
      <c r="B158" s="64"/>
      <c r="C158" s="45"/>
      <c r="D158" s="46"/>
      <c r="E158" s="47"/>
      <c r="F158" s="48"/>
      <c r="G158" s="49"/>
      <c r="H158" s="51"/>
      <c r="I158" s="49"/>
      <c r="J158" s="51"/>
      <c r="K158" s="49"/>
      <c r="L158" s="51"/>
      <c r="M158" s="51"/>
      <c r="N158" s="51"/>
      <c r="O158" s="50"/>
      <c r="P158" s="51"/>
      <c r="Q158" s="51"/>
      <c r="R158" s="51"/>
      <c r="S158" s="51"/>
      <c r="T158" s="51"/>
      <c r="U158" s="49"/>
      <c r="V158" s="51"/>
      <c r="W158" s="49"/>
      <c r="X158" s="51"/>
      <c r="Y158" s="49"/>
      <c r="Z158" s="51"/>
      <c r="AA158" s="51"/>
      <c r="AB158" s="51"/>
      <c r="AC158" s="50"/>
      <c r="AD158" s="51"/>
      <c r="AE158" s="51"/>
      <c r="AF158" s="51"/>
      <c r="AG158" s="51"/>
      <c r="AH158" s="51"/>
      <c r="AI158" s="51"/>
      <c r="AJ158" s="51"/>
      <c r="AK158" s="49"/>
      <c r="AL158" s="51"/>
      <c r="AM158" s="49"/>
      <c r="AN158" s="51"/>
      <c r="AO158" s="51"/>
      <c r="AP158" s="51"/>
      <c r="AQ158" s="50"/>
      <c r="AR158" s="51"/>
      <c r="AS158" s="51"/>
      <c r="AT158" s="51"/>
      <c r="AU158" s="51"/>
      <c r="AV158" s="51"/>
      <c r="AW158" s="51"/>
      <c r="AX158" s="51"/>
      <c r="AY158" s="49"/>
      <c r="AZ158" s="51"/>
      <c r="BA158" s="49"/>
      <c r="BB158" s="51"/>
      <c r="BC158" s="51"/>
      <c r="BD158" s="51"/>
      <c r="BE158" s="50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2">
        <f t="shared" si="64"/>
        <v>0</v>
      </c>
      <c r="BR158" s="52">
        <f t="shared" si="65"/>
        <v>0</v>
      </c>
      <c r="BS158" s="52">
        <f t="shared" si="66"/>
        <v>0</v>
      </c>
      <c r="BT158" s="52">
        <f t="shared" si="67"/>
        <v>0</v>
      </c>
      <c r="BU158" s="52">
        <f t="shared" si="68"/>
        <v>0</v>
      </c>
      <c r="BV158" s="65"/>
      <c r="BW158" s="52">
        <f t="shared" si="69"/>
        <v>0</v>
      </c>
      <c r="BX158" s="52">
        <f t="shared" si="70"/>
        <v>0</v>
      </c>
      <c r="BY158" s="52">
        <f t="shared" si="71"/>
        <v>0</v>
      </c>
      <c r="BZ158" s="66">
        <f t="shared" si="72"/>
        <v>0</v>
      </c>
      <c r="CA158" s="54">
        <f t="shared" si="73"/>
        <v>0</v>
      </c>
      <c r="CB158" s="55">
        <f t="shared" si="74"/>
        <v>0</v>
      </c>
      <c r="CC158" s="56">
        <f t="shared" si="75"/>
        <v>0</v>
      </c>
      <c r="CD158" s="57">
        <f t="shared" si="79"/>
        <v>-1</v>
      </c>
      <c r="CE158" s="49">
        <v>1</v>
      </c>
      <c r="CF158" s="57" t="e">
        <f t="shared" si="63"/>
        <v>#N/A</v>
      </c>
      <c r="CG158" s="58">
        <f t="shared" si="76"/>
        <v>1</v>
      </c>
      <c r="CH158" s="57">
        <f t="shared" si="77"/>
        <v>16</v>
      </c>
      <c r="CI158" s="59" t="e">
        <f>VLOOKUP(A158,[1]DATA!$A$6:$AI$331,34,0)</f>
        <v>#N/A</v>
      </c>
      <c r="CJ158" s="60" t="e">
        <f>VLOOKUP(A158,[2]CHAMCONG!A$7:CI$333,79,0)</f>
        <v>#N/A</v>
      </c>
      <c r="CK158" s="61" t="e">
        <f t="shared" si="78"/>
        <v>#N/A</v>
      </c>
    </row>
    <row r="159" spans="1:89" s="62" customFormat="1" ht="15.75" customHeight="1" x14ac:dyDescent="0.25">
      <c r="A159" s="63"/>
      <c r="B159" s="64"/>
      <c r="C159" s="45"/>
      <c r="D159" s="46"/>
      <c r="E159" s="47"/>
      <c r="F159" s="48"/>
      <c r="G159" s="49"/>
      <c r="H159" s="51"/>
      <c r="I159" s="50"/>
      <c r="J159" s="51"/>
      <c r="K159" s="51"/>
      <c r="L159" s="51"/>
      <c r="M159" s="51"/>
      <c r="N159" s="51"/>
      <c r="O159" s="51"/>
      <c r="P159" s="51"/>
      <c r="Q159" s="67"/>
      <c r="R159" s="67"/>
      <c r="S159" s="67"/>
      <c r="T159" s="51"/>
      <c r="U159" s="67"/>
      <c r="V159" s="51"/>
      <c r="W159" s="67"/>
      <c r="X159" s="51"/>
      <c r="Y159" s="67"/>
      <c r="Z159" s="51"/>
      <c r="AA159" s="67"/>
      <c r="AB159" s="51"/>
      <c r="AC159" s="67"/>
      <c r="AD159" s="51"/>
      <c r="AE159" s="67"/>
      <c r="AF159" s="51"/>
      <c r="AG159" s="67"/>
      <c r="AH159" s="51"/>
      <c r="AI159" s="67"/>
      <c r="AJ159" s="51"/>
      <c r="AK159" s="67"/>
      <c r="AL159" s="51"/>
      <c r="AM159" s="67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2">
        <f t="shared" si="64"/>
        <v>0</v>
      </c>
      <c r="BR159" s="52">
        <f t="shared" si="65"/>
        <v>0</v>
      </c>
      <c r="BS159" s="52">
        <f t="shared" si="66"/>
        <v>0</v>
      </c>
      <c r="BT159" s="52">
        <f t="shared" si="67"/>
        <v>0</v>
      </c>
      <c r="BU159" s="52">
        <f t="shared" si="68"/>
        <v>0</v>
      </c>
      <c r="BV159" s="65"/>
      <c r="BW159" s="52">
        <f t="shared" si="69"/>
        <v>0</v>
      </c>
      <c r="BX159" s="52">
        <f t="shared" si="70"/>
        <v>0</v>
      </c>
      <c r="BY159" s="52">
        <f t="shared" si="71"/>
        <v>0</v>
      </c>
      <c r="BZ159" s="66">
        <f t="shared" si="72"/>
        <v>0</v>
      </c>
      <c r="CA159" s="54">
        <f t="shared" si="73"/>
        <v>0</v>
      </c>
      <c r="CB159" s="55">
        <f t="shared" si="74"/>
        <v>0</v>
      </c>
      <c r="CC159" s="56">
        <f t="shared" si="75"/>
        <v>0</v>
      </c>
      <c r="CD159" s="57">
        <f t="shared" si="79"/>
        <v>-1</v>
      </c>
      <c r="CE159" s="49">
        <v>1</v>
      </c>
      <c r="CF159" s="57" t="e">
        <f t="shared" si="63"/>
        <v>#N/A</v>
      </c>
      <c r="CG159" s="58">
        <f t="shared" si="76"/>
        <v>1</v>
      </c>
      <c r="CH159" s="57">
        <f t="shared" si="77"/>
        <v>16</v>
      </c>
      <c r="CI159" s="59" t="e">
        <f>VLOOKUP(A159,[1]DATA!$A$6:$AI$331,34,0)</f>
        <v>#N/A</v>
      </c>
      <c r="CJ159" s="60" t="e">
        <f>VLOOKUP(A159,[2]CHAMCONG!A$7:CI$333,79,0)</f>
        <v>#N/A</v>
      </c>
      <c r="CK159" s="61" t="e">
        <f t="shared" si="78"/>
        <v>#N/A</v>
      </c>
    </row>
    <row r="160" spans="1:89" s="62" customFormat="1" ht="15.75" customHeight="1" x14ac:dyDescent="0.25">
      <c r="A160" s="63"/>
      <c r="B160" s="64"/>
      <c r="C160" s="45"/>
      <c r="D160" s="46"/>
      <c r="E160" s="47"/>
      <c r="F160" s="48"/>
      <c r="G160" s="49"/>
      <c r="H160" s="51"/>
      <c r="I160" s="50"/>
      <c r="J160" s="51"/>
      <c r="K160" s="51"/>
      <c r="L160" s="51"/>
      <c r="M160" s="50"/>
      <c r="N160" s="51"/>
      <c r="O160" s="50"/>
      <c r="P160" s="51"/>
      <c r="Q160" s="50"/>
      <c r="R160" s="67"/>
      <c r="S160" s="50"/>
      <c r="T160" s="51"/>
      <c r="U160" s="49"/>
      <c r="V160" s="51"/>
      <c r="W160" s="50"/>
      <c r="X160" s="51"/>
      <c r="Y160" s="50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49"/>
      <c r="AT160" s="51"/>
      <c r="AU160" s="51"/>
      <c r="AV160" s="51"/>
      <c r="AW160" s="49"/>
      <c r="AX160" s="51"/>
      <c r="AY160" s="49"/>
      <c r="AZ160" s="51"/>
      <c r="BA160" s="49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2">
        <f t="shared" si="64"/>
        <v>0</v>
      </c>
      <c r="BR160" s="52">
        <f t="shared" si="65"/>
        <v>0</v>
      </c>
      <c r="BS160" s="52">
        <f t="shared" si="66"/>
        <v>0</v>
      </c>
      <c r="BT160" s="52">
        <f t="shared" si="67"/>
        <v>0</v>
      </c>
      <c r="BU160" s="52">
        <f t="shared" si="68"/>
        <v>0</v>
      </c>
      <c r="BV160" s="65"/>
      <c r="BW160" s="52">
        <f t="shared" si="69"/>
        <v>0</v>
      </c>
      <c r="BX160" s="52">
        <f t="shared" si="70"/>
        <v>0</v>
      </c>
      <c r="BY160" s="52">
        <f t="shared" si="71"/>
        <v>0</v>
      </c>
      <c r="BZ160" s="66">
        <f t="shared" si="72"/>
        <v>0</v>
      </c>
      <c r="CA160" s="54">
        <f t="shared" si="73"/>
        <v>0</v>
      </c>
      <c r="CB160" s="55">
        <f t="shared" si="74"/>
        <v>0</v>
      </c>
      <c r="CC160" s="56">
        <f t="shared" si="75"/>
        <v>0</v>
      </c>
      <c r="CD160" s="57"/>
      <c r="CE160" s="49">
        <v>2</v>
      </c>
      <c r="CF160" s="57" t="e">
        <f t="shared" si="63"/>
        <v>#N/A</v>
      </c>
      <c r="CG160" s="58">
        <f t="shared" si="76"/>
        <v>1</v>
      </c>
      <c r="CH160" s="57">
        <f t="shared" si="77"/>
        <v>32</v>
      </c>
      <c r="CI160" s="59" t="e">
        <f>VLOOKUP(A160,[1]DATA!$A$6:$AI$331,34,0)</f>
        <v>#N/A</v>
      </c>
      <c r="CJ160" s="60" t="e">
        <f>VLOOKUP(A160,[2]CHAMCONG!A$7:CI$333,79,0)</f>
        <v>#N/A</v>
      </c>
      <c r="CK160" s="61" t="e">
        <f t="shared" si="78"/>
        <v>#N/A</v>
      </c>
    </row>
    <row r="161" spans="1:91" s="62" customFormat="1" ht="15.75" customHeight="1" x14ac:dyDescent="0.25">
      <c r="A161" s="63"/>
      <c r="B161" s="64"/>
      <c r="C161" s="45"/>
      <c r="D161" s="46"/>
      <c r="E161" s="47"/>
      <c r="F161" s="48"/>
      <c r="G161" s="49"/>
      <c r="H161" s="51"/>
      <c r="I161" s="50"/>
      <c r="J161" s="51"/>
      <c r="K161" s="50"/>
      <c r="L161" s="51"/>
      <c r="M161" s="50"/>
      <c r="N161" s="51"/>
      <c r="O161" s="50"/>
      <c r="P161" s="51"/>
      <c r="Q161" s="49"/>
      <c r="R161" s="51"/>
      <c r="S161" s="50"/>
      <c r="T161" s="51"/>
      <c r="U161" s="50"/>
      <c r="V161" s="51"/>
      <c r="W161" s="50"/>
      <c r="X161" s="51"/>
      <c r="Y161" s="50"/>
      <c r="Z161" s="51"/>
      <c r="AA161" s="50"/>
      <c r="AB161" s="51"/>
      <c r="AC161" s="50"/>
      <c r="AD161" s="51"/>
      <c r="AE161" s="51"/>
      <c r="AF161" s="51"/>
      <c r="AG161" s="50"/>
      <c r="AH161" s="51"/>
      <c r="AI161" s="50"/>
      <c r="AJ161" s="51"/>
      <c r="AK161" s="50"/>
      <c r="AL161" s="51"/>
      <c r="AM161" s="50"/>
      <c r="AN161" s="51"/>
      <c r="AO161" s="50"/>
      <c r="AP161" s="51"/>
      <c r="AQ161" s="51"/>
      <c r="AR161" s="51"/>
      <c r="AS161" s="51"/>
      <c r="AT161" s="51"/>
      <c r="AU161" s="51"/>
      <c r="AV161" s="51"/>
      <c r="AW161" s="51"/>
      <c r="AX161" s="51"/>
      <c r="AY161" s="50"/>
      <c r="AZ161" s="51"/>
      <c r="BA161" s="50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2">
        <f t="shared" si="64"/>
        <v>0</v>
      </c>
      <c r="BR161" s="52">
        <f t="shared" si="65"/>
        <v>0</v>
      </c>
      <c r="BS161" s="52">
        <f t="shared" si="66"/>
        <v>0</v>
      </c>
      <c r="BT161" s="52">
        <f t="shared" si="67"/>
        <v>0</v>
      </c>
      <c r="BU161" s="52">
        <f t="shared" si="68"/>
        <v>0</v>
      </c>
      <c r="BV161" s="65"/>
      <c r="BW161" s="52">
        <f t="shared" si="69"/>
        <v>0</v>
      </c>
      <c r="BX161" s="52">
        <f t="shared" si="70"/>
        <v>0</v>
      </c>
      <c r="BY161" s="52">
        <f t="shared" si="71"/>
        <v>0</v>
      </c>
      <c r="BZ161" s="66">
        <f t="shared" si="72"/>
        <v>0</v>
      </c>
      <c r="CA161" s="54">
        <f t="shared" si="73"/>
        <v>0</v>
      </c>
      <c r="CB161" s="55">
        <f t="shared" si="74"/>
        <v>0</v>
      </c>
      <c r="CC161" s="56">
        <f t="shared" si="75"/>
        <v>0</v>
      </c>
      <c r="CD161" s="57">
        <f t="shared" si="79"/>
        <v>-1</v>
      </c>
      <c r="CE161" s="49"/>
      <c r="CF161" s="57" t="e">
        <f t="shared" ref="CF161:CF224" si="80">CD161*CI161</f>
        <v>#N/A</v>
      </c>
      <c r="CG161" s="58">
        <f t="shared" si="76"/>
        <v>1</v>
      </c>
      <c r="CH161" s="57">
        <f t="shared" si="77"/>
        <v>0</v>
      </c>
      <c r="CI161" s="59" t="e">
        <f>VLOOKUP(A161,[1]DATA!$A$6:$AI$331,34,0)</f>
        <v>#N/A</v>
      </c>
      <c r="CJ161" s="60" t="e">
        <f>VLOOKUP(A161,[2]CHAMCONG!A$7:CI$333,79,0)</f>
        <v>#N/A</v>
      </c>
      <c r="CK161" s="61" t="e">
        <f t="shared" si="78"/>
        <v>#N/A</v>
      </c>
    </row>
    <row r="162" spans="1:91" s="62" customFormat="1" ht="15.75" customHeight="1" x14ac:dyDescent="0.25">
      <c r="A162" s="63"/>
      <c r="B162" s="64"/>
      <c r="C162" s="45"/>
      <c r="D162" s="46"/>
      <c r="E162" s="47"/>
      <c r="F162" s="48"/>
      <c r="G162" s="49"/>
      <c r="H162" s="51"/>
      <c r="I162" s="49"/>
      <c r="J162" s="51"/>
      <c r="K162" s="49"/>
      <c r="L162" s="51"/>
      <c r="M162" s="49"/>
      <c r="N162" s="51"/>
      <c r="O162" s="50"/>
      <c r="P162" s="51"/>
      <c r="Q162" s="50"/>
      <c r="R162" s="67"/>
      <c r="S162" s="50"/>
      <c r="T162" s="51"/>
      <c r="U162" s="49"/>
      <c r="V162" s="51"/>
      <c r="W162" s="49"/>
      <c r="X162" s="51"/>
      <c r="Y162" s="49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49"/>
      <c r="AL162" s="51"/>
      <c r="AM162" s="49"/>
      <c r="AN162" s="51"/>
      <c r="AO162" s="51"/>
      <c r="AP162" s="51"/>
      <c r="AQ162" s="50"/>
      <c r="AR162" s="51"/>
      <c r="AS162" s="50"/>
      <c r="AT162" s="67"/>
      <c r="AU162" s="50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2">
        <f t="shared" si="64"/>
        <v>0</v>
      </c>
      <c r="BR162" s="52">
        <f t="shared" si="65"/>
        <v>0</v>
      </c>
      <c r="BS162" s="52">
        <f t="shared" si="66"/>
        <v>0</v>
      </c>
      <c r="BT162" s="52">
        <f t="shared" si="67"/>
        <v>0</v>
      </c>
      <c r="BU162" s="52">
        <f t="shared" si="68"/>
        <v>0</v>
      </c>
      <c r="BV162" s="65"/>
      <c r="BW162" s="52">
        <f t="shared" si="69"/>
        <v>0</v>
      </c>
      <c r="BX162" s="52">
        <f t="shared" si="70"/>
        <v>0</v>
      </c>
      <c r="BY162" s="52">
        <f t="shared" si="71"/>
        <v>0</v>
      </c>
      <c r="BZ162" s="66">
        <f t="shared" si="72"/>
        <v>0</v>
      </c>
      <c r="CA162" s="54">
        <f t="shared" si="73"/>
        <v>0</v>
      </c>
      <c r="CB162" s="55">
        <f t="shared" si="74"/>
        <v>0</v>
      </c>
      <c r="CC162" s="56">
        <f t="shared" si="75"/>
        <v>0</v>
      </c>
      <c r="CD162" s="57">
        <f t="shared" si="79"/>
        <v>-1</v>
      </c>
      <c r="CE162" s="49">
        <v>3</v>
      </c>
      <c r="CF162" s="57" t="e">
        <f t="shared" si="80"/>
        <v>#N/A</v>
      </c>
      <c r="CG162" s="58">
        <f t="shared" si="76"/>
        <v>1</v>
      </c>
      <c r="CH162" s="57">
        <f t="shared" si="77"/>
        <v>48</v>
      </c>
      <c r="CI162" s="59" t="e">
        <f>VLOOKUP(A162,[1]DATA!$A$6:$AI$331,34,0)</f>
        <v>#N/A</v>
      </c>
      <c r="CJ162" s="60" t="e">
        <f>VLOOKUP(A162,[2]CHAMCONG!A$7:CI$333,79,0)</f>
        <v>#N/A</v>
      </c>
      <c r="CK162" s="61" t="e">
        <f t="shared" si="78"/>
        <v>#N/A</v>
      </c>
    </row>
    <row r="163" spans="1:91" s="62" customFormat="1" ht="15.75" customHeight="1" x14ac:dyDescent="0.25">
      <c r="A163" s="63"/>
      <c r="B163" s="64"/>
      <c r="C163" s="45"/>
      <c r="D163" s="46"/>
      <c r="E163" s="47"/>
      <c r="F163" s="48"/>
      <c r="G163" s="49"/>
      <c r="H163" s="51"/>
      <c r="I163" s="49"/>
      <c r="J163" s="51"/>
      <c r="K163" s="49"/>
      <c r="L163" s="51"/>
      <c r="M163" s="51"/>
      <c r="N163" s="51"/>
      <c r="O163" s="50"/>
      <c r="P163" s="51"/>
      <c r="Q163" s="49"/>
      <c r="R163" s="51"/>
      <c r="S163" s="49"/>
      <c r="T163" s="51"/>
      <c r="U163" s="49"/>
      <c r="V163" s="51"/>
      <c r="W163" s="49"/>
      <c r="X163" s="51"/>
      <c r="Y163" s="51"/>
      <c r="Z163" s="51"/>
      <c r="AA163" s="51"/>
      <c r="AB163" s="51"/>
      <c r="AC163" s="51"/>
      <c r="AD163" s="51"/>
      <c r="AE163" s="51"/>
      <c r="AF163" s="51"/>
      <c r="AG163" s="49"/>
      <c r="AH163" s="51"/>
      <c r="AI163" s="49"/>
      <c r="AJ163" s="51"/>
      <c r="AK163" s="51"/>
      <c r="AL163" s="51"/>
      <c r="AM163" s="51"/>
      <c r="AN163" s="51"/>
      <c r="AO163" s="51"/>
      <c r="AP163" s="51"/>
      <c r="AQ163" s="51"/>
      <c r="AR163" s="51"/>
      <c r="AS163" s="49"/>
      <c r="AT163" s="51"/>
      <c r="AU163" s="51"/>
      <c r="AV163" s="51"/>
      <c r="AW163" s="49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2">
        <f t="shared" si="64"/>
        <v>0</v>
      </c>
      <c r="BR163" s="52">
        <f t="shared" si="65"/>
        <v>0</v>
      </c>
      <c r="BS163" s="52">
        <f t="shared" si="66"/>
        <v>0</v>
      </c>
      <c r="BT163" s="52">
        <f t="shared" si="67"/>
        <v>0</v>
      </c>
      <c r="BU163" s="52">
        <f t="shared" si="68"/>
        <v>0</v>
      </c>
      <c r="BV163" s="65"/>
      <c r="BW163" s="52">
        <f t="shared" si="69"/>
        <v>0</v>
      </c>
      <c r="BX163" s="52">
        <f t="shared" si="70"/>
        <v>0</v>
      </c>
      <c r="BY163" s="52">
        <f t="shared" si="71"/>
        <v>0</v>
      </c>
      <c r="BZ163" s="66">
        <f t="shared" si="72"/>
        <v>0</v>
      </c>
      <c r="CA163" s="54">
        <f t="shared" si="73"/>
        <v>0</v>
      </c>
      <c r="CB163" s="55">
        <f t="shared" si="74"/>
        <v>0</v>
      </c>
      <c r="CC163" s="56">
        <f t="shared" si="75"/>
        <v>0</v>
      </c>
      <c r="CD163" s="57">
        <f t="shared" si="79"/>
        <v>-1</v>
      </c>
      <c r="CE163" s="49">
        <v>1</v>
      </c>
      <c r="CF163" s="57" t="e">
        <f t="shared" si="80"/>
        <v>#N/A</v>
      </c>
      <c r="CG163" s="58">
        <f t="shared" si="76"/>
        <v>1</v>
      </c>
      <c r="CH163" s="57">
        <f t="shared" si="77"/>
        <v>16</v>
      </c>
      <c r="CI163" s="59" t="e">
        <f>VLOOKUP(A163,[1]DATA!$A$6:$AI$331,34,0)</f>
        <v>#N/A</v>
      </c>
      <c r="CJ163" s="60" t="e">
        <f>VLOOKUP(A163,[2]CHAMCONG!A$7:CI$333,79,0)</f>
        <v>#N/A</v>
      </c>
      <c r="CK163" s="61" t="e">
        <f t="shared" si="78"/>
        <v>#N/A</v>
      </c>
    </row>
    <row r="164" spans="1:91" s="62" customFormat="1" ht="15.75" customHeight="1" x14ac:dyDescent="0.25">
      <c r="A164" s="63"/>
      <c r="B164" s="64"/>
      <c r="C164" s="45"/>
      <c r="D164" s="46"/>
      <c r="E164" s="47"/>
      <c r="F164" s="48"/>
      <c r="G164" s="49"/>
      <c r="H164" s="51"/>
      <c r="I164" s="50"/>
      <c r="J164" s="51"/>
      <c r="K164" s="50"/>
      <c r="L164" s="51"/>
      <c r="M164" s="50"/>
      <c r="N164" s="51"/>
      <c r="O164" s="50"/>
      <c r="P164" s="51"/>
      <c r="Q164" s="50"/>
      <c r="R164" s="67"/>
      <c r="S164" s="49"/>
      <c r="T164" s="51"/>
      <c r="U164" s="49"/>
      <c r="V164" s="51"/>
      <c r="W164" s="49"/>
      <c r="X164" s="51"/>
      <c r="Y164" s="49"/>
      <c r="Z164" s="51"/>
      <c r="AA164" s="49"/>
      <c r="AB164" s="51"/>
      <c r="AC164" s="49"/>
      <c r="AD164" s="51"/>
      <c r="AE164" s="49"/>
      <c r="AF164" s="51"/>
      <c r="AG164" s="49"/>
      <c r="AH164" s="51"/>
      <c r="AI164" s="49"/>
      <c r="AJ164" s="51"/>
      <c r="AK164" s="49"/>
      <c r="AL164" s="51"/>
      <c r="AM164" s="49"/>
      <c r="AN164" s="51"/>
      <c r="AO164" s="49"/>
      <c r="AP164" s="51"/>
      <c r="AQ164" s="51"/>
      <c r="AR164" s="51"/>
      <c r="AS164" s="51"/>
      <c r="AT164" s="51"/>
      <c r="AU164" s="51"/>
      <c r="AV164" s="51"/>
      <c r="AW164" s="51"/>
      <c r="AX164" s="51"/>
      <c r="AY164" s="50"/>
      <c r="AZ164" s="51"/>
      <c r="BA164" s="50"/>
      <c r="BB164" s="51"/>
      <c r="BC164" s="50"/>
      <c r="BD164" s="51"/>
      <c r="BE164" s="50"/>
      <c r="BF164" s="51"/>
      <c r="BG164" s="50"/>
      <c r="BH164" s="50"/>
      <c r="BI164" s="51"/>
      <c r="BJ164" s="51"/>
      <c r="BK164" s="51"/>
      <c r="BL164" s="51"/>
      <c r="BM164" s="51"/>
      <c r="BN164" s="51"/>
      <c r="BO164" s="51"/>
      <c r="BP164" s="51"/>
      <c r="BQ164" s="52">
        <f t="shared" si="64"/>
        <v>0</v>
      </c>
      <c r="BR164" s="52">
        <f t="shared" si="65"/>
        <v>0</v>
      </c>
      <c r="BS164" s="52">
        <f t="shared" si="66"/>
        <v>0</v>
      </c>
      <c r="BT164" s="52">
        <f t="shared" si="67"/>
        <v>0</v>
      </c>
      <c r="BU164" s="52">
        <f t="shared" si="68"/>
        <v>0</v>
      </c>
      <c r="BV164" s="65"/>
      <c r="BW164" s="52">
        <f t="shared" si="69"/>
        <v>0</v>
      </c>
      <c r="BX164" s="52">
        <f t="shared" si="70"/>
        <v>0</v>
      </c>
      <c r="BY164" s="52">
        <f t="shared" si="71"/>
        <v>0</v>
      </c>
      <c r="BZ164" s="66">
        <f t="shared" si="72"/>
        <v>0</v>
      </c>
      <c r="CA164" s="54">
        <f t="shared" si="73"/>
        <v>0</v>
      </c>
      <c r="CB164" s="55">
        <f t="shared" si="74"/>
        <v>0</v>
      </c>
      <c r="CC164" s="56">
        <f t="shared" si="75"/>
        <v>0</v>
      </c>
      <c r="CD164" s="57">
        <f t="shared" si="79"/>
        <v>-1</v>
      </c>
      <c r="CE164" s="49">
        <v>1</v>
      </c>
      <c r="CF164" s="57" t="e">
        <f t="shared" si="80"/>
        <v>#N/A</v>
      </c>
      <c r="CG164" s="58">
        <f t="shared" si="76"/>
        <v>1</v>
      </c>
      <c r="CH164" s="57">
        <f t="shared" si="77"/>
        <v>16</v>
      </c>
      <c r="CI164" s="59" t="e">
        <f>VLOOKUP(A164,[1]DATA!$A$6:$AI$331,34,0)</f>
        <v>#N/A</v>
      </c>
      <c r="CJ164" s="60" t="e">
        <f>VLOOKUP(A164,[2]CHAMCONG!A$7:CI$333,79,0)</f>
        <v>#N/A</v>
      </c>
      <c r="CK164" s="61" t="e">
        <f t="shared" si="78"/>
        <v>#N/A</v>
      </c>
    </row>
    <row r="165" spans="1:91" s="62" customFormat="1" ht="15.75" customHeight="1" x14ac:dyDescent="0.25">
      <c r="A165" s="63"/>
      <c r="B165" s="64"/>
      <c r="C165" s="45"/>
      <c r="D165" s="46"/>
      <c r="E165" s="47"/>
      <c r="F165" s="48"/>
      <c r="G165" s="49"/>
      <c r="H165" s="51"/>
      <c r="I165" s="49"/>
      <c r="J165" s="51"/>
      <c r="K165" s="49"/>
      <c r="L165" s="51"/>
      <c r="M165" s="67"/>
      <c r="N165" s="51"/>
      <c r="O165" s="49"/>
      <c r="P165" s="51"/>
      <c r="Q165" s="49"/>
      <c r="R165" s="51"/>
      <c r="S165" s="49"/>
      <c r="T165" s="51"/>
      <c r="U165" s="49"/>
      <c r="V165" s="51"/>
      <c r="W165" s="49"/>
      <c r="X165" s="51"/>
      <c r="Y165" s="49"/>
      <c r="Z165" s="51"/>
      <c r="AA165" s="67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2">
        <f t="shared" si="64"/>
        <v>0</v>
      </c>
      <c r="BR165" s="52">
        <f t="shared" si="65"/>
        <v>0</v>
      </c>
      <c r="BS165" s="52">
        <f t="shared" si="66"/>
        <v>0</v>
      </c>
      <c r="BT165" s="52">
        <f t="shared" si="67"/>
        <v>0</v>
      </c>
      <c r="BU165" s="52">
        <f t="shared" si="68"/>
        <v>0</v>
      </c>
      <c r="BV165" s="65"/>
      <c r="BW165" s="52">
        <f t="shared" si="69"/>
        <v>0</v>
      </c>
      <c r="BX165" s="52">
        <f t="shared" si="70"/>
        <v>0</v>
      </c>
      <c r="BY165" s="52">
        <f t="shared" si="71"/>
        <v>0</v>
      </c>
      <c r="BZ165" s="66">
        <f t="shared" si="72"/>
        <v>0</v>
      </c>
      <c r="CA165" s="54">
        <f t="shared" si="73"/>
        <v>0</v>
      </c>
      <c r="CB165" s="55">
        <f t="shared" si="74"/>
        <v>0</v>
      </c>
      <c r="CC165" s="56">
        <f t="shared" si="75"/>
        <v>0</v>
      </c>
      <c r="CD165" s="57">
        <f t="shared" si="79"/>
        <v>-1</v>
      </c>
      <c r="CE165" s="49">
        <v>1</v>
      </c>
      <c r="CF165" s="57" t="e">
        <f t="shared" si="80"/>
        <v>#N/A</v>
      </c>
      <c r="CG165" s="58">
        <f t="shared" si="76"/>
        <v>1</v>
      </c>
      <c r="CH165" s="57">
        <f t="shared" si="77"/>
        <v>16</v>
      </c>
      <c r="CI165" s="59" t="e">
        <f>VLOOKUP(A165,[1]DATA!$A$6:$AI$331,34,0)</f>
        <v>#N/A</v>
      </c>
      <c r="CJ165" s="60" t="e">
        <f>VLOOKUP(A165,[2]CHAMCONG!A$7:CI$333,79,0)</f>
        <v>#N/A</v>
      </c>
      <c r="CK165" s="61" t="e">
        <f t="shared" si="78"/>
        <v>#N/A</v>
      </c>
    </row>
    <row r="166" spans="1:91" s="75" customFormat="1" ht="15.75" customHeight="1" x14ac:dyDescent="0.25">
      <c r="A166" s="63"/>
      <c r="B166" s="64"/>
      <c r="C166" s="45"/>
      <c r="D166" s="46"/>
      <c r="E166" s="47"/>
      <c r="F166" s="48"/>
      <c r="G166" s="49"/>
      <c r="H166" s="51"/>
      <c r="I166" s="50"/>
      <c r="J166" s="51"/>
      <c r="K166" s="51"/>
      <c r="L166" s="51"/>
      <c r="M166" s="51"/>
      <c r="N166" s="51"/>
      <c r="O166" s="50"/>
      <c r="P166" s="51"/>
      <c r="Q166" s="51"/>
      <c r="R166" s="51"/>
      <c r="S166" s="51"/>
      <c r="T166" s="51"/>
      <c r="U166" s="49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0"/>
      <c r="AR166" s="51"/>
      <c r="AS166" s="50"/>
      <c r="AT166" s="50"/>
      <c r="AU166" s="50"/>
      <c r="AV166" s="51"/>
      <c r="AW166" s="51"/>
      <c r="AX166" s="51"/>
      <c r="AY166" s="51"/>
      <c r="AZ166" s="51"/>
      <c r="BA166" s="51"/>
      <c r="BB166" s="51"/>
      <c r="BC166" s="51"/>
      <c r="BD166" s="51"/>
      <c r="BE166" s="51"/>
      <c r="BF166" s="51"/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2">
        <f t="shared" si="64"/>
        <v>0</v>
      </c>
      <c r="BR166" s="52">
        <f t="shared" si="65"/>
        <v>0</v>
      </c>
      <c r="BS166" s="52">
        <f t="shared" si="66"/>
        <v>0</v>
      </c>
      <c r="BT166" s="52">
        <f t="shared" si="67"/>
        <v>0</v>
      </c>
      <c r="BU166" s="52">
        <f t="shared" si="68"/>
        <v>0</v>
      </c>
      <c r="BV166" s="65"/>
      <c r="BW166" s="52">
        <f t="shared" si="69"/>
        <v>0</v>
      </c>
      <c r="BX166" s="52">
        <f t="shared" si="70"/>
        <v>0</v>
      </c>
      <c r="BY166" s="52">
        <f t="shared" si="71"/>
        <v>0</v>
      </c>
      <c r="BZ166" s="66">
        <f t="shared" si="72"/>
        <v>0</v>
      </c>
      <c r="CA166" s="54">
        <f t="shared" si="73"/>
        <v>0</v>
      </c>
      <c r="CB166" s="55">
        <f t="shared" si="74"/>
        <v>0</v>
      </c>
      <c r="CC166" s="56">
        <f t="shared" si="75"/>
        <v>0</v>
      </c>
      <c r="CD166" s="57">
        <f t="shared" si="79"/>
        <v>-1</v>
      </c>
      <c r="CE166" s="49"/>
      <c r="CF166" s="57" t="e">
        <f t="shared" si="80"/>
        <v>#N/A</v>
      </c>
      <c r="CG166" s="58">
        <f t="shared" si="76"/>
        <v>1</v>
      </c>
      <c r="CH166" s="57">
        <f t="shared" si="77"/>
        <v>0</v>
      </c>
      <c r="CI166" s="59" t="e">
        <f>VLOOKUP(A166,[1]DATA!$A$6:$AI$331,34,0)</f>
        <v>#N/A</v>
      </c>
      <c r="CJ166" s="60" t="e">
        <f>VLOOKUP(A166,[2]CHAMCONG!A$7:CI$333,79,0)</f>
        <v>#N/A</v>
      </c>
      <c r="CK166" s="61" t="e">
        <f t="shared" si="78"/>
        <v>#N/A</v>
      </c>
      <c r="CL166" s="62"/>
      <c r="CM166" s="62"/>
    </row>
    <row r="167" spans="1:91" s="62" customFormat="1" ht="15.75" customHeight="1" x14ac:dyDescent="0.25">
      <c r="A167" s="63"/>
      <c r="B167" s="64"/>
      <c r="C167" s="45"/>
      <c r="D167" s="46"/>
      <c r="E167" s="47"/>
      <c r="F167" s="48"/>
      <c r="G167" s="49"/>
      <c r="H167" s="51"/>
      <c r="I167" s="49"/>
      <c r="J167" s="51"/>
      <c r="K167" s="49"/>
      <c r="L167" s="51"/>
      <c r="M167" s="49"/>
      <c r="N167" s="51"/>
      <c r="O167" s="49"/>
      <c r="P167" s="51"/>
      <c r="Q167" s="50"/>
      <c r="R167" s="67"/>
      <c r="S167" s="51"/>
      <c r="T167" s="51"/>
      <c r="U167" s="49"/>
      <c r="V167" s="51"/>
      <c r="W167" s="50"/>
      <c r="X167" s="51"/>
      <c r="Y167" s="50"/>
      <c r="Z167" s="51"/>
      <c r="AA167" s="50"/>
      <c r="AB167" s="51"/>
      <c r="AC167" s="50"/>
      <c r="AD167" s="51"/>
      <c r="AE167" s="50"/>
      <c r="AF167" s="67"/>
      <c r="AG167" s="50"/>
      <c r="AH167" s="51"/>
      <c r="AI167" s="51"/>
      <c r="AJ167" s="51"/>
      <c r="AK167" s="50"/>
      <c r="AL167" s="51"/>
      <c r="AM167" s="50"/>
      <c r="AN167" s="51"/>
      <c r="AO167" s="50"/>
      <c r="AP167" s="51"/>
      <c r="AQ167" s="50"/>
      <c r="AR167" s="51"/>
      <c r="AS167" s="50"/>
      <c r="AT167" s="67"/>
      <c r="AU167" s="51"/>
      <c r="AV167" s="51"/>
      <c r="AW167" s="49"/>
      <c r="AX167" s="51"/>
      <c r="AY167" s="50"/>
      <c r="AZ167" s="51"/>
      <c r="BA167" s="50"/>
      <c r="BB167" s="51"/>
      <c r="BC167" s="50"/>
      <c r="BD167" s="51"/>
      <c r="BE167" s="50"/>
      <c r="BF167" s="51"/>
      <c r="BG167" s="50"/>
      <c r="BH167" s="67"/>
      <c r="BI167" s="51"/>
      <c r="BJ167" s="51"/>
      <c r="BK167" s="51"/>
      <c r="BL167" s="51"/>
      <c r="BM167" s="51"/>
      <c r="BN167" s="51"/>
      <c r="BO167" s="51"/>
      <c r="BP167" s="51"/>
      <c r="BQ167" s="52">
        <f t="shared" si="64"/>
        <v>0</v>
      </c>
      <c r="BR167" s="52">
        <f t="shared" si="65"/>
        <v>0</v>
      </c>
      <c r="BS167" s="52">
        <f t="shared" si="66"/>
        <v>0</v>
      </c>
      <c r="BT167" s="52">
        <f t="shared" si="67"/>
        <v>0</v>
      </c>
      <c r="BU167" s="52">
        <f t="shared" si="68"/>
        <v>0</v>
      </c>
      <c r="BV167" s="65"/>
      <c r="BW167" s="52">
        <f t="shared" si="69"/>
        <v>0</v>
      </c>
      <c r="BX167" s="52">
        <f t="shared" si="70"/>
        <v>0</v>
      </c>
      <c r="BY167" s="52">
        <f t="shared" si="71"/>
        <v>0</v>
      </c>
      <c r="BZ167" s="66">
        <f t="shared" si="72"/>
        <v>0</v>
      </c>
      <c r="CA167" s="54">
        <f t="shared" si="73"/>
        <v>0</v>
      </c>
      <c r="CB167" s="55">
        <f t="shared" si="74"/>
        <v>0</v>
      </c>
      <c r="CC167" s="56">
        <f t="shared" si="75"/>
        <v>0</v>
      </c>
      <c r="CD167" s="57">
        <f t="shared" si="79"/>
        <v>-1</v>
      </c>
      <c r="CE167" s="49">
        <v>1</v>
      </c>
      <c r="CF167" s="57" t="e">
        <f t="shared" si="80"/>
        <v>#N/A</v>
      </c>
      <c r="CG167" s="58">
        <f t="shared" si="76"/>
        <v>1</v>
      </c>
      <c r="CH167" s="57">
        <f t="shared" si="77"/>
        <v>16</v>
      </c>
      <c r="CI167" s="59" t="e">
        <f>VLOOKUP(A167,[1]DATA!$A$6:$AI$331,34,0)</f>
        <v>#N/A</v>
      </c>
      <c r="CJ167" s="60" t="e">
        <f>VLOOKUP(A167,[2]CHAMCONG!A$7:CI$333,79,0)</f>
        <v>#N/A</v>
      </c>
      <c r="CK167" s="61" t="e">
        <f t="shared" si="78"/>
        <v>#N/A</v>
      </c>
    </row>
    <row r="168" spans="1:91" s="62" customFormat="1" ht="15.75" customHeight="1" x14ac:dyDescent="0.25">
      <c r="A168" s="69"/>
      <c r="B168" s="64"/>
      <c r="C168" s="45"/>
      <c r="D168" s="46"/>
      <c r="E168" s="47"/>
      <c r="F168" s="48"/>
      <c r="G168" s="49"/>
      <c r="H168" s="51"/>
      <c r="I168" s="51"/>
      <c r="J168" s="51"/>
      <c r="K168" s="51"/>
      <c r="L168" s="51"/>
      <c r="M168" s="51"/>
      <c r="N168" s="51"/>
      <c r="O168" s="50"/>
      <c r="P168" s="51"/>
      <c r="Q168" s="49"/>
      <c r="R168" s="49"/>
      <c r="S168" s="50"/>
      <c r="T168" s="51"/>
      <c r="U168" s="51"/>
      <c r="V168" s="51"/>
      <c r="W168" s="50"/>
      <c r="X168" s="51"/>
      <c r="Y168" s="50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49"/>
      <c r="AL168" s="51"/>
      <c r="AM168" s="51"/>
      <c r="AN168" s="51"/>
      <c r="AO168" s="51"/>
      <c r="AP168" s="51"/>
      <c r="AQ168" s="49"/>
      <c r="AR168" s="51"/>
      <c r="AS168" s="49"/>
      <c r="AT168" s="49"/>
      <c r="AU168" s="49"/>
      <c r="AV168" s="51"/>
      <c r="AW168" s="50"/>
      <c r="AX168" s="51"/>
      <c r="AY168" s="49"/>
      <c r="AZ168" s="51"/>
      <c r="BA168" s="49"/>
      <c r="BB168" s="51"/>
      <c r="BC168" s="49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2">
        <f t="shared" si="64"/>
        <v>0</v>
      </c>
      <c r="BR168" s="52">
        <f t="shared" si="65"/>
        <v>0</v>
      </c>
      <c r="BS168" s="52">
        <f t="shared" si="66"/>
        <v>0</v>
      </c>
      <c r="BT168" s="52">
        <f t="shared" si="67"/>
        <v>0</v>
      </c>
      <c r="BU168" s="52">
        <f t="shared" si="68"/>
        <v>0</v>
      </c>
      <c r="BV168" s="65"/>
      <c r="BW168" s="52">
        <f t="shared" si="69"/>
        <v>0</v>
      </c>
      <c r="BX168" s="52">
        <f t="shared" si="70"/>
        <v>0</v>
      </c>
      <c r="BY168" s="52">
        <f t="shared" si="71"/>
        <v>0</v>
      </c>
      <c r="BZ168" s="66">
        <f t="shared" si="72"/>
        <v>0</v>
      </c>
      <c r="CA168" s="54">
        <f t="shared" si="73"/>
        <v>0</v>
      </c>
      <c r="CB168" s="55">
        <f t="shared" si="74"/>
        <v>0</v>
      </c>
      <c r="CC168" s="56">
        <f t="shared" si="75"/>
        <v>0</v>
      </c>
      <c r="CD168" s="57">
        <f t="shared" si="79"/>
        <v>-1</v>
      </c>
      <c r="CE168" s="49"/>
      <c r="CF168" s="57" t="e">
        <f t="shared" si="80"/>
        <v>#N/A</v>
      </c>
      <c r="CG168" s="58">
        <f t="shared" si="76"/>
        <v>1</v>
      </c>
      <c r="CH168" s="57">
        <f t="shared" si="77"/>
        <v>0</v>
      </c>
      <c r="CI168" s="59" t="e">
        <f>VLOOKUP(A168,[1]DATA!$A$6:$AI$331,34,0)</f>
        <v>#N/A</v>
      </c>
      <c r="CJ168" s="60" t="e">
        <f>VLOOKUP(A168,[2]CHAMCONG!A$7:CI$333,79,0)</f>
        <v>#N/A</v>
      </c>
      <c r="CK168" s="61" t="e">
        <f t="shared" si="78"/>
        <v>#N/A</v>
      </c>
    </row>
    <row r="169" spans="1:91" s="62" customFormat="1" ht="15.75" customHeight="1" x14ac:dyDescent="0.25">
      <c r="A169" s="63"/>
      <c r="B169" s="64"/>
      <c r="C169" s="45"/>
      <c r="D169" s="46"/>
      <c r="E169" s="47"/>
      <c r="F169" s="48"/>
      <c r="G169" s="49"/>
      <c r="H169" s="51"/>
      <c r="I169" s="50"/>
      <c r="J169" s="51"/>
      <c r="K169" s="51"/>
      <c r="L169" s="51"/>
      <c r="M169" s="51"/>
      <c r="N169" s="51"/>
      <c r="O169" s="50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67"/>
      <c r="AF169" s="67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49"/>
      <c r="AT169" s="51"/>
      <c r="AU169" s="51"/>
      <c r="AV169" s="51"/>
      <c r="AW169" s="49"/>
      <c r="AX169" s="51"/>
      <c r="AY169" s="49"/>
      <c r="AZ169" s="51"/>
      <c r="BA169" s="51"/>
      <c r="BB169" s="51"/>
      <c r="BC169" s="51"/>
      <c r="BD169" s="51"/>
      <c r="BE169" s="51"/>
      <c r="BF169" s="51"/>
      <c r="BG169" s="49"/>
      <c r="BH169" s="51"/>
      <c r="BI169" s="51"/>
      <c r="BJ169" s="51"/>
      <c r="BK169" s="51"/>
      <c r="BL169" s="51"/>
      <c r="BM169" s="51"/>
      <c r="BN169" s="51"/>
      <c r="BO169" s="51"/>
      <c r="BP169" s="51"/>
      <c r="BQ169" s="52">
        <f t="shared" si="64"/>
        <v>0</v>
      </c>
      <c r="BR169" s="52">
        <f t="shared" si="65"/>
        <v>0</v>
      </c>
      <c r="BS169" s="52">
        <f t="shared" si="66"/>
        <v>0</v>
      </c>
      <c r="BT169" s="52">
        <f t="shared" si="67"/>
        <v>0</v>
      </c>
      <c r="BU169" s="52">
        <f t="shared" si="68"/>
        <v>0</v>
      </c>
      <c r="BV169" s="65"/>
      <c r="BW169" s="52">
        <f t="shared" si="69"/>
        <v>0</v>
      </c>
      <c r="BX169" s="52">
        <f t="shared" si="70"/>
        <v>0</v>
      </c>
      <c r="BY169" s="52">
        <f t="shared" si="71"/>
        <v>0</v>
      </c>
      <c r="BZ169" s="66">
        <f t="shared" si="72"/>
        <v>0</v>
      </c>
      <c r="CA169" s="54">
        <f t="shared" si="73"/>
        <v>0</v>
      </c>
      <c r="CB169" s="55">
        <f t="shared" si="74"/>
        <v>0</v>
      </c>
      <c r="CC169" s="56">
        <f t="shared" si="75"/>
        <v>0</v>
      </c>
      <c r="CD169" s="57">
        <f t="shared" si="79"/>
        <v>-1</v>
      </c>
      <c r="CE169" s="49">
        <v>3</v>
      </c>
      <c r="CF169" s="57" t="e">
        <f t="shared" si="80"/>
        <v>#N/A</v>
      </c>
      <c r="CG169" s="58">
        <f t="shared" si="76"/>
        <v>1</v>
      </c>
      <c r="CH169" s="57">
        <f t="shared" si="77"/>
        <v>48</v>
      </c>
      <c r="CI169" s="59" t="e">
        <f>VLOOKUP(A169,[1]DATA!$A$6:$AI$331,34,0)</f>
        <v>#N/A</v>
      </c>
      <c r="CJ169" s="60" t="e">
        <f>VLOOKUP(A169,[2]CHAMCONG!A$7:CI$333,79,0)</f>
        <v>#N/A</v>
      </c>
      <c r="CK169" s="61" t="e">
        <f t="shared" si="78"/>
        <v>#N/A</v>
      </c>
    </row>
    <row r="170" spans="1:91" s="62" customFormat="1" ht="15.75" customHeight="1" x14ac:dyDescent="0.25">
      <c r="A170" s="63"/>
      <c r="B170" s="64"/>
      <c r="C170" s="45"/>
      <c r="D170" s="46"/>
      <c r="E170" s="47"/>
      <c r="F170" s="48"/>
      <c r="G170" s="49"/>
      <c r="H170" s="51"/>
      <c r="I170" s="50"/>
      <c r="J170" s="51"/>
      <c r="K170" s="51"/>
      <c r="L170" s="51"/>
      <c r="M170" s="51"/>
      <c r="N170" s="51"/>
      <c r="O170" s="50"/>
      <c r="P170" s="51"/>
      <c r="Q170" s="51"/>
      <c r="R170" s="51"/>
      <c r="S170" s="51"/>
      <c r="T170" s="51"/>
      <c r="U170" s="49"/>
      <c r="V170" s="51"/>
      <c r="W170" s="50"/>
      <c r="X170" s="51"/>
      <c r="Y170" s="51"/>
      <c r="Z170" s="51"/>
      <c r="AA170" s="51"/>
      <c r="AB170" s="51"/>
      <c r="AC170" s="50"/>
      <c r="AD170" s="51"/>
      <c r="AE170" s="51"/>
      <c r="AF170" s="51"/>
      <c r="AG170" s="51"/>
      <c r="AH170" s="51"/>
      <c r="AI170" s="51"/>
      <c r="AJ170" s="51"/>
      <c r="AK170" s="50"/>
      <c r="AL170" s="51"/>
      <c r="AM170" s="51"/>
      <c r="AN170" s="51"/>
      <c r="AO170" s="51"/>
      <c r="AP170" s="51"/>
      <c r="AQ170" s="50"/>
      <c r="AR170" s="51"/>
      <c r="AS170" s="51"/>
      <c r="AT170" s="51"/>
      <c r="AU170" s="51"/>
      <c r="AV170" s="51"/>
      <c r="AW170" s="51"/>
      <c r="AX170" s="51"/>
      <c r="AY170" s="50"/>
      <c r="AZ170" s="51"/>
      <c r="BA170" s="51"/>
      <c r="BB170" s="51"/>
      <c r="BC170" s="51"/>
      <c r="BD170" s="51"/>
      <c r="BE170" s="50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2">
        <f t="shared" si="64"/>
        <v>0</v>
      </c>
      <c r="BR170" s="52">
        <f t="shared" si="65"/>
        <v>0</v>
      </c>
      <c r="BS170" s="52">
        <f t="shared" si="66"/>
        <v>0</v>
      </c>
      <c r="BT170" s="52">
        <f t="shared" si="67"/>
        <v>0</v>
      </c>
      <c r="BU170" s="52">
        <f t="shared" si="68"/>
        <v>0</v>
      </c>
      <c r="BV170" s="65"/>
      <c r="BW170" s="52">
        <f t="shared" si="69"/>
        <v>0</v>
      </c>
      <c r="BX170" s="52">
        <f t="shared" si="70"/>
        <v>0</v>
      </c>
      <c r="BY170" s="52">
        <f t="shared" si="71"/>
        <v>0</v>
      </c>
      <c r="BZ170" s="66">
        <f t="shared" si="72"/>
        <v>0</v>
      </c>
      <c r="CA170" s="54">
        <f t="shared" si="73"/>
        <v>0</v>
      </c>
      <c r="CB170" s="55">
        <f t="shared" si="74"/>
        <v>0</v>
      </c>
      <c r="CC170" s="56">
        <f t="shared" si="75"/>
        <v>0</v>
      </c>
      <c r="CD170" s="57">
        <f t="shared" si="79"/>
        <v>-1</v>
      </c>
      <c r="CE170" s="49"/>
      <c r="CF170" s="57" t="e">
        <f t="shared" si="80"/>
        <v>#N/A</v>
      </c>
      <c r="CG170" s="58">
        <f t="shared" si="76"/>
        <v>1</v>
      </c>
      <c r="CH170" s="57">
        <f t="shared" si="77"/>
        <v>0</v>
      </c>
      <c r="CI170" s="59" t="e">
        <f>VLOOKUP(A170,[1]DATA!$A$6:$AI$331,34,0)</f>
        <v>#N/A</v>
      </c>
      <c r="CJ170" s="60" t="e">
        <f>VLOOKUP(A170,[2]CHAMCONG!A$7:CI$333,79,0)</f>
        <v>#N/A</v>
      </c>
      <c r="CK170" s="61" t="e">
        <f t="shared" si="78"/>
        <v>#N/A</v>
      </c>
    </row>
    <row r="171" spans="1:91" s="62" customFormat="1" ht="15.75" customHeight="1" x14ac:dyDescent="0.25">
      <c r="A171" s="69"/>
      <c r="B171" s="64"/>
      <c r="C171" s="45"/>
      <c r="D171" s="46"/>
      <c r="E171" s="47"/>
      <c r="F171" s="48"/>
      <c r="G171" s="49"/>
      <c r="H171" s="51"/>
      <c r="I171" s="49"/>
      <c r="J171" s="51"/>
      <c r="K171" s="49"/>
      <c r="L171" s="51"/>
      <c r="M171" s="51"/>
      <c r="N171" s="51"/>
      <c r="O171" s="50"/>
      <c r="P171" s="51"/>
      <c r="Q171" s="50"/>
      <c r="R171" s="51"/>
      <c r="S171" s="50"/>
      <c r="T171" s="51"/>
      <c r="U171" s="50"/>
      <c r="V171" s="51"/>
      <c r="W171" s="50"/>
      <c r="X171" s="51"/>
      <c r="Y171" s="50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2">
        <f t="shared" si="64"/>
        <v>0</v>
      </c>
      <c r="BR171" s="52">
        <f t="shared" si="65"/>
        <v>0</v>
      </c>
      <c r="BS171" s="52">
        <f t="shared" si="66"/>
        <v>0</v>
      </c>
      <c r="BT171" s="52">
        <f t="shared" si="67"/>
        <v>0</v>
      </c>
      <c r="BU171" s="52">
        <f t="shared" si="68"/>
        <v>0</v>
      </c>
      <c r="BV171" s="65"/>
      <c r="BW171" s="52">
        <f t="shared" si="69"/>
        <v>0</v>
      </c>
      <c r="BX171" s="52">
        <f t="shared" si="70"/>
        <v>0</v>
      </c>
      <c r="BY171" s="52">
        <f t="shared" si="71"/>
        <v>0</v>
      </c>
      <c r="BZ171" s="66">
        <f t="shared" si="72"/>
        <v>0</v>
      </c>
      <c r="CA171" s="54">
        <f t="shared" si="73"/>
        <v>0</v>
      </c>
      <c r="CB171" s="55">
        <f t="shared" si="74"/>
        <v>0</v>
      </c>
      <c r="CC171" s="56">
        <f t="shared" si="75"/>
        <v>0</v>
      </c>
      <c r="CD171" s="57">
        <f t="shared" si="79"/>
        <v>-1</v>
      </c>
      <c r="CE171" s="49"/>
      <c r="CF171" s="57" t="e">
        <f t="shared" si="80"/>
        <v>#N/A</v>
      </c>
      <c r="CG171" s="58">
        <f t="shared" si="76"/>
        <v>1</v>
      </c>
      <c r="CH171" s="57">
        <f t="shared" si="77"/>
        <v>0</v>
      </c>
      <c r="CI171" s="59" t="e">
        <f>VLOOKUP(A171,[1]DATA!$A$6:$AI$331,34,0)</f>
        <v>#N/A</v>
      </c>
      <c r="CJ171" s="60" t="e">
        <f>VLOOKUP(A171,[2]CHAMCONG!A$7:CI$333,79,0)</f>
        <v>#N/A</v>
      </c>
      <c r="CK171" s="61" t="e">
        <f t="shared" si="78"/>
        <v>#N/A</v>
      </c>
    </row>
    <row r="172" spans="1:91" s="62" customFormat="1" ht="15.75" customHeight="1" x14ac:dyDescent="0.25">
      <c r="A172" s="69"/>
      <c r="B172" s="64"/>
      <c r="C172" s="45"/>
      <c r="D172" s="46"/>
      <c r="E172" s="47"/>
      <c r="F172" s="48"/>
      <c r="G172" s="49"/>
      <c r="H172" s="51"/>
      <c r="I172" s="49"/>
      <c r="J172" s="51"/>
      <c r="K172" s="49"/>
      <c r="L172" s="51"/>
      <c r="M172" s="49"/>
      <c r="N172" s="51"/>
      <c r="O172" s="49"/>
      <c r="P172" s="51"/>
      <c r="Q172" s="51"/>
      <c r="R172" s="51"/>
      <c r="S172" s="49"/>
      <c r="T172" s="51"/>
      <c r="U172" s="49"/>
      <c r="V172" s="51"/>
      <c r="W172" s="49"/>
      <c r="X172" s="51"/>
      <c r="Y172" s="49"/>
      <c r="Z172" s="51"/>
      <c r="AA172" s="49"/>
      <c r="AB172" s="51"/>
      <c r="AC172" s="49"/>
      <c r="AD172" s="51"/>
      <c r="AE172" s="67"/>
      <c r="AF172" s="67"/>
      <c r="AG172" s="49"/>
      <c r="AH172" s="51"/>
      <c r="AI172" s="49"/>
      <c r="AJ172" s="51"/>
      <c r="AK172" s="49"/>
      <c r="AL172" s="51"/>
      <c r="AM172" s="49"/>
      <c r="AN172" s="51"/>
      <c r="AO172" s="49"/>
      <c r="AP172" s="51"/>
      <c r="AQ172" s="67"/>
      <c r="AR172" s="51"/>
      <c r="AS172" s="67"/>
      <c r="AT172" s="67"/>
      <c r="AU172" s="67"/>
      <c r="AV172" s="51"/>
      <c r="AW172" s="51"/>
      <c r="AX172" s="51"/>
      <c r="AY172" s="67"/>
      <c r="AZ172" s="51"/>
      <c r="BA172" s="67"/>
      <c r="BB172" s="51"/>
      <c r="BC172" s="67"/>
      <c r="BD172" s="51"/>
      <c r="BE172" s="67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2">
        <f t="shared" si="64"/>
        <v>0</v>
      </c>
      <c r="BR172" s="52">
        <f t="shared" si="65"/>
        <v>0</v>
      </c>
      <c r="BS172" s="52">
        <f t="shared" si="66"/>
        <v>0</v>
      </c>
      <c r="BT172" s="52">
        <f t="shared" si="67"/>
        <v>0</v>
      </c>
      <c r="BU172" s="52">
        <f t="shared" si="68"/>
        <v>0</v>
      </c>
      <c r="BV172" s="65"/>
      <c r="BW172" s="52">
        <f t="shared" si="69"/>
        <v>0</v>
      </c>
      <c r="BX172" s="52">
        <f t="shared" si="70"/>
        <v>0</v>
      </c>
      <c r="BY172" s="52">
        <f t="shared" si="71"/>
        <v>0</v>
      </c>
      <c r="BZ172" s="66">
        <f t="shared" si="72"/>
        <v>0</v>
      </c>
      <c r="CA172" s="54">
        <f t="shared" si="73"/>
        <v>0</v>
      </c>
      <c r="CB172" s="55">
        <f t="shared" si="74"/>
        <v>0</v>
      </c>
      <c r="CC172" s="56">
        <f t="shared" si="75"/>
        <v>0</v>
      </c>
      <c r="CD172" s="57">
        <f t="shared" si="79"/>
        <v>-1</v>
      </c>
      <c r="CE172" s="49">
        <v>1</v>
      </c>
      <c r="CF172" s="57" t="e">
        <f t="shared" si="80"/>
        <v>#N/A</v>
      </c>
      <c r="CG172" s="58">
        <f t="shared" si="76"/>
        <v>1</v>
      </c>
      <c r="CH172" s="57">
        <f t="shared" si="77"/>
        <v>16</v>
      </c>
      <c r="CI172" s="59" t="e">
        <f>VLOOKUP(A172,[1]DATA!$A$6:$AI$331,34,0)</f>
        <v>#N/A</v>
      </c>
      <c r="CJ172" s="60" t="e">
        <f>VLOOKUP(A172,[2]CHAMCONG!A$7:CI$333,79,0)</f>
        <v>#N/A</v>
      </c>
      <c r="CK172" s="61" t="e">
        <f t="shared" si="78"/>
        <v>#N/A</v>
      </c>
    </row>
    <row r="173" spans="1:91" s="62" customFormat="1" ht="15.75" customHeight="1" x14ac:dyDescent="0.25">
      <c r="A173" s="63"/>
      <c r="B173" s="64"/>
      <c r="C173" s="45"/>
      <c r="D173" s="46"/>
      <c r="E173" s="47"/>
      <c r="F173" s="48"/>
      <c r="G173" s="49"/>
      <c r="H173" s="51"/>
      <c r="I173" s="50"/>
      <c r="J173" s="51"/>
      <c r="K173" s="50"/>
      <c r="L173" s="51"/>
      <c r="M173" s="51"/>
      <c r="N173" s="51"/>
      <c r="O173" s="50"/>
      <c r="P173" s="51"/>
      <c r="Q173" s="49"/>
      <c r="R173" s="51"/>
      <c r="S173" s="50"/>
      <c r="T173" s="51"/>
      <c r="U173" s="50"/>
      <c r="V173" s="51"/>
      <c r="W173" s="50"/>
      <c r="X173" s="51"/>
      <c r="Y173" s="50"/>
      <c r="Z173" s="51"/>
      <c r="AA173" s="51"/>
      <c r="AB173" s="51"/>
      <c r="AC173" s="50"/>
      <c r="AD173" s="51"/>
      <c r="AE173" s="49"/>
      <c r="AF173" s="51"/>
      <c r="AG173" s="50"/>
      <c r="AH173" s="51"/>
      <c r="AI173" s="50"/>
      <c r="AJ173" s="51"/>
      <c r="AK173" s="50"/>
      <c r="AL173" s="51"/>
      <c r="AM173" s="50"/>
      <c r="AN173" s="51"/>
      <c r="AO173" s="50"/>
      <c r="AP173" s="51"/>
      <c r="AQ173" s="49"/>
      <c r="AR173" s="51"/>
      <c r="AS173" s="49"/>
      <c r="AT173" s="51"/>
      <c r="AU173" s="49"/>
      <c r="AV173" s="51"/>
      <c r="AW173" s="51"/>
      <c r="AX173" s="51"/>
      <c r="AY173" s="49"/>
      <c r="AZ173" s="51"/>
      <c r="BA173" s="49"/>
      <c r="BB173" s="51"/>
      <c r="BC173" s="51"/>
      <c r="BD173" s="51"/>
      <c r="BE173" s="49"/>
      <c r="BF173" s="51"/>
      <c r="BG173" s="49"/>
      <c r="BH173" s="51"/>
      <c r="BI173" s="51"/>
      <c r="BJ173" s="51"/>
      <c r="BK173" s="51"/>
      <c r="BL173" s="51"/>
      <c r="BM173" s="51"/>
      <c r="BN173" s="51"/>
      <c r="BO173" s="51"/>
      <c r="BP173" s="51"/>
      <c r="BQ173" s="52">
        <f t="shared" si="64"/>
        <v>0</v>
      </c>
      <c r="BR173" s="52">
        <f t="shared" si="65"/>
        <v>0</v>
      </c>
      <c r="BS173" s="52">
        <f t="shared" si="66"/>
        <v>0</v>
      </c>
      <c r="BT173" s="52">
        <f t="shared" si="67"/>
        <v>0</v>
      </c>
      <c r="BU173" s="52">
        <f t="shared" si="68"/>
        <v>0</v>
      </c>
      <c r="BV173" s="65"/>
      <c r="BW173" s="52">
        <f t="shared" si="69"/>
        <v>0</v>
      </c>
      <c r="BX173" s="52">
        <f t="shared" si="70"/>
        <v>0</v>
      </c>
      <c r="BY173" s="52">
        <f t="shared" si="71"/>
        <v>0</v>
      </c>
      <c r="BZ173" s="66">
        <f t="shared" si="72"/>
        <v>0</v>
      </c>
      <c r="CA173" s="54">
        <f t="shared" si="73"/>
        <v>0</v>
      </c>
      <c r="CB173" s="55">
        <f t="shared" si="74"/>
        <v>0</v>
      </c>
      <c r="CC173" s="56">
        <f t="shared" si="75"/>
        <v>0</v>
      </c>
      <c r="CD173" s="57">
        <f t="shared" si="79"/>
        <v>-1</v>
      </c>
      <c r="CE173" s="49">
        <v>2</v>
      </c>
      <c r="CF173" s="57" t="e">
        <f t="shared" si="80"/>
        <v>#N/A</v>
      </c>
      <c r="CG173" s="58">
        <f t="shared" si="76"/>
        <v>1</v>
      </c>
      <c r="CH173" s="57">
        <f t="shared" si="77"/>
        <v>32</v>
      </c>
      <c r="CI173" s="59" t="e">
        <f>VLOOKUP(A173,[1]DATA!$A$6:$AI$331,34,0)</f>
        <v>#N/A</v>
      </c>
      <c r="CJ173" s="60" t="e">
        <f>VLOOKUP(A173,[2]CHAMCONG!A$7:CI$333,79,0)</f>
        <v>#N/A</v>
      </c>
      <c r="CK173" s="61" t="e">
        <f t="shared" si="78"/>
        <v>#N/A</v>
      </c>
    </row>
    <row r="174" spans="1:91" s="62" customFormat="1" ht="15.75" customHeight="1" x14ac:dyDescent="0.25">
      <c r="A174" s="63"/>
      <c r="B174" s="64"/>
      <c r="C174" s="45"/>
      <c r="D174" s="46"/>
      <c r="E174" s="47"/>
      <c r="F174" s="48"/>
      <c r="G174" s="49"/>
      <c r="H174" s="51"/>
      <c r="I174" s="50"/>
      <c r="J174" s="51"/>
      <c r="K174" s="50"/>
      <c r="L174" s="51"/>
      <c r="M174" s="50"/>
      <c r="N174" s="51"/>
      <c r="O174" s="50"/>
      <c r="P174" s="51"/>
      <c r="Q174" s="49"/>
      <c r="R174" s="51"/>
      <c r="S174" s="50"/>
      <c r="T174" s="51"/>
      <c r="U174" s="50"/>
      <c r="V174" s="51"/>
      <c r="W174" s="50"/>
      <c r="X174" s="51"/>
      <c r="Y174" s="49"/>
      <c r="Z174" s="51"/>
      <c r="AA174" s="50"/>
      <c r="AB174" s="51"/>
      <c r="AC174" s="50"/>
      <c r="AD174" s="51"/>
      <c r="AE174" s="49"/>
      <c r="AF174" s="51"/>
      <c r="AG174" s="50"/>
      <c r="AH174" s="51"/>
      <c r="AI174" s="50"/>
      <c r="AJ174" s="51"/>
      <c r="AK174" s="50"/>
      <c r="AL174" s="51"/>
      <c r="AM174" s="50"/>
      <c r="AN174" s="51"/>
      <c r="AO174" s="50"/>
      <c r="AP174" s="51"/>
      <c r="AQ174" s="49"/>
      <c r="AR174" s="51"/>
      <c r="AS174" s="49"/>
      <c r="AT174" s="51"/>
      <c r="AU174" s="49"/>
      <c r="AV174" s="51"/>
      <c r="AW174" s="51"/>
      <c r="AX174" s="51"/>
      <c r="AY174" s="49"/>
      <c r="AZ174" s="51"/>
      <c r="BA174" s="49"/>
      <c r="BB174" s="51"/>
      <c r="BC174" s="51"/>
      <c r="BD174" s="51"/>
      <c r="BE174" s="49"/>
      <c r="BF174" s="51"/>
      <c r="BG174" s="49"/>
      <c r="BH174" s="51"/>
      <c r="BI174" s="51"/>
      <c r="BJ174" s="51"/>
      <c r="BK174" s="51"/>
      <c r="BL174" s="51"/>
      <c r="BM174" s="51"/>
      <c r="BN174" s="51"/>
      <c r="BO174" s="51"/>
      <c r="BP174" s="51"/>
      <c r="BQ174" s="52">
        <f t="shared" si="64"/>
        <v>0</v>
      </c>
      <c r="BR174" s="52">
        <f t="shared" si="65"/>
        <v>0</v>
      </c>
      <c r="BS174" s="52">
        <f t="shared" si="66"/>
        <v>0</v>
      </c>
      <c r="BT174" s="52">
        <f t="shared" si="67"/>
        <v>0</v>
      </c>
      <c r="BU174" s="52">
        <f t="shared" si="68"/>
        <v>0</v>
      </c>
      <c r="BV174" s="65"/>
      <c r="BW174" s="52">
        <f t="shared" si="69"/>
        <v>0</v>
      </c>
      <c r="BX174" s="52">
        <f t="shared" si="70"/>
        <v>0</v>
      </c>
      <c r="BY174" s="52">
        <f t="shared" si="71"/>
        <v>0</v>
      </c>
      <c r="BZ174" s="66">
        <f t="shared" si="72"/>
        <v>0</v>
      </c>
      <c r="CA174" s="54">
        <f t="shared" si="73"/>
        <v>0</v>
      </c>
      <c r="CB174" s="55">
        <f t="shared" si="74"/>
        <v>0</v>
      </c>
      <c r="CC174" s="56">
        <f t="shared" si="75"/>
        <v>0</v>
      </c>
      <c r="CD174" s="57">
        <f t="shared" si="79"/>
        <v>-1</v>
      </c>
      <c r="CE174" s="49">
        <v>2</v>
      </c>
      <c r="CF174" s="57" t="e">
        <f t="shared" si="80"/>
        <v>#N/A</v>
      </c>
      <c r="CG174" s="58">
        <f t="shared" si="76"/>
        <v>1</v>
      </c>
      <c r="CH174" s="57">
        <f t="shared" si="77"/>
        <v>32</v>
      </c>
      <c r="CI174" s="59" t="e">
        <f>VLOOKUP(A174,[1]DATA!$A$6:$AI$331,34,0)</f>
        <v>#N/A</v>
      </c>
      <c r="CJ174" s="60" t="e">
        <f>VLOOKUP(A174,[2]CHAMCONG!A$7:CI$333,79,0)</f>
        <v>#N/A</v>
      </c>
      <c r="CK174" s="61" t="e">
        <f t="shared" si="78"/>
        <v>#N/A</v>
      </c>
    </row>
    <row r="175" spans="1:91" s="62" customFormat="1" ht="15.75" customHeight="1" x14ac:dyDescent="0.25">
      <c r="A175" s="63"/>
      <c r="B175" s="64"/>
      <c r="C175" s="45"/>
      <c r="D175" s="46"/>
      <c r="E175" s="47"/>
      <c r="F175" s="48"/>
      <c r="G175" s="49"/>
      <c r="H175" s="51"/>
      <c r="I175" s="49"/>
      <c r="J175" s="51"/>
      <c r="K175" s="49"/>
      <c r="L175" s="51"/>
      <c r="M175" s="49"/>
      <c r="N175" s="51"/>
      <c r="O175" s="49"/>
      <c r="P175" s="51"/>
      <c r="Q175" s="49"/>
      <c r="R175" s="51"/>
      <c r="S175" s="49"/>
      <c r="T175" s="51"/>
      <c r="U175" s="49"/>
      <c r="V175" s="51"/>
      <c r="W175" s="49"/>
      <c r="X175" s="51"/>
      <c r="Y175" s="49"/>
      <c r="Z175" s="51"/>
      <c r="AA175" s="49"/>
      <c r="AB175" s="51"/>
      <c r="AC175" s="49"/>
      <c r="AD175" s="51"/>
      <c r="AE175" s="49"/>
      <c r="AF175" s="51"/>
      <c r="AG175" s="49"/>
      <c r="AH175" s="51"/>
      <c r="AI175" s="49"/>
      <c r="AJ175" s="51"/>
      <c r="AK175" s="49"/>
      <c r="AL175" s="51"/>
      <c r="AM175" s="49"/>
      <c r="AN175" s="51"/>
      <c r="AO175" s="49"/>
      <c r="AP175" s="51"/>
      <c r="AQ175" s="51"/>
      <c r="AR175" s="51"/>
      <c r="AS175" s="51"/>
      <c r="AT175" s="51"/>
      <c r="AU175" s="51"/>
      <c r="AV175" s="51"/>
      <c r="AW175" s="49"/>
      <c r="AX175" s="51"/>
      <c r="AY175" s="51"/>
      <c r="AZ175" s="51"/>
      <c r="BA175" s="51"/>
      <c r="BB175" s="51"/>
      <c r="BC175" s="51"/>
      <c r="BD175" s="51"/>
      <c r="BE175" s="51"/>
      <c r="BF175" s="51"/>
      <c r="BG175" s="51"/>
      <c r="BH175" s="51"/>
      <c r="BI175" s="49"/>
      <c r="BJ175" s="51"/>
      <c r="BK175" s="49"/>
      <c r="BL175" s="51"/>
      <c r="BM175" s="49"/>
      <c r="BN175" s="51"/>
      <c r="BO175" s="51"/>
      <c r="BP175" s="51"/>
      <c r="BQ175" s="52">
        <f t="shared" si="64"/>
        <v>0</v>
      </c>
      <c r="BR175" s="52">
        <f t="shared" si="65"/>
        <v>0</v>
      </c>
      <c r="BS175" s="52">
        <f t="shared" si="66"/>
        <v>0</v>
      </c>
      <c r="BT175" s="52">
        <f t="shared" si="67"/>
        <v>0</v>
      </c>
      <c r="BU175" s="52">
        <f t="shared" si="68"/>
        <v>0</v>
      </c>
      <c r="BV175" s="65"/>
      <c r="BW175" s="52">
        <f t="shared" si="69"/>
        <v>0</v>
      </c>
      <c r="BX175" s="52">
        <f t="shared" si="70"/>
        <v>0</v>
      </c>
      <c r="BY175" s="52">
        <f t="shared" si="71"/>
        <v>0</v>
      </c>
      <c r="BZ175" s="66">
        <f t="shared" si="72"/>
        <v>0</v>
      </c>
      <c r="CA175" s="54">
        <f t="shared" si="73"/>
        <v>0</v>
      </c>
      <c r="CB175" s="55">
        <f t="shared" si="74"/>
        <v>0</v>
      </c>
      <c r="CC175" s="56">
        <f t="shared" si="75"/>
        <v>0</v>
      </c>
      <c r="CD175" s="57">
        <f t="shared" si="79"/>
        <v>-1</v>
      </c>
      <c r="CE175" s="49">
        <v>3</v>
      </c>
      <c r="CF175" s="57" t="e">
        <f t="shared" si="80"/>
        <v>#N/A</v>
      </c>
      <c r="CG175" s="58">
        <f t="shared" si="76"/>
        <v>1</v>
      </c>
      <c r="CH175" s="57">
        <f t="shared" si="77"/>
        <v>48</v>
      </c>
      <c r="CI175" s="59" t="e">
        <f>VLOOKUP(A175,[1]DATA!$A$6:$AI$331,34,0)</f>
        <v>#N/A</v>
      </c>
      <c r="CJ175" s="60" t="e">
        <f>VLOOKUP(A175,[2]CHAMCONG!A$7:CI$333,79,0)</f>
        <v>#N/A</v>
      </c>
      <c r="CK175" s="61" t="e">
        <f t="shared" si="78"/>
        <v>#N/A</v>
      </c>
    </row>
    <row r="176" spans="1:91" s="62" customFormat="1" ht="15.75" customHeight="1" x14ac:dyDescent="0.25">
      <c r="A176" s="63"/>
      <c r="B176" s="64"/>
      <c r="C176" s="45"/>
      <c r="D176" s="46"/>
      <c r="E176" s="47"/>
      <c r="F176" s="48"/>
      <c r="G176" s="49"/>
      <c r="H176" s="51"/>
      <c r="I176" s="50"/>
      <c r="J176" s="51"/>
      <c r="K176" s="50"/>
      <c r="L176" s="51"/>
      <c r="M176" s="50"/>
      <c r="N176" s="51"/>
      <c r="O176" s="50"/>
      <c r="P176" s="51"/>
      <c r="Q176" s="49"/>
      <c r="R176" s="51"/>
      <c r="S176" s="50"/>
      <c r="T176" s="51"/>
      <c r="U176" s="50"/>
      <c r="V176" s="51"/>
      <c r="W176" s="50"/>
      <c r="X176" s="51"/>
      <c r="Y176" s="50"/>
      <c r="Z176" s="51"/>
      <c r="AA176" s="50"/>
      <c r="AB176" s="51"/>
      <c r="AC176" s="50"/>
      <c r="AD176" s="51"/>
      <c r="AE176" s="49"/>
      <c r="AF176" s="51"/>
      <c r="AG176" s="50"/>
      <c r="AH176" s="51"/>
      <c r="AI176" s="49"/>
      <c r="AJ176" s="51"/>
      <c r="AK176" s="50"/>
      <c r="AL176" s="51"/>
      <c r="AM176" s="50"/>
      <c r="AN176" s="51"/>
      <c r="AO176" s="50"/>
      <c r="AP176" s="51"/>
      <c r="AQ176" s="49"/>
      <c r="AR176" s="51"/>
      <c r="AS176" s="49"/>
      <c r="AT176" s="51"/>
      <c r="AU176" s="49"/>
      <c r="AV176" s="51"/>
      <c r="AW176" s="51"/>
      <c r="AX176" s="51"/>
      <c r="AY176" s="49"/>
      <c r="AZ176" s="51"/>
      <c r="BA176" s="49"/>
      <c r="BB176" s="51"/>
      <c r="BC176" s="51"/>
      <c r="BD176" s="51"/>
      <c r="BE176" s="49"/>
      <c r="BF176" s="51"/>
      <c r="BG176" s="49"/>
      <c r="BH176" s="51"/>
      <c r="BI176" s="51"/>
      <c r="BJ176" s="51"/>
      <c r="BK176" s="51"/>
      <c r="BL176" s="51"/>
      <c r="BM176" s="51"/>
      <c r="BN176" s="51"/>
      <c r="BO176" s="51"/>
      <c r="BP176" s="51"/>
      <c r="BQ176" s="52">
        <f t="shared" si="64"/>
        <v>0</v>
      </c>
      <c r="BR176" s="52">
        <f t="shared" si="65"/>
        <v>0</v>
      </c>
      <c r="BS176" s="52">
        <f t="shared" si="66"/>
        <v>0</v>
      </c>
      <c r="BT176" s="52">
        <f t="shared" si="67"/>
        <v>0</v>
      </c>
      <c r="BU176" s="52">
        <f t="shared" si="68"/>
        <v>0</v>
      </c>
      <c r="BV176" s="65"/>
      <c r="BW176" s="52">
        <f t="shared" si="69"/>
        <v>0</v>
      </c>
      <c r="BX176" s="52">
        <f t="shared" si="70"/>
        <v>0</v>
      </c>
      <c r="BY176" s="52">
        <f t="shared" si="71"/>
        <v>0</v>
      </c>
      <c r="BZ176" s="66">
        <f t="shared" si="72"/>
        <v>0</v>
      </c>
      <c r="CA176" s="54">
        <f t="shared" si="73"/>
        <v>0</v>
      </c>
      <c r="CB176" s="55">
        <f t="shared" si="74"/>
        <v>0</v>
      </c>
      <c r="CC176" s="56">
        <f t="shared" si="75"/>
        <v>0</v>
      </c>
      <c r="CD176" s="57">
        <f t="shared" si="79"/>
        <v>-1</v>
      </c>
      <c r="CE176" s="49">
        <v>4</v>
      </c>
      <c r="CF176" s="57" t="e">
        <f t="shared" si="80"/>
        <v>#N/A</v>
      </c>
      <c r="CG176" s="58">
        <f t="shared" si="76"/>
        <v>1</v>
      </c>
      <c r="CH176" s="57">
        <f t="shared" si="77"/>
        <v>64</v>
      </c>
      <c r="CI176" s="59" t="e">
        <f>VLOOKUP(A176,[1]DATA!$A$6:$AI$331,34,0)</f>
        <v>#N/A</v>
      </c>
      <c r="CJ176" s="60" t="e">
        <f>VLOOKUP(A176,[2]CHAMCONG!A$7:CI$333,79,0)</f>
        <v>#N/A</v>
      </c>
      <c r="CK176" s="61" t="e">
        <f t="shared" si="78"/>
        <v>#N/A</v>
      </c>
    </row>
    <row r="177" spans="1:91" s="68" customFormat="1" ht="15.75" customHeight="1" x14ac:dyDescent="0.25">
      <c r="A177" s="63"/>
      <c r="B177" s="64"/>
      <c r="C177" s="45"/>
      <c r="D177" s="46"/>
      <c r="E177" s="47"/>
      <c r="F177" s="48"/>
      <c r="G177" s="49"/>
      <c r="H177" s="51"/>
      <c r="I177" s="50"/>
      <c r="J177" s="51"/>
      <c r="K177" s="50"/>
      <c r="L177" s="51"/>
      <c r="M177" s="50"/>
      <c r="N177" s="51"/>
      <c r="O177" s="50"/>
      <c r="P177" s="51"/>
      <c r="Q177" s="50"/>
      <c r="R177" s="51"/>
      <c r="S177" s="50"/>
      <c r="T177" s="51"/>
      <c r="U177" s="50"/>
      <c r="V177" s="51"/>
      <c r="W177" s="50"/>
      <c r="X177" s="51"/>
      <c r="Y177" s="51"/>
      <c r="Z177" s="51"/>
      <c r="AA177" s="50"/>
      <c r="AB177" s="51"/>
      <c r="AC177" s="50"/>
      <c r="AD177" s="51"/>
      <c r="AE177" s="51"/>
      <c r="AF177" s="51"/>
      <c r="AG177" s="49"/>
      <c r="AH177" s="51"/>
      <c r="AI177" s="49"/>
      <c r="AJ177" s="51"/>
      <c r="AK177" s="49"/>
      <c r="AL177" s="51"/>
      <c r="AM177" s="49"/>
      <c r="AN177" s="51"/>
      <c r="AO177" s="49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2">
        <f t="shared" si="64"/>
        <v>0</v>
      </c>
      <c r="BR177" s="52">
        <f t="shared" si="65"/>
        <v>0</v>
      </c>
      <c r="BS177" s="52">
        <f t="shared" si="66"/>
        <v>0</v>
      </c>
      <c r="BT177" s="52">
        <f t="shared" si="67"/>
        <v>0</v>
      </c>
      <c r="BU177" s="52">
        <f t="shared" si="68"/>
        <v>0</v>
      </c>
      <c r="BV177" s="65"/>
      <c r="BW177" s="52">
        <f t="shared" si="69"/>
        <v>0</v>
      </c>
      <c r="BX177" s="52">
        <f t="shared" si="70"/>
        <v>0</v>
      </c>
      <c r="BY177" s="52">
        <f t="shared" si="71"/>
        <v>0</v>
      </c>
      <c r="BZ177" s="66">
        <f t="shared" si="72"/>
        <v>0</v>
      </c>
      <c r="CA177" s="54">
        <f t="shared" si="73"/>
        <v>0</v>
      </c>
      <c r="CB177" s="55">
        <f t="shared" si="74"/>
        <v>0</v>
      </c>
      <c r="CC177" s="56">
        <f t="shared" si="75"/>
        <v>0</v>
      </c>
      <c r="CD177" s="57">
        <f t="shared" si="79"/>
        <v>-1</v>
      </c>
      <c r="CE177" s="49">
        <v>1</v>
      </c>
      <c r="CF177" s="57" t="e">
        <f t="shared" si="80"/>
        <v>#N/A</v>
      </c>
      <c r="CG177" s="58">
        <f t="shared" si="76"/>
        <v>1</v>
      </c>
      <c r="CH177" s="57">
        <f t="shared" si="77"/>
        <v>16</v>
      </c>
      <c r="CI177" s="59" t="e">
        <f>VLOOKUP(A177,[1]DATA!$A$6:$AI$331,34,0)</f>
        <v>#N/A</v>
      </c>
      <c r="CJ177" s="60" t="e">
        <f>VLOOKUP(A177,[2]CHAMCONG!A$7:CI$333,79,0)</f>
        <v>#N/A</v>
      </c>
      <c r="CK177" s="61" t="e">
        <f t="shared" si="78"/>
        <v>#N/A</v>
      </c>
      <c r="CL177" s="62"/>
      <c r="CM177" s="62"/>
    </row>
    <row r="178" spans="1:91" s="62" customFormat="1" ht="15.75" customHeight="1" x14ac:dyDescent="0.25">
      <c r="A178" s="63"/>
      <c r="B178" s="64"/>
      <c r="C178" s="45"/>
      <c r="D178" s="46"/>
      <c r="E178" s="47"/>
      <c r="F178" s="48"/>
      <c r="G178" s="49"/>
      <c r="H178" s="51"/>
      <c r="I178" s="50"/>
      <c r="J178" s="51"/>
      <c r="K178" s="50"/>
      <c r="L178" s="51"/>
      <c r="M178" s="50"/>
      <c r="N178" s="51"/>
      <c r="O178" s="49"/>
      <c r="P178" s="51"/>
      <c r="Q178" s="49"/>
      <c r="R178" s="51"/>
      <c r="S178" s="49"/>
      <c r="T178" s="51"/>
      <c r="U178" s="49"/>
      <c r="V178" s="51"/>
      <c r="W178" s="49"/>
      <c r="X178" s="51"/>
      <c r="Y178" s="49"/>
      <c r="Z178" s="51"/>
      <c r="AA178" s="51"/>
      <c r="AB178" s="51"/>
      <c r="AC178" s="49"/>
      <c r="AD178" s="51"/>
      <c r="AE178" s="49"/>
      <c r="AF178" s="51"/>
      <c r="AG178" s="49"/>
      <c r="AH178" s="51"/>
      <c r="AI178" s="49"/>
      <c r="AJ178" s="51"/>
      <c r="AK178" s="49"/>
      <c r="AL178" s="51"/>
      <c r="AM178" s="49"/>
      <c r="AN178" s="51"/>
      <c r="AO178" s="51"/>
      <c r="AP178" s="51"/>
      <c r="AQ178" s="49"/>
      <c r="AR178" s="51"/>
      <c r="AS178" s="49"/>
      <c r="AT178" s="51"/>
      <c r="AU178" s="49"/>
      <c r="AV178" s="51"/>
      <c r="AW178" s="51"/>
      <c r="AX178" s="51"/>
      <c r="AY178" s="49"/>
      <c r="AZ178" s="51"/>
      <c r="BA178" s="49"/>
      <c r="BB178" s="51"/>
      <c r="BC178" s="51"/>
      <c r="BD178" s="51"/>
      <c r="BE178" s="49"/>
      <c r="BF178" s="51"/>
      <c r="BG178" s="49"/>
      <c r="BH178" s="51"/>
      <c r="BI178" s="51"/>
      <c r="BJ178" s="51"/>
      <c r="BK178" s="51"/>
      <c r="BL178" s="51"/>
      <c r="BM178" s="51"/>
      <c r="BN178" s="51"/>
      <c r="BO178" s="51"/>
      <c r="BP178" s="51"/>
      <c r="BQ178" s="52">
        <f t="shared" si="64"/>
        <v>0</v>
      </c>
      <c r="BR178" s="52">
        <f t="shared" si="65"/>
        <v>0</v>
      </c>
      <c r="BS178" s="52">
        <f t="shared" si="66"/>
        <v>0</v>
      </c>
      <c r="BT178" s="52">
        <f t="shared" si="67"/>
        <v>0</v>
      </c>
      <c r="BU178" s="52">
        <f t="shared" si="68"/>
        <v>0</v>
      </c>
      <c r="BV178" s="65"/>
      <c r="BW178" s="52">
        <f t="shared" si="69"/>
        <v>0</v>
      </c>
      <c r="BX178" s="52">
        <f t="shared" si="70"/>
        <v>0</v>
      </c>
      <c r="BY178" s="52">
        <f t="shared" si="71"/>
        <v>0</v>
      </c>
      <c r="BZ178" s="66">
        <f t="shared" si="72"/>
        <v>0</v>
      </c>
      <c r="CA178" s="54">
        <f t="shared" si="73"/>
        <v>0</v>
      </c>
      <c r="CB178" s="55">
        <f t="shared" si="74"/>
        <v>0</v>
      </c>
      <c r="CC178" s="56">
        <f t="shared" si="75"/>
        <v>0</v>
      </c>
      <c r="CD178" s="57">
        <f t="shared" si="79"/>
        <v>-1</v>
      </c>
      <c r="CE178" s="49">
        <v>2</v>
      </c>
      <c r="CF178" s="57" t="e">
        <f t="shared" si="80"/>
        <v>#N/A</v>
      </c>
      <c r="CG178" s="58">
        <f t="shared" si="76"/>
        <v>1</v>
      </c>
      <c r="CH178" s="57">
        <f t="shared" si="77"/>
        <v>32</v>
      </c>
      <c r="CI178" s="59" t="e">
        <f>VLOOKUP(A178,[1]DATA!$A$6:$AI$331,34,0)</f>
        <v>#N/A</v>
      </c>
      <c r="CJ178" s="60" t="e">
        <f>VLOOKUP(A178,[2]CHAMCONG!A$7:CI$333,79,0)</f>
        <v>#N/A</v>
      </c>
      <c r="CK178" s="61" t="e">
        <f t="shared" si="78"/>
        <v>#N/A</v>
      </c>
    </row>
    <row r="179" spans="1:91" s="62" customFormat="1" ht="15.75" customHeight="1" x14ac:dyDescent="0.25">
      <c r="A179" s="63"/>
      <c r="B179" s="64"/>
      <c r="C179" s="45"/>
      <c r="D179" s="46"/>
      <c r="E179" s="47"/>
      <c r="F179" s="48"/>
      <c r="G179" s="49"/>
      <c r="H179" s="51"/>
      <c r="I179" s="49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49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2">
        <f t="shared" si="64"/>
        <v>0</v>
      </c>
      <c r="BR179" s="52">
        <f t="shared" si="65"/>
        <v>0</v>
      </c>
      <c r="BS179" s="52">
        <f t="shared" si="66"/>
        <v>0</v>
      </c>
      <c r="BT179" s="52">
        <f t="shared" si="67"/>
        <v>0</v>
      </c>
      <c r="BU179" s="52">
        <f t="shared" si="68"/>
        <v>0</v>
      </c>
      <c r="BV179" s="65"/>
      <c r="BW179" s="52">
        <f t="shared" si="69"/>
        <v>0</v>
      </c>
      <c r="BX179" s="52">
        <f t="shared" si="70"/>
        <v>0</v>
      </c>
      <c r="BY179" s="52">
        <f t="shared" si="71"/>
        <v>0</v>
      </c>
      <c r="BZ179" s="66">
        <f t="shared" si="72"/>
        <v>0</v>
      </c>
      <c r="CA179" s="54">
        <f t="shared" si="73"/>
        <v>0</v>
      </c>
      <c r="CB179" s="55">
        <f t="shared" si="74"/>
        <v>0</v>
      </c>
      <c r="CC179" s="56">
        <f t="shared" si="75"/>
        <v>0</v>
      </c>
      <c r="CD179" s="57">
        <f t="shared" si="79"/>
        <v>-1</v>
      </c>
      <c r="CE179" s="49">
        <v>2</v>
      </c>
      <c r="CF179" s="57" t="e">
        <f t="shared" si="80"/>
        <v>#N/A</v>
      </c>
      <c r="CG179" s="58">
        <f t="shared" si="76"/>
        <v>1</v>
      </c>
      <c r="CH179" s="57">
        <f t="shared" si="77"/>
        <v>32</v>
      </c>
      <c r="CI179" s="59" t="e">
        <f>VLOOKUP(A179,[1]DATA!$A$6:$AI$331,34,0)</f>
        <v>#N/A</v>
      </c>
      <c r="CJ179" s="60" t="e">
        <f>VLOOKUP(A179,[2]CHAMCONG!A$7:CI$333,79,0)</f>
        <v>#N/A</v>
      </c>
      <c r="CK179" s="61" t="e">
        <f t="shared" si="78"/>
        <v>#N/A</v>
      </c>
    </row>
    <row r="180" spans="1:91" s="62" customFormat="1" ht="15.75" customHeight="1" x14ac:dyDescent="0.25">
      <c r="A180" s="63"/>
      <c r="B180" s="64"/>
      <c r="C180" s="45"/>
      <c r="D180" s="46"/>
      <c r="E180" s="47"/>
      <c r="F180" s="48"/>
      <c r="G180" s="49"/>
      <c r="H180" s="51"/>
      <c r="I180" s="50"/>
      <c r="J180" s="51"/>
      <c r="K180" s="50"/>
      <c r="L180" s="51"/>
      <c r="M180" s="50"/>
      <c r="N180" s="51"/>
      <c r="O180" s="50"/>
      <c r="P180" s="51"/>
      <c r="Q180" s="51"/>
      <c r="R180" s="51"/>
      <c r="S180" s="50"/>
      <c r="T180" s="51"/>
      <c r="U180" s="50"/>
      <c r="V180" s="51"/>
      <c r="W180" s="50"/>
      <c r="X180" s="51"/>
      <c r="Y180" s="50"/>
      <c r="Z180" s="51"/>
      <c r="AA180" s="50"/>
      <c r="AB180" s="51"/>
      <c r="AC180" s="50"/>
      <c r="AD180" s="51"/>
      <c r="AE180" s="51"/>
      <c r="AF180" s="51"/>
      <c r="AG180" s="50"/>
      <c r="AH180" s="51"/>
      <c r="AI180" s="50"/>
      <c r="AJ180" s="51"/>
      <c r="AK180" s="50"/>
      <c r="AL180" s="51"/>
      <c r="AM180" s="50"/>
      <c r="AN180" s="51"/>
      <c r="AO180" s="50"/>
      <c r="AP180" s="51"/>
      <c r="AQ180" s="50"/>
      <c r="AR180" s="51"/>
      <c r="AS180" s="51"/>
      <c r="AT180" s="51"/>
      <c r="AU180" s="51"/>
      <c r="AV180" s="51"/>
      <c r="AW180" s="51"/>
      <c r="AX180" s="51"/>
      <c r="AY180" s="50"/>
      <c r="AZ180" s="51"/>
      <c r="BA180" s="51"/>
      <c r="BB180" s="51"/>
      <c r="BC180" s="51"/>
      <c r="BD180" s="51"/>
      <c r="BE180" s="50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2">
        <f t="shared" si="64"/>
        <v>0</v>
      </c>
      <c r="BR180" s="52">
        <f t="shared" si="65"/>
        <v>0</v>
      </c>
      <c r="BS180" s="52">
        <f t="shared" si="66"/>
        <v>0</v>
      </c>
      <c r="BT180" s="52">
        <f t="shared" si="67"/>
        <v>0</v>
      </c>
      <c r="BU180" s="52">
        <f t="shared" si="68"/>
        <v>0</v>
      </c>
      <c r="BV180" s="65"/>
      <c r="BW180" s="52">
        <f t="shared" si="69"/>
        <v>0</v>
      </c>
      <c r="BX180" s="52">
        <f t="shared" si="70"/>
        <v>0</v>
      </c>
      <c r="BY180" s="52">
        <f t="shared" si="71"/>
        <v>0</v>
      </c>
      <c r="BZ180" s="66">
        <f t="shared" si="72"/>
        <v>0</v>
      </c>
      <c r="CA180" s="54">
        <f t="shared" si="73"/>
        <v>0</v>
      </c>
      <c r="CB180" s="55">
        <f t="shared" si="74"/>
        <v>0</v>
      </c>
      <c r="CC180" s="56">
        <f t="shared" si="75"/>
        <v>0</v>
      </c>
      <c r="CD180" s="57">
        <f t="shared" si="79"/>
        <v>-1</v>
      </c>
      <c r="CE180" s="49"/>
      <c r="CF180" s="57" t="e">
        <f t="shared" si="80"/>
        <v>#N/A</v>
      </c>
      <c r="CG180" s="58">
        <f t="shared" si="76"/>
        <v>1</v>
      </c>
      <c r="CH180" s="57">
        <f t="shared" si="77"/>
        <v>0</v>
      </c>
      <c r="CI180" s="59" t="e">
        <f>VLOOKUP(A180,[1]DATA!$A$6:$AI$331,34,0)</f>
        <v>#N/A</v>
      </c>
      <c r="CJ180" s="60" t="e">
        <f>VLOOKUP(A180,[2]CHAMCONG!A$7:CI$333,79,0)</f>
        <v>#N/A</v>
      </c>
      <c r="CK180" s="61" t="e">
        <f t="shared" si="78"/>
        <v>#N/A</v>
      </c>
    </row>
    <row r="181" spans="1:91" s="62" customFormat="1" ht="15.75" customHeight="1" x14ac:dyDescent="0.25">
      <c r="A181" s="63"/>
      <c r="B181" s="64"/>
      <c r="C181" s="45"/>
      <c r="D181" s="46"/>
      <c r="E181" s="47"/>
      <c r="F181" s="48"/>
      <c r="G181" s="49"/>
      <c r="H181" s="51"/>
      <c r="I181" s="50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49"/>
      <c r="V181" s="51"/>
      <c r="W181" s="51"/>
      <c r="X181" s="51"/>
      <c r="Y181" s="51"/>
      <c r="Z181" s="51"/>
      <c r="AA181" s="51"/>
      <c r="AB181" s="51"/>
      <c r="AC181" s="50"/>
      <c r="AD181" s="51"/>
      <c r="AE181" s="50"/>
      <c r="AF181" s="67"/>
      <c r="AG181" s="50"/>
      <c r="AH181" s="51"/>
      <c r="AI181" s="50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2">
        <f t="shared" si="64"/>
        <v>0</v>
      </c>
      <c r="BR181" s="52">
        <f t="shared" si="65"/>
        <v>0</v>
      </c>
      <c r="BS181" s="52">
        <f t="shared" si="66"/>
        <v>0</v>
      </c>
      <c r="BT181" s="52">
        <f t="shared" si="67"/>
        <v>0</v>
      </c>
      <c r="BU181" s="52">
        <f t="shared" si="68"/>
        <v>0</v>
      </c>
      <c r="BV181" s="65"/>
      <c r="BW181" s="52">
        <f t="shared" si="69"/>
        <v>0</v>
      </c>
      <c r="BX181" s="52">
        <f t="shared" si="70"/>
        <v>0</v>
      </c>
      <c r="BY181" s="52">
        <f t="shared" si="71"/>
        <v>0</v>
      </c>
      <c r="BZ181" s="66">
        <f t="shared" si="72"/>
        <v>0</v>
      </c>
      <c r="CA181" s="54">
        <f t="shared" si="73"/>
        <v>0</v>
      </c>
      <c r="CB181" s="55">
        <f t="shared" si="74"/>
        <v>0</v>
      </c>
      <c r="CC181" s="56">
        <f t="shared" si="75"/>
        <v>0</v>
      </c>
      <c r="CD181" s="57">
        <f t="shared" si="79"/>
        <v>-1</v>
      </c>
      <c r="CE181" s="49"/>
      <c r="CF181" s="57" t="e">
        <f t="shared" si="80"/>
        <v>#N/A</v>
      </c>
      <c r="CG181" s="58">
        <f t="shared" si="76"/>
        <v>1</v>
      </c>
      <c r="CH181" s="57">
        <f t="shared" si="77"/>
        <v>0</v>
      </c>
      <c r="CI181" s="59" t="e">
        <f>VLOOKUP(A181,[1]DATA!$A$6:$AI$331,34,0)</f>
        <v>#N/A</v>
      </c>
      <c r="CJ181" s="60" t="e">
        <f>VLOOKUP(A181,[2]CHAMCONG!A$7:CI$333,79,0)</f>
        <v>#N/A</v>
      </c>
      <c r="CK181" s="61" t="e">
        <f t="shared" si="78"/>
        <v>#N/A</v>
      </c>
    </row>
    <row r="182" spans="1:91" s="62" customFormat="1" ht="15.75" customHeight="1" x14ac:dyDescent="0.25">
      <c r="A182" s="63"/>
      <c r="B182" s="64"/>
      <c r="C182" s="45"/>
      <c r="D182" s="46"/>
      <c r="E182" s="47"/>
      <c r="F182" s="48"/>
      <c r="G182" s="49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49"/>
      <c r="AF182" s="51"/>
      <c r="AG182" s="50"/>
      <c r="AH182" s="51"/>
      <c r="AI182" s="51"/>
      <c r="AJ182" s="51"/>
      <c r="AK182" s="50"/>
      <c r="AL182" s="51"/>
      <c r="AM182" s="50"/>
      <c r="AN182" s="51"/>
      <c r="AO182" s="50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2">
        <f t="shared" si="64"/>
        <v>0</v>
      </c>
      <c r="BR182" s="52">
        <f t="shared" si="65"/>
        <v>0</v>
      </c>
      <c r="BS182" s="52">
        <f t="shared" si="66"/>
        <v>0</v>
      </c>
      <c r="BT182" s="52">
        <f t="shared" si="67"/>
        <v>0</v>
      </c>
      <c r="BU182" s="52">
        <f t="shared" si="68"/>
        <v>0</v>
      </c>
      <c r="BV182" s="65"/>
      <c r="BW182" s="52">
        <f t="shared" si="69"/>
        <v>0</v>
      </c>
      <c r="BX182" s="52">
        <f t="shared" si="70"/>
        <v>0</v>
      </c>
      <c r="BY182" s="52">
        <f t="shared" si="71"/>
        <v>0</v>
      </c>
      <c r="BZ182" s="66">
        <f t="shared" si="72"/>
        <v>0</v>
      </c>
      <c r="CA182" s="54">
        <f t="shared" si="73"/>
        <v>0</v>
      </c>
      <c r="CB182" s="55">
        <f t="shared" si="74"/>
        <v>0</v>
      </c>
      <c r="CC182" s="56">
        <f t="shared" si="75"/>
        <v>0</v>
      </c>
      <c r="CD182" s="57">
        <f t="shared" si="79"/>
        <v>-1</v>
      </c>
      <c r="CE182" s="49">
        <v>3</v>
      </c>
      <c r="CF182" s="57" t="e">
        <f t="shared" si="80"/>
        <v>#N/A</v>
      </c>
      <c r="CG182" s="58">
        <f t="shared" si="76"/>
        <v>1</v>
      </c>
      <c r="CH182" s="57">
        <f t="shared" si="77"/>
        <v>48</v>
      </c>
      <c r="CI182" s="59" t="e">
        <f>VLOOKUP(A182,[1]DATA!$A$6:$AI$331,34,0)</f>
        <v>#N/A</v>
      </c>
      <c r="CJ182" s="60" t="e">
        <f>VLOOKUP(A182,[2]CHAMCONG!A$7:CI$333,79,0)</f>
        <v>#N/A</v>
      </c>
      <c r="CK182" s="61" t="e">
        <f t="shared" si="78"/>
        <v>#N/A</v>
      </c>
    </row>
    <row r="183" spans="1:91" s="68" customFormat="1" ht="15.75" customHeight="1" x14ac:dyDescent="0.25">
      <c r="A183" s="63"/>
      <c r="B183" s="44"/>
      <c r="C183" s="76"/>
      <c r="D183" s="46"/>
      <c r="E183" s="47"/>
      <c r="F183" s="48"/>
      <c r="G183" s="49"/>
      <c r="H183" s="51"/>
      <c r="I183" s="50"/>
      <c r="J183" s="51"/>
      <c r="K183" s="50"/>
      <c r="L183" s="51"/>
      <c r="M183" s="51"/>
      <c r="N183" s="51"/>
      <c r="O183" s="50"/>
      <c r="P183" s="51"/>
      <c r="Q183" s="49"/>
      <c r="R183" s="51"/>
      <c r="S183" s="50"/>
      <c r="T183" s="51"/>
      <c r="U183" s="49"/>
      <c r="V183" s="51"/>
      <c r="W183" s="50"/>
      <c r="X183" s="51"/>
      <c r="Y183" s="50"/>
      <c r="Z183" s="51"/>
      <c r="AA183" s="50"/>
      <c r="AB183" s="51"/>
      <c r="AC183" s="50"/>
      <c r="AD183" s="51"/>
      <c r="AE183" s="50"/>
      <c r="AF183" s="67"/>
      <c r="AG183" s="50"/>
      <c r="AH183" s="51"/>
      <c r="AI183" s="50"/>
      <c r="AJ183" s="51"/>
      <c r="AK183" s="50"/>
      <c r="AL183" s="51"/>
      <c r="AM183" s="50"/>
      <c r="AN183" s="51"/>
      <c r="AO183" s="50"/>
      <c r="AP183" s="51"/>
      <c r="AQ183" s="49"/>
      <c r="AR183" s="51"/>
      <c r="AS183" s="49"/>
      <c r="AT183" s="51"/>
      <c r="AU183" s="49"/>
      <c r="AV183" s="51"/>
      <c r="AW183" s="49"/>
      <c r="AX183" s="51"/>
      <c r="AY183" s="49"/>
      <c r="AZ183" s="51"/>
      <c r="BA183" s="49"/>
      <c r="BB183" s="51"/>
      <c r="BC183" s="51"/>
      <c r="BD183" s="51"/>
      <c r="BE183" s="49"/>
      <c r="BF183" s="51"/>
      <c r="BG183" s="49"/>
      <c r="BH183" s="51"/>
      <c r="BI183" s="51"/>
      <c r="BJ183" s="51"/>
      <c r="BK183" s="51"/>
      <c r="BL183" s="51"/>
      <c r="BM183" s="51"/>
      <c r="BN183" s="51"/>
      <c r="BO183" s="51"/>
      <c r="BP183" s="51"/>
      <c r="BQ183" s="52">
        <f t="shared" si="64"/>
        <v>0</v>
      </c>
      <c r="BR183" s="52">
        <f t="shared" si="65"/>
        <v>0</v>
      </c>
      <c r="BS183" s="52">
        <f t="shared" si="66"/>
        <v>0</v>
      </c>
      <c r="BT183" s="52">
        <f t="shared" si="67"/>
        <v>0</v>
      </c>
      <c r="BU183" s="52">
        <f t="shared" si="68"/>
        <v>0</v>
      </c>
      <c r="BV183" s="65"/>
      <c r="BW183" s="52">
        <f t="shared" si="69"/>
        <v>0</v>
      </c>
      <c r="BX183" s="52">
        <f t="shared" si="70"/>
        <v>0</v>
      </c>
      <c r="BY183" s="52">
        <f t="shared" si="71"/>
        <v>0</v>
      </c>
      <c r="BZ183" s="66">
        <f t="shared" si="72"/>
        <v>0</v>
      </c>
      <c r="CA183" s="54">
        <f t="shared" si="73"/>
        <v>0</v>
      </c>
      <c r="CB183" s="55">
        <f t="shared" si="74"/>
        <v>0</v>
      </c>
      <c r="CC183" s="56">
        <f t="shared" si="75"/>
        <v>0</v>
      </c>
      <c r="CD183" s="57">
        <f t="shared" si="79"/>
        <v>-1</v>
      </c>
      <c r="CE183" s="49">
        <v>1</v>
      </c>
      <c r="CF183" s="57" t="e">
        <f t="shared" si="80"/>
        <v>#N/A</v>
      </c>
      <c r="CG183" s="58">
        <f t="shared" si="76"/>
        <v>1</v>
      </c>
      <c r="CH183" s="57">
        <f t="shared" si="77"/>
        <v>16</v>
      </c>
      <c r="CI183" s="59" t="e">
        <f>VLOOKUP(A183,[1]DATA!$A$6:$AI$331,34,0)</f>
        <v>#N/A</v>
      </c>
      <c r="CJ183" s="60" t="e">
        <f>VLOOKUP(A183,[2]CHAMCONG!A$7:CI$333,79,0)</f>
        <v>#N/A</v>
      </c>
      <c r="CK183" s="61" t="e">
        <f t="shared" si="78"/>
        <v>#N/A</v>
      </c>
      <c r="CL183" s="62"/>
      <c r="CM183" s="62"/>
    </row>
    <row r="184" spans="1:91" s="62" customFormat="1" ht="15.75" customHeight="1" x14ac:dyDescent="0.25">
      <c r="A184" s="63"/>
      <c r="B184" s="64"/>
      <c r="C184" s="45"/>
      <c r="D184" s="46"/>
      <c r="E184" s="47"/>
      <c r="F184" s="48"/>
      <c r="G184" s="49"/>
      <c r="H184" s="51"/>
      <c r="I184" s="50"/>
      <c r="J184" s="51"/>
      <c r="K184" s="49"/>
      <c r="L184" s="51"/>
      <c r="M184" s="51"/>
      <c r="N184" s="51"/>
      <c r="O184" s="50"/>
      <c r="P184" s="51"/>
      <c r="Q184" s="49"/>
      <c r="R184" s="51"/>
      <c r="S184" s="50"/>
      <c r="T184" s="51"/>
      <c r="U184" s="50"/>
      <c r="V184" s="51"/>
      <c r="W184" s="50"/>
      <c r="X184" s="51"/>
      <c r="Y184" s="50"/>
      <c r="Z184" s="51"/>
      <c r="AA184" s="50"/>
      <c r="AB184" s="51"/>
      <c r="AC184" s="50"/>
      <c r="AD184" s="51"/>
      <c r="AE184" s="50"/>
      <c r="AF184" s="67"/>
      <c r="AG184" s="50"/>
      <c r="AH184" s="51"/>
      <c r="AI184" s="50"/>
      <c r="AJ184" s="51"/>
      <c r="AK184" s="50"/>
      <c r="AL184" s="51"/>
      <c r="AM184" s="50"/>
      <c r="AN184" s="51"/>
      <c r="AO184" s="50"/>
      <c r="AP184" s="51"/>
      <c r="AQ184" s="50"/>
      <c r="AR184" s="51"/>
      <c r="AS184" s="49"/>
      <c r="AT184" s="51"/>
      <c r="AU184" s="49"/>
      <c r="AV184" s="51"/>
      <c r="AW184" s="49"/>
      <c r="AX184" s="51"/>
      <c r="AY184" s="49"/>
      <c r="AZ184" s="51"/>
      <c r="BA184" s="49"/>
      <c r="BB184" s="51"/>
      <c r="BC184" s="51"/>
      <c r="BD184" s="51"/>
      <c r="BE184" s="49"/>
      <c r="BF184" s="51"/>
      <c r="BG184" s="49"/>
      <c r="BH184" s="51"/>
      <c r="BI184" s="51"/>
      <c r="BJ184" s="51"/>
      <c r="BK184" s="51"/>
      <c r="BL184" s="51"/>
      <c r="BM184" s="51"/>
      <c r="BN184" s="51"/>
      <c r="BO184" s="51"/>
      <c r="BP184" s="51"/>
      <c r="BQ184" s="52">
        <f t="shared" si="64"/>
        <v>0</v>
      </c>
      <c r="BR184" s="52">
        <f t="shared" si="65"/>
        <v>0</v>
      </c>
      <c r="BS184" s="52">
        <f t="shared" si="66"/>
        <v>0</v>
      </c>
      <c r="BT184" s="52">
        <f t="shared" si="67"/>
        <v>0</v>
      </c>
      <c r="BU184" s="52">
        <f t="shared" si="68"/>
        <v>0</v>
      </c>
      <c r="BV184" s="65"/>
      <c r="BW184" s="52">
        <f t="shared" si="69"/>
        <v>0</v>
      </c>
      <c r="BX184" s="52">
        <f t="shared" si="70"/>
        <v>0</v>
      </c>
      <c r="BY184" s="52">
        <f t="shared" si="71"/>
        <v>0</v>
      </c>
      <c r="BZ184" s="66">
        <f t="shared" si="72"/>
        <v>0</v>
      </c>
      <c r="CA184" s="54">
        <f t="shared" si="73"/>
        <v>0</v>
      </c>
      <c r="CB184" s="55">
        <f t="shared" si="74"/>
        <v>0</v>
      </c>
      <c r="CC184" s="56">
        <f t="shared" si="75"/>
        <v>0</v>
      </c>
      <c r="CD184" s="57">
        <f t="shared" si="79"/>
        <v>-1</v>
      </c>
      <c r="CE184" s="49">
        <v>1</v>
      </c>
      <c r="CF184" s="57" t="e">
        <f t="shared" si="80"/>
        <v>#N/A</v>
      </c>
      <c r="CG184" s="58">
        <f t="shared" si="76"/>
        <v>1</v>
      </c>
      <c r="CH184" s="57">
        <f t="shared" si="77"/>
        <v>16</v>
      </c>
      <c r="CI184" s="59" t="e">
        <f>VLOOKUP(A184,[1]DATA!$A$6:$AI$331,34,0)</f>
        <v>#N/A</v>
      </c>
      <c r="CJ184" s="60" t="e">
        <f>VLOOKUP(A184,[2]CHAMCONG!A$7:CI$333,79,0)</f>
        <v>#N/A</v>
      </c>
      <c r="CK184" s="61" t="e">
        <f t="shared" si="78"/>
        <v>#N/A</v>
      </c>
    </row>
    <row r="185" spans="1:91" s="62" customFormat="1" ht="15.75" customHeight="1" x14ac:dyDescent="0.25">
      <c r="A185" s="63"/>
      <c r="B185" s="64"/>
      <c r="C185" s="45"/>
      <c r="D185" s="46"/>
      <c r="E185" s="47"/>
      <c r="F185" s="48"/>
      <c r="G185" s="49"/>
      <c r="H185" s="51"/>
      <c r="I185" s="67"/>
      <c r="J185" s="51"/>
      <c r="K185" s="67"/>
      <c r="L185" s="51"/>
      <c r="M185" s="67"/>
      <c r="N185" s="51"/>
      <c r="O185" s="67"/>
      <c r="P185" s="51"/>
      <c r="Q185" s="51"/>
      <c r="R185" s="51"/>
      <c r="S185" s="67"/>
      <c r="T185" s="51"/>
      <c r="U185" s="67"/>
      <c r="V185" s="51"/>
      <c r="W185" s="67"/>
      <c r="X185" s="51"/>
      <c r="Y185" s="67"/>
      <c r="Z185" s="51"/>
      <c r="AA185" s="67"/>
      <c r="AB185" s="51"/>
      <c r="AC185" s="67"/>
      <c r="AD185" s="51"/>
      <c r="AE185" s="51"/>
      <c r="AF185" s="51"/>
      <c r="AG185" s="67"/>
      <c r="AH185" s="51"/>
      <c r="AI185" s="67"/>
      <c r="AJ185" s="51"/>
      <c r="AK185" s="67"/>
      <c r="AL185" s="51"/>
      <c r="AM185" s="67"/>
      <c r="AN185" s="51"/>
      <c r="AO185" s="67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2">
        <f t="shared" si="64"/>
        <v>0</v>
      </c>
      <c r="BR185" s="52">
        <f t="shared" si="65"/>
        <v>0</v>
      </c>
      <c r="BS185" s="52">
        <f t="shared" si="66"/>
        <v>0</v>
      </c>
      <c r="BT185" s="52">
        <f t="shared" si="67"/>
        <v>0</v>
      </c>
      <c r="BU185" s="52">
        <f t="shared" si="68"/>
        <v>0</v>
      </c>
      <c r="BV185" s="65"/>
      <c r="BW185" s="52">
        <f t="shared" si="69"/>
        <v>0</v>
      </c>
      <c r="BX185" s="52">
        <f t="shared" si="70"/>
        <v>0</v>
      </c>
      <c r="BY185" s="52">
        <f t="shared" si="71"/>
        <v>0</v>
      </c>
      <c r="BZ185" s="66">
        <f t="shared" si="72"/>
        <v>0</v>
      </c>
      <c r="CA185" s="54">
        <f t="shared" si="73"/>
        <v>0</v>
      </c>
      <c r="CB185" s="55">
        <f t="shared" si="74"/>
        <v>0</v>
      </c>
      <c r="CC185" s="56">
        <f t="shared" si="75"/>
        <v>0</v>
      </c>
      <c r="CD185" s="57">
        <f t="shared" si="79"/>
        <v>-1</v>
      </c>
      <c r="CE185" s="49"/>
      <c r="CF185" s="57" t="e">
        <f t="shared" si="80"/>
        <v>#N/A</v>
      </c>
      <c r="CG185" s="58">
        <f t="shared" si="76"/>
        <v>1</v>
      </c>
      <c r="CH185" s="57">
        <f t="shared" si="77"/>
        <v>0</v>
      </c>
      <c r="CI185" s="59" t="e">
        <f>VLOOKUP(A185,[1]DATA!$A$6:$AI$331,34,0)</f>
        <v>#N/A</v>
      </c>
      <c r="CJ185" s="60" t="e">
        <f>VLOOKUP(A185,[2]CHAMCONG!A$7:CI$333,79,0)</f>
        <v>#N/A</v>
      </c>
      <c r="CK185" s="61" t="e">
        <f t="shared" si="78"/>
        <v>#N/A</v>
      </c>
    </row>
    <row r="186" spans="1:91" s="62" customFormat="1" ht="15.75" customHeight="1" x14ac:dyDescent="0.25">
      <c r="A186" s="63"/>
      <c r="B186" s="64"/>
      <c r="C186" s="45"/>
      <c r="D186" s="46"/>
      <c r="E186" s="47"/>
      <c r="F186" s="48"/>
      <c r="G186" s="49"/>
      <c r="H186" s="51"/>
      <c r="I186" s="50"/>
      <c r="J186" s="51"/>
      <c r="K186" s="51"/>
      <c r="L186" s="51"/>
      <c r="M186" s="51"/>
      <c r="N186" s="51"/>
      <c r="O186" s="50"/>
      <c r="P186" s="51"/>
      <c r="Q186" s="51"/>
      <c r="R186" s="51"/>
      <c r="S186" s="51"/>
      <c r="T186" s="51"/>
      <c r="U186" s="49"/>
      <c r="V186" s="51"/>
      <c r="W186" s="50"/>
      <c r="X186" s="51"/>
      <c r="Y186" s="51"/>
      <c r="Z186" s="51"/>
      <c r="AA186" s="51"/>
      <c r="AB186" s="51"/>
      <c r="AC186" s="50"/>
      <c r="AD186" s="51"/>
      <c r="AE186" s="51"/>
      <c r="AF186" s="51"/>
      <c r="AG186" s="51"/>
      <c r="AH186" s="51"/>
      <c r="AI186" s="51"/>
      <c r="AJ186" s="51"/>
      <c r="AK186" s="50"/>
      <c r="AL186" s="51"/>
      <c r="AM186" s="51"/>
      <c r="AN186" s="51"/>
      <c r="AO186" s="51"/>
      <c r="AP186" s="51"/>
      <c r="AQ186" s="50"/>
      <c r="AR186" s="51"/>
      <c r="AS186" s="51"/>
      <c r="AT186" s="51"/>
      <c r="AU186" s="51"/>
      <c r="AV186" s="51"/>
      <c r="AW186" s="51"/>
      <c r="AX186" s="51"/>
      <c r="AY186" s="50"/>
      <c r="AZ186" s="51"/>
      <c r="BA186" s="51"/>
      <c r="BB186" s="51"/>
      <c r="BC186" s="51"/>
      <c r="BD186" s="51"/>
      <c r="BE186" s="50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2">
        <f t="shared" si="64"/>
        <v>0</v>
      </c>
      <c r="BR186" s="52">
        <f t="shared" si="65"/>
        <v>0</v>
      </c>
      <c r="BS186" s="52">
        <f t="shared" si="66"/>
        <v>0</v>
      </c>
      <c r="BT186" s="52">
        <f t="shared" si="67"/>
        <v>0</v>
      </c>
      <c r="BU186" s="52">
        <f t="shared" si="68"/>
        <v>0</v>
      </c>
      <c r="BV186" s="65"/>
      <c r="BW186" s="52">
        <f t="shared" si="69"/>
        <v>0</v>
      </c>
      <c r="BX186" s="52">
        <f t="shared" si="70"/>
        <v>0</v>
      </c>
      <c r="BY186" s="52">
        <f t="shared" si="71"/>
        <v>0</v>
      </c>
      <c r="BZ186" s="66">
        <f t="shared" si="72"/>
        <v>0</v>
      </c>
      <c r="CA186" s="54">
        <f t="shared" si="73"/>
        <v>0</v>
      </c>
      <c r="CB186" s="55">
        <f t="shared" si="74"/>
        <v>0</v>
      </c>
      <c r="CC186" s="56">
        <f t="shared" si="75"/>
        <v>0</v>
      </c>
      <c r="CD186" s="57">
        <f t="shared" si="79"/>
        <v>-1</v>
      </c>
      <c r="CE186" s="49"/>
      <c r="CF186" s="57" t="e">
        <f t="shared" si="80"/>
        <v>#N/A</v>
      </c>
      <c r="CG186" s="58">
        <f t="shared" si="76"/>
        <v>1</v>
      </c>
      <c r="CH186" s="57">
        <f t="shared" si="77"/>
        <v>0</v>
      </c>
      <c r="CI186" s="59" t="e">
        <f>VLOOKUP(A186,[1]DATA!$A$6:$AI$331,34,0)</f>
        <v>#N/A</v>
      </c>
      <c r="CJ186" s="60" t="e">
        <f>VLOOKUP(A186,[2]CHAMCONG!A$7:CI$333,79,0)</f>
        <v>#N/A</v>
      </c>
      <c r="CK186" s="61" t="e">
        <f t="shared" si="78"/>
        <v>#N/A</v>
      </c>
    </row>
    <row r="187" spans="1:91" s="62" customFormat="1" ht="15.75" customHeight="1" x14ac:dyDescent="0.25">
      <c r="A187" s="63"/>
      <c r="B187" s="64"/>
      <c r="C187" s="45"/>
      <c r="D187" s="46"/>
      <c r="E187" s="47"/>
      <c r="F187" s="48"/>
      <c r="G187" s="49"/>
      <c r="H187" s="51"/>
      <c r="I187" s="50"/>
      <c r="J187" s="51"/>
      <c r="K187" s="51"/>
      <c r="L187" s="51"/>
      <c r="M187" s="51"/>
      <c r="N187" s="51"/>
      <c r="O187" s="50"/>
      <c r="P187" s="51"/>
      <c r="Q187" s="51"/>
      <c r="R187" s="51"/>
      <c r="S187" s="51"/>
      <c r="T187" s="51"/>
      <c r="U187" s="49"/>
      <c r="V187" s="51"/>
      <c r="W187" s="50"/>
      <c r="X187" s="51"/>
      <c r="Y187" s="51"/>
      <c r="Z187" s="51"/>
      <c r="AA187" s="51"/>
      <c r="AB187" s="51"/>
      <c r="AC187" s="50"/>
      <c r="AD187" s="51"/>
      <c r="AE187" s="51"/>
      <c r="AF187" s="51"/>
      <c r="AG187" s="51"/>
      <c r="AH187" s="51"/>
      <c r="AI187" s="51"/>
      <c r="AJ187" s="51"/>
      <c r="AK187" s="50"/>
      <c r="AL187" s="51"/>
      <c r="AM187" s="51"/>
      <c r="AN187" s="51"/>
      <c r="AO187" s="51"/>
      <c r="AP187" s="51"/>
      <c r="AQ187" s="50"/>
      <c r="AR187" s="51"/>
      <c r="AS187" s="51"/>
      <c r="AT187" s="51"/>
      <c r="AU187" s="51"/>
      <c r="AV187" s="51"/>
      <c r="AW187" s="51"/>
      <c r="AX187" s="51"/>
      <c r="AY187" s="50"/>
      <c r="AZ187" s="51"/>
      <c r="BA187" s="51"/>
      <c r="BB187" s="51"/>
      <c r="BC187" s="51"/>
      <c r="BD187" s="51"/>
      <c r="BE187" s="50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2">
        <f t="shared" si="64"/>
        <v>0</v>
      </c>
      <c r="BR187" s="52">
        <f t="shared" si="65"/>
        <v>0</v>
      </c>
      <c r="BS187" s="52">
        <f t="shared" si="66"/>
        <v>0</v>
      </c>
      <c r="BT187" s="52">
        <f t="shared" si="67"/>
        <v>0</v>
      </c>
      <c r="BU187" s="52">
        <f t="shared" si="68"/>
        <v>0</v>
      </c>
      <c r="BV187" s="65"/>
      <c r="BW187" s="52">
        <f t="shared" si="69"/>
        <v>0</v>
      </c>
      <c r="BX187" s="52">
        <f t="shared" si="70"/>
        <v>0</v>
      </c>
      <c r="BY187" s="52">
        <f t="shared" si="71"/>
        <v>0</v>
      </c>
      <c r="BZ187" s="66">
        <f t="shared" si="72"/>
        <v>0</v>
      </c>
      <c r="CA187" s="54">
        <f t="shared" si="73"/>
        <v>0</v>
      </c>
      <c r="CB187" s="55">
        <f t="shared" si="74"/>
        <v>0</v>
      </c>
      <c r="CC187" s="56">
        <f t="shared" si="75"/>
        <v>0</v>
      </c>
      <c r="CD187" s="57">
        <f t="shared" si="79"/>
        <v>-1</v>
      </c>
      <c r="CE187" s="49"/>
      <c r="CF187" s="57" t="e">
        <f t="shared" si="80"/>
        <v>#N/A</v>
      </c>
      <c r="CG187" s="58">
        <f t="shared" si="76"/>
        <v>1</v>
      </c>
      <c r="CH187" s="57">
        <f t="shared" si="77"/>
        <v>0</v>
      </c>
      <c r="CI187" s="59" t="e">
        <f>VLOOKUP(A187,[1]DATA!$A$6:$AI$331,34,0)</f>
        <v>#N/A</v>
      </c>
      <c r="CJ187" s="60" t="e">
        <f>VLOOKUP(A187,[2]CHAMCONG!A$7:CI$333,79,0)</f>
        <v>#N/A</v>
      </c>
      <c r="CK187" s="61" t="e">
        <f t="shared" si="78"/>
        <v>#N/A</v>
      </c>
    </row>
    <row r="188" spans="1:91" s="62" customFormat="1" ht="15.75" customHeight="1" x14ac:dyDescent="0.25">
      <c r="A188" s="63"/>
      <c r="B188" s="64"/>
      <c r="C188" s="45"/>
      <c r="D188" s="46"/>
      <c r="E188" s="47"/>
      <c r="F188" s="48"/>
      <c r="G188" s="49"/>
      <c r="H188" s="51"/>
      <c r="I188" s="50"/>
      <c r="J188" s="51"/>
      <c r="K188" s="50"/>
      <c r="L188" s="51"/>
      <c r="M188" s="50"/>
      <c r="N188" s="51"/>
      <c r="O188" s="50"/>
      <c r="P188" s="51"/>
      <c r="Q188" s="51"/>
      <c r="R188" s="51"/>
      <c r="S188" s="50"/>
      <c r="T188" s="51"/>
      <c r="U188" s="50"/>
      <c r="V188" s="51"/>
      <c r="W188" s="50"/>
      <c r="X188" s="51"/>
      <c r="Y188" s="50"/>
      <c r="Z188" s="51"/>
      <c r="AA188" s="50"/>
      <c r="AB188" s="51"/>
      <c r="AC188" s="50"/>
      <c r="AD188" s="51"/>
      <c r="AE188" s="51"/>
      <c r="AF188" s="51"/>
      <c r="AG188" s="50"/>
      <c r="AH188" s="51"/>
      <c r="AI188" s="50"/>
      <c r="AJ188" s="51"/>
      <c r="AK188" s="50"/>
      <c r="AL188" s="51"/>
      <c r="AM188" s="50"/>
      <c r="AN188" s="51"/>
      <c r="AO188" s="50"/>
      <c r="AP188" s="51"/>
      <c r="AQ188" s="51"/>
      <c r="AR188" s="51"/>
      <c r="AS188" s="51"/>
      <c r="AT188" s="51"/>
      <c r="AU188" s="51"/>
      <c r="AV188" s="51"/>
      <c r="AW188" s="51"/>
      <c r="AX188" s="51"/>
      <c r="AY188" s="50"/>
      <c r="AZ188" s="51"/>
      <c r="BA188" s="50"/>
      <c r="BB188" s="51"/>
      <c r="BC188" s="50"/>
      <c r="BD188" s="51"/>
      <c r="BE188" s="50"/>
      <c r="BF188" s="51"/>
      <c r="BG188" s="50"/>
      <c r="BH188" s="67"/>
      <c r="BI188" s="51"/>
      <c r="BJ188" s="51"/>
      <c r="BK188" s="51"/>
      <c r="BL188" s="51"/>
      <c r="BM188" s="51"/>
      <c r="BN188" s="51"/>
      <c r="BO188" s="51"/>
      <c r="BP188" s="51"/>
      <c r="BQ188" s="52">
        <f t="shared" si="64"/>
        <v>0</v>
      </c>
      <c r="BR188" s="52">
        <f t="shared" si="65"/>
        <v>0</v>
      </c>
      <c r="BS188" s="52">
        <f t="shared" si="66"/>
        <v>0</v>
      </c>
      <c r="BT188" s="52">
        <f t="shared" si="67"/>
        <v>0</v>
      </c>
      <c r="BU188" s="52">
        <f t="shared" si="68"/>
        <v>0</v>
      </c>
      <c r="BV188" s="65"/>
      <c r="BW188" s="52">
        <f t="shared" si="69"/>
        <v>0</v>
      </c>
      <c r="BX188" s="52">
        <f t="shared" si="70"/>
        <v>0</v>
      </c>
      <c r="BY188" s="52">
        <f t="shared" si="71"/>
        <v>0</v>
      </c>
      <c r="BZ188" s="66">
        <f t="shared" si="72"/>
        <v>0</v>
      </c>
      <c r="CA188" s="54">
        <f t="shared" si="73"/>
        <v>0</v>
      </c>
      <c r="CB188" s="55">
        <f t="shared" si="74"/>
        <v>0</v>
      </c>
      <c r="CC188" s="56">
        <f t="shared" si="75"/>
        <v>0</v>
      </c>
      <c r="CD188" s="57">
        <f t="shared" si="79"/>
        <v>-1</v>
      </c>
      <c r="CE188" s="49"/>
      <c r="CF188" s="57" t="e">
        <f t="shared" si="80"/>
        <v>#N/A</v>
      </c>
      <c r="CG188" s="58">
        <f t="shared" si="76"/>
        <v>1</v>
      </c>
      <c r="CH188" s="57">
        <f t="shared" si="77"/>
        <v>0</v>
      </c>
      <c r="CI188" s="59" t="e">
        <f>VLOOKUP(A188,[1]DATA!$A$6:$AI$331,34,0)</f>
        <v>#N/A</v>
      </c>
      <c r="CJ188" s="60" t="e">
        <f>VLOOKUP(A188,[2]CHAMCONG!A$7:CI$333,79,0)</f>
        <v>#N/A</v>
      </c>
      <c r="CK188" s="61" t="e">
        <f t="shared" si="78"/>
        <v>#N/A</v>
      </c>
    </row>
    <row r="189" spans="1:91" s="62" customFormat="1" ht="15.75" customHeight="1" x14ac:dyDescent="0.25">
      <c r="A189" s="63"/>
      <c r="B189" s="64"/>
      <c r="C189" s="45"/>
      <c r="D189" s="46"/>
      <c r="E189" s="47"/>
      <c r="F189" s="48"/>
      <c r="G189" s="49"/>
      <c r="H189" s="51"/>
      <c r="I189" s="49"/>
      <c r="J189" s="51"/>
      <c r="K189" s="49"/>
      <c r="L189" s="51"/>
      <c r="M189" s="49"/>
      <c r="N189" s="51"/>
      <c r="O189" s="49"/>
      <c r="P189" s="51"/>
      <c r="Q189" s="50"/>
      <c r="R189" s="67"/>
      <c r="S189" s="51"/>
      <c r="T189" s="51"/>
      <c r="U189" s="49"/>
      <c r="V189" s="51"/>
      <c r="W189" s="50"/>
      <c r="X189" s="51"/>
      <c r="Y189" s="50"/>
      <c r="Z189" s="51"/>
      <c r="AA189" s="50"/>
      <c r="AB189" s="51"/>
      <c r="AC189" s="50"/>
      <c r="AD189" s="51"/>
      <c r="AE189" s="50"/>
      <c r="AF189" s="67"/>
      <c r="AG189" s="50"/>
      <c r="AH189" s="51"/>
      <c r="AI189" s="51"/>
      <c r="AJ189" s="51"/>
      <c r="AK189" s="50"/>
      <c r="AL189" s="51"/>
      <c r="AM189" s="50"/>
      <c r="AN189" s="51"/>
      <c r="AO189" s="50"/>
      <c r="AP189" s="51"/>
      <c r="AQ189" s="50"/>
      <c r="AR189" s="51"/>
      <c r="AS189" s="50"/>
      <c r="AT189" s="67"/>
      <c r="AU189" s="51"/>
      <c r="AV189" s="51"/>
      <c r="AW189" s="49"/>
      <c r="AX189" s="51"/>
      <c r="AY189" s="50"/>
      <c r="AZ189" s="51"/>
      <c r="BA189" s="50"/>
      <c r="BB189" s="51"/>
      <c r="BC189" s="50"/>
      <c r="BD189" s="51"/>
      <c r="BE189" s="50"/>
      <c r="BF189" s="51"/>
      <c r="BG189" s="50"/>
      <c r="BH189" s="67"/>
      <c r="BI189" s="51"/>
      <c r="BJ189" s="51"/>
      <c r="BK189" s="51"/>
      <c r="BL189" s="51"/>
      <c r="BM189" s="51"/>
      <c r="BN189" s="51"/>
      <c r="BO189" s="51"/>
      <c r="BP189" s="51"/>
      <c r="BQ189" s="52">
        <f t="shared" si="64"/>
        <v>0</v>
      </c>
      <c r="BR189" s="52">
        <f t="shared" si="65"/>
        <v>0</v>
      </c>
      <c r="BS189" s="52">
        <f t="shared" si="66"/>
        <v>0</v>
      </c>
      <c r="BT189" s="52">
        <f t="shared" si="67"/>
        <v>0</v>
      </c>
      <c r="BU189" s="52">
        <f t="shared" si="68"/>
        <v>0</v>
      </c>
      <c r="BV189" s="65"/>
      <c r="BW189" s="52">
        <f t="shared" si="69"/>
        <v>0</v>
      </c>
      <c r="BX189" s="52">
        <f t="shared" si="70"/>
        <v>0</v>
      </c>
      <c r="BY189" s="52">
        <f t="shared" si="71"/>
        <v>0</v>
      </c>
      <c r="BZ189" s="66">
        <f t="shared" si="72"/>
        <v>0</v>
      </c>
      <c r="CA189" s="54">
        <f t="shared" si="73"/>
        <v>0</v>
      </c>
      <c r="CB189" s="55">
        <f t="shared" si="74"/>
        <v>0</v>
      </c>
      <c r="CC189" s="56">
        <f t="shared" si="75"/>
        <v>0</v>
      </c>
      <c r="CD189" s="57">
        <f t="shared" si="79"/>
        <v>-1</v>
      </c>
      <c r="CE189" s="49">
        <v>3</v>
      </c>
      <c r="CF189" s="57" t="e">
        <f t="shared" si="80"/>
        <v>#N/A</v>
      </c>
      <c r="CG189" s="58">
        <f t="shared" si="76"/>
        <v>1</v>
      </c>
      <c r="CH189" s="57">
        <f t="shared" si="77"/>
        <v>48</v>
      </c>
      <c r="CI189" s="59" t="e">
        <f>VLOOKUP(A189,[1]DATA!$A$6:$AI$331,34,0)</f>
        <v>#N/A</v>
      </c>
      <c r="CJ189" s="60" t="e">
        <f>VLOOKUP(A189,[2]CHAMCONG!A$7:CI$333,79,0)</f>
        <v>#N/A</v>
      </c>
      <c r="CK189" s="61" t="e">
        <f t="shared" si="78"/>
        <v>#N/A</v>
      </c>
    </row>
    <row r="190" spans="1:91" s="62" customFormat="1" ht="15.75" customHeight="1" x14ac:dyDescent="0.25">
      <c r="A190" s="63"/>
      <c r="B190" s="64"/>
      <c r="C190" s="45"/>
      <c r="D190" s="46"/>
      <c r="E190" s="47"/>
      <c r="F190" s="48"/>
      <c r="G190" s="49"/>
      <c r="H190" s="51"/>
      <c r="I190" s="49"/>
      <c r="J190" s="51"/>
      <c r="K190" s="49"/>
      <c r="L190" s="51"/>
      <c r="M190" s="49"/>
      <c r="N190" s="51"/>
      <c r="O190" s="49"/>
      <c r="P190" s="51"/>
      <c r="Q190" s="49"/>
      <c r="R190" s="51"/>
      <c r="S190" s="51"/>
      <c r="T190" s="51"/>
      <c r="U190" s="49"/>
      <c r="V190" s="51"/>
      <c r="W190" s="50"/>
      <c r="X190" s="51"/>
      <c r="Y190" s="51"/>
      <c r="Z190" s="51"/>
      <c r="AA190" s="51"/>
      <c r="AB190" s="51"/>
      <c r="AC190" s="51"/>
      <c r="AD190" s="51"/>
      <c r="AE190" s="49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49"/>
      <c r="AR190" s="51"/>
      <c r="AS190" s="49"/>
      <c r="AT190" s="49"/>
      <c r="AU190" s="49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2">
        <f t="shared" si="64"/>
        <v>0</v>
      </c>
      <c r="BR190" s="52">
        <f t="shared" si="65"/>
        <v>0</v>
      </c>
      <c r="BS190" s="52">
        <f t="shared" si="66"/>
        <v>0</v>
      </c>
      <c r="BT190" s="52">
        <f t="shared" si="67"/>
        <v>0</v>
      </c>
      <c r="BU190" s="52">
        <f t="shared" si="68"/>
        <v>0</v>
      </c>
      <c r="BV190" s="65"/>
      <c r="BW190" s="52">
        <f t="shared" si="69"/>
        <v>0</v>
      </c>
      <c r="BX190" s="52">
        <f t="shared" si="70"/>
        <v>0</v>
      </c>
      <c r="BY190" s="52">
        <f t="shared" si="71"/>
        <v>0</v>
      </c>
      <c r="BZ190" s="66">
        <f t="shared" si="72"/>
        <v>0</v>
      </c>
      <c r="CA190" s="54">
        <f t="shared" si="73"/>
        <v>0</v>
      </c>
      <c r="CB190" s="55">
        <f t="shared" si="74"/>
        <v>0</v>
      </c>
      <c r="CC190" s="56">
        <f t="shared" si="75"/>
        <v>0</v>
      </c>
      <c r="CD190" s="57">
        <f t="shared" si="79"/>
        <v>-1</v>
      </c>
      <c r="CE190" s="49"/>
      <c r="CF190" s="57" t="e">
        <f t="shared" si="80"/>
        <v>#N/A</v>
      </c>
      <c r="CG190" s="58">
        <f t="shared" si="76"/>
        <v>1</v>
      </c>
      <c r="CH190" s="57">
        <f t="shared" si="77"/>
        <v>0</v>
      </c>
      <c r="CI190" s="59" t="e">
        <f>VLOOKUP(A190,[1]DATA!$A$6:$AI$331,34,0)</f>
        <v>#N/A</v>
      </c>
      <c r="CJ190" s="60" t="e">
        <f>VLOOKUP(A190,[2]CHAMCONG!A$7:CI$333,79,0)</f>
        <v>#N/A</v>
      </c>
      <c r="CK190" s="61" t="e">
        <f t="shared" si="78"/>
        <v>#N/A</v>
      </c>
    </row>
    <row r="191" spans="1:91" s="62" customFormat="1" ht="15.75" customHeight="1" x14ac:dyDescent="0.25">
      <c r="A191" s="63"/>
      <c r="B191" s="64"/>
      <c r="C191" s="45"/>
      <c r="D191" s="46"/>
      <c r="E191" s="47"/>
      <c r="F191" s="48"/>
      <c r="G191" s="49"/>
      <c r="H191" s="51"/>
      <c r="I191" s="51"/>
      <c r="J191" s="51"/>
      <c r="K191" s="51"/>
      <c r="L191" s="51"/>
      <c r="M191" s="51"/>
      <c r="N191" s="51"/>
      <c r="O191" s="50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0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0"/>
      <c r="AR191" s="51"/>
      <c r="AS191" s="51"/>
      <c r="AT191" s="51"/>
      <c r="AU191" s="51"/>
      <c r="AV191" s="51"/>
      <c r="AW191" s="51"/>
      <c r="AX191" s="51"/>
      <c r="AY191" s="50"/>
      <c r="AZ191" s="51"/>
      <c r="BA191" s="51"/>
      <c r="BB191" s="51"/>
      <c r="BC191" s="51"/>
      <c r="BD191" s="51"/>
      <c r="BE191" s="50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2">
        <f t="shared" si="64"/>
        <v>0</v>
      </c>
      <c r="BR191" s="52">
        <f t="shared" si="65"/>
        <v>0</v>
      </c>
      <c r="BS191" s="52">
        <f t="shared" si="66"/>
        <v>0</v>
      </c>
      <c r="BT191" s="52">
        <f t="shared" si="67"/>
        <v>0</v>
      </c>
      <c r="BU191" s="52">
        <f t="shared" si="68"/>
        <v>0</v>
      </c>
      <c r="BV191" s="65"/>
      <c r="BW191" s="52">
        <f t="shared" si="69"/>
        <v>0</v>
      </c>
      <c r="BX191" s="52">
        <f t="shared" si="70"/>
        <v>0</v>
      </c>
      <c r="BY191" s="52">
        <f t="shared" si="71"/>
        <v>0</v>
      </c>
      <c r="BZ191" s="66">
        <f t="shared" si="72"/>
        <v>0</v>
      </c>
      <c r="CA191" s="54">
        <f t="shared" si="73"/>
        <v>0</v>
      </c>
      <c r="CB191" s="55">
        <f t="shared" si="74"/>
        <v>0</v>
      </c>
      <c r="CC191" s="56">
        <f t="shared" si="75"/>
        <v>0</v>
      </c>
      <c r="CD191" s="57">
        <f t="shared" si="79"/>
        <v>-1</v>
      </c>
      <c r="CE191" s="49"/>
      <c r="CF191" s="57" t="e">
        <f t="shared" si="80"/>
        <v>#N/A</v>
      </c>
      <c r="CG191" s="58">
        <f t="shared" si="76"/>
        <v>1</v>
      </c>
      <c r="CH191" s="57">
        <f t="shared" si="77"/>
        <v>0</v>
      </c>
      <c r="CI191" s="59" t="e">
        <f>VLOOKUP(A191,[1]DATA!$A$6:$AI$331,34,0)</f>
        <v>#N/A</v>
      </c>
      <c r="CJ191" s="60" t="e">
        <f>VLOOKUP(A191,[2]CHAMCONG!A$7:CI$333,79,0)</f>
        <v>#N/A</v>
      </c>
      <c r="CK191" s="61" t="e">
        <f t="shared" si="78"/>
        <v>#N/A</v>
      </c>
    </row>
    <row r="192" spans="1:91" s="62" customFormat="1" ht="15.75" customHeight="1" x14ac:dyDescent="0.25">
      <c r="A192" s="63"/>
      <c r="B192" s="64"/>
      <c r="C192" s="45"/>
      <c r="D192" s="46"/>
      <c r="E192" s="47"/>
      <c r="F192" s="48"/>
      <c r="G192" s="49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49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2">
        <f t="shared" si="64"/>
        <v>0</v>
      </c>
      <c r="BR192" s="52">
        <f t="shared" si="65"/>
        <v>0</v>
      </c>
      <c r="BS192" s="52">
        <f t="shared" si="66"/>
        <v>0</v>
      </c>
      <c r="BT192" s="52">
        <f t="shared" si="67"/>
        <v>0</v>
      </c>
      <c r="BU192" s="52">
        <f t="shared" si="68"/>
        <v>0</v>
      </c>
      <c r="BV192" s="65"/>
      <c r="BW192" s="52">
        <f t="shared" si="69"/>
        <v>0</v>
      </c>
      <c r="BX192" s="52">
        <f t="shared" si="70"/>
        <v>0</v>
      </c>
      <c r="BY192" s="52">
        <f t="shared" si="71"/>
        <v>0</v>
      </c>
      <c r="BZ192" s="66">
        <f t="shared" si="72"/>
        <v>0</v>
      </c>
      <c r="CA192" s="54">
        <f t="shared" si="73"/>
        <v>0</v>
      </c>
      <c r="CB192" s="55">
        <f t="shared" si="74"/>
        <v>0</v>
      </c>
      <c r="CC192" s="56">
        <f t="shared" si="75"/>
        <v>0</v>
      </c>
      <c r="CD192" s="57">
        <f t="shared" si="79"/>
        <v>-1</v>
      </c>
      <c r="CE192" s="49"/>
      <c r="CF192" s="57" t="e">
        <f t="shared" si="80"/>
        <v>#N/A</v>
      </c>
      <c r="CG192" s="58">
        <f t="shared" si="76"/>
        <v>1</v>
      </c>
      <c r="CH192" s="57">
        <f t="shared" si="77"/>
        <v>0</v>
      </c>
      <c r="CI192" s="59" t="e">
        <f>VLOOKUP(A192,[1]DATA!$A$6:$AI$331,34,0)</f>
        <v>#N/A</v>
      </c>
      <c r="CJ192" s="60" t="e">
        <f>VLOOKUP(A192,[2]CHAMCONG!A$7:CI$333,79,0)</f>
        <v>#N/A</v>
      </c>
      <c r="CK192" s="61" t="e">
        <f t="shared" si="78"/>
        <v>#N/A</v>
      </c>
    </row>
    <row r="193" spans="1:91" s="62" customFormat="1" ht="15.75" customHeight="1" x14ac:dyDescent="0.25">
      <c r="A193" s="63"/>
      <c r="B193" s="64"/>
      <c r="C193" s="45"/>
      <c r="D193" s="46"/>
      <c r="E193" s="47"/>
      <c r="F193" s="48"/>
      <c r="G193" s="49"/>
      <c r="H193" s="51"/>
      <c r="I193" s="50"/>
      <c r="J193" s="51"/>
      <c r="K193" s="50"/>
      <c r="L193" s="51"/>
      <c r="M193" s="50"/>
      <c r="N193" s="51"/>
      <c r="O193" s="50"/>
      <c r="P193" s="51"/>
      <c r="Q193" s="50"/>
      <c r="R193" s="67"/>
      <c r="S193" s="50"/>
      <c r="T193" s="51"/>
      <c r="U193" s="50"/>
      <c r="V193" s="51"/>
      <c r="W193" s="50"/>
      <c r="X193" s="51"/>
      <c r="Y193" s="50"/>
      <c r="Z193" s="51"/>
      <c r="AA193" s="50"/>
      <c r="AB193" s="51"/>
      <c r="AC193" s="50"/>
      <c r="AD193" s="51"/>
      <c r="AE193" s="50"/>
      <c r="AF193" s="67"/>
      <c r="AG193" s="50"/>
      <c r="AH193" s="51"/>
      <c r="AI193" s="50"/>
      <c r="AJ193" s="51"/>
      <c r="AK193" s="50"/>
      <c r="AL193" s="51"/>
      <c r="AM193" s="50"/>
      <c r="AN193" s="51"/>
      <c r="AO193" s="50"/>
      <c r="AP193" s="51"/>
      <c r="AQ193" s="50"/>
      <c r="AR193" s="51"/>
      <c r="AS193" s="50"/>
      <c r="AT193" s="67"/>
      <c r="AU193" s="50"/>
      <c r="AV193" s="51"/>
      <c r="AW193" s="51"/>
      <c r="AX193" s="51"/>
      <c r="AY193" s="50"/>
      <c r="AZ193" s="51"/>
      <c r="BA193" s="50"/>
      <c r="BB193" s="51"/>
      <c r="BC193" s="50"/>
      <c r="BD193" s="51"/>
      <c r="BE193" s="50"/>
      <c r="BF193" s="51"/>
      <c r="BG193" s="50"/>
      <c r="BH193" s="67"/>
      <c r="BI193" s="51"/>
      <c r="BJ193" s="51"/>
      <c r="BK193" s="51"/>
      <c r="BL193" s="51"/>
      <c r="BM193" s="51"/>
      <c r="BN193" s="51"/>
      <c r="BO193" s="51"/>
      <c r="BP193" s="51"/>
      <c r="BQ193" s="52">
        <f t="shared" si="64"/>
        <v>0</v>
      </c>
      <c r="BR193" s="52">
        <f t="shared" si="65"/>
        <v>0</v>
      </c>
      <c r="BS193" s="52">
        <f t="shared" si="66"/>
        <v>0</v>
      </c>
      <c r="BT193" s="52">
        <f t="shared" si="67"/>
        <v>0</v>
      </c>
      <c r="BU193" s="52">
        <f t="shared" si="68"/>
        <v>0</v>
      </c>
      <c r="BV193" s="65"/>
      <c r="BW193" s="52">
        <f t="shared" si="69"/>
        <v>0</v>
      </c>
      <c r="BX193" s="52">
        <f t="shared" si="70"/>
        <v>0</v>
      </c>
      <c r="BY193" s="52">
        <f t="shared" si="71"/>
        <v>0</v>
      </c>
      <c r="BZ193" s="66">
        <f>SUBTOTAL(9,BQ193:BY193)</f>
        <v>0</v>
      </c>
      <c r="CA193" s="54">
        <f t="shared" si="73"/>
        <v>0</v>
      </c>
      <c r="CB193" s="55">
        <f t="shared" si="74"/>
        <v>0</v>
      </c>
      <c r="CC193" s="56">
        <f t="shared" si="75"/>
        <v>0</v>
      </c>
      <c r="CD193" s="57">
        <f t="shared" si="79"/>
        <v>-1</v>
      </c>
      <c r="CE193" s="49">
        <v>4</v>
      </c>
      <c r="CF193" s="57" t="e">
        <f t="shared" si="80"/>
        <v>#N/A</v>
      </c>
      <c r="CG193" s="58">
        <f t="shared" si="76"/>
        <v>1</v>
      </c>
      <c r="CH193" s="57">
        <f t="shared" si="77"/>
        <v>64</v>
      </c>
      <c r="CI193" s="59" t="e">
        <f>VLOOKUP(A193,[1]DATA!$A$6:$AI$331,34,0)</f>
        <v>#N/A</v>
      </c>
      <c r="CJ193" s="60" t="e">
        <f>VLOOKUP(A193,[2]CHAMCONG!A$7:CI$333,79,0)</f>
        <v>#N/A</v>
      </c>
      <c r="CK193" s="61" t="e">
        <f t="shared" si="78"/>
        <v>#N/A</v>
      </c>
    </row>
    <row r="194" spans="1:91" s="62" customFormat="1" ht="15.75" customHeight="1" x14ac:dyDescent="0.25">
      <c r="A194" s="63"/>
      <c r="B194" s="64"/>
      <c r="C194" s="45"/>
      <c r="D194" s="46"/>
      <c r="E194" s="47"/>
      <c r="F194" s="48"/>
      <c r="G194" s="49"/>
      <c r="H194" s="51"/>
      <c r="I194" s="49"/>
      <c r="J194" s="51"/>
      <c r="K194" s="49"/>
      <c r="L194" s="51"/>
      <c r="M194" s="51"/>
      <c r="N194" s="51"/>
      <c r="O194" s="49"/>
      <c r="P194" s="51"/>
      <c r="Q194" s="49"/>
      <c r="R194" s="51"/>
      <c r="S194" s="51"/>
      <c r="T194" s="51"/>
      <c r="U194" s="49"/>
      <c r="V194" s="51"/>
      <c r="W194" s="49"/>
      <c r="X194" s="51"/>
      <c r="Y194" s="49"/>
      <c r="Z194" s="51"/>
      <c r="AA194" s="49"/>
      <c r="AB194" s="51"/>
      <c r="AC194" s="51"/>
      <c r="AD194" s="51"/>
      <c r="AE194" s="49"/>
      <c r="AF194" s="51"/>
      <c r="AG194" s="51"/>
      <c r="AH194" s="51"/>
      <c r="AI194" s="51"/>
      <c r="AJ194" s="51"/>
      <c r="AK194" s="49"/>
      <c r="AL194" s="51"/>
      <c r="AM194" s="49"/>
      <c r="AN194" s="51"/>
      <c r="AO194" s="51"/>
      <c r="AP194" s="51"/>
      <c r="AQ194" s="49"/>
      <c r="AR194" s="51"/>
      <c r="AS194" s="49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49"/>
      <c r="BI194" s="51"/>
      <c r="BJ194" s="51"/>
      <c r="BK194" s="51"/>
      <c r="BL194" s="51"/>
      <c r="BM194" s="51"/>
      <c r="BN194" s="51"/>
      <c r="BO194" s="51"/>
      <c r="BP194" s="51"/>
      <c r="BQ194" s="52">
        <f t="shared" si="64"/>
        <v>0</v>
      </c>
      <c r="BR194" s="52">
        <f t="shared" si="65"/>
        <v>0</v>
      </c>
      <c r="BS194" s="52">
        <f t="shared" si="66"/>
        <v>0</v>
      </c>
      <c r="BT194" s="52">
        <f t="shared" si="67"/>
        <v>0</v>
      </c>
      <c r="BU194" s="52">
        <f t="shared" si="68"/>
        <v>0</v>
      </c>
      <c r="BV194" s="65"/>
      <c r="BW194" s="52">
        <f t="shared" si="69"/>
        <v>0</v>
      </c>
      <c r="BX194" s="52">
        <f t="shared" si="70"/>
        <v>0</v>
      </c>
      <c r="BY194" s="52">
        <f t="shared" si="71"/>
        <v>0</v>
      </c>
      <c r="BZ194" s="66">
        <f t="shared" si="72"/>
        <v>0</v>
      </c>
      <c r="CA194" s="54">
        <f t="shared" si="73"/>
        <v>0</v>
      </c>
      <c r="CB194" s="55">
        <f t="shared" si="74"/>
        <v>0</v>
      </c>
      <c r="CC194" s="56">
        <f t="shared" si="75"/>
        <v>0</v>
      </c>
      <c r="CD194" s="57">
        <f t="shared" si="79"/>
        <v>-1</v>
      </c>
      <c r="CE194" s="49">
        <v>1</v>
      </c>
      <c r="CF194" s="57" t="e">
        <f t="shared" si="80"/>
        <v>#N/A</v>
      </c>
      <c r="CG194" s="58">
        <f t="shared" si="76"/>
        <v>1</v>
      </c>
      <c r="CH194" s="57">
        <f t="shared" si="77"/>
        <v>16</v>
      </c>
      <c r="CI194" s="59" t="e">
        <f>VLOOKUP(A194,[1]DATA!$A$6:$AI$331,34,0)</f>
        <v>#N/A</v>
      </c>
      <c r="CJ194" s="60" t="e">
        <f>VLOOKUP(A194,[2]CHAMCONG!A$7:CI$333,79,0)</f>
        <v>#N/A</v>
      </c>
      <c r="CK194" s="61" t="e">
        <f t="shared" si="78"/>
        <v>#N/A</v>
      </c>
    </row>
    <row r="195" spans="1:91" s="62" customFormat="1" ht="15.75" customHeight="1" x14ac:dyDescent="0.25">
      <c r="A195" s="63"/>
      <c r="B195" s="64"/>
      <c r="C195" s="45"/>
      <c r="D195" s="46"/>
      <c r="E195" s="47"/>
      <c r="F195" s="48"/>
      <c r="G195" s="49"/>
      <c r="H195" s="51"/>
      <c r="I195" s="51"/>
      <c r="J195" s="51"/>
      <c r="K195" s="51"/>
      <c r="L195" s="51"/>
      <c r="M195" s="51"/>
      <c r="N195" s="51"/>
      <c r="O195" s="50"/>
      <c r="P195" s="51"/>
      <c r="Q195" s="50"/>
      <c r="R195" s="67"/>
      <c r="S195" s="50"/>
      <c r="T195" s="51"/>
      <c r="U195" s="50"/>
      <c r="V195" s="51"/>
      <c r="W195" s="50"/>
      <c r="X195" s="51"/>
      <c r="Y195" s="50"/>
      <c r="Z195" s="51"/>
      <c r="AA195" s="50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49"/>
      <c r="AN195" s="51"/>
      <c r="AO195" s="67"/>
      <c r="AP195" s="51"/>
      <c r="AQ195" s="51"/>
      <c r="AR195" s="51"/>
      <c r="AS195" s="51"/>
      <c r="AT195" s="51"/>
      <c r="AU195" s="51"/>
      <c r="AV195" s="51"/>
      <c r="AW195" s="51"/>
      <c r="AX195" s="51"/>
      <c r="AY195" s="50"/>
      <c r="AZ195" s="51"/>
      <c r="BA195" s="67"/>
      <c r="BB195" s="51"/>
      <c r="BC195" s="67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2">
        <f t="shared" si="64"/>
        <v>0</v>
      </c>
      <c r="BR195" s="52">
        <f t="shared" si="65"/>
        <v>0</v>
      </c>
      <c r="BS195" s="52">
        <f t="shared" si="66"/>
        <v>0</v>
      </c>
      <c r="BT195" s="52">
        <f t="shared" si="67"/>
        <v>0</v>
      </c>
      <c r="BU195" s="52">
        <f t="shared" si="68"/>
        <v>0</v>
      </c>
      <c r="BV195" s="65"/>
      <c r="BW195" s="52">
        <f t="shared" si="69"/>
        <v>0</v>
      </c>
      <c r="BX195" s="52">
        <f t="shared" si="70"/>
        <v>0</v>
      </c>
      <c r="BY195" s="52">
        <f t="shared" si="71"/>
        <v>0</v>
      </c>
      <c r="BZ195" s="66">
        <f t="shared" si="72"/>
        <v>0</v>
      </c>
      <c r="CA195" s="54">
        <f t="shared" si="73"/>
        <v>0</v>
      </c>
      <c r="CB195" s="55">
        <f t="shared" si="74"/>
        <v>0</v>
      </c>
      <c r="CC195" s="56">
        <f t="shared" si="75"/>
        <v>0</v>
      </c>
      <c r="CD195" s="57">
        <f t="shared" si="79"/>
        <v>-1</v>
      </c>
      <c r="CE195" s="49"/>
      <c r="CF195" s="57" t="e">
        <f t="shared" si="80"/>
        <v>#N/A</v>
      </c>
      <c r="CG195" s="58">
        <f t="shared" si="76"/>
        <v>1</v>
      </c>
      <c r="CH195" s="57">
        <f t="shared" si="77"/>
        <v>0</v>
      </c>
      <c r="CI195" s="59" t="e">
        <f>VLOOKUP(A195,[1]DATA!$A$6:$AI$331,34,0)</f>
        <v>#N/A</v>
      </c>
      <c r="CJ195" s="60" t="e">
        <f>VLOOKUP(A195,[2]CHAMCONG!A$7:CI$333,79,0)</f>
        <v>#N/A</v>
      </c>
      <c r="CK195" s="61" t="e">
        <f t="shared" si="78"/>
        <v>#N/A</v>
      </c>
    </row>
    <row r="196" spans="1:91" s="62" customFormat="1" ht="15.75" customHeight="1" x14ac:dyDescent="0.25">
      <c r="A196" s="63"/>
      <c r="B196" s="64"/>
      <c r="C196" s="45"/>
      <c r="D196" s="46"/>
      <c r="E196" s="47"/>
      <c r="F196" s="48"/>
      <c r="G196" s="49"/>
      <c r="H196" s="51"/>
      <c r="I196" s="49"/>
      <c r="J196" s="51"/>
      <c r="K196" s="51"/>
      <c r="L196" s="51"/>
      <c r="M196" s="51"/>
      <c r="N196" s="51"/>
      <c r="O196" s="49"/>
      <c r="P196" s="51"/>
      <c r="Q196" s="50"/>
      <c r="R196" s="67"/>
      <c r="S196" s="50"/>
      <c r="T196" s="51"/>
      <c r="U196" s="49"/>
      <c r="V196" s="51"/>
      <c r="W196" s="50"/>
      <c r="X196" s="51"/>
      <c r="Y196" s="50"/>
      <c r="Z196" s="51"/>
      <c r="AA196" s="50"/>
      <c r="AB196" s="51"/>
      <c r="AC196" s="51"/>
      <c r="AD196" s="51"/>
      <c r="AE196" s="50"/>
      <c r="AF196" s="67"/>
      <c r="AG196" s="51"/>
      <c r="AH196" s="51"/>
      <c r="AI196" s="51"/>
      <c r="AJ196" s="51"/>
      <c r="AK196" s="50"/>
      <c r="AL196" s="51"/>
      <c r="AM196" s="50"/>
      <c r="AN196" s="51"/>
      <c r="AO196" s="51"/>
      <c r="AP196" s="51"/>
      <c r="AQ196" s="50"/>
      <c r="AR196" s="51"/>
      <c r="AS196" s="50"/>
      <c r="AT196" s="67"/>
      <c r="AU196" s="50"/>
      <c r="AV196" s="51"/>
      <c r="AW196" s="51"/>
      <c r="AX196" s="51"/>
      <c r="AY196" s="50"/>
      <c r="AZ196" s="51"/>
      <c r="BA196" s="50"/>
      <c r="BB196" s="51"/>
      <c r="BC196" s="50"/>
      <c r="BD196" s="51"/>
      <c r="BE196" s="50"/>
      <c r="BF196" s="51"/>
      <c r="BG196" s="50"/>
      <c r="BH196" s="67"/>
      <c r="BI196" s="51"/>
      <c r="BJ196" s="51"/>
      <c r="BK196" s="51"/>
      <c r="BL196" s="51"/>
      <c r="BM196" s="51"/>
      <c r="BN196" s="51"/>
      <c r="BO196" s="51"/>
      <c r="BP196" s="51"/>
      <c r="BQ196" s="52">
        <f t="shared" si="64"/>
        <v>0</v>
      </c>
      <c r="BR196" s="52">
        <f t="shared" si="65"/>
        <v>0</v>
      </c>
      <c r="BS196" s="52">
        <f t="shared" si="66"/>
        <v>0</v>
      </c>
      <c r="BT196" s="52">
        <f t="shared" si="67"/>
        <v>0</v>
      </c>
      <c r="BU196" s="52">
        <f t="shared" si="68"/>
        <v>0</v>
      </c>
      <c r="BV196" s="65"/>
      <c r="BW196" s="52">
        <f t="shared" si="69"/>
        <v>0</v>
      </c>
      <c r="BX196" s="52">
        <f t="shared" si="70"/>
        <v>0</v>
      </c>
      <c r="BY196" s="52">
        <f t="shared" si="71"/>
        <v>0</v>
      </c>
      <c r="BZ196" s="66">
        <f t="shared" si="72"/>
        <v>0</v>
      </c>
      <c r="CA196" s="54">
        <f t="shared" si="73"/>
        <v>0</v>
      </c>
      <c r="CB196" s="55">
        <f t="shared" si="74"/>
        <v>0</v>
      </c>
      <c r="CC196" s="56">
        <f t="shared" si="75"/>
        <v>0</v>
      </c>
      <c r="CD196" s="57">
        <f t="shared" si="79"/>
        <v>-1</v>
      </c>
      <c r="CE196" s="49"/>
      <c r="CF196" s="57" t="e">
        <f t="shared" si="80"/>
        <v>#N/A</v>
      </c>
      <c r="CG196" s="58">
        <f t="shared" si="76"/>
        <v>1</v>
      </c>
      <c r="CH196" s="57">
        <f t="shared" si="77"/>
        <v>0</v>
      </c>
      <c r="CI196" s="59" t="e">
        <f>VLOOKUP(A196,[1]DATA!$A$6:$AI$331,34,0)</f>
        <v>#N/A</v>
      </c>
      <c r="CJ196" s="60" t="e">
        <f>VLOOKUP(A196,[2]CHAMCONG!A$7:CI$333,79,0)</f>
        <v>#N/A</v>
      </c>
      <c r="CK196" s="61" t="e">
        <f t="shared" si="78"/>
        <v>#N/A</v>
      </c>
    </row>
    <row r="197" spans="1:91" s="62" customFormat="1" ht="15.75" customHeight="1" x14ac:dyDescent="0.25">
      <c r="A197" s="69"/>
      <c r="B197" s="64"/>
      <c r="C197" s="45"/>
      <c r="D197" s="46"/>
      <c r="E197" s="47"/>
      <c r="F197" s="48"/>
      <c r="G197" s="49"/>
      <c r="H197" s="51"/>
      <c r="I197" s="50"/>
      <c r="J197" s="51"/>
      <c r="K197" s="51"/>
      <c r="L197" s="51"/>
      <c r="M197" s="51"/>
      <c r="N197" s="51"/>
      <c r="O197" s="50"/>
      <c r="P197" s="51"/>
      <c r="Q197" s="49"/>
      <c r="R197" s="51"/>
      <c r="S197" s="50"/>
      <c r="T197" s="51"/>
      <c r="U197" s="50"/>
      <c r="V197" s="51"/>
      <c r="W197" s="50"/>
      <c r="X197" s="51"/>
      <c r="Y197" s="50"/>
      <c r="Z197" s="51"/>
      <c r="AA197" s="50"/>
      <c r="AB197" s="51"/>
      <c r="AC197" s="50"/>
      <c r="AD197" s="51"/>
      <c r="AE197" s="50"/>
      <c r="AF197" s="67"/>
      <c r="AG197" s="50"/>
      <c r="AH197" s="51"/>
      <c r="AI197" s="50"/>
      <c r="AJ197" s="51"/>
      <c r="AK197" s="50"/>
      <c r="AL197" s="51"/>
      <c r="AM197" s="50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49"/>
      <c r="BJ197" s="51"/>
      <c r="BK197" s="49"/>
      <c r="BL197" s="51"/>
      <c r="BM197" s="49"/>
      <c r="BN197" s="51"/>
      <c r="BO197" s="51"/>
      <c r="BP197" s="51"/>
      <c r="BQ197" s="52">
        <f t="shared" si="64"/>
        <v>0</v>
      </c>
      <c r="BR197" s="52">
        <f t="shared" si="65"/>
        <v>0</v>
      </c>
      <c r="BS197" s="52">
        <f t="shared" si="66"/>
        <v>0</v>
      </c>
      <c r="BT197" s="52">
        <f t="shared" si="67"/>
        <v>0</v>
      </c>
      <c r="BU197" s="52">
        <f t="shared" si="68"/>
        <v>0</v>
      </c>
      <c r="BV197" s="65"/>
      <c r="BW197" s="52">
        <f t="shared" si="69"/>
        <v>0</v>
      </c>
      <c r="BX197" s="52">
        <f t="shared" si="70"/>
        <v>0</v>
      </c>
      <c r="BY197" s="52">
        <f t="shared" si="71"/>
        <v>0</v>
      </c>
      <c r="BZ197" s="66">
        <f t="shared" si="72"/>
        <v>0</v>
      </c>
      <c r="CA197" s="54">
        <f t="shared" si="73"/>
        <v>0</v>
      </c>
      <c r="CB197" s="55">
        <f t="shared" si="74"/>
        <v>0</v>
      </c>
      <c r="CC197" s="56">
        <f t="shared" si="75"/>
        <v>0</v>
      </c>
      <c r="CD197" s="57">
        <f t="shared" si="79"/>
        <v>-1</v>
      </c>
      <c r="CE197" s="49">
        <v>2</v>
      </c>
      <c r="CF197" s="57" t="e">
        <f t="shared" si="80"/>
        <v>#N/A</v>
      </c>
      <c r="CG197" s="58">
        <f t="shared" si="76"/>
        <v>1</v>
      </c>
      <c r="CH197" s="57">
        <f t="shared" si="77"/>
        <v>32</v>
      </c>
      <c r="CI197" s="59" t="e">
        <f>VLOOKUP(A197,[1]DATA!$A$6:$AI$331,34,0)</f>
        <v>#N/A</v>
      </c>
      <c r="CJ197" s="60" t="e">
        <f>VLOOKUP(A197,[2]CHAMCONG!A$7:CI$333,79,0)</f>
        <v>#N/A</v>
      </c>
      <c r="CK197" s="61" t="e">
        <f t="shared" si="78"/>
        <v>#N/A</v>
      </c>
    </row>
    <row r="198" spans="1:91" s="62" customFormat="1" ht="15.75" customHeight="1" x14ac:dyDescent="0.25">
      <c r="A198" s="63"/>
      <c r="B198" s="64"/>
      <c r="C198" s="45"/>
      <c r="D198" s="46"/>
      <c r="E198" s="47"/>
      <c r="F198" s="48"/>
      <c r="G198" s="49"/>
      <c r="H198" s="51"/>
      <c r="I198" s="49"/>
      <c r="J198" s="51"/>
      <c r="K198" s="50"/>
      <c r="L198" s="51"/>
      <c r="M198" s="49"/>
      <c r="N198" s="51"/>
      <c r="O198" s="49"/>
      <c r="P198" s="51"/>
      <c r="Q198" s="49"/>
      <c r="R198" s="51"/>
      <c r="S198" s="49"/>
      <c r="T198" s="51"/>
      <c r="U198" s="49"/>
      <c r="V198" s="51"/>
      <c r="W198" s="49"/>
      <c r="X198" s="51"/>
      <c r="Y198" s="51"/>
      <c r="Z198" s="51"/>
      <c r="AA198" s="49"/>
      <c r="AB198" s="51"/>
      <c r="AC198" s="51"/>
      <c r="AD198" s="51"/>
      <c r="AE198" s="51"/>
      <c r="AF198" s="51"/>
      <c r="AG198" s="49"/>
      <c r="AH198" s="51"/>
      <c r="AI198" s="49"/>
      <c r="AJ198" s="51"/>
      <c r="AK198" s="67"/>
      <c r="AL198" s="51"/>
      <c r="AM198" s="67"/>
      <c r="AN198" s="51"/>
      <c r="AO198" s="51"/>
      <c r="AP198" s="51"/>
      <c r="AQ198" s="67"/>
      <c r="AR198" s="51"/>
      <c r="AS198" s="49"/>
      <c r="AT198" s="51"/>
      <c r="AU198" s="67"/>
      <c r="AV198" s="51"/>
      <c r="AW198" s="67"/>
      <c r="AX198" s="51"/>
      <c r="AY198" s="67"/>
      <c r="AZ198" s="51"/>
      <c r="BA198" s="67"/>
      <c r="BB198" s="51"/>
      <c r="BC198" s="51"/>
      <c r="BD198" s="51"/>
      <c r="BE198" s="67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2">
        <f t="shared" si="64"/>
        <v>0</v>
      </c>
      <c r="BR198" s="52">
        <f t="shared" si="65"/>
        <v>0</v>
      </c>
      <c r="BS198" s="52">
        <f t="shared" si="66"/>
        <v>0</v>
      </c>
      <c r="BT198" s="52">
        <f t="shared" si="67"/>
        <v>0</v>
      </c>
      <c r="BU198" s="52">
        <f t="shared" si="68"/>
        <v>0</v>
      </c>
      <c r="BV198" s="65"/>
      <c r="BW198" s="52">
        <f t="shared" si="69"/>
        <v>0</v>
      </c>
      <c r="BX198" s="52">
        <f t="shared" si="70"/>
        <v>0</v>
      </c>
      <c r="BY198" s="52">
        <f t="shared" si="71"/>
        <v>0</v>
      </c>
      <c r="BZ198" s="66">
        <f t="shared" si="72"/>
        <v>0</v>
      </c>
      <c r="CA198" s="54">
        <f t="shared" si="73"/>
        <v>0</v>
      </c>
      <c r="CB198" s="55">
        <f t="shared" si="74"/>
        <v>0</v>
      </c>
      <c r="CC198" s="56">
        <f t="shared" si="75"/>
        <v>0</v>
      </c>
      <c r="CD198" s="57">
        <f t="shared" si="79"/>
        <v>-1</v>
      </c>
      <c r="CE198" s="49">
        <v>1</v>
      </c>
      <c r="CF198" s="57" t="e">
        <f t="shared" si="80"/>
        <v>#N/A</v>
      </c>
      <c r="CG198" s="58">
        <f t="shared" si="76"/>
        <v>1</v>
      </c>
      <c r="CH198" s="57">
        <f t="shared" si="77"/>
        <v>16</v>
      </c>
      <c r="CI198" s="59" t="e">
        <f>VLOOKUP(A198,[1]DATA!$A$6:$AI$331,34,0)</f>
        <v>#N/A</v>
      </c>
      <c r="CJ198" s="60" t="e">
        <f>VLOOKUP(A198,[2]CHAMCONG!A$7:CI$333,79,0)</f>
        <v>#N/A</v>
      </c>
      <c r="CK198" s="61" t="e">
        <f t="shared" si="78"/>
        <v>#N/A</v>
      </c>
    </row>
    <row r="199" spans="1:91" s="62" customFormat="1" ht="15.75" customHeight="1" x14ac:dyDescent="0.25">
      <c r="A199" s="63"/>
      <c r="B199" s="64"/>
      <c r="C199" s="45"/>
      <c r="D199" s="46"/>
      <c r="E199" s="47"/>
      <c r="F199" s="48"/>
      <c r="G199" s="49"/>
      <c r="H199" s="51"/>
      <c r="I199" s="49"/>
      <c r="J199" s="51"/>
      <c r="K199" s="51"/>
      <c r="L199" s="51"/>
      <c r="M199" s="51"/>
      <c r="N199" s="51"/>
      <c r="O199" s="50"/>
      <c r="P199" s="51"/>
      <c r="Q199" s="50"/>
      <c r="R199" s="67"/>
      <c r="S199" s="50"/>
      <c r="T199" s="51"/>
      <c r="U199" s="49"/>
      <c r="V199" s="51"/>
      <c r="W199" s="50"/>
      <c r="X199" s="51"/>
      <c r="Y199" s="50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49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2">
        <f t="shared" si="64"/>
        <v>0</v>
      </c>
      <c r="BR199" s="52">
        <f t="shared" si="65"/>
        <v>0</v>
      </c>
      <c r="BS199" s="52">
        <f t="shared" si="66"/>
        <v>0</v>
      </c>
      <c r="BT199" s="52">
        <f t="shared" si="67"/>
        <v>0</v>
      </c>
      <c r="BU199" s="52">
        <f t="shared" si="68"/>
        <v>0</v>
      </c>
      <c r="BV199" s="65"/>
      <c r="BW199" s="52">
        <f t="shared" si="69"/>
        <v>0</v>
      </c>
      <c r="BX199" s="52">
        <f t="shared" si="70"/>
        <v>0</v>
      </c>
      <c r="BY199" s="52">
        <f t="shared" si="71"/>
        <v>0</v>
      </c>
      <c r="BZ199" s="66">
        <f t="shared" si="72"/>
        <v>0</v>
      </c>
      <c r="CA199" s="54">
        <f t="shared" si="73"/>
        <v>0</v>
      </c>
      <c r="CB199" s="55">
        <f t="shared" si="74"/>
        <v>0</v>
      </c>
      <c r="CC199" s="56">
        <f t="shared" si="75"/>
        <v>0</v>
      </c>
      <c r="CD199" s="57">
        <f t="shared" si="79"/>
        <v>-1</v>
      </c>
      <c r="CE199" s="49"/>
      <c r="CF199" s="57" t="e">
        <f t="shared" si="80"/>
        <v>#N/A</v>
      </c>
      <c r="CG199" s="58">
        <f t="shared" si="76"/>
        <v>1</v>
      </c>
      <c r="CH199" s="57">
        <f t="shared" si="77"/>
        <v>0</v>
      </c>
      <c r="CI199" s="59" t="e">
        <f>VLOOKUP(A199,[1]DATA!$A$6:$AI$331,34,0)</f>
        <v>#N/A</v>
      </c>
      <c r="CJ199" s="60" t="e">
        <f>VLOOKUP(A199,[2]CHAMCONG!A$7:CI$333,79,0)</f>
        <v>#N/A</v>
      </c>
      <c r="CK199" s="61" t="e">
        <f t="shared" si="78"/>
        <v>#N/A</v>
      </c>
    </row>
    <row r="200" spans="1:91" s="68" customFormat="1" ht="15.75" customHeight="1" x14ac:dyDescent="0.25">
      <c r="A200" s="63"/>
      <c r="B200" s="64"/>
      <c r="C200" s="45"/>
      <c r="D200" s="46"/>
      <c r="E200" s="47"/>
      <c r="F200" s="48"/>
      <c r="G200" s="49"/>
      <c r="H200" s="51"/>
      <c r="I200" s="49"/>
      <c r="J200" s="51"/>
      <c r="K200" s="49"/>
      <c r="L200" s="51"/>
      <c r="M200" s="49"/>
      <c r="N200" s="51"/>
      <c r="O200" s="49"/>
      <c r="P200" s="51"/>
      <c r="Q200" s="49"/>
      <c r="R200" s="51"/>
      <c r="S200" s="49"/>
      <c r="T200" s="51"/>
      <c r="U200" s="49"/>
      <c r="V200" s="51"/>
      <c r="W200" s="49"/>
      <c r="X200" s="51"/>
      <c r="Y200" s="49"/>
      <c r="Z200" s="51"/>
      <c r="AA200" s="49"/>
      <c r="AB200" s="51"/>
      <c r="AC200" s="49"/>
      <c r="AD200" s="51"/>
      <c r="AE200" s="49"/>
      <c r="AF200" s="51"/>
      <c r="AG200" s="49"/>
      <c r="AH200" s="51"/>
      <c r="AI200" s="49"/>
      <c r="AJ200" s="51"/>
      <c r="AK200" s="49"/>
      <c r="AL200" s="51"/>
      <c r="AM200" s="49"/>
      <c r="AN200" s="51"/>
      <c r="AO200" s="51"/>
      <c r="AP200" s="51"/>
      <c r="AQ200" s="49"/>
      <c r="AR200" s="51"/>
      <c r="AS200" s="49"/>
      <c r="AT200" s="51"/>
      <c r="AU200" s="49"/>
      <c r="AV200" s="51"/>
      <c r="AW200" s="51"/>
      <c r="AX200" s="51"/>
      <c r="AY200" s="49"/>
      <c r="AZ200" s="51"/>
      <c r="BA200" s="49"/>
      <c r="BB200" s="51"/>
      <c r="BC200" s="51"/>
      <c r="BD200" s="51"/>
      <c r="BE200" s="49"/>
      <c r="BF200" s="51"/>
      <c r="BG200" s="49"/>
      <c r="BH200" s="51"/>
      <c r="BI200" s="51"/>
      <c r="BJ200" s="51"/>
      <c r="BK200" s="51"/>
      <c r="BL200" s="51"/>
      <c r="BM200" s="51"/>
      <c r="BN200" s="51"/>
      <c r="BO200" s="51"/>
      <c r="BP200" s="51"/>
      <c r="BQ200" s="52">
        <f t="shared" si="64"/>
        <v>0</v>
      </c>
      <c r="BR200" s="52">
        <f t="shared" si="65"/>
        <v>0</v>
      </c>
      <c r="BS200" s="52">
        <f t="shared" si="66"/>
        <v>0</v>
      </c>
      <c r="BT200" s="52">
        <f t="shared" si="67"/>
        <v>0</v>
      </c>
      <c r="BU200" s="52">
        <f t="shared" si="68"/>
        <v>0</v>
      </c>
      <c r="BV200" s="65"/>
      <c r="BW200" s="52">
        <f t="shared" si="69"/>
        <v>0</v>
      </c>
      <c r="BX200" s="52">
        <f t="shared" si="70"/>
        <v>0</v>
      </c>
      <c r="BY200" s="52">
        <f t="shared" si="71"/>
        <v>0</v>
      </c>
      <c r="BZ200" s="66">
        <f t="shared" si="72"/>
        <v>0</v>
      </c>
      <c r="CA200" s="54">
        <f t="shared" si="73"/>
        <v>0</v>
      </c>
      <c r="CB200" s="55">
        <f t="shared" si="74"/>
        <v>0</v>
      </c>
      <c r="CC200" s="56">
        <f t="shared" si="75"/>
        <v>0</v>
      </c>
      <c r="CD200" s="57">
        <f t="shared" si="79"/>
        <v>-1</v>
      </c>
      <c r="CE200" s="49"/>
      <c r="CF200" s="57" t="e">
        <f t="shared" si="80"/>
        <v>#N/A</v>
      </c>
      <c r="CG200" s="58">
        <f t="shared" si="76"/>
        <v>1</v>
      </c>
      <c r="CH200" s="57">
        <f t="shared" si="77"/>
        <v>0</v>
      </c>
      <c r="CI200" s="59" t="e">
        <f>VLOOKUP(A200,[1]DATA!$A$6:$AI$331,34,0)</f>
        <v>#N/A</v>
      </c>
      <c r="CJ200" s="60" t="e">
        <f>VLOOKUP(A200,[2]CHAMCONG!A$7:CI$333,79,0)</f>
        <v>#N/A</v>
      </c>
      <c r="CK200" s="61" t="e">
        <f t="shared" si="78"/>
        <v>#N/A</v>
      </c>
      <c r="CL200" s="62"/>
      <c r="CM200" s="62"/>
    </row>
    <row r="201" spans="1:91" s="62" customFormat="1" ht="15.75" customHeight="1" x14ac:dyDescent="0.25">
      <c r="A201" s="63"/>
      <c r="B201" s="64"/>
      <c r="C201" s="45"/>
      <c r="D201" s="46"/>
      <c r="E201" s="47"/>
      <c r="F201" s="48"/>
      <c r="G201" s="49"/>
      <c r="H201" s="51"/>
      <c r="I201" s="49"/>
      <c r="J201" s="51"/>
      <c r="K201" s="49"/>
      <c r="L201" s="51"/>
      <c r="M201" s="49"/>
      <c r="N201" s="51"/>
      <c r="O201" s="49"/>
      <c r="P201" s="51"/>
      <c r="Q201" s="50"/>
      <c r="R201" s="67"/>
      <c r="S201" s="50"/>
      <c r="T201" s="51"/>
      <c r="U201" s="50"/>
      <c r="V201" s="51"/>
      <c r="W201" s="50"/>
      <c r="X201" s="51"/>
      <c r="Y201" s="50"/>
      <c r="Z201" s="51"/>
      <c r="AA201" s="50"/>
      <c r="AB201" s="51"/>
      <c r="AC201" s="50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2">
        <f t="shared" si="64"/>
        <v>0</v>
      </c>
      <c r="BR201" s="52">
        <f t="shared" si="65"/>
        <v>0</v>
      </c>
      <c r="BS201" s="52">
        <f t="shared" si="66"/>
        <v>0</v>
      </c>
      <c r="BT201" s="52">
        <f t="shared" si="67"/>
        <v>0</v>
      </c>
      <c r="BU201" s="52">
        <f t="shared" si="68"/>
        <v>0</v>
      </c>
      <c r="BV201" s="65"/>
      <c r="BW201" s="52">
        <f t="shared" si="69"/>
        <v>0</v>
      </c>
      <c r="BX201" s="52">
        <f t="shared" si="70"/>
        <v>0</v>
      </c>
      <c r="BY201" s="52">
        <f t="shared" si="71"/>
        <v>0</v>
      </c>
      <c r="BZ201" s="66">
        <f t="shared" si="72"/>
        <v>0</v>
      </c>
      <c r="CA201" s="54">
        <f t="shared" si="73"/>
        <v>0</v>
      </c>
      <c r="CB201" s="55">
        <f t="shared" si="74"/>
        <v>0</v>
      </c>
      <c r="CC201" s="56">
        <f t="shared" si="75"/>
        <v>0</v>
      </c>
      <c r="CD201" s="57">
        <f t="shared" si="79"/>
        <v>-1</v>
      </c>
      <c r="CE201" s="49"/>
      <c r="CF201" s="57" t="e">
        <f t="shared" si="80"/>
        <v>#N/A</v>
      </c>
      <c r="CG201" s="58">
        <f t="shared" si="76"/>
        <v>1</v>
      </c>
      <c r="CH201" s="57">
        <f t="shared" si="77"/>
        <v>0</v>
      </c>
      <c r="CI201" s="59" t="e">
        <f>VLOOKUP(A201,[1]DATA!$A$6:$AI$331,34,0)</f>
        <v>#N/A</v>
      </c>
      <c r="CJ201" s="60" t="e">
        <f>VLOOKUP(A201,[2]CHAMCONG!A$7:CI$333,79,0)</f>
        <v>#N/A</v>
      </c>
      <c r="CK201" s="61" t="e">
        <f t="shared" si="78"/>
        <v>#N/A</v>
      </c>
    </row>
    <row r="202" spans="1:91" s="62" customFormat="1" ht="15.75" customHeight="1" x14ac:dyDescent="0.25">
      <c r="A202" s="63"/>
      <c r="B202" s="64"/>
      <c r="C202" s="45"/>
      <c r="D202" s="46"/>
      <c r="E202" s="47"/>
      <c r="F202" s="48"/>
      <c r="G202" s="49"/>
      <c r="H202" s="51"/>
      <c r="I202" s="49"/>
      <c r="J202" s="51"/>
      <c r="K202" s="49"/>
      <c r="L202" s="51"/>
      <c r="M202" s="51"/>
      <c r="N202" s="51"/>
      <c r="O202" s="49"/>
      <c r="P202" s="51"/>
      <c r="Q202" s="49"/>
      <c r="R202" s="51"/>
      <c r="S202" s="49"/>
      <c r="T202" s="51"/>
      <c r="U202" s="49"/>
      <c r="V202" s="51"/>
      <c r="W202" s="49"/>
      <c r="X202" s="51"/>
      <c r="Y202" s="49"/>
      <c r="Z202" s="51"/>
      <c r="AA202" s="51"/>
      <c r="AB202" s="51"/>
      <c r="AC202" s="49"/>
      <c r="AD202" s="51"/>
      <c r="AE202" s="49"/>
      <c r="AF202" s="51"/>
      <c r="AG202" s="49"/>
      <c r="AH202" s="51"/>
      <c r="AI202" s="49"/>
      <c r="AJ202" s="51"/>
      <c r="AK202" s="49"/>
      <c r="AL202" s="51"/>
      <c r="AM202" s="49"/>
      <c r="AN202" s="51"/>
      <c r="AO202" s="51"/>
      <c r="AP202" s="51"/>
      <c r="AQ202" s="49"/>
      <c r="AR202" s="51"/>
      <c r="AS202" s="49"/>
      <c r="AT202" s="51"/>
      <c r="AU202" s="49"/>
      <c r="AV202" s="51"/>
      <c r="AW202" s="51"/>
      <c r="AX202" s="51"/>
      <c r="AY202" s="50"/>
      <c r="AZ202" s="51"/>
      <c r="BA202" s="50"/>
      <c r="BB202" s="51"/>
      <c r="BC202" s="51"/>
      <c r="BD202" s="51"/>
      <c r="BE202" s="50"/>
      <c r="BF202" s="51"/>
      <c r="BG202" s="50"/>
      <c r="BH202" s="51"/>
      <c r="BI202" s="50"/>
      <c r="BJ202" s="51"/>
      <c r="BK202" s="50"/>
      <c r="BL202" s="51"/>
      <c r="BM202" s="50"/>
      <c r="BN202" s="51"/>
      <c r="BO202" s="50"/>
      <c r="BP202" s="51"/>
      <c r="BQ202" s="52">
        <f t="shared" si="64"/>
        <v>0</v>
      </c>
      <c r="BR202" s="52">
        <f t="shared" si="65"/>
        <v>0</v>
      </c>
      <c r="BS202" s="52">
        <f t="shared" si="66"/>
        <v>0</v>
      </c>
      <c r="BT202" s="52">
        <f t="shared" si="67"/>
        <v>0</v>
      </c>
      <c r="BU202" s="52">
        <f t="shared" si="68"/>
        <v>0</v>
      </c>
      <c r="BV202" s="65"/>
      <c r="BW202" s="52">
        <f t="shared" si="69"/>
        <v>0</v>
      </c>
      <c r="BX202" s="52">
        <f t="shared" si="70"/>
        <v>0</v>
      </c>
      <c r="BY202" s="52">
        <f t="shared" si="71"/>
        <v>0</v>
      </c>
      <c r="BZ202" s="66">
        <f t="shared" si="72"/>
        <v>0</v>
      </c>
      <c r="CA202" s="54">
        <f t="shared" si="73"/>
        <v>0</v>
      </c>
      <c r="CB202" s="55">
        <f t="shared" si="74"/>
        <v>0</v>
      </c>
      <c r="CC202" s="56">
        <f t="shared" si="75"/>
        <v>0</v>
      </c>
      <c r="CD202" s="57">
        <f t="shared" si="79"/>
        <v>-1</v>
      </c>
      <c r="CE202" s="49">
        <v>2</v>
      </c>
      <c r="CF202" s="57" t="e">
        <f t="shared" si="80"/>
        <v>#N/A</v>
      </c>
      <c r="CG202" s="58">
        <f t="shared" si="76"/>
        <v>1</v>
      </c>
      <c r="CH202" s="57">
        <f t="shared" si="77"/>
        <v>32</v>
      </c>
      <c r="CI202" s="59" t="e">
        <f>VLOOKUP(A202,[1]DATA!$A$6:$AI$331,34,0)</f>
        <v>#N/A</v>
      </c>
      <c r="CJ202" s="60" t="e">
        <f>VLOOKUP(A202,[2]CHAMCONG!A$7:CI$333,79,0)</f>
        <v>#N/A</v>
      </c>
      <c r="CK202" s="61" t="e">
        <f t="shared" si="78"/>
        <v>#N/A</v>
      </c>
    </row>
    <row r="203" spans="1:91" s="62" customFormat="1" ht="15.75" customHeight="1" x14ac:dyDescent="0.25">
      <c r="A203" s="63"/>
      <c r="B203" s="64"/>
      <c r="C203" s="45"/>
      <c r="D203" s="46"/>
      <c r="E203" s="47"/>
      <c r="F203" s="48"/>
      <c r="G203" s="49"/>
      <c r="H203" s="51"/>
      <c r="I203" s="50"/>
      <c r="J203" s="51"/>
      <c r="K203" s="50"/>
      <c r="L203" s="51"/>
      <c r="M203" s="51"/>
      <c r="N203" s="51"/>
      <c r="O203" s="51"/>
      <c r="P203" s="51"/>
      <c r="Q203" s="51"/>
      <c r="R203" s="51"/>
      <c r="S203" s="51"/>
      <c r="T203" s="51"/>
      <c r="U203" s="49"/>
      <c r="V203" s="51"/>
      <c r="W203" s="50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2">
        <f t="shared" ref="BQ203:BQ266" si="81">COUNTIF($G203:$BP203,"a")+COUNTIF($G203:$BP203,"r0,a5")/2+COUNTIF($G203:$BP203,"p5,a5")/2</f>
        <v>0</v>
      </c>
      <c r="BR203" s="52">
        <f t="shared" ref="BR203:BR266" si="82">COUNTIF($G203:$BP203,"d")+COUNTIF($G203:$BP203,"r0,d5")/2+COUNTIF($G203:$BP203,"p5,d5")/2</f>
        <v>0</v>
      </c>
      <c r="BS203" s="52">
        <f t="shared" ref="BS203:BS266" si="83">COUNTIF($G203:$BP203,"b")+COUNTIF($G203:$BP203,"r0,b5")/2+COUNTIF($G203:$BP203,"p5,b5")/2</f>
        <v>0</v>
      </c>
      <c r="BT203" s="52">
        <f t="shared" ref="BT203:BT266" si="84">COUNTIF($G203:$BP203,"c")+COUNTIF($G203:$BP203,"r0,c5")/2+COUNTIF($G203:$BP203,"p5,c5")/2</f>
        <v>0</v>
      </c>
      <c r="BU203" s="52">
        <f t="shared" ref="BU203:BU266" si="85">COUNTIF($G203:$BP203,"KH")+COUNTIF($G203:$BP203,"TL")+COUNTIF($G203:$BP203,"L")</f>
        <v>0</v>
      </c>
      <c r="BV203" s="65"/>
      <c r="BW203" s="52">
        <f t="shared" ref="BW203:BW266" si="86">COUNTIF($G203:$BP203,"hh")</f>
        <v>0</v>
      </c>
      <c r="BX203" s="52">
        <f t="shared" ref="BX203:BX266" si="87">COUNTIF($G203:$BP203,"nt7")</f>
        <v>0</v>
      </c>
      <c r="BY203" s="52">
        <f t="shared" ref="BY203:BY266" si="88">COUNTIF($G203:$BP203,"P")+COUNTIF($G203:$BP203,"p5,a5")/2+COUNTIF($G203:$BP203,"p5,b5")/2+COUNTIF($G203:$BP203,"p5,c5")/2+COUNTIF($G203:$BP203,"p5,d5")/2</f>
        <v>0</v>
      </c>
      <c r="BZ203" s="66">
        <f t="shared" ref="BZ203:BZ266" si="89">SUBTOTAL(9,BQ203:BY203)</f>
        <v>0</v>
      </c>
      <c r="CA203" s="54">
        <f t="shared" si="73"/>
        <v>0</v>
      </c>
      <c r="CB203" s="55">
        <f t="shared" si="74"/>
        <v>0</v>
      </c>
      <c r="CC203" s="56">
        <f t="shared" si="75"/>
        <v>0</v>
      </c>
      <c r="CD203" s="57">
        <f t="shared" si="79"/>
        <v>-1</v>
      </c>
      <c r="CE203" s="49"/>
      <c r="CF203" s="57" t="e">
        <f t="shared" si="80"/>
        <v>#N/A</v>
      </c>
      <c r="CG203" s="58">
        <f t="shared" si="76"/>
        <v>1</v>
      </c>
      <c r="CH203" s="57">
        <f t="shared" si="77"/>
        <v>0</v>
      </c>
      <c r="CI203" s="59" t="e">
        <f>VLOOKUP(A203,[1]DATA!$A$6:$AI$331,34,0)</f>
        <v>#N/A</v>
      </c>
      <c r="CJ203" s="60" t="e">
        <f>VLOOKUP(A203,[2]CHAMCONG!A$7:CI$333,79,0)</f>
        <v>#N/A</v>
      </c>
      <c r="CK203" s="61" t="e">
        <f t="shared" si="78"/>
        <v>#N/A</v>
      </c>
    </row>
    <row r="204" spans="1:91" s="62" customFormat="1" ht="15.75" customHeight="1" x14ac:dyDescent="0.25">
      <c r="A204" s="63"/>
      <c r="B204" s="64"/>
      <c r="C204" s="45"/>
      <c r="D204" s="46"/>
      <c r="E204" s="47"/>
      <c r="F204" s="48"/>
      <c r="G204" s="49"/>
      <c r="H204" s="51"/>
      <c r="I204" s="49"/>
      <c r="J204" s="51"/>
      <c r="K204" s="49"/>
      <c r="L204" s="51"/>
      <c r="M204" s="49"/>
      <c r="N204" s="51"/>
      <c r="O204" s="49"/>
      <c r="P204" s="51"/>
      <c r="Q204" s="49"/>
      <c r="R204" s="51"/>
      <c r="S204" s="49"/>
      <c r="T204" s="51"/>
      <c r="U204" s="49"/>
      <c r="V204" s="51"/>
      <c r="W204" s="49"/>
      <c r="X204" s="51"/>
      <c r="Y204" s="49"/>
      <c r="Z204" s="51"/>
      <c r="AA204" s="49"/>
      <c r="AB204" s="51"/>
      <c r="AC204" s="49"/>
      <c r="AD204" s="51"/>
      <c r="AE204" s="49"/>
      <c r="AF204" s="51"/>
      <c r="AG204" s="49"/>
      <c r="AH204" s="51"/>
      <c r="AI204" s="49"/>
      <c r="AJ204" s="51"/>
      <c r="AK204" s="49"/>
      <c r="AL204" s="51"/>
      <c r="AM204" s="49"/>
      <c r="AN204" s="51"/>
      <c r="AO204" s="49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2">
        <f t="shared" si="81"/>
        <v>0</v>
      </c>
      <c r="BR204" s="52">
        <f t="shared" si="82"/>
        <v>0</v>
      </c>
      <c r="BS204" s="52">
        <f t="shared" si="83"/>
        <v>0</v>
      </c>
      <c r="BT204" s="52">
        <f t="shared" si="84"/>
        <v>0</v>
      </c>
      <c r="BU204" s="52">
        <f t="shared" si="85"/>
        <v>0</v>
      </c>
      <c r="BV204" s="65"/>
      <c r="BW204" s="52">
        <f t="shared" si="86"/>
        <v>0</v>
      </c>
      <c r="BX204" s="52">
        <f t="shared" si="87"/>
        <v>0</v>
      </c>
      <c r="BY204" s="52">
        <f t="shared" si="88"/>
        <v>0</v>
      </c>
      <c r="BZ204" s="66">
        <f t="shared" si="89"/>
        <v>0</v>
      </c>
      <c r="CA204" s="54">
        <f t="shared" ref="CA204:CA267" si="90">SUM(J204,L204,N204,P204,R204,T204,X204,Z204,AB204,AD204,AF204,AH204,AL204,AN204,AP204,AR204,AT204,AV204,AZ204,BB204,BD204,BF204,BH204,BP204)</f>
        <v>0</v>
      </c>
      <c r="CB204" s="55">
        <f t="shared" ref="CB204:CB267" si="91">SUM(H204,V204,AJ204,AX204,BL204)</f>
        <v>0</v>
      </c>
      <c r="CC204" s="56">
        <f t="shared" ref="CC204:CC267" si="92">SUM(BJ204,BN204)</f>
        <v>0</v>
      </c>
      <c r="CD204" s="57">
        <f t="shared" si="79"/>
        <v>-1</v>
      </c>
      <c r="CE204" s="49"/>
      <c r="CF204" s="57" t="e">
        <f t="shared" si="80"/>
        <v>#N/A</v>
      </c>
      <c r="CG204" s="58">
        <f t="shared" ref="CG204:CG267" si="93">F204-BY204+1</f>
        <v>1</v>
      </c>
      <c r="CH204" s="57">
        <f t="shared" ref="CH204:CH267" si="94">CE204*16</f>
        <v>0</v>
      </c>
      <c r="CI204" s="59" t="e">
        <f>VLOOKUP(A204,[1]DATA!$A$6:$AI$331,34,0)</f>
        <v>#N/A</v>
      </c>
      <c r="CJ204" s="60" t="e">
        <f>VLOOKUP(A204,[2]CHAMCONG!A$7:CI$333,79,0)</f>
        <v>#N/A</v>
      </c>
      <c r="CK204" s="61" t="e">
        <f t="shared" ref="CK204:CK267" si="95">CJ204-CA204</f>
        <v>#N/A</v>
      </c>
    </row>
    <row r="205" spans="1:91" s="62" customFormat="1" ht="15.75" customHeight="1" x14ac:dyDescent="0.25">
      <c r="A205" s="63"/>
      <c r="B205" s="64"/>
      <c r="C205" s="45"/>
      <c r="D205" s="46"/>
      <c r="E205" s="47"/>
      <c r="F205" s="48"/>
      <c r="G205" s="49"/>
      <c r="H205" s="51"/>
      <c r="I205" s="49"/>
      <c r="J205" s="51"/>
      <c r="K205" s="49"/>
      <c r="L205" s="51"/>
      <c r="M205" s="49"/>
      <c r="N205" s="51"/>
      <c r="O205" s="49"/>
      <c r="P205" s="51"/>
      <c r="Q205" s="49"/>
      <c r="R205" s="51"/>
      <c r="S205" s="49"/>
      <c r="T205" s="51"/>
      <c r="U205" s="49"/>
      <c r="V205" s="51"/>
      <c r="W205" s="49"/>
      <c r="X205" s="51"/>
      <c r="Y205" s="49"/>
      <c r="Z205" s="51"/>
      <c r="AA205" s="51"/>
      <c r="AB205" s="51"/>
      <c r="AC205" s="50"/>
      <c r="AD205" s="51"/>
      <c r="AE205" s="50"/>
      <c r="AF205" s="67"/>
      <c r="AG205" s="49"/>
      <c r="AH205" s="51"/>
      <c r="AI205" s="49"/>
      <c r="AJ205" s="51"/>
      <c r="AK205" s="49"/>
      <c r="AL205" s="51"/>
      <c r="AM205" s="49"/>
      <c r="AN205" s="51"/>
      <c r="AO205" s="49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2">
        <f t="shared" si="81"/>
        <v>0</v>
      </c>
      <c r="BR205" s="52">
        <f t="shared" si="82"/>
        <v>0</v>
      </c>
      <c r="BS205" s="52">
        <f t="shared" si="83"/>
        <v>0</v>
      </c>
      <c r="BT205" s="52">
        <f t="shared" si="84"/>
        <v>0</v>
      </c>
      <c r="BU205" s="52">
        <f t="shared" si="85"/>
        <v>0</v>
      </c>
      <c r="BV205" s="65"/>
      <c r="BW205" s="52">
        <f t="shared" si="86"/>
        <v>0</v>
      </c>
      <c r="BX205" s="52">
        <f t="shared" si="87"/>
        <v>0</v>
      </c>
      <c r="BY205" s="52">
        <f t="shared" si="88"/>
        <v>0</v>
      </c>
      <c r="BZ205" s="66">
        <f t="shared" si="89"/>
        <v>0</v>
      </c>
      <c r="CA205" s="54">
        <f t="shared" si="90"/>
        <v>0</v>
      </c>
      <c r="CB205" s="55">
        <f t="shared" si="91"/>
        <v>0</v>
      </c>
      <c r="CC205" s="56">
        <f t="shared" si="92"/>
        <v>0</v>
      </c>
      <c r="CD205" s="57">
        <f t="shared" ref="CD205:CD268" si="96">IF(BZ205&gt;25,4,IF(BZ205&gt;18,3,IF(BZ205&gt;12,2,IF(BZ205&gt;4,1,0))))-BX205-2+1</f>
        <v>-1</v>
      </c>
      <c r="CE205" s="49">
        <v>1</v>
      </c>
      <c r="CF205" s="57" t="e">
        <f t="shared" si="80"/>
        <v>#N/A</v>
      </c>
      <c r="CG205" s="58">
        <f t="shared" si="93"/>
        <v>1</v>
      </c>
      <c r="CH205" s="57">
        <f t="shared" si="94"/>
        <v>16</v>
      </c>
      <c r="CI205" s="59" t="e">
        <f>VLOOKUP(A205,[1]DATA!$A$6:$AI$331,34,0)</f>
        <v>#N/A</v>
      </c>
      <c r="CJ205" s="60" t="e">
        <f>VLOOKUP(A205,[2]CHAMCONG!A$7:CI$333,79,0)</f>
        <v>#N/A</v>
      </c>
      <c r="CK205" s="61" t="e">
        <f t="shared" si="95"/>
        <v>#N/A</v>
      </c>
    </row>
    <row r="206" spans="1:91" s="62" customFormat="1" ht="15.75" customHeight="1" x14ac:dyDescent="0.25">
      <c r="A206" s="69"/>
      <c r="B206" s="64"/>
      <c r="C206" s="45"/>
      <c r="D206" s="46"/>
      <c r="E206" s="47"/>
      <c r="F206" s="48"/>
      <c r="G206" s="49"/>
      <c r="H206" s="51"/>
      <c r="I206" s="50"/>
      <c r="J206" s="51"/>
      <c r="K206" s="50"/>
      <c r="L206" s="51"/>
      <c r="M206" s="50"/>
      <c r="N206" s="51"/>
      <c r="O206" s="50"/>
      <c r="P206" s="51"/>
      <c r="Q206" s="50"/>
      <c r="R206" s="67"/>
      <c r="S206" s="50"/>
      <c r="T206" s="51"/>
      <c r="U206" s="49"/>
      <c r="V206" s="51"/>
      <c r="W206" s="49"/>
      <c r="X206" s="51"/>
      <c r="Y206" s="49"/>
      <c r="Z206" s="51"/>
      <c r="AA206" s="49"/>
      <c r="AB206" s="51"/>
      <c r="AC206" s="49"/>
      <c r="AD206" s="51"/>
      <c r="AE206" s="49"/>
      <c r="AF206" s="51"/>
      <c r="AG206" s="49"/>
      <c r="AH206" s="51"/>
      <c r="AI206" s="49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49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2">
        <f t="shared" si="81"/>
        <v>0</v>
      </c>
      <c r="BR206" s="52">
        <f t="shared" si="82"/>
        <v>0</v>
      </c>
      <c r="BS206" s="52">
        <f t="shared" si="83"/>
        <v>0</v>
      </c>
      <c r="BT206" s="52">
        <f t="shared" si="84"/>
        <v>0</v>
      </c>
      <c r="BU206" s="52">
        <f t="shared" si="85"/>
        <v>0</v>
      </c>
      <c r="BV206" s="65"/>
      <c r="BW206" s="52">
        <f t="shared" si="86"/>
        <v>0</v>
      </c>
      <c r="BX206" s="52">
        <f t="shared" si="87"/>
        <v>0</v>
      </c>
      <c r="BY206" s="52">
        <f t="shared" si="88"/>
        <v>0</v>
      </c>
      <c r="BZ206" s="66">
        <f t="shared" si="89"/>
        <v>0</v>
      </c>
      <c r="CA206" s="54">
        <f t="shared" si="90"/>
        <v>0</v>
      </c>
      <c r="CB206" s="55">
        <f t="shared" si="91"/>
        <v>0</v>
      </c>
      <c r="CC206" s="56">
        <f t="shared" si="92"/>
        <v>0</v>
      </c>
      <c r="CD206" s="57">
        <f t="shared" si="96"/>
        <v>-1</v>
      </c>
      <c r="CE206" s="49">
        <v>1</v>
      </c>
      <c r="CF206" s="57" t="e">
        <f t="shared" si="80"/>
        <v>#N/A</v>
      </c>
      <c r="CG206" s="58">
        <f t="shared" si="93"/>
        <v>1</v>
      </c>
      <c r="CH206" s="57">
        <f t="shared" si="94"/>
        <v>16</v>
      </c>
      <c r="CI206" s="59" t="e">
        <f>VLOOKUP(A206,[1]DATA!$A$6:$AI$331,34,0)</f>
        <v>#N/A</v>
      </c>
      <c r="CJ206" s="60" t="e">
        <f>VLOOKUP(A206,[2]CHAMCONG!A$7:CI$333,79,0)</f>
        <v>#N/A</v>
      </c>
      <c r="CK206" s="61" t="e">
        <f t="shared" si="95"/>
        <v>#N/A</v>
      </c>
    </row>
    <row r="207" spans="1:91" s="62" customFormat="1" ht="15.75" customHeight="1" x14ac:dyDescent="0.25">
      <c r="A207" s="69"/>
      <c r="B207" s="64"/>
      <c r="C207" s="45"/>
      <c r="D207" s="46"/>
      <c r="E207" s="47"/>
      <c r="F207" s="48"/>
      <c r="G207" s="49"/>
      <c r="H207" s="51"/>
      <c r="I207" s="49"/>
      <c r="J207" s="51"/>
      <c r="K207" s="49"/>
      <c r="L207" s="51"/>
      <c r="M207" s="49"/>
      <c r="N207" s="51"/>
      <c r="O207" s="49"/>
      <c r="P207" s="51"/>
      <c r="Q207" s="50"/>
      <c r="R207" s="67"/>
      <c r="S207" s="50"/>
      <c r="T207" s="51"/>
      <c r="U207" s="50"/>
      <c r="V207" s="51"/>
      <c r="W207" s="50"/>
      <c r="X207" s="51"/>
      <c r="Y207" s="50"/>
      <c r="Z207" s="51"/>
      <c r="AA207" s="50"/>
      <c r="AB207" s="51"/>
      <c r="AC207" s="50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2">
        <f t="shared" si="81"/>
        <v>0</v>
      </c>
      <c r="BR207" s="52">
        <f t="shared" si="82"/>
        <v>0</v>
      </c>
      <c r="BS207" s="52">
        <f t="shared" si="83"/>
        <v>0</v>
      </c>
      <c r="BT207" s="52">
        <f t="shared" si="84"/>
        <v>0</v>
      </c>
      <c r="BU207" s="52">
        <f t="shared" si="85"/>
        <v>0</v>
      </c>
      <c r="BV207" s="65"/>
      <c r="BW207" s="52">
        <f t="shared" si="86"/>
        <v>0</v>
      </c>
      <c r="BX207" s="52">
        <f t="shared" si="87"/>
        <v>0</v>
      </c>
      <c r="BY207" s="52">
        <f t="shared" si="88"/>
        <v>0</v>
      </c>
      <c r="BZ207" s="66">
        <f t="shared" si="89"/>
        <v>0</v>
      </c>
      <c r="CA207" s="54">
        <f t="shared" si="90"/>
        <v>0</v>
      </c>
      <c r="CB207" s="55">
        <f t="shared" si="91"/>
        <v>0</v>
      </c>
      <c r="CC207" s="56">
        <f t="shared" si="92"/>
        <v>0</v>
      </c>
      <c r="CD207" s="57">
        <f t="shared" si="96"/>
        <v>-1</v>
      </c>
      <c r="CE207" s="49">
        <v>1</v>
      </c>
      <c r="CF207" s="57" t="e">
        <f t="shared" si="80"/>
        <v>#N/A</v>
      </c>
      <c r="CG207" s="58">
        <f t="shared" si="93"/>
        <v>1</v>
      </c>
      <c r="CH207" s="57">
        <f t="shared" si="94"/>
        <v>16</v>
      </c>
      <c r="CI207" s="59" t="e">
        <f>VLOOKUP(A207,[1]DATA!$A$6:$AI$331,34,0)</f>
        <v>#N/A</v>
      </c>
      <c r="CJ207" s="60" t="e">
        <f>VLOOKUP(A207,[2]CHAMCONG!A$7:CI$333,79,0)</f>
        <v>#N/A</v>
      </c>
      <c r="CK207" s="61" t="e">
        <f t="shared" si="95"/>
        <v>#N/A</v>
      </c>
    </row>
    <row r="208" spans="1:91" s="62" customFormat="1" ht="15.75" customHeight="1" x14ac:dyDescent="0.25">
      <c r="A208" s="69"/>
      <c r="B208" s="64"/>
      <c r="C208" s="45"/>
      <c r="D208" s="46"/>
      <c r="E208" s="47"/>
      <c r="F208" s="48"/>
      <c r="G208" s="49"/>
      <c r="H208" s="51"/>
      <c r="I208" s="49"/>
      <c r="J208" s="51"/>
      <c r="K208" s="49"/>
      <c r="L208" s="51"/>
      <c r="M208" s="49"/>
      <c r="N208" s="51"/>
      <c r="O208" s="50"/>
      <c r="P208" s="51"/>
      <c r="Q208" s="50"/>
      <c r="R208" s="67"/>
      <c r="S208" s="50"/>
      <c r="T208" s="51"/>
      <c r="U208" s="50"/>
      <c r="V208" s="51"/>
      <c r="W208" s="50"/>
      <c r="X208" s="51"/>
      <c r="Y208" s="50"/>
      <c r="Z208" s="51"/>
      <c r="AA208" s="50"/>
      <c r="AB208" s="51"/>
      <c r="AC208" s="50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2">
        <f t="shared" si="81"/>
        <v>0</v>
      </c>
      <c r="BR208" s="52">
        <f t="shared" si="82"/>
        <v>0</v>
      </c>
      <c r="BS208" s="52">
        <f t="shared" si="83"/>
        <v>0</v>
      </c>
      <c r="BT208" s="52">
        <f t="shared" si="84"/>
        <v>0</v>
      </c>
      <c r="BU208" s="52">
        <f t="shared" si="85"/>
        <v>0</v>
      </c>
      <c r="BV208" s="65"/>
      <c r="BW208" s="52">
        <f t="shared" si="86"/>
        <v>0</v>
      </c>
      <c r="BX208" s="52">
        <f t="shared" si="87"/>
        <v>0</v>
      </c>
      <c r="BY208" s="52">
        <f t="shared" si="88"/>
        <v>0</v>
      </c>
      <c r="BZ208" s="66">
        <f t="shared" si="89"/>
        <v>0</v>
      </c>
      <c r="CA208" s="54">
        <f t="shared" si="90"/>
        <v>0</v>
      </c>
      <c r="CB208" s="55">
        <f t="shared" si="91"/>
        <v>0</v>
      </c>
      <c r="CC208" s="56">
        <f t="shared" si="92"/>
        <v>0</v>
      </c>
      <c r="CD208" s="57">
        <f t="shared" si="96"/>
        <v>-1</v>
      </c>
      <c r="CE208" s="49">
        <v>1</v>
      </c>
      <c r="CF208" s="57" t="e">
        <f t="shared" si="80"/>
        <v>#N/A</v>
      </c>
      <c r="CG208" s="58">
        <f t="shared" si="93"/>
        <v>1</v>
      </c>
      <c r="CH208" s="57">
        <f t="shared" si="94"/>
        <v>16</v>
      </c>
      <c r="CI208" s="59" t="e">
        <f>VLOOKUP(A208,[1]DATA!$A$6:$AI$331,34,0)</f>
        <v>#N/A</v>
      </c>
      <c r="CJ208" s="60" t="e">
        <f>VLOOKUP(A208,[2]CHAMCONG!A$7:CI$333,79,0)</f>
        <v>#N/A</v>
      </c>
      <c r="CK208" s="61" t="e">
        <f t="shared" si="95"/>
        <v>#N/A</v>
      </c>
    </row>
    <row r="209" spans="1:89" s="62" customFormat="1" ht="15.75" customHeight="1" x14ac:dyDescent="0.25">
      <c r="A209" s="63"/>
      <c r="B209" s="64"/>
      <c r="C209" s="45"/>
      <c r="D209" s="46"/>
      <c r="E209" s="47"/>
      <c r="F209" s="48"/>
      <c r="G209" s="49"/>
      <c r="H209" s="51"/>
      <c r="I209" s="51"/>
      <c r="J209" s="51"/>
      <c r="K209" s="51"/>
      <c r="L209" s="51"/>
      <c r="M209" s="51"/>
      <c r="N209" s="51"/>
      <c r="O209" s="51"/>
      <c r="P209" s="51"/>
      <c r="Q209" s="50"/>
      <c r="R209" s="67"/>
      <c r="S209" s="50"/>
      <c r="T209" s="51"/>
      <c r="U209" s="50"/>
      <c r="V209" s="51"/>
      <c r="W209" s="50"/>
      <c r="X209" s="51"/>
      <c r="Y209" s="50"/>
      <c r="Z209" s="51"/>
      <c r="AA209" s="50"/>
      <c r="AB209" s="51"/>
      <c r="AC209" s="50"/>
      <c r="AD209" s="51"/>
      <c r="AE209" s="49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2">
        <f t="shared" si="81"/>
        <v>0</v>
      </c>
      <c r="BR209" s="52">
        <f t="shared" si="82"/>
        <v>0</v>
      </c>
      <c r="BS209" s="52">
        <f t="shared" si="83"/>
        <v>0</v>
      </c>
      <c r="BT209" s="52">
        <f t="shared" si="84"/>
        <v>0</v>
      </c>
      <c r="BU209" s="52">
        <f t="shared" si="85"/>
        <v>0</v>
      </c>
      <c r="BV209" s="65"/>
      <c r="BW209" s="52">
        <f t="shared" si="86"/>
        <v>0</v>
      </c>
      <c r="BX209" s="52">
        <f t="shared" si="87"/>
        <v>0</v>
      </c>
      <c r="BY209" s="52">
        <f t="shared" si="88"/>
        <v>0</v>
      </c>
      <c r="BZ209" s="66">
        <f t="shared" si="89"/>
        <v>0</v>
      </c>
      <c r="CA209" s="54">
        <f t="shared" si="90"/>
        <v>0</v>
      </c>
      <c r="CB209" s="55">
        <f t="shared" si="91"/>
        <v>0</v>
      </c>
      <c r="CC209" s="56">
        <f t="shared" si="92"/>
        <v>0</v>
      </c>
      <c r="CD209" s="57">
        <f t="shared" si="96"/>
        <v>-1</v>
      </c>
      <c r="CE209" s="49"/>
      <c r="CF209" s="57" t="e">
        <f t="shared" si="80"/>
        <v>#N/A</v>
      </c>
      <c r="CG209" s="58">
        <f t="shared" si="93"/>
        <v>1</v>
      </c>
      <c r="CH209" s="57">
        <f t="shared" si="94"/>
        <v>0</v>
      </c>
      <c r="CI209" s="59" t="e">
        <f>VLOOKUP(A209,[1]DATA!$A$6:$AI$331,34,0)</f>
        <v>#N/A</v>
      </c>
      <c r="CJ209" s="60" t="e">
        <f>VLOOKUP(A209,[2]CHAMCONG!A$7:CI$333,79,0)</f>
        <v>#N/A</v>
      </c>
      <c r="CK209" s="61" t="e">
        <f t="shared" si="95"/>
        <v>#N/A</v>
      </c>
    </row>
    <row r="210" spans="1:89" s="62" customFormat="1" ht="15.75" customHeight="1" x14ac:dyDescent="0.25">
      <c r="A210" s="69"/>
      <c r="B210" s="64"/>
      <c r="C210" s="45"/>
      <c r="D210" s="46"/>
      <c r="E210" s="47"/>
      <c r="F210" s="48"/>
      <c r="G210" s="49"/>
      <c r="H210" s="51"/>
      <c r="I210" s="50"/>
      <c r="J210" s="51"/>
      <c r="K210" s="51"/>
      <c r="L210" s="51"/>
      <c r="M210" s="51"/>
      <c r="N210" s="51"/>
      <c r="O210" s="51"/>
      <c r="P210" s="51"/>
      <c r="Q210" s="49"/>
      <c r="R210" s="51"/>
      <c r="S210" s="49"/>
      <c r="T210" s="51"/>
      <c r="U210" s="49"/>
      <c r="V210" s="51"/>
      <c r="W210" s="49"/>
      <c r="X210" s="51"/>
      <c r="Y210" s="49"/>
      <c r="Z210" s="51"/>
      <c r="AA210" s="49"/>
      <c r="AB210" s="51"/>
      <c r="AC210" s="49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2">
        <f t="shared" si="81"/>
        <v>0</v>
      </c>
      <c r="BR210" s="52">
        <f t="shared" si="82"/>
        <v>0</v>
      </c>
      <c r="BS210" s="52">
        <f t="shared" si="83"/>
        <v>0</v>
      </c>
      <c r="BT210" s="52">
        <f t="shared" si="84"/>
        <v>0</v>
      </c>
      <c r="BU210" s="52">
        <f t="shared" si="85"/>
        <v>0</v>
      </c>
      <c r="BV210" s="65"/>
      <c r="BW210" s="52">
        <f t="shared" si="86"/>
        <v>0</v>
      </c>
      <c r="BX210" s="52">
        <f t="shared" si="87"/>
        <v>0</v>
      </c>
      <c r="BY210" s="52">
        <f t="shared" si="88"/>
        <v>0</v>
      </c>
      <c r="BZ210" s="66">
        <f t="shared" si="89"/>
        <v>0</v>
      </c>
      <c r="CA210" s="54">
        <f t="shared" si="90"/>
        <v>0</v>
      </c>
      <c r="CB210" s="55">
        <f t="shared" si="91"/>
        <v>0</v>
      </c>
      <c r="CC210" s="56">
        <f t="shared" si="92"/>
        <v>0</v>
      </c>
      <c r="CD210" s="57">
        <f t="shared" si="96"/>
        <v>-1</v>
      </c>
      <c r="CE210" s="49">
        <v>1</v>
      </c>
      <c r="CF210" s="57" t="e">
        <f t="shared" si="80"/>
        <v>#N/A</v>
      </c>
      <c r="CG210" s="58">
        <f t="shared" si="93"/>
        <v>1</v>
      </c>
      <c r="CH210" s="57">
        <f t="shared" si="94"/>
        <v>16</v>
      </c>
      <c r="CI210" s="59" t="e">
        <f>VLOOKUP(A210,[1]DATA!$A$6:$AI$331,34,0)</f>
        <v>#N/A</v>
      </c>
      <c r="CJ210" s="60" t="e">
        <f>VLOOKUP(A210,[2]CHAMCONG!A$7:CI$333,79,0)</f>
        <v>#N/A</v>
      </c>
      <c r="CK210" s="61" t="e">
        <f t="shared" si="95"/>
        <v>#N/A</v>
      </c>
    </row>
    <row r="211" spans="1:89" s="62" customFormat="1" ht="15" customHeight="1" x14ac:dyDescent="0.25">
      <c r="A211" s="69"/>
      <c r="B211" s="64"/>
      <c r="C211" s="45"/>
      <c r="D211" s="46"/>
      <c r="E211" s="47"/>
      <c r="F211" s="48"/>
      <c r="G211" s="49"/>
      <c r="H211" s="51"/>
      <c r="I211" s="67"/>
      <c r="J211" s="51"/>
      <c r="K211" s="51"/>
      <c r="L211" s="51"/>
      <c r="M211" s="51"/>
      <c r="N211" s="51"/>
      <c r="O211" s="49"/>
      <c r="P211" s="51"/>
      <c r="Q211" s="49"/>
      <c r="R211" s="51"/>
      <c r="S211" s="49"/>
      <c r="T211" s="51"/>
      <c r="U211" s="49"/>
      <c r="V211" s="51"/>
      <c r="W211" s="49"/>
      <c r="X211" s="51"/>
      <c r="Y211" s="49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2">
        <f t="shared" si="81"/>
        <v>0</v>
      </c>
      <c r="BR211" s="52">
        <f t="shared" si="82"/>
        <v>0</v>
      </c>
      <c r="BS211" s="52">
        <f t="shared" si="83"/>
        <v>0</v>
      </c>
      <c r="BT211" s="52">
        <f t="shared" si="84"/>
        <v>0</v>
      </c>
      <c r="BU211" s="52">
        <f t="shared" si="85"/>
        <v>0</v>
      </c>
      <c r="BV211" s="65"/>
      <c r="BW211" s="52">
        <f t="shared" si="86"/>
        <v>0</v>
      </c>
      <c r="BX211" s="52">
        <f t="shared" si="87"/>
        <v>0</v>
      </c>
      <c r="BY211" s="52">
        <f t="shared" si="88"/>
        <v>0</v>
      </c>
      <c r="BZ211" s="66">
        <f t="shared" si="89"/>
        <v>0</v>
      </c>
      <c r="CA211" s="54">
        <f t="shared" si="90"/>
        <v>0</v>
      </c>
      <c r="CB211" s="55">
        <f t="shared" si="91"/>
        <v>0</v>
      </c>
      <c r="CC211" s="56">
        <f t="shared" si="92"/>
        <v>0</v>
      </c>
      <c r="CD211" s="57">
        <f t="shared" si="96"/>
        <v>-1</v>
      </c>
      <c r="CE211" s="49"/>
      <c r="CF211" s="57" t="e">
        <f t="shared" si="80"/>
        <v>#N/A</v>
      </c>
      <c r="CG211" s="58">
        <f t="shared" si="93"/>
        <v>1</v>
      </c>
      <c r="CH211" s="57">
        <f t="shared" si="94"/>
        <v>0</v>
      </c>
      <c r="CI211" s="59" t="e">
        <f>VLOOKUP(A211,[1]DATA!$A$6:$AI$331,34,0)</f>
        <v>#N/A</v>
      </c>
      <c r="CJ211" s="60" t="e">
        <f>VLOOKUP(A211,[2]CHAMCONG!A$7:CI$333,79,0)</f>
        <v>#N/A</v>
      </c>
      <c r="CK211" s="61" t="e">
        <f t="shared" si="95"/>
        <v>#N/A</v>
      </c>
    </row>
    <row r="212" spans="1:89" s="62" customFormat="1" ht="15.75" customHeight="1" x14ac:dyDescent="0.25">
      <c r="A212" s="69"/>
      <c r="B212" s="64"/>
      <c r="C212" s="45"/>
      <c r="D212" s="46"/>
      <c r="E212" s="47"/>
      <c r="F212" s="48"/>
      <c r="G212" s="49"/>
      <c r="H212" s="51"/>
      <c r="I212" s="49"/>
      <c r="J212" s="51"/>
      <c r="K212" s="49"/>
      <c r="L212" s="51"/>
      <c r="M212" s="49"/>
      <c r="N212" s="51"/>
      <c r="O212" s="49"/>
      <c r="P212" s="51"/>
      <c r="Q212" s="50"/>
      <c r="R212" s="67"/>
      <c r="S212" s="50"/>
      <c r="T212" s="51"/>
      <c r="U212" s="50"/>
      <c r="V212" s="51"/>
      <c r="W212" s="50"/>
      <c r="X212" s="51"/>
      <c r="Y212" s="50"/>
      <c r="Z212" s="51"/>
      <c r="AA212" s="50"/>
      <c r="AB212" s="51"/>
      <c r="AC212" s="50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2">
        <f t="shared" si="81"/>
        <v>0</v>
      </c>
      <c r="BR212" s="52">
        <f t="shared" si="82"/>
        <v>0</v>
      </c>
      <c r="BS212" s="52">
        <f t="shared" si="83"/>
        <v>0</v>
      </c>
      <c r="BT212" s="52">
        <f t="shared" si="84"/>
        <v>0</v>
      </c>
      <c r="BU212" s="52">
        <f t="shared" si="85"/>
        <v>0</v>
      </c>
      <c r="BV212" s="65"/>
      <c r="BW212" s="52">
        <f t="shared" si="86"/>
        <v>0</v>
      </c>
      <c r="BX212" s="52">
        <f t="shared" si="87"/>
        <v>0</v>
      </c>
      <c r="BY212" s="52">
        <f t="shared" si="88"/>
        <v>0</v>
      </c>
      <c r="BZ212" s="66">
        <f t="shared" si="89"/>
        <v>0</v>
      </c>
      <c r="CA212" s="54">
        <f t="shared" si="90"/>
        <v>0</v>
      </c>
      <c r="CB212" s="55">
        <f t="shared" si="91"/>
        <v>0</v>
      </c>
      <c r="CC212" s="56">
        <f t="shared" si="92"/>
        <v>0</v>
      </c>
      <c r="CD212" s="57">
        <f t="shared" si="96"/>
        <v>-1</v>
      </c>
      <c r="CE212" s="49">
        <v>1</v>
      </c>
      <c r="CF212" s="57" t="e">
        <f t="shared" si="80"/>
        <v>#N/A</v>
      </c>
      <c r="CG212" s="58">
        <f t="shared" si="93"/>
        <v>1</v>
      </c>
      <c r="CH212" s="57">
        <f t="shared" si="94"/>
        <v>16</v>
      </c>
      <c r="CI212" s="59" t="e">
        <f>VLOOKUP(A212,[1]DATA!$A$6:$AI$331,34,0)</f>
        <v>#N/A</v>
      </c>
      <c r="CJ212" s="60" t="e">
        <f>VLOOKUP(A212,[2]CHAMCONG!A$7:CI$333,79,0)</f>
        <v>#N/A</v>
      </c>
      <c r="CK212" s="61" t="e">
        <f t="shared" si="95"/>
        <v>#N/A</v>
      </c>
    </row>
    <row r="213" spans="1:89" s="62" customFormat="1" ht="15.75" customHeight="1" x14ac:dyDescent="0.25">
      <c r="A213" s="69"/>
      <c r="B213" s="64"/>
      <c r="C213" s="45"/>
      <c r="D213" s="46"/>
      <c r="E213" s="47"/>
      <c r="F213" s="48"/>
      <c r="G213" s="49"/>
      <c r="H213" s="51"/>
      <c r="I213" s="51"/>
      <c r="J213" s="51"/>
      <c r="K213" s="51"/>
      <c r="L213" s="51"/>
      <c r="M213" s="51"/>
      <c r="N213" s="51"/>
      <c r="O213" s="51"/>
      <c r="P213" s="51"/>
      <c r="Q213" s="50"/>
      <c r="R213" s="67"/>
      <c r="S213" s="50"/>
      <c r="T213" s="51"/>
      <c r="U213" s="50"/>
      <c r="V213" s="51"/>
      <c r="W213" s="50"/>
      <c r="X213" s="51"/>
      <c r="Y213" s="50"/>
      <c r="Z213" s="51"/>
      <c r="AA213" s="50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49"/>
      <c r="AN213" s="51"/>
      <c r="AO213" s="67"/>
      <c r="AP213" s="51"/>
      <c r="AQ213" s="51"/>
      <c r="AR213" s="51"/>
      <c r="AS213" s="51"/>
      <c r="AT213" s="51"/>
      <c r="AU213" s="51"/>
      <c r="AV213" s="51"/>
      <c r="AW213" s="51"/>
      <c r="AX213" s="51"/>
      <c r="AY213" s="50"/>
      <c r="AZ213" s="51"/>
      <c r="BA213" s="67"/>
      <c r="BB213" s="51"/>
      <c r="BC213" s="67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2">
        <f t="shared" si="81"/>
        <v>0</v>
      </c>
      <c r="BR213" s="52">
        <f t="shared" si="82"/>
        <v>0</v>
      </c>
      <c r="BS213" s="52">
        <f t="shared" si="83"/>
        <v>0</v>
      </c>
      <c r="BT213" s="52">
        <f t="shared" si="84"/>
        <v>0</v>
      </c>
      <c r="BU213" s="52">
        <f t="shared" si="85"/>
        <v>0</v>
      </c>
      <c r="BV213" s="65"/>
      <c r="BW213" s="52">
        <f t="shared" si="86"/>
        <v>0</v>
      </c>
      <c r="BX213" s="52">
        <f t="shared" si="87"/>
        <v>0</v>
      </c>
      <c r="BY213" s="52">
        <f t="shared" si="88"/>
        <v>0</v>
      </c>
      <c r="BZ213" s="66">
        <f t="shared" si="89"/>
        <v>0</v>
      </c>
      <c r="CA213" s="54">
        <f t="shared" si="90"/>
        <v>0</v>
      </c>
      <c r="CB213" s="55">
        <f t="shared" si="91"/>
        <v>0</v>
      </c>
      <c r="CC213" s="56">
        <f t="shared" si="92"/>
        <v>0</v>
      </c>
      <c r="CD213" s="57">
        <f t="shared" si="96"/>
        <v>-1</v>
      </c>
      <c r="CE213" s="49"/>
      <c r="CF213" s="57" t="e">
        <f t="shared" si="80"/>
        <v>#N/A</v>
      </c>
      <c r="CG213" s="58">
        <f t="shared" si="93"/>
        <v>1</v>
      </c>
      <c r="CH213" s="57">
        <f t="shared" si="94"/>
        <v>0</v>
      </c>
      <c r="CI213" s="59" t="e">
        <f>VLOOKUP(A213,[1]DATA!$A$6:$AI$331,34,0)</f>
        <v>#N/A</v>
      </c>
      <c r="CJ213" s="60" t="e">
        <f>VLOOKUP(A213,[2]CHAMCONG!A$7:CI$333,79,0)</f>
        <v>#N/A</v>
      </c>
      <c r="CK213" s="61" t="e">
        <f t="shared" si="95"/>
        <v>#N/A</v>
      </c>
    </row>
    <row r="214" spans="1:89" s="62" customFormat="1" ht="15.75" customHeight="1" x14ac:dyDescent="0.25">
      <c r="A214" s="69"/>
      <c r="B214" s="64"/>
      <c r="C214" s="45"/>
      <c r="D214" s="46"/>
      <c r="E214" s="47"/>
      <c r="F214" s="48"/>
      <c r="G214" s="49"/>
      <c r="H214" s="51"/>
      <c r="I214" s="50"/>
      <c r="J214" s="51"/>
      <c r="K214" s="50"/>
      <c r="L214" s="51"/>
      <c r="M214" s="50"/>
      <c r="N214" s="51"/>
      <c r="O214" s="50"/>
      <c r="P214" s="51"/>
      <c r="Q214" s="50"/>
      <c r="R214" s="67"/>
      <c r="S214" s="50"/>
      <c r="T214" s="51"/>
      <c r="U214" s="49"/>
      <c r="V214" s="51"/>
      <c r="W214" s="50"/>
      <c r="X214" s="51"/>
      <c r="Y214" s="50"/>
      <c r="Z214" s="51"/>
      <c r="AA214" s="50"/>
      <c r="AB214" s="51"/>
      <c r="AC214" s="50"/>
      <c r="AD214" s="51"/>
      <c r="AE214" s="50"/>
      <c r="AF214" s="67"/>
      <c r="AG214" s="50"/>
      <c r="AH214" s="51"/>
      <c r="AI214" s="51"/>
      <c r="AJ214" s="51"/>
      <c r="AK214" s="50"/>
      <c r="AL214" s="51"/>
      <c r="AM214" s="50"/>
      <c r="AN214" s="51"/>
      <c r="AO214" s="50"/>
      <c r="AP214" s="51"/>
      <c r="AQ214" s="50"/>
      <c r="AR214" s="51"/>
      <c r="AS214" s="50"/>
      <c r="AT214" s="67"/>
      <c r="AU214" s="50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2">
        <f t="shared" si="81"/>
        <v>0</v>
      </c>
      <c r="BR214" s="52">
        <f t="shared" si="82"/>
        <v>0</v>
      </c>
      <c r="BS214" s="52">
        <f t="shared" si="83"/>
        <v>0</v>
      </c>
      <c r="BT214" s="52">
        <f t="shared" si="84"/>
        <v>0</v>
      </c>
      <c r="BU214" s="52">
        <f t="shared" si="85"/>
        <v>0</v>
      </c>
      <c r="BV214" s="65"/>
      <c r="BW214" s="52">
        <f t="shared" si="86"/>
        <v>0</v>
      </c>
      <c r="BX214" s="52">
        <f t="shared" si="87"/>
        <v>0</v>
      </c>
      <c r="BY214" s="52">
        <f t="shared" si="88"/>
        <v>0</v>
      </c>
      <c r="BZ214" s="66">
        <f t="shared" si="89"/>
        <v>0</v>
      </c>
      <c r="CA214" s="54">
        <f t="shared" si="90"/>
        <v>0</v>
      </c>
      <c r="CB214" s="55">
        <f t="shared" si="91"/>
        <v>0</v>
      </c>
      <c r="CC214" s="56">
        <f t="shared" si="92"/>
        <v>0</v>
      </c>
      <c r="CD214" s="57">
        <f t="shared" si="96"/>
        <v>-1</v>
      </c>
      <c r="CE214" s="49">
        <v>3</v>
      </c>
      <c r="CF214" s="57" t="e">
        <f t="shared" si="80"/>
        <v>#N/A</v>
      </c>
      <c r="CG214" s="58">
        <f t="shared" si="93"/>
        <v>1</v>
      </c>
      <c r="CH214" s="57">
        <f t="shared" si="94"/>
        <v>48</v>
      </c>
      <c r="CI214" s="59" t="e">
        <f>VLOOKUP(A214,[1]DATA!$A$6:$AI$331,34,0)</f>
        <v>#N/A</v>
      </c>
      <c r="CJ214" s="60" t="e">
        <f>VLOOKUP(A214,[2]CHAMCONG!A$7:CI$333,79,0)</f>
        <v>#N/A</v>
      </c>
      <c r="CK214" s="61" t="e">
        <f t="shared" si="95"/>
        <v>#N/A</v>
      </c>
    </row>
    <row r="215" spans="1:89" s="62" customFormat="1" ht="15.75" customHeight="1" x14ac:dyDescent="0.25">
      <c r="A215" s="69"/>
      <c r="B215" s="64"/>
      <c r="C215" s="45"/>
      <c r="D215" s="46"/>
      <c r="E215" s="47"/>
      <c r="F215" s="48"/>
      <c r="G215" s="49"/>
      <c r="H215" s="51"/>
      <c r="I215" s="50"/>
      <c r="J215" s="51"/>
      <c r="K215" s="50"/>
      <c r="L215" s="51"/>
      <c r="M215" s="50"/>
      <c r="N215" s="51"/>
      <c r="O215" s="50"/>
      <c r="P215" s="51"/>
      <c r="Q215" s="49"/>
      <c r="R215" s="51"/>
      <c r="S215" s="50"/>
      <c r="T215" s="51"/>
      <c r="U215" s="50"/>
      <c r="V215" s="51"/>
      <c r="W215" s="50"/>
      <c r="X215" s="51"/>
      <c r="Y215" s="50"/>
      <c r="Z215" s="51"/>
      <c r="AA215" s="50"/>
      <c r="AB215" s="51"/>
      <c r="AC215" s="50"/>
      <c r="AD215" s="51"/>
      <c r="AE215" s="50"/>
      <c r="AF215" s="67"/>
      <c r="AG215" s="50"/>
      <c r="AH215" s="51"/>
      <c r="AI215" s="50"/>
      <c r="AJ215" s="51"/>
      <c r="AK215" s="50"/>
      <c r="AL215" s="51"/>
      <c r="AM215" s="50"/>
      <c r="AN215" s="51"/>
      <c r="AO215" s="50"/>
      <c r="AP215" s="51"/>
      <c r="AQ215" s="49"/>
      <c r="AR215" s="51"/>
      <c r="AS215" s="49"/>
      <c r="AT215" s="51"/>
      <c r="AU215" s="49"/>
      <c r="AV215" s="51"/>
      <c r="AW215" s="49"/>
      <c r="AX215" s="51"/>
      <c r="AY215" s="49"/>
      <c r="AZ215" s="51"/>
      <c r="BA215" s="49"/>
      <c r="BB215" s="51"/>
      <c r="BC215" s="51"/>
      <c r="BD215" s="51"/>
      <c r="BE215" s="49"/>
      <c r="BF215" s="51"/>
      <c r="BG215" s="49"/>
      <c r="BH215" s="51"/>
      <c r="BI215" s="51"/>
      <c r="BJ215" s="51"/>
      <c r="BK215" s="51"/>
      <c r="BL215" s="51"/>
      <c r="BM215" s="51"/>
      <c r="BN215" s="51"/>
      <c r="BO215" s="51"/>
      <c r="BP215" s="51"/>
      <c r="BQ215" s="52">
        <f t="shared" si="81"/>
        <v>0</v>
      </c>
      <c r="BR215" s="52">
        <f t="shared" si="82"/>
        <v>0</v>
      </c>
      <c r="BS215" s="52">
        <f t="shared" si="83"/>
        <v>0</v>
      </c>
      <c r="BT215" s="52">
        <f t="shared" si="84"/>
        <v>0</v>
      </c>
      <c r="BU215" s="52">
        <f t="shared" si="85"/>
        <v>0</v>
      </c>
      <c r="BV215" s="65"/>
      <c r="BW215" s="52">
        <f t="shared" si="86"/>
        <v>0</v>
      </c>
      <c r="BX215" s="52">
        <f t="shared" si="87"/>
        <v>0</v>
      </c>
      <c r="BY215" s="52">
        <f t="shared" si="88"/>
        <v>0</v>
      </c>
      <c r="BZ215" s="66">
        <f t="shared" si="89"/>
        <v>0</v>
      </c>
      <c r="CA215" s="54">
        <f t="shared" si="90"/>
        <v>0</v>
      </c>
      <c r="CB215" s="55">
        <f t="shared" si="91"/>
        <v>0</v>
      </c>
      <c r="CC215" s="56">
        <f t="shared" si="92"/>
        <v>0</v>
      </c>
      <c r="CD215" s="57">
        <f t="shared" si="96"/>
        <v>-1</v>
      </c>
      <c r="CE215" s="49">
        <v>1</v>
      </c>
      <c r="CF215" s="57" t="e">
        <f t="shared" si="80"/>
        <v>#N/A</v>
      </c>
      <c r="CG215" s="58">
        <f t="shared" si="93"/>
        <v>1</v>
      </c>
      <c r="CH215" s="57">
        <f t="shared" si="94"/>
        <v>16</v>
      </c>
      <c r="CI215" s="59" t="e">
        <f>VLOOKUP(A215,[1]DATA!$A$6:$AI$331,34,0)</f>
        <v>#N/A</v>
      </c>
      <c r="CJ215" s="60" t="e">
        <f>VLOOKUP(A215,[2]CHAMCONG!A$7:CI$333,79,0)</f>
        <v>#N/A</v>
      </c>
      <c r="CK215" s="61" t="e">
        <f t="shared" si="95"/>
        <v>#N/A</v>
      </c>
    </row>
    <row r="216" spans="1:89" s="62" customFormat="1" ht="15.75" customHeight="1" x14ac:dyDescent="0.25">
      <c r="A216" s="69"/>
      <c r="B216" s="64"/>
      <c r="C216" s="45"/>
      <c r="D216" s="46"/>
      <c r="E216" s="47"/>
      <c r="F216" s="48"/>
      <c r="G216" s="49"/>
      <c r="H216" s="51"/>
      <c r="I216" s="50"/>
      <c r="J216" s="51"/>
      <c r="K216" s="50"/>
      <c r="L216" s="51"/>
      <c r="M216" s="50"/>
      <c r="N216" s="51"/>
      <c r="O216" s="50"/>
      <c r="P216" s="51"/>
      <c r="Q216" s="49"/>
      <c r="R216" s="51"/>
      <c r="S216" s="50"/>
      <c r="T216" s="51"/>
      <c r="U216" s="50"/>
      <c r="V216" s="51"/>
      <c r="W216" s="50"/>
      <c r="X216" s="51"/>
      <c r="Y216" s="50"/>
      <c r="Z216" s="51"/>
      <c r="AA216" s="50"/>
      <c r="AB216" s="51"/>
      <c r="AC216" s="50"/>
      <c r="AD216" s="51"/>
      <c r="AE216" s="50"/>
      <c r="AF216" s="67"/>
      <c r="AG216" s="50"/>
      <c r="AH216" s="51"/>
      <c r="AI216" s="50"/>
      <c r="AJ216" s="51"/>
      <c r="AK216" s="50"/>
      <c r="AL216" s="51"/>
      <c r="AM216" s="50"/>
      <c r="AN216" s="51"/>
      <c r="AO216" s="50"/>
      <c r="AP216" s="51"/>
      <c r="AQ216" s="49"/>
      <c r="AR216" s="51"/>
      <c r="AS216" s="49"/>
      <c r="AT216" s="51"/>
      <c r="AU216" s="49"/>
      <c r="AV216" s="51"/>
      <c r="AW216" s="49"/>
      <c r="AX216" s="51"/>
      <c r="AY216" s="49"/>
      <c r="AZ216" s="51"/>
      <c r="BA216" s="49"/>
      <c r="BB216" s="51"/>
      <c r="BC216" s="51"/>
      <c r="BD216" s="51"/>
      <c r="BE216" s="49"/>
      <c r="BF216" s="51"/>
      <c r="BG216" s="49"/>
      <c r="BH216" s="51"/>
      <c r="BI216" s="51"/>
      <c r="BJ216" s="51"/>
      <c r="BK216" s="51"/>
      <c r="BL216" s="51"/>
      <c r="BM216" s="51"/>
      <c r="BN216" s="51"/>
      <c r="BO216" s="51"/>
      <c r="BP216" s="51"/>
      <c r="BQ216" s="52">
        <f t="shared" si="81"/>
        <v>0</v>
      </c>
      <c r="BR216" s="52">
        <f t="shared" si="82"/>
        <v>0</v>
      </c>
      <c r="BS216" s="52">
        <f t="shared" si="83"/>
        <v>0</v>
      </c>
      <c r="BT216" s="52">
        <f t="shared" si="84"/>
        <v>0</v>
      </c>
      <c r="BU216" s="52">
        <f t="shared" si="85"/>
        <v>0</v>
      </c>
      <c r="BV216" s="65"/>
      <c r="BW216" s="52">
        <f t="shared" si="86"/>
        <v>0</v>
      </c>
      <c r="BX216" s="52">
        <f t="shared" si="87"/>
        <v>0</v>
      </c>
      <c r="BY216" s="52">
        <f t="shared" si="88"/>
        <v>0</v>
      </c>
      <c r="BZ216" s="66">
        <f t="shared" si="89"/>
        <v>0</v>
      </c>
      <c r="CA216" s="54">
        <f t="shared" si="90"/>
        <v>0</v>
      </c>
      <c r="CB216" s="55">
        <f t="shared" si="91"/>
        <v>0</v>
      </c>
      <c r="CC216" s="56">
        <f t="shared" si="92"/>
        <v>0</v>
      </c>
      <c r="CD216" s="57">
        <f t="shared" si="96"/>
        <v>-1</v>
      </c>
      <c r="CE216" s="49">
        <v>1</v>
      </c>
      <c r="CF216" s="57" t="e">
        <f t="shared" si="80"/>
        <v>#N/A</v>
      </c>
      <c r="CG216" s="58">
        <f t="shared" si="93"/>
        <v>1</v>
      </c>
      <c r="CH216" s="57">
        <f t="shared" si="94"/>
        <v>16</v>
      </c>
      <c r="CI216" s="59" t="e">
        <f>VLOOKUP(A216,[1]DATA!$A$6:$AI$331,34,0)</f>
        <v>#N/A</v>
      </c>
      <c r="CJ216" s="60" t="e">
        <f>VLOOKUP(A216,[2]CHAMCONG!A$7:CI$333,79,0)</f>
        <v>#N/A</v>
      </c>
      <c r="CK216" s="61" t="e">
        <f t="shared" si="95"/>
        <v>#N/A</v>
      </c>
    </row>
    <row r="217" spans="1:89" s="62" customFormat="1" ht="15.75" customHeight="1" x14ac:dyDescent="0.25">
      <c r="A217" s="69"/>
      <c r="B217" s="64"/>
      <c r="C217" s="45"/>
      <c r="D217" s="46"/>
      <c r="E217" s="47"/>
      <c r="F217" s="48"/>
      <c r="G217" s="49"/>
      <c r="H217" s="51"/>
      <c r="I217" s="50"/>
      <c r="J217" s="51"/>
      <c r="K217" s="50"/>
      <c r="L217" s="51"/>
      <c r="M217" s="50"/>
      <c r="N217" s="51"/>
      <c r="O217" s="49"/>
      <c r="P217" s="51"/>
      <c r="Q217" s="49"/>
      <c r="R217" s="51"/>
      <c r="S217" s="50"/>
      <c r="T217" s="51"/>
      <c r="U217" s="49"/>
      <c r="V217" s="51"/>
      <c r="W217" s="50"/>
      <c r="X217" s="51"/>
      <c r="Y217" s="50"/>
      <c r="Z217" s="51"/>
      <c r="AA217" s="51"/>
      <c r="AB217" s="51"/>
      <c r="AC217" s="49"/>
      <c r="AD217" s="51"/>
      <c r="AE217" s="49"/>
      <c r="AF217" s="51"/>
      <c r="AG217" s="49"/>
      <c r="AH217" s="51"/>
      <c r="AI217" s="49"/>
      <c r="AJ217" s="51"/>
      <c r="AK217" s="49"/>
      <c r="AL217" s="51"/>
      <c r="AM217" s="49"/>
      <c r="AN217" s="51"/>
      <c r="AO217" s="51"/>
      <c r="AP217" s="51"/>
      <c r="AQ217" s="49"/>
      <c r="AR217" s="51"/>
      <c r="AS217" s="49"/>
      <c r="AT217" s="51"/>
      <c r="AU217" s="49"/>
      <c r="AV217" s="51"/>
      <c r="AW217" s="51"/>
      <c r="AX217" s="51"/>
      <c r="AY217" s="49"/>
      <c r="AZ217" s="51"/>
      <c r="BA217" s="49"/>
      <c r="BB217" s="51"/>
      <c r="BC217" s="51"/>
      <c r="BD217" s="51"/>
      <c r="BE217" s="49"/>
      <c r="BF217" s="51"/>
      <c r="BG217" s="49"/>
      <c r="BH217" s="51"/>
      <c r="BI217" s="51"/>
      <c r="BJ217" s="51"/>
      <c r="BK217" s="51"/>
      <c r="BL217" s="51"/>
      <c r="BM217" s="51"/>
      <c r="BN217" s="51"/>
      <c r="BO217" s="51"/>
      <c r="BP217" s="51"/>
      <c r="BQ217" s="52">
        <f t="shared" si="81"/>
        <v>0</v>
      </c>
      <c r="BR217" s="52">
        <f t="shared" si="82"/>
        <v>0</v>
      </c>
      <c r="BS217" s="52">
        <f t="shared" si="83"/>
        <v>0</v>
      </c>
      <c r="BT217" s="52">
        <f t="shared" si="84"/>
        <v>0</v>
      </c>
      <c r="BU217" s="52">
        <f t="shared" si="85"/>
        <v>0</v>
      </c>
      <c r="BV217" s="65"/>
      <c r="BW217" s="52">
        <f t="shared" si="86"/>
        <v>0</v>
      </c>
      <c r="BX217" s="52">
        <f t="shared" si="87"/>
        <v>0</v>
      </c>
      <c r="BY217" s="52">
        <f t="shared" si="88"/>
        <v>0</v>
      </c>
      <c r="BZ217" s="66">
        <f t="shared" si="89"/>
        <v>0</v>
      </c>
      <c r="CA217" s="54">
        <f t="shared" si="90"/>
        <v>0</v>
      </c>
      <c r="CB217" s="55">
        <f t="shared" si="91"/>
        <v>0</v>
      </c>
      <c r="CC217" s="56">
        <f t="shared" si="92"/>
        <v>0</v>
      </c>
      <c r="CD217" s="57">
        <f t="shared" si="96"/>
        <v>-1</v>
      </c>
      <c r="CE217" s="49">
        <v>4</v>
      </c>
      <c r="CF217" s="57" t="e">
        <f t="shared" si="80"/>
        <v>#N/A</v>
      </c>
      <c r="CG217" s="58">
        <f t="shared" si="93"/>
        <v>1</v>
      </c>
      <c r="CH217" s="57">
        <f t="shared" si="94"/>
        <v>64</v>
      </c>
      <c r="CI217" s="59" t="e">
        <f>VLOOKUP(A217,[1]DATA!$A$6:$AI$331,34,0)</f>
        <v>#N/A</v>
      </c>
      <c r="CJ217" s="60" t="e">
        <f>VLOOKUP(A217,[2]CHAMCONG!A$7:CI$333,79,0)</f>
        <v>#N/A</v>
      </c>
      <c r="CK217" s="61" t="e">
        <f t="shared" si="95"/>
        <v>#N/A</v>
      </c>
    </row>
    <row r="218" spans="1:89" s="62" customFormat="1" ht="15.75" customHeight="1" x14ac:dyDescent="0.25">
      <c r="A218" s="69"/>
      <c r="B218" s="64"/>
      <c r="C218" s="45"/>
      <c r="D218" s="46"/>
      <c r="E218" s="47"/>
      <c r="F218" s="48"/>
      <c r="G218" s="49"/>
      <c r="H218" s="51"/>
      <c r="I218" s="49"/>
      <c r="J218" s="51"/>
      <c r="K218" s="50"/>
      <c r="L218" s="51"/>
      <c r="M218" s="50"/>
      <c r="N218" s="51"/>
      <c r="O218" s="50"/>
      <c r="P218" s="51"/>
      <c r="Q218" s="49"/>
      <c r="R218" s="51"/>
      <c r="S218" s="50"/>
      <c r="T218" s="51"/>
      <c r="U218" s="50"/>
      <c r="V218" s="51"/>
      <c r="W218" s="50"/>
      <c r="X218" s="51"/>
      <c r="Y218" s="49"/>
      <c r="Z218" s="51"/>
      <c r="AA218" s="50"/>
      <c r="AB218" s="51"/>
      <c r="AC218" s="50"/>
      <c r="AD218" s="51"/>
      <c r="AE218" s="49"/>
      <c r="AF218" s="51"/>
      <c r="AG218" s="50"/>
      <c r="AH218" s="51"/>
      <c r="AI218" s="50"/>
      <c r="AJ218" s="51"/>
      <c r="AK218" s="50"/>
      <c r="AL218" s="51"/>
      <c r="AM218" s="49"/>
      <c r="AN218" s="51"/>
      <c r="AO218" s="51"/>
      <c r="AP218" s="51"/>
      <c r="AQ218" s="49"/>
      <c r="AR218" s="51"/>
      <c r="AS218" s="49"/>
      <c r="AT218" s="51"/>
      <c r="AU218" s="49"/>
      <c r="AV218" s="51"/>
      <c r="AW218" s="51"/>
      <c r="AX218" s="51"/>
      <c r="AY218" s="49"/>
      <c r="AZ218" s="51"/>
      <c r="BA218" s="49"/>
      <c r="BB218" s="51"/>
      <c r="BC218" s="51"/>
      <c r="BD218" s="51"/>
      <c r="BE218" s="49"/>
      <c r="BF218" s="51"/>
      <c r="BG218" s="49"/>
      <c r="BH218" s="51"/>
      <c r="BI218" s="51"/>
      <c r="BJ218" s="51"/>
      <c r="BK218" s="51"/>
      <c r="BL218" s="51"/>
      <c r="BM218" s="51"/>
      <c r="BN218" s="51"/>
      <c r="BO218" s="51"/>
      <c r="BP218" s="51"/>
      <c r="BQ218" s="52">
        <f t="shared" si="81"/>
        <v>0</v>
      </c>
      <c r="BR218" s="52">
        <f t="shared" si="82"/>
        <v>0</v>
      </c>
      <c r="BS218" s="52">
        <f t="shared" si="83"/>
        <v>0</v>
      </c>
      <c r="BT218" s="52">
        <f t="shared" si="84"/>
        <v>0</v>
      </c>
      <c r="BU218" s="52">
        <f t="shared" si="85"/>
        <v>0</v>
      </c>
      <c r="BV218" s="65"/>
      <c r="BW218" s="52">
        <f t="shared" si="86"/>
        <v>0</v>
      </c>
      <c r="BX218" s="52">
        <f t="shared" si="87"/>
        <v>0</v>
      </c>
      <c r="BY218" s="52">
        <f t="shared" si="88"/>
        <v>0</v>
      </c>
      <c r="BZ218" s="66">
        <f t="shared" si="89"/>
        <v>0</v>
      </c>
      <c r="CA218" s="54">
        <f t="shared" si="90"/>
        <v>0</v>
      </c>
      <c r="CB218" s="55">
        <f t="shared" si="91"/>
        <v>0</v>
      </c>
      <c r="CC218" s="56">
        <f t="shared" si="92"/>
        <v>0</v>
      </c>
      <c r="CD218" s="57">
        <f t="shared" si="96"/>
        <v>-1</v>
      </c>
      <c r="CE218" s="49">
        <v>3</v>
      </c>
      <c r="CF218" s="57" t="e">
        <f t="shared" si="80"/>
        <v>#N/A</v>
      </c>
      <c r="CG218" s="58">
        <f t="shared" si="93"/>
        <v>1</v>
      </c>
      <c r="CH218" s="57">
        <f t="shared" si="94"/>
        <v>48</v>
      </c>
      <c r="CI218" s="59" t="e">
        <f>VLOOKUP(A218,[1]DATA!$A$6:$AI$331,34,0)</f>
        <v>#N/A</v>
      </c>
      <c r="CJ218" s="60" t="e">
        <f>VLOOKUP(A218,[2]CHAMCONG!A$7:CI$333,79,0)</f>
        <v>#N/A</v>
      </c>
      <c r="CK218" s="61" t="e">
        <f t="shared" si="95"/>
        <v>#N/A</v>
      </c>
    </row>
    <row r="219" spans="1:89" s="62" customFormat="1" ht="15.75" customHeight="1" x14ac:dyDescent="0.25">
      <c r="A219" s="69"/>
      <c r="B219" s="64"/>
      <c r="C219" s="45"/>
      <c r="D219" s="46"/>
      <c r="E219" s="47"/>
      <c r="F219" s="48"/>
      <c r="G219" s="49"/>
      <c r="H219" s="51"/>
      <c r="I219" s="67"/>
      <c r="J219" s="51"/>
      <c r="K219" s="67"/>
      <c r="L219" s="51"/>
      <c r="M219" s="67"/>
      <c r="N219" s="51"/>
      <c r="O219" s="67"/>
      <c r="P219" s="51"/>
      <c r="Q219" s="51"/>
      <c r="R219" s="51"/>
      <c r="S219" s="51"/>
      <c r="T219" s="51"/>
      <c r="U219" s="51"/>
      <c r="V219" s="51"/>
      <c r="W219" s="51"/>
      <c r="X219" s="51"/>
      <c r="Y219" s="49"/>
      <c r="Z219" s="51"/>
      <c r="AA219" s="67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2">
        <f t="shared" si="81"/>
        <v>0</v>
      </c>
      <c r="BR219" s="52">
        <f t="shared" si="82"/>
        <v>0</v>
      </c>
      <c r="BS219" s="52">
        <f t="shared" si="83"/>
        <v>0</v>
      </c>
      <c r="BT219" s="52">
        <f t="shared" si="84"/>
        <v>0</v>
      </c>
      <c r="BU219" s="52">
        <f t="shared" si="85"/>
        <v>0</v>
      </c>
      <c r="BV219" s="65"/>
      <c r="BW219" s="52">
        <f t="shared" si="86"/>
        <v>0</v>
      </c>
      <c r="BX219" s="52">
        <f t="shared" si="87"/>
        <v>0</v>
      </c>
      <c r="BY219" s="52">
        <f t="shared" si="88"/>
        <v>0</v>
      </c>
      <c r="BZ219" s="66">
        <f t="shared" si="89"/>
        <v>0</v>
      </c>
      <c r="CA219" s="54">
        <f t="shared" si="90"/>
        <v>0</v>
      </c>
      <c r="CB219" s="55">
        <f t="shared" si="91"/>
        <v>0</v>
      </c>
      <c r="CC219" s="56">
        <f t="shared" si="92"/>
        <v>0</v>
      </c>
      <c r="CD219" s="57">
        <f t="shared" si="96"/>
        <v>-1</v>
      </c>
      <c r="CE219" s="49">
        <v>2</v>
      </c>
      <c r="CF219" s="57" t="e">
        <f t="shared" si="80"/>
        <v>#N/A</v>
      </c>
      <c r="CG219" s="58">
        <f t="shared" si="93"/>
        <v>1</v>
      </c>
      <c r="CH219" s="57">
        <f t="shared" si="94"/>
        <v>32</v>
      </c>
      <c r="CI219" s="59" t="e">
        <f>VLOOKUP(A219,[1]DATA!$A$6:$AI$331,34,0)</f>
        <v>#N/A</v>
      </c>
      <c r="CJ219" s="60" t="e">
        <f>VLOOKUP(A219,[2]CHAMCONG!A$7:CI$333,79,0)</f>
        <v>#N/A</v>
      </c>
      <c r="CK219" s="61" t="e">
        <f t="shared" si="95"/>
        <v>#N/A</v>
      </c>
    </row>
    <row r="220" spans="1:89" s="62" customFormat="1" ht="15.75" customHeight="1" x14ac:dyDescent="0.25">
      <c r="A220" s="69"/>
      <c r="B220" s="64"/>
      <c r="C220" s="45"/>
      <c r="D220" s="46"/>
      <c r="E220" s="47"/>
      <c r="F220" s="48"/>
      <c r="G220" s="49"/>
      <c r="H220" s="51"/>
      <c r="I220" s="67"/>
      <c r="J220" s="51"/>
      <c r="K220" s="67"/>
      <c r="L220" s="51"/>
      <c r="M220" s="67"/>
      <c r="N220" s="51"/>
      <c r="O220" s="67"/>
      <c r="P220" s="51"/>
      <c r="Q220" s="67"/>
      <c r="R220" s="67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2">
        <f t="shared" si="81"/>
        <v>0</v>
      </c>
      <c r="BR220" s="52">
        <f t="shared" si="82"/>
        <v>0</v>
      </c>
      <c r="BS220" s="52">
        <f t="shared" si="83"/>
        <v>0</v>
      </c>
      <c r="BT220" s="52">
        <f t="shared" si="84"/>
        <v>0</v>
      </c>
      <c r="BU220" s="52">
        <f t="shared" si="85"/>
        <v>0</v>
      </c>
      <c r="BV220" s="65"/>
      <c r="BW220" s="52">
        <f t="shared" si="86"/>
        <v>0</v>
      </c>
      <c r="BX220" s="52">
        <f t="shared" si="87"/>
        <v>0</v>
      </c>
      <c r="BY220" s="52">
        <f t="shared" si="88"/>
        <v>0</v>
      </c>
      <c r="BZ220" s="66">
        <f t="shared" si="89"/>
        <v>0</v>
      </c>
      <c r="CA220" s="54">
        <f t="shared" si="90"/>
        <v>0</v>
      </c>
      <c r="CB220" s="55">
        <f t="shared" si="91"/>
        <v>0</v>
      </c>
      <c r="CC220" s="56">
        <f t="shared" si="92"/>
        <v>0</v>
      </c>
      <c r="CD220" s="57">
        <f t="shared" si="96"/>
        <v>-1</v>
      </c>
      <c r="CE220" s="49"/>
      <c r="CF220" s="57" t="e">
        <f t="shared" si="80"/>
        <v>#N/A</v>
      </c>
      <c r="CG220" s="58">
        <f t="shared" si="93"/>
        <v>1</v>
      </c>
      <c r="CH220" s="57">
        <f t="shared" si="94"/>
        <v>0</v>
      </c>
      <c r="CI220" s="59" t="e">
        <f>VLOOKUP(A220,[1]DATA!$A$6:$AI$331,34,0)</f>
        <v>#N/A</v>
      </c>
      <c r="CJ220" s="60" t="e">
        <f>VLOOKUP(A220,[2]CHAMCONG!A$7:CI$333,79,0)</f>
        <v>#N/A</v>
      </c>
      <c r="CK220" s="61" t="e">
        <f t="shared" si="95"/>
        <v>#N/A</v>
      </c>
    </row>
    <row r="221" spans="1:89" s="62" customFormat="1" ht="15.75" customHeight="1" x14ac:dyDescent="0.25">
      <c r="A221" s="69"/>
      <c r="B221" s="64"/>
      <c r="C221" s="45"/>
      <c r="D221" s="46"/>
      <c r="E221" s="47"/>
      <c r="F221" s="48"/>
      <c r="G221" s="49"/>
      <c r="H221" s="51"/>
      <c r="I221" s="50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49"/>
      <c r="V221" s="51"/>
      <c r="W221" s="49"/>
      <c r="X221" s="51"/>
      <c r="Y221" s="49"/>
      <c r="Z221" s="51"/>
      <c r="AA221" s="49"/>
      <c r="AB221" s="51"/>
      <c r="AC221" s="49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72"/>
      <c r="BJ221" s="51"/>
      <c r="BK221" s="72"/>
      <c r="BL221" s="51"/>
      <c r="BM221" s="72"/>
      <c r="BN221" s="51"/>
      <c r="BO221" s="72"/>
      <c r="BP221" s="51"/>
      <c r="BQ221" s="52">
        <f t="shared" si="81"/>
        <v>0</v>
      </c>
      <c r="BR221" s="52">
        <f t="shared" si="82"/>
        <v>0</v>
      </c>
      <c r="BS221" s="52">
        <f t="shared" si="83"/>
        <v>0</v>
      </c>
      <c r="BT221" s="52">
        <f t="shared" si="84"/>
        <v>0</v>
      </c>
      <c r="BU221" s="52">
        <f t="shared" si="85"/>
        <v>0</v>
      </c>
      <c r="BV221" s="65"/>
      <c r="BW221" s="52">
        <f t="shared" si="86"/>
        <v>0</v>
      </c>
      <c r="BX221" s="52">
        <f t="shared" si="87"/>
        <v>0</v>
      </c>
      <c r="BY221" s="52">
        <f t="shared" si="88"/>
        <v>0</v>
      </c>
      <c r="BZ221" s="66">
        <f t="shared" si="89"/>
        <v>0</v>
      </c>
      <c r="CA221" s="54">
        <f t="shared" si="90"/>
        <v>0</v>
      </c>
      <c r="CB221" s="55">
        <f t="shared" si="91"/>
        <v>0</v>
      </c>
      <c r="CC221" s="56">
        <f t="shared" si="92"/>
        <v>0</v>
      </c>
      <c r="CD221" s="57">
        <f t="shared" si="96"/>
        <v>-1</v>
      </c>
      <c r="CE221" s="49">
        <v>3</v>
      </c>
      <c r="CF221" s="57" t="e">
        <f t="shared" si="80"/>
        <v>#N/A</v>
      </c>
      <c r="CG221" s="58">
        <f t="shared" si="93"/>
        <v>1</v>
      </c>
      <c r="CH221" s="57">
        <f t="shared" si="94"/>
        <v>48</v>
      </c>
      <c r="CI221" s="59" t="e">
        <f>VLOOKUP(A221,[1]DATA!$A$6:$AI$331,34,0)</f>
        <v>#N/A</v>
      </c>
      <c r="CJ221" s="60" t="e">
        <f>VLOOKUP(A221,[2]CHAMCONG!A$7:CI$333,79,0)</f>
        <v>#N/A</v>
      </c>
      <c r="CK221" s="61" t="e">
        <f t="shared" si="95"/>
        <v>#N/A</v>
      </c>
    </row>
    <row r="222" spans="1:89" s="62" customFormat="1" ht="15.75" customHeight="1" x14ac:dyDescent="0.25">
      <c r="A222" s="69"/>
      <c r="B222" s="64"/>
      <c r="C222" s="45"/>
      <c r="D222" s="46"/>
      <c r="E222" s="47"/>
      <c r="F222" s="48"/>
      <c r="G222" s="49"/>
      <c r="H222" s="51"/>
      <c r="I222" s="50"/>
      <c r="J222" s="51"/>
      <c r="K222" s="50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0"/>
      <c r="AL222" s="51"/>
      <c r="AM222" s="50"/>
      <c r="AN222" s="51"/>
      <c r="AO222" s="50"/>
      <c r="AP222" s="51"/>
      <c r="AQ222" s="50"/>
      <c r="AR222" s="51"/>
      <c r="AS222" s="50"/>
      <c r="AT222" s="50"/>
      <c r="AU222" s="50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2">
        <f t="shared" si="81"/>
        <v>0</v>
      </c>
      <c r="BR222" s="52">
        <f t="shared" si="82"/>
        <v>0</v>
      </c>
      <c r="BS222" s="52">
        <f t="shared" si="83"/>
        <v>0</v>
      </c>
      <c r="BT222" s="52">
        <f t="shared" si="84"/>
        <v>0</v>
      </c>
      <c r="BU222" s="52">
        <f t="shared" si="85"/>
        <v>0</v>
      </c>
      <c r="BV222" s="65"/>
      <c r="BW222" s="52">
        <f t="shared" si="86"/>
        <v>0</v>
      </c>
      <c r="BX222" s="52">
        <f t="shared" si="87"/>
        <v>0</v>
      </c>
      <c r="BY222" s="52">
        <f t="shared" si="88"/>
        <v>0</v>
      </c>
      <c r="BZ222" s="66">
        <f t="shared" si="89"/>
        <v>0</v>
      </c>
      <c r="CA222" s="54">
        <f t="shared" si="90"/>
        <v>0</v>
      </c>
      <c r="CB222" s="55">
        <f t="shared" si="91"/>
        <v>0</v>
      </c>
      <c r="CC222" s="56">
        <f t="shared" si="92"/>
        <v>0</v>
      </c>
      <c r="CD222" s="57">
        <f t="shared" si="96"/>
        <v>-1</v>
      </c>
      <c r="CE222" s="49"/>
      <c r="CF222" s="57" t="e">
        <f t="shared" si="80"/>
        <v>#N/A</v>
      </c>
      <c r="CG222" s="58">
        <f t="shared" si="93"/>
        <v>1</v>
      </c>
      <c r="CH222" s="57">
        <f t="shared" si="94"/>
        <v>0</v>
      </c>
      <c r="CI222" s="59" t="e">
        <f>VLOOKUP(A222,[1]DATA!$A$6:$AI$331,34,0)</f>
        <v>#N/A</v>
      </c>
      <c r="CJ222" s="60" t="e">
        <f>VLOOKUP(A222,[2]CHAMCONG!A$7:CI$333,79,0)</f>
        <v>#N/A</v>
      </c>
      <c r="CK222" s="61" t="e">
        <f t="shared" si="95"/>
        <v>#N/A</v>
      </c>
    </row>
    <row r="223" spans="1:89" s="62" customFormat="1" ht="15.75" customHeight="1" x14ac:dyDescent="0.25">
      <c r="A223" s="69"/>
      <c r="B223" s="64"/>
      <c r="C223" s="45"/>
      <c r="D223" s="46"/>
      <c r="E223" s="47"/>
      <c r="F223" s="48"/>
      <c r="G223" s="49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49"/>
      <c r="V223" s="51"/>
      <c r="W223" s="49"/>
      <c r="X223" s="51"/>
      <c r="Y223" s="49"/>
      <c r="Z223" s="51"/>
      <c r="AA223" s="50"/>
      <c r="AB223" s="51"/>
      <c r="AC223" s="50"/>
      <c r="AD223" s="51"/>
      <c r="AE223" s="50"/>
      <c r="AF223" s="67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0"/>
      <c r="BB223" s="51"/>
      <c r="BC223" s="50"/>
      <c r="BD223" s="51"/>
      <c r="BE223" s="50"/>
      <c r="BF223" s="51"/>
      <c r="BG223" s="50"/>
      <c r="BH223" s="67"/>
      <c r="BI223" s="51"/>
      <c r="BJ223" s="51"/>
      <c r="BK223" s="51"/>
      <c r="BL223" s="51"/>
      <c r="BM223" s="51"/>
      <c r="BN223" s="51"/>
      <c r="BO223" s="51"/>
      <c r="BP223" s="51"/>
      <c r="BQ223" s="52">
        <f t="shared" si="81"/>
        <v>0</v>
      </c>
      <c r="BR223" s="52">
        <f t="shared" si="82"/>
        <v>0</v>
      </c>
      <c r="BS223" s="52">
        <f t="shared" si="83"/>
        <v>0</v>
      </c>
      <c r="BT223" s="52">
        <f t="shared" si="84"/>
        <v>0</v>
      </c>
      <c r="BU223" s="52">
        <f t="shared" si="85"/>
        <v>0</v>
      </c>
      <c r="BV223" s="65"/>
      <c r="BW223" s="52">
        <f t="shared" si="86"/>
        <v>0</v>
      </c>
      <c r="BX223" s="52">
        <f t="shared" si="87"/>
        <v>0</v>
      </c>
      <c r="BY223" s="52">
        <f t="shared" si="88"/>
        <v>0</v>
      </c>
      <c r="BZ223" s="66">
        <f t="shared" si="89"/>
        <v>0</v>
      </c>
      <c r="CA223" s="54">
        <f t="shared" si="90"/>
        <v>0</v>
      </c>
      <c r="CB223" s="55">
        <f t="shared" si="91"/>
        <v>0</v>
      </c>
      <c r="CC223" s="56">
        <f t="shared" si="92"/>
        <v>0</v>
      </c>
      <c r="CD223" s="57">
        <f t="shared" si="96"/>
        <v>-1</v>
      </c>
      <c r="CE223" s="49"/>
      <c r="CF223" s="57" t="e">
        <f t="shared" si="80"/>
        <v>#N/A</v>
      </c>
      <c r="CG223" s="58">
        <f t="shared" si="93"/>
        <v>1</v>
      </c>
      <c r="CH223" s="57">
        <f t="shared" si="94"/>
        <v>0</v>
      </c>
      <c r="CI223" s="59" t="e">
        <f>VLOOKUP(A223,[1]DATA!$A$6:$AI$331,34,0)</f>
        <v>#N/A</v>
      </c>
      <c r="CJ223" s="60" t="e">
        <f>VLOOKUP(A223,[2]CHAMCONG!A$7:CI$333,79,0)</f>
        <v>#N/A</v>
      </c>
      <c r="CK223" s="61" t="e">
        <f t="shared" si="95"/>
        <v>#N/A</v>
      </c>
    </row>
    <row r="224" spans="1:89" s="62" customFormat="1" ht="15.75" customHeight="1" x14ac:dyDescent="0.25">
      <c r="A224" s="69"/>
      <c r="B224" s="64"/>
      <c r="C224" s="45"/>
      <c r="D224" s="46"/>
      <c r="E224" s="47"/>
      <c r="F224" s="48"/>
      <c r="G224" s="49"/>
      <c r="H224" s="51"/>
      <c r="I224" s="50"/>
      <c r="J224" s="51"/>
      <c r="K224" s="49"/>
      <c r="L224" s="51"/>
      <c r="M224" s="50"/>
      <c r="N224" s="51"/>
      <c r="O224" s="50"/>
      <c r="P224" s="51"/>
      <c r="Q224" s="49"/>
      <c r="R224" s="51"/>
      <c r="S224" s="50"/>
      <c r="T224" s="51"/>
      <c r="U224" s="50"/>
      <c r="V224" s="51"/>
      <c r="W224" s="50"/>
      <c r="X224" s="51"/>
      <c r="Y224" s="51"/>
      <c r="Z224" s="51"/>
      <c r="AA224" s="50"/>
      <c r="AB224" s="51"/>
      <c r="AC224" s="49"/>
      <c r="AD224" s="51"/>
      <c r="AE224" s="51"/>
      <c r="AF224" s="49"/>
      <c r="AG224" s="50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49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2">
        <f t="shared" si="81"/>
        <v>0</v>
      </c>
      <c r="BR224" s="52">
        <f t="shared" si="82"/>
        <v>0</v>
      </c>
      <c r="BS224" s="52">
        <f t="shared" si="83"/>
        <v>0</v>
      </c>
      <c r="BT224" s="52">
        <f t="shared" si="84"/>
        <v>0</v>
      </c>
      <c r="BU224" s="52">
        <f t="shared" si="85"/>
        <v>0</v>
      </c>
      <c r="BV224" s="65"/>
      <c r="BW224" s="52">
        <f t="shared" si="86"/>
        <v>0</v>
      </c>
      <c r="BX224" s="52">
        <f t="shared" si="87"/>
        <v>0</v>
      </c>
      <c r="BY224" s="52">
        <f t="shared" si="88"/>
        <v>0</v>
      </c>
      <c r="BZ224" s="66">
        <f t="shared" si="89"/>
        <v>0</v>
      </c>
      <c r="CA224" s="54">
        <f t="shared" si="90"/>
        <v>0</v>
      </c>
      <c r="CB224" s="55">
        <f t="shared" si="91"/>
        <v>0</v>
      </c>
      <c r="CC224" s="56">
        <f t="shared" si="92"/>
        <v>0</v>
      </c>
      <c r="CD224" s="57">
        <f t="shared" si="96"/>
        <v>-1</v>
      </c>
      <c r="CE224" s="49"/>
      <c r="CF224" s="57" t="e">
        <f t="shared" si="80"/>
        <v>#N/A</v>
      </c>
      <c r="CG224" s="58">
        <f t="shared" si="93"/>
        <v>1</v>
      </c>
      <c r="CH224" s="57">
        <f t="shared" si="94"/>
        <v>0</v>
      </c>
      <c r="CI224" s="59" t="e">
        <f>VLOOKUP(A224,[1]DATA!$A$6:$AI$331,34,0)</f>
        <v>#N/A</v>
      </c>
      <c r="CJ224" s="60" t="e">
        <f>VLOOKUP(A224,[2]CHAMCONG!A$7:CI$333,79,0)</f>
        <v>#N/A</v>
      </c>
      <c r="CK224" s="61" t="e">
        <f t="shared" si="95"/>
        <v>#N/A</v>
      </c>
    </row>
    <row r="225" spans="1:91" s="62" customFormat="1" ht="15.75" customHeight="1" x14ac:dyDescent="0.25">
      <c r="A225" s="63"/>
      <c r="B225" s="64"/>
      <c r="C225" s="45"/>
      <c r="D225" s="46"/>
      <c r="E225" s="47"/>
      <c r="F225" s="48"/>
      <c r="G225" s="49"/>
      <c r="H225" s="51"/>
      <c r="I225" s="49"/>
      <c r="J225" s="51"/>
      <c r="K225" s="49"/>
      <c r="L225" s="51"/>
      <c r="M225" s="49"/>
      <c r="N225" s="51"/>
      <c r="O225" s="49"/>
      <c r="P225" s="51"/>
      <c r="Q225" s="49"/>
      <c r="R225" s="49"/>
      <c r="S225" s="49"/>
      <c r="T225" s="51"/>
      <c r="U225" s="49"/>
      <c r="V225" s="51"/>
      <c r="W225" s="49"/>
      <c r="X225" s="51"/>
      <c r="Y225" s="49"/>
      <c r="Z225" s="51"/>
      <c r="AA225" s="49"/>
      <c r="AB225" s="51"/>
      <c r="AC225" s="51"/>
      <c r="AD225" s="51"/>
      <c r="AE225" s="51"/>
      <c r="AF225" s="51"/>
      <c r="AG225" s="51"/>
      <c r="AH225" s="51"/>
      <c r="AI225" s="49"/>
      <c r="AJ225" s="51"/>
      <c r="AK225" s="49"/>
      <c r="AL225" s="51"/>
      <c r="AM225" s="49"/>
      <c r="AN225" s="51"/>
      <c r="AO225" s="49"/>
      <c r="AP225" s="51"/>
      <c r="AQ225" s="49"/>
      <c r="AR225" s="51"/>
      <c r="AS225" s="49"/>
      <c r="AT225" s="49"/>
      <c r="AU225" s="49"/>
      <c r="AV225" s="51"/>
      <c r="AW225" s="50"/>
      <c r="AX225" s="51"/>
      <c r="AY225" s="49"/>
      <c r="AZ225" s="51"/>
      <c r="BA225" s="49"/>
      <c r="BB225" s="51"/>
      <c r="BC225" s="49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2">
        <f t="shared" si="81"/>
        <v>0</v>
      </c>
      <c r="BR225" s="52">
        <f t="shared" si="82"/>
        <v>0</v>
      </c>
      <c r="BS225" s="52">
        <f t="shared" si="83"/>
        <v>0</v>
      </c>
      <c r="BT225" s="52">
        <f t="shared" si="84"/>
        <v>0</v>
      </c>
      <c r="BU225" s="52">
        <f t="shared" si="85"/>
        <v>0</v>
      </c>
      <c r="BV225" s="65"/>
      <c r="BW225" s="52">
        <f t="shared" si="86"/>
        <v>0</v>
      </c>
      <c r="BX225" s="52">
        <f t="shared" si="87"/>
        <v>0</v>
      </c>
      <c r="BY225" s="52">
        <f t="shared" si="88"/>
        <v>0</v>
      </c>
      <c r="BZ225" s="66">
        <f t="shared" si="89"/>
        <v>0</v>
      </c>
      <c r="CA225" s="54">
        <f t="shared" si="90"/>
        <v>0</v>
      </c>
      <c r="CB225" s="55">
        <f t="shared" si="91"/>
        <v>0</v>
      </c>
      <c r="CC225" s="56">
        <f t="shared" si="92"/>
        <v>0</v>
      </c>
      <c r="CD225" s="57">
        <f t="shared" si="96"/>
        <v>-1</v>
      </c>
      <c r="CE225" s="49">
        <v>2</v>
      </c>
      <c r="CF225" s="57" t="e">
        <f t="shared" ref="CF225:CF263" si="97">CD225*CI225</f>
        <v>#N/A</v>
      </c>
      <c r="CG225" s="58">
        <f t="shared" si="93"/>
        <v>1</v>
      </c>
      <c r="CH225" s="57">
        <f t="shared" si="94"/>
        <v>32</v>
      </c>
      <c r="CI225" s="59" t="e">
        <f>VLOOKUP(A225,[1]DATA!$A$6:$AI$331,34,0)</f>
        <v>#N/A</v>
      </c>
      <c r="CJ225" s="60" t="e">
        <f>VLOOKUP(A225,[2]CHAMCONG!A$7:CI$333,79,0)</f>
        <v>#N/A</v>
      </c>
      <c r="CK225" s="61" t="e">
        <f t="shared" si="95"/>
        <v>#N/A</v>
      </c>
    </row>
    <row r="226" spans="1:91" s="62" customFormat="1" ht="15.75" customHeight="1" x14ac:dyDescent="0.25">
      <c r="A226" s="63"/>
      <c r="B226" s="64"/>
      <c r="C226" s="45"/>
      <c r="D226" s="46"/>
      <c r="E226" s="47"/>
      <c r="F226" s="48"/>
      <c r="G226" s="49"/>
      <c r="H226" s="51"/>
      <c r="I226" s="51"/>
      <c r="J226" s="51"/>
      <c r="K226" s="51"/>
      <c r="L226" s="51"/>
      <c r="M226" s="51"/>
      <c r="N226" s="51"/>
      <c r="O226" s="51"/>
      <c r="P226" s="51"/>
      <c r="Q226" s="50"/>
      <c r="R226" s="67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0"/>
      <c r="AZ226" s="51"/>
      <c r="BA226" s="67"/>
      <c r="BB226" s="51"/>
      <c r="BC226" s="67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2">
        <f t="shared" si="81"/>
        <v>0</v>
      </c>
      <c r="BR226" s="52">
        <f t="shared" si="82"/>
        <v>0</v>
      </c>
      <c r="BS226" s="52">
        <f t="shared" si="83"/>
        <v>0</v>
      </c>
      <c r="BT226" s="52">
        <f t="shared" si="84"/>
        <v>0</v>
      </c>
      <c r="BU226" s="52">
        <f t="shared" si="85"/>
        <v>0</v>
      </c>
      <c r="BV226" s="65"/>
      <c r="BW226" s="52">
        <f t="shared" si="86"/>
        <v>0</v>
      </c>
      <c r="BX226" s="52">
        <f t="shared" si="87"/>
        <v>0</v>
      </c>
      <c r="BY226" s="52">
        <f t="shared" si="88"/>
        <v>0</v>
      </c>
      <c r="BZ226" s="66">
        <f t="shared" si="89"/>
        <v>0</v>
      </c>
      <c r="CA226" s="54">
        <f t="shared" si="90"/>
        <v>0</v>
      </c>
      <c r="CB226" s="55">
        <f t="shared" si="91"/>
        <v>0</v>
      </c>
      <c r="CC226" s="56">
        <f t="shared" si="92"/>
        <v>0</v>
      </c>
      <c r="CD226" s="57">
        <f t="shared" si="96"/>
        <v>-1</v>
      </c>
      <c r="CE226" s="49">
        <v>1</v>
      </c>
      <c r="CF226" s="57" t="e">
        <f t="shared" si="97"/>
        <v>#N/A</v>
      </c>
      <c r="CG226" s="58">
        <f t="shared" si="93"/>
        <v>1</v>
      </c>
      <c r="CH226" s="57">
        <f t="shared" si="94"/>
        <v>16</v>
      </c>
      <c r="CI226" s="59" t="e">
        <f>VLOOKUP(A226,[1]DATA!$A$6:$AI$331,34,0)</f>
        <v>#N/A</v>
      </c>
      <c r="CJ226" s="60" t="e">
        <f>VLOOKUP(A226,[2]CHAMCONG!A$7:CI$333,79,0)</f>
        <v>#N/A</v>
      </c>
      <c r="CK226" s="61" t="e">
        <f t="shared" si="95"/>
        <v>#N/A</v>
      </c>
    </row>
    <row r="227" spans="1:91" s="62" customFormat="1" ht="15.75" customHeight="1" x14ac:dyDescent="0.25">
      <c r="A227" s="63"/>
      <c r="B227" s="64"/>
      <c r="C227" s="45"/>
      <c r="D227" s="46"/>
      <c r="E227" s="47"/>
      <c r="F227" s="48"/>
      <c r="G227" s="49"/>
      <c r="H227" s="51"/>
      <c r="I227" s="49"/>
      <c r="J227" s="51"/>
      <c r="K227" s="49"/>
      <c r="L227" s="51"/>
      <c r="M227" s="49"/>
      <c r="N227" s="51"/>
      <c r="O227" s="49"/>
      <c r="P227" s="51"/>
      <c r="Q227" s="49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49"/>
      <c r="AP227" s="51"/>
      <c r="AQ227" s="49"/>
      <c r="AR227" s="51"/>
      <c r="AS227" s="49"/>
      <c r="AT227" s="49"/>
      <c r="AU227" s="49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2">
        <f t="shared" si="81"/>
        <v>0</v>
      </c>
      <c r="BR227" s="52">
        <f t="shared" si="82"/>
        <v>0</v>
      </c>
      <c r="BS227" s="52">
        <f t="shared" si="83"/>
        <v>0</v>
      </c>
      <c r="BT227" s="52">
        <f t="shared" si="84"/>
        <v>0</v>
      </c>
      <c r="BU227" s="52">
        <f t="shared" si="85"/>
        <v>0</v>
      </c>
      <c r="BV227" s="65"/>
      <c r="BW227" s="52">
        <f t="shared" si="86"/>
        <v>0</v>
      </c>
      <c r="BX227" s="52">
        <f t="shared" si="87"/>
        <v>0</v>
      </c>
      <c r="BY227" s="52">
        <f t="shared" si="88"/>
        <v>0</v>
      </c>
      <c r="BZ227" s="66">
        <f t="shared" si="89"/>
        <v>0</v>
      </c>
      <c r="CA227" s="54">
        <f t="shared" si="90"/>
        <v>0</v>
      </c>
      <c r="CB227" s="55">
        <f t="shared" si="91"/>
        <v>0</v>
      </c>
      <c r="CC227" s="56">
        <f t="shared" si="92"/>
        <v>0</v>
      </c>
      <c r="CD227" s="57">
        <f t="shared" si="96"/>
        <v>-1</v>
      </c>
      <c r="CE227" s="49"/>
      <c r="CF227" s="57" t="e">
        <f t="shared" si="97"/>
        <v>#N/A</v>
      </c>
      <c r="CG227" s="58">
        <f t="shared" si="93"/>
        <v>1</v>
      </c>
      <c r="CH227" s="57">
        <f t="shared" si="94"/>
        <v>0</v>
      </c>
      <c r="CI227" s="59" t="e">
        <f>VLOOKUP(A227,[1]DATA!$A$6:$AI$331,34,0)</f>
        <v>#N/A</v>
      </c>
      <c r="CJ227" s="60" t="e">
        <f>VLOOKUP(A227,[2]CHAMCONG!A$7:CI$333,79,0)</f>
        <v>#N/A</v>
      </c>
      <c r="CK227" s="61" t="e">
        <f t="shared" si="95"/>
        <v>#N/A</v>
      </c>
    </row>
    <row r="228" spans="1:91" s="62" customFormat="1" ht="16.5" customHeight="1" x14ac:dyDescent="0.25">
      <c r="A228" s="69"/>
      <c r="B228" s="64"/>
      <c r="C228" s="45"/>
      <c r="D228" s="46"/>
      <c r="E228" s="47"/>
      <c r="F228" s="48"/>
      <c r="G228" s="49"/>
      <c r="H228" s="51"/>
      <c r="I228" s="49"/>
      <c r="J228" s="51"/>
      <c r="K228" s="49"/>
      <c r="L228" s="51"/>
      <c r="M228" s="49"/>
      <c r="N228" s="51"/>
      <c r="O228" s="49"/>
      <c r="P228" s="51"/>
      <c r="Q228" s="67"/>
      <c r="R228" s="67"/>
      <c r="S228" s="50"/>
      <c r="T228" s="51"/>
      <c r="U228" s="49"/>
      <c r="V228" s="51"/>
      <c r="W228" s="49"/>
      <c r="X228" s="51"/>
      <c r="Y228" s="49"/>
      <c r="Z228" s="51"/>
      <c r="AA228" s="49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2">
        <f t="shared" si="81"/>
        <v>0</v>
      </c>
      <c r="BR228" s="52">
        <f t="shared" si="82"/>
        <v>0</v>
      </c>
      <c r="BS228" s="52">
        <f t="shared" si="83"/>
        <v>0</v>
      </c>
      <c r="BT228" s="52">
        <f t="shared" si="84"/>
        <v>0</v>
      </c>
      <c r="BU228" s="52">
        <f t="shared" si="85"/>
        <v>0</v>
      </c>
      <c r="BV228" s="65"/>
      <c r="BW228" s="52">
        <f t="shared" si="86"/>
        <v>0</v>
      </c>
      <c r="BX228" s="52">
        <f t="shared" si="87"/>
        <v>0</v>
      </c>
      <c r="BY228" s="52">
        <f t="shared" si="88"/>
        <v>0</v>
      </c>
      <c r="BZ228" s="66">
        <f t="shared" si="89"/>
        <v>0</v>
      </c>
      <c r="CA228" s="54">
        <f t="shared" si="90"/>
        <v>0</v>
      </c>
      <c r="CB228" s="55">
        <f t="shared" si="91"/>
        <v>0</v>
      </c>
      <c r="CC228" s="56">
        <f t="shared" si="92"/>
        <v>0</v>
      </c>
      <c r="CD228" s="57">
        <f t="shared" si="96"/>
        <v>-1</v>
      </c>
      <c r="CE228" s="49"/>
      <c r="CF228" s="57" t="e">
        <f t="shared" si="97"/>
        <v>#N/A</v>
      </c>
      <c r="CG228" s="58">
        <f t="shared" si="93"/>
        <v>1</v>
      </c>
      <c r="CH228" s="57">
        <f t="shared" si="94"/>
        <v>0</v>
      </c>
      <c r="CI228" s="59" t="e">
        <f>VLOOKUP(A228,[1]DATA!$A$6:$AI$331,34,0)</f>
        <v>#N/A</v>
      </c>
      <c r="CJ228" s="60" t="e">
        <f>VLOOKUP(A228,[2]CHAMCONG!A$7:CI$333,79,0)</f>
        <v>#N/A</v>
      </c>
      <c r="CK228" s="61" t="e">
        <f t="shared" si="95"/>
        <v>#N/A</v>
      </c>
    </row>
    <row r="229" spans="1:91" s="62" customFormat="1" ht="15.75" customHeight="1" x14ac:dyDescent="0.25">
      <c r="A229" s="63"/>
      <c r="B229" s="64"/>
      <c r="C229" s="45"/>
      <c r="D229" s="46"/>
      <c r="E229" s="47"/>
      <c r="F229" s="48"/>
      <c r="G229" s="49"/>
      <c r="H229" s="51"/>
      <c r="I229" s="49"/>
      <c r="J229" s="51"/>
      <c r="K229" s="49"/>
      <c r="L229" s="51"/>
      <c r="M229" s="49"/>
      <c r="N229" s="51"/>
      <c r="O229" s="49"/>
      <c r="P229" s="51"/>
      <c r="Q229" s="49"/>
      <c r="R229" s="51"/>
      <c r="S229" s="49"/>
      <c r="T229" s="51"/>
      <c r="U229" s="49"/>
      <c r="V229" s="51"/>
      <c r="W229" s="50"/>
      <c r="X229" s="51"/>
      <c r="Y229" s="50"/>
      <c r="Z229" s="51"/>
      <c r="AA229" s="49"/>
      <c r="AB229" s="51"/>
      <c r="AC229" s="49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72"/>
      <c r="AP229" s="51"/>
      <c r="AQ229" s="51"/>
      <c r="AR229" s="51"/>
      <c r="AS229" s="49"/>
      <c r="AT229" s="51"/>
      <c r="AU229" s="51"/>
      <c r="AV229" s="51"/>
      <c r="AW229" s="51"/>
      <c r="AX229" s="51"/>
      <c r="AY229" s="51"/>
      <c r="AZ229" s="51"/>
      <c r="BA229" s="51"/>
      <c r="BB229" s="51"/>
      <c r="BC229" s="72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2">
        <f t="shared" si="81"/>
        <v>0</v>
      </c>
      <c r="BR229" s="52">
        <f t="shared" si="82"/>
        <v>0</v>
      </c>
      <c r="BS229" s="52">
        <f t="shared" si="83"/>
        <v>0</v>
      </c>
      <c r="BT229" s="52">
        <f t="shared" si="84"/>
        <v>0</v>
      </c>
      <c r="BU229" s="52">
        <f t="shared" si="85"/>
        <v>0</v>
      </c>
      <c r="BV229" s="65"/>
      <c r="BW229" s="52">
        <f t="shared" si="86"/>
        <v>0</v>
      </c>
      <c r="BX229" s="52">
        <f t="shared" si="87"/>
        <v>0</v>
      </c>
      <c r="BY229" s="52">
        <f t="shared" si="88"/>
        <v>0</v>
      </c>
      <c r="BZ229" s="66">
        <f t="shared" si="89"/>
        <v>0</v>
      </c>
      <c r="CA229" s="54">
        <f t="shared" si="90"/>
        <v>0</v>
      </c>
      <c r="CB229" s="55">
        <f t="shared" si="91"/>
        <v>0</v>
      </c>
      <c r="CC229" s="56">
        <f t="shared" si="92"/>
        <v>0</v>
      </c>
      <c r="CD229" s="57">
        <f t="shared" si="96"/>
        <v>-1</v>
      </c>
      <c r="CE229" s="49"/>
      <c r="CF229" s="57" t="e">
        <f t="shared" si="97"/>
        <v>#N/A</v>
      </c>
      <c r="CG229" s="58">
        <f t="shared" si="93"/>
        <v>1</v>
      </c>
      <c r="CH229" s="57">
        <f t="shared" si="94"/>
        <v>0</v>
      </c>
      <c r="CI229" s="59" t="e">
        <f>VLOOKUP(A229,[1]DATA!$A$6:$AI$331,34,0)</f>
        <v>#N/A</v>
      </c>
      <c r="CJ229" s="60" t="e">
        <f>VLOOKUP(A229,[2]CHAMCONG!A$7:CI$333,79,0)</f>
        <v>#N/A</v>
      </c>
      <c r="CK229" s="61" t="e">
        <f t="shared" si="95"/>
        <v>#N/A</v>
      </c>
    </row>
    <row r="230" spans="1:91" s="62" customFormat="1" ht="15.75" customHeight="1" x14ac:dyDescent="0.25">
      <c r="A230" s="63"/>
      <c r="B230" s="64"/>
      <c r="C230" s="45"/>
      <c r="D230" s="46"/>
      <c r="E230" s="47"/>
      <c r="F230" s="48"/>
      <c r="G230" s="49"/>
      <c r="H230" s="51"/>
      <c r="I230" s="49"/>
      <c r="J230" s="51"/>
      <c r="K230" s="49"/>
      <c r="L230" s="51"/>
      <c r="M230" s="49"/>
      <c r="N230" s="51"/>
      <c r="O230" s="49"/>
      <c r="P230" s="51"/>
      <c r="Q230" s="49"/>
      <c r="R230" s="51"/>
      <c r="S230" s="51"/>
      <c r="T230" s="51"/>
      <c r="U230" s="51"/>
      <c r="V230" s="51"/>
      <c r="W230" s="50"/>
      <c r="X230" s="51"/>
      <c r="Y230" s="50"/>
      <c r="Z230" s="51"/>
      <c r="AA230" s="50"/>
      <c r="AB230" s="51"/>
      <c r="AC230" s="50"/>
      <c r="AD230" s="51"/>
      <c r="AE230" s="51"/>
      <c r="AF230" s="51"/>
      <c r="AG230" s="50"/>
      <c r="AH230" s="51"/>
      <c r="AI230" s="51"/>
      <c r="AJ230" s="51"/>
      <c r="AK230" s="51"/>
      <c r="AL230" s="51"/>
      <c r="AM230" s="51"/>
      <c r="AN230" s="51"/>
      <c r="AO230" s="49"/>
      <c r="AP230" s="51"/>
      <c r="AQ230" s="49"/>
      <c r="AR230" s="51"/>
      <c r="AS230" s="49"/>
      <c r="AT230" s="49"/>
      <c r="AU230" s="49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2">
        <f t="shared" si="81"/>
        <v>0</v>
      </c>
      <c r="BR230" s="52">
        <f t="shared" si="82"/>
        <v>0</v>
      </c>
      <c r="BS230" s="52">
        <f t="shared" si="83"/>
        <v>0</v>
      </c>
      <c r="BT230" s="52">
        <f t="shared" si="84"/>
        <v>0</v>
      </c>
      <c r="BU230" s="52">
        <f t="shared" si="85"/>
        <v>0</v>
      </c>
      <c r="BV230" s="65"/>
      <c r="BW230" s="52">
        <f t="shared" si="86"/>
        <v>0</v>
      </c>
      <c r="BX230" s="52">
        <f t="shared" si="87"/>
        <v>0</v>
      </c>
      <c r="BY230" s="52">
        <f t="shared" si="88"/>
        <v>0</v>
      </c>
      <c r="BZ230" s="66">
        <f t="shared" si="89"/>
        <v>0</v>
      </c>
      <c r="CA230" s="54">
        <f t="shared" si="90"/>
        <v>0</v>
      </c>
      <c r="CB230" s="55">
        <f t="shared" si="91"/>
        <v>0</v>
      </c>
      <c r="CC230" s="56">
        <f t="shared" si="92"/>
        <v>0</v>
      </c>
      <c r="CD230" s="57">
        <f t="shared" si="96"/>
        <v>-1</v>
      </c>
      <c r="CE230" s="49"/>
      <c r="CF230" s="57" t="e">
        <f t="shared" si="97"/>
        <v>#N/A</v>
      </c>
      <c r="CG230" s="58">
        <f t="shared" si="93"/>
        <v>1</v>
      </c>
      <c r="CH230" s="57">
        <f t="shared" si="94"/>
        <v>0</v>
      </c>
      <c r="CI230" s="59" t="e">
        <f>VLOOKUP(A230,[1]DATA!$A$6:$AI$331,34,0)</f>
        <v>#N/A</v>
      </c>
      <c r="CJ230" s="60" t="e">
        <f>VLOOKUP(A230,[2]CHAMCONG!A$7:CI$333,79,0)</f>
        <v>#N/A</v>
      </c>
      <c r="CK230" s="61" t="e">
        <f t="shared" si="95"/>
        <v>#N/A</v>
      </c>
    </row>
    <row r="231" spans="1:91" s="68" customFormat="1" ht="15.75" customHeight="1" x14ac:dyDescent="0.25">
      <c r="A231" s="63"/>
      <c r="B231" s="64"/>
      <c r="C231" s="45"/>
      <c r="D231" s="46"/>
      <c r="E231" s="47"/>
      <c r="F231" s="48"/>
      <c r="G231" s="49"/>
      <c r="H231" s="51"/>
      <c r="I231" s="49"/>
      <c r="J231" s="51"/>
      <c r="K231" s="49"/>
      <c r="L231" s="51"/>
      <c r="M231" s="49"/>
      <c r="N231" s="51"/>
      <c r="O231" s="49"/>
      <c r="P231" s="51"/>
      <c r="Q231" s="67"/>
      <c r="R231" s="67"/>
      <c r="S231" s="49"/>
      <c r="T231" s="51"/>
      <c r="U231" s="49"/>
      <c r="V231" s="51"/>
      <c r="W231" s="49"/>
      <c r="X231" s="51"/>
      <c r="Y231" s="49"/>
      <c r="Z231" s="51"/>
      <c r="AA231" s="49"/>
      <c r="AB231" s="51"/>
      <c r="AC231" s="49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2">
        <f t="shared" si="81"/>
        <v>0</v>
      </c>
      <c r="BR231" s="52">
        <f t="shared" si="82"/>
        <v>0</v>
      </c>
      <c r="BS231" s="52">
        <f t="shared" si="83"/>
        <v>0</v>
      </c>
      <c r="BT231" s="52">
        <f t="shared" si="84"/>
        <v>0</v>
      </c>
      <c r="BU231" s="52">
        <f t="shared" si="85"/>
        <v>0</v>
      </c>
      <c r="BV231" s="65"/>
      <c r="BW231" s="52">
        <f t="shared" si="86"/>
        <v>0</v>
      </c>
      <c r="BX231" s="52">
        <f t="shared" si="87"/>
        <v>0</v>
      </c>
      <c r="BY231" s="52">
        <f t="shared" si="88"/>
        <v>0</v>
      </c>
      <c r="BZ231" s="66">
        <f t="shared" si="89"/>
        <v>0</v>
      </c>
      <c r="CA231" s="54">
        <f t="shared" si="90"/>
        <v>0</v>
      </c>
      <c r="CB231" s="55">
        <f t="shared" si="91"/>
        <v>0</v>
      </c>
      <c r="CC231" s="56">
        <f t="shared" si="92"/>
        <v>0</v>
      </c>
      <c r="CD231" s="57">
        <f t="shared" si="96"/>
        <v>-1</v>
      </c>
      <c r="CE231" s="49"/>
      <c r="CF231" s="57" t="e">
        <f t="shared" si="97"/>
        <v>#N/A</v>
      </c>
      <c r="CG231" s="58">
        <f t="shared" si="93"/>
        <v>1</v>
      </c>
      <c r="CH231" s="57">
        <f t="shared" si="94"/>
        <v>0</v>
      </c>
      <c r="CI231" s="59" t="e">
        <f>VLOOKUP(A231,[1]DATA!$A$6:$AI$331,34,0)</f>
        <v>#N/A</v>
      </c>
      <c r="CJ231" s="60" t="e">
        <f>VLOOKUP(A231,[2]CHAMCONG!A$7:CI$333,79,0)</f>
        <v>#N/A</v>
      </c>
      <c r="CK231" s="61" t="e">
        <f t="shared" si="95"/>
        <v>#N/A</v>
      </c>
      <c r="CL231" s="62"/>
      <c r="CM231" s="62"/>
    </row>
    <row r="232" spans="1:91" s="68" customFormat="1" ht="15.75" customHeight="1" x14ac:dyDescent="0.25">
      <c r="A232" s="69"/>
      <c r="B232" s="64"/>
      <c r="C232" s="45"/>
      <c r="D232" s="46"/>
      <c r="E232" s="47"/>
      <c r="F232" s="48"/>
      <c r="G232" s="49"/>
      <c r="H232" s="51"/>
      <c r="I232" s="49"/>
      <c r="J232" s="51"/>
      <c r="K232" s="49"/>
      <c r="L232" s="51"/>
      <c r="M232" s="49"/>
      <c r="N232" s="51"/>
      <c r="O232" s="49"/>
      <c r="P232" s="51"/>
      <c r="Q232" s="50"/>
      <c r="R232" s="51"/>
      <c r="S232" s="50"/>
      <c r="T232" s="51"/>
      <c r="U232" s="49"/>
      <c r="V232" s="51"/>
      <c r="W232" s="50"/>
      <c r="X232" s="51"/>
      <c r="Y232" s="50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2">
        <f t="shared" si="81"/>
        <v>0</v>
      </c>
      <c r="BR232" s="52">
        <f t="shared" si="82"/>
        <v>0</v>
      </c>
      <c r="BS232" s="52">
        <f t="shared" si="83"/>
        <v>0</v>
      </c>
      <c r="BT232" s="52">
        <f t="shared" si="84"/>
        <v>0</v>
      </c>
      <c r="BU232" s="52">
        <f t="shared" si="85"/>
        <v>0</v>
      </c>
      <c r="BV232" s="65"/>
      <c r="BW232" s="52">
        <f t="shared" si="86"/>
        <v>0</v>
      </c>
      <c r="BX232" s="52">
        <f t="shared" si="87"/>
        <v>0</v>
      </c>
      <c r="BY232" s="52">
        <f t="shared" si="88"/>
        <v>0</v>
      </c>
      <c r="BZ232" s="66">
        <f t="shared" si="89"/>
        <v>0</v>
      </c>
      <c r="CA232" s="54">
        <f t="shared" si="90"/>
        <v>0</v>
      </c>
      <c r="CB232" s="55">
        <f t="shared" si="91"/>
        <v>0</v>
      </c>
      <c r="CC232" s="56">
        <f t="shared" si="92"/>
        <v>0</v>
      </c>
      <c r="CD232" s="57">
        <f t="shared" si="96"/>
        <v>-1</v>
      </c>
      <c r="CE232" s="49"/>
      <c r="CF232" s="57" t="e">
        <f t="shared" si="97"/>
        <v>#N/A</v>
      </c>
      <c r="CG232" s="58">
        <f t="shared" si="93"/>
        <v>1</v>
      </c>
      <c r="CH232" s="57">
        <f t="shared" si="94"/>
        <v>0</v>
      </c>
      <c r="CI232" s="59" t="e">
        <f>VLOOKUP(A232,[1]DATA!$A$6:$AI$331,34,0)</f>
        <v>#N/A</v>
      </c>
      <c r="CJ232" s="60" t="e">
        <f>VLOOKUP(A232,[2]CHAMCONG!A$7:CI$333,79,0)</f>
        <v>#N/A</v>
      </c>
      <c r="CK232" s="61" t="e">
        <f t="shared" si="95"/>
        <v>#N/A</v>
      </c>
      <c r="CL232" s="62"/>
      <c r="CM232" s="62"/>
    </row>
    <row r="233" spans="1:91" s="68" customFormat="1" ht="15.75" customHeight="1" x14ac:dyDescent="0.25">
      <c r="A233" s="63"/>
      <c r="B233" s="64"/>
      <c r="C233" s="45"/>
      <c r="D233" s="46"/>
      <c r="E233" s="47"/>
      <c r="F233" s="48"/>
      <c r="G233" s="49"/>
      <c r="H233" s="51"/>
      <c r="I233" s="50"/>
      <c r="J233" s="51"/>
      <c r="K233" s="51"/>
      <c r="L233" s="51"/>
      <c r="M233" s="51"/>
      <c r="N233" s="51"/>
      <c r="O233" s="51"/>
      <c r="P233" s="51"/>
      <c r="Q233" s="51"/>
      <c r="R233" s="72"/>
      <c r="S233" s="51"/>
      <c r="T233" s="51"/>
      <c r="U233" s="49"/>
      <c r="V233" s="51"/>
      <c r="W233" s="49"/>
      <c r="X233" s="51"/>
      <c r="Y233" s="49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72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72"/>
      <c r="BI233" s="51"/>
      <c r="BJ233" s="51"/>
      <c r="BK233" s="51"/>
      <c r="BL233" s="51"/>
      <c r="BM233" s="51"/>
      <c r="BN233" s="51"/>
      <c r="BO233" s="51"/>
      <c r="BP233" s="51"/>
      <c r="BQ233" s="52">
        <f t="shared" si="81"/>
        <v>0</v>
      </c>
      <c r="BR233" s="52">
        <f t="shared" si="82"/>
        <v>0</v>
      </c>
      <c r="BS233" s="52">
        <f t="shared" si="83"/>
        <v>0</v>
      </c>
      <c r="BT233" s="52">
        <f t="shared" si="84"/>
        <v>0</v>
      </c>
      <c r="BU233" s="52">
        <f t="shared" si="85"/>
        <v>0</v>
      </c>
      <c r="BV233" s="65"/>
      <c r="BW233" s="52">
        <f t="shared" si="86"/>
        <v>0</v>
      </c>
      <c r="BX233" s="52">
        <f t="shared" si="87"/>
        <v>0</v>
      </c>
      <c r="BY233" s="52">
        <f t="shared" si="88"/>
        <v>0</v>
      </c>
      <c r="BZ233" s="66">
        <f t="shared" si="89"/>
        <v>0</v>
      </c>
      <c r="CA233" s="54">
        <f t="shared" si="90"/>
        <v>0</v>
      </c>
      <c r="CB233" s="55">
        <f t="shared" si="91"/>
        <v>0</v>
      </c>
      <c r="CC233" s="56">
        <f t="shared" si="92"/>
        <v>0</v>
      </c>
      <c r="CD233" s="57">
        <f t="shared" si="96"/>
        <v>-1</v>
      </c>
      <c r="CE233" s="49"/>
      <c r="CF233" s="57" t="e">
        <f t="shared" si="97"/>
        <v>#N/A</v>
      </c>
      <c r="CG233" s="58">
        <f t="shared" si="93"/>
        <v>1</v>
      </c>
      <c r="CH233" s="57">
        <f t="shared" si="94"/>
        <v>0</v>
      </c>
      <c r="CI233" s="59" t="e">
        <f>VLOOKUP(A233,[1]DATA!$A$6:$AI$331,34,0)</f>
        <v>#N/A</v>
      </c>
      <c r="CJ233" s="60" t="e">
        <f>VLOOKUP(A233,[2]CHAMCONG!A$7:CI$333,79,0)</f>
        <v>#N/A</v>
      </c>
      <c r="CK233" s="61" t="e">
        <f t="shared" si="95"/>
        <v>#N/A</v>
      </c>
      <c r="CL233" s="62"/>
      <c r="CM233" s="62"/>
    </row>
    <row r="234" spans="1:91" s="62" customFormat="1" ht="15.75" customHeight="1" x14ac:dyDescent="0.25">
      <c r="A234" s="63"/>
      <c r="B234" s="64"/>
      <c r="C234" s="45"/>
      <c r="D234" s="46"/>
      <c r="E234" s="47"/>
      <c r="F234" s="48"/>
      <c r="G234" s="49"/>
      <c r="H234" s="51"/>
      <c r="I234" s="49"/>
      <c r="J234" s="51"/>
      <c r="K234" s="49"/>
      <c r="L234" s="51"/>
      <c r="M234" s="49"/>
      <c r="N234" s="51"/>
      <c r="O234" s="49"/>
      <c r="P234" s="51"/>
      <c r="Q234" s="49"/>
      <c r="R234" s="51"/>
      <c r="S234" s="49"/>
      <c r="T234" s="51"/>
      <c r="U234" s="49"/>
      <c r="V234" s="51"/>
      <c r="W234" s="49"/>
      <c r="X234" s="51"/>
      <c r="Y234" s="49"/>
      <c r="Z234" s="51"/>
      <c r="AA234" s="67"/>
      <c r="AB234" s="51"/>
      <c r="AC234" s="51"/>
      <c r="AD234" s="51"/>
      <c r="AE234" s="51"/>
      <c r="AF234" s="67"/>
      <c r="AG234" s="51"/>
      <c r="AH234" s="51"/>
      <c r="AI234" s="50"/>
      <c r="AJ234" s="51"/>
      <c r="AK234" s="50"/>
      <c r="AL234" s="51"/>
      <c r="AM234" s="50"/>
      <c r="AN234" s="51"/>
      <c r="AO234" s="51"/>
      <c r="AP234" s="51"/>
      <c r="AQ234" s="49"/>
      <c r="AR234" s="51"/>
      <c r="AS234" s="49"/>
      <c r="AT234" s="51"/>
      <c r="AU234" s="49"/>
      <c r="AV234" s="51"/>
      <c r="AW234" s="51"/>
      <c r="AX234" s="51"/>
      <c r="AY234" s="49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2">
        <f t="shared" si="81"/>
        <v>0</v>
      </c>
      <c r="BR234" s="52">
        <f t="shared" si="82"/>
        <v>0</v>
      </c>
      <c r="BS234" s="52">
        <f t="shared" si="83"/>
        <v>0</v>
      </c>
      <c r="BT234" s="52">
        <f t="shared" si="84"/>
        <v>0</v>
      </c>
      <c r="BU234" s="52">
        <f t="shared" si="85"/>
        <v>0</v>
      </c>
      <c r="BV234" s="65"/>
      <c r="BW234" s="52">
        <f t="shared" si="86"/>
        <v>0</v>
      </c>
      <c r="BX234" s="52">
        <f t="shared" si="87"/>
        <v>0</v>
      </c>
      <c r="BY234" s="52">
        <f t="shared" si="88"/>
        <v>0</v>
      </c>
      <c r="BZ234" s="66">
        <f t="shared" si="89"/>
        <v>0</v>
      </c>
      <c r="CA234" s="54">
        <f t="shared" si="90"/>
        <v>0</v>
      </c>
      <c r="CB234" s="55">
        <f t="shared" si="91"/>
        <v>0</v>
      </c>
      <c r="CC234" s="56">
        <f t="shared" si="92"/>
        <v>0</v>
      </c>
      <c r="CD234" s="57">
        <f t="shared" si="96"/>
        <v>-1</v>
      </c>
      <c r="CE234" s="49"/>
      <c r="CF234" s="57" t="e">
        <f t="shared" si="97"/>
        <v>#N/A</v>
      </c>
      <c r="CG234" s="58">
        <f t="shared" si="93"/>
        <v>1</v>
      </c>
      <c r="CH234" s="57">
        <f t="shared" si="94"/>
        <v>0</v>
      </c>
      <c r="CI234" s="59" t="e">
        <f>VLOOKUP(A234,[1]DATA!$A$6:$AI$331,34,0)</f>
        <v>#N/A</v>
      </c>
      <c r="CJ234" s="60" t="e">
        <f>VLOOKUP(A234,[2]CHAMCONG!A$7:CI$333,79,0)</f>
        <v>#N/A</v>
      </c>
      <c r="CK234" s="61" t="e">
        <f t="shared" si="95"/>
        <v>#N/A</v>
      </c>
    </row>
    <row r="235" spans="1:91" s="68" customFormat="1" x14ac:dyDescent="0.25">
      <c r="A235" s="63"/>
      <c r="B235" s="64"/>
      <c r="C235" s="45"/>
      <c r="D235" s="46"/>
      <c r="E235" s="47"/>
      <c r="F235" s="48"/>
      <c r="G235" s="49"/>
      <c r="H235" s="51"/>
      <c r="I235" s="51"/>
      <c r="J235" s="51"/>
      <c r="K235" s="51"/>
      <c r="L235" s="51"/>
      <c r="M235" s="51"/>
      <c r="N235" s="51"/>
      <c r="O235" s="51"/>
      <c r="P235" s="51"/>
      <c r="Q235" s="49"/>
      <c r="R235" s="51"/>
      <c r="S235" s="50"/>
      <c r="T235" s="51"/>
      <c r="U235" s="50"/>
      <c r="V235" s="51"/>
      <c r="W235" s="50"/>
      <c r="X235" s="51"/>
      <c r="Y235" s="50"/>
      <c r="Z235" s="51"/>
      <c r="AA235" s="50"/>
      <c r="AB235" s="51"/>
      <c r="AC235" s="50"/>
      <c r="AD235" s="51"/>
      <c r="AE235" s="67"/>
      <c r="AF235" s="67"/>
      <c r="AG235" s="67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2">
        <f t="shared" si="81"/>
        <v>0</v>
      </c>
      <c r="BR235" s="52">
        <f t="shared" si="82"/>
        <v>0</v>
      </c>
      <c r="BS235" s="52">
        <f t="shared" si="83"/>
        <v>0</v>
      </c>
      <c r="BT235" s="52">
        <f t="shared" si="84"/>
        <v>0</v>
      </c>
      <c r="BU235" s="52">
        <f t="shared" si="85"/>
        <v>0</v>
      </c>
      <c r="BV235" s="65"/>
      <c r="BW235" s="52">
        <f t="shared" si="86"/>
        <v>0</v>
      </c>
      <c r="BX235" s="52">
        <f t="shared" si="87"/>
        <v>0</v>
      </c>
      <c r="BY235" s="52">
        <f t="shared" si="88"/>
        <v>0</v>
      </c>
      <c r="BZ235" s="66">
        <f t="shared" si="89"/>
        <v>0</v>
      </c>
      <c r="CA235" s="54">
        <f t="shared" si="90"/>
        <v>0</v>
      </c>
      <c r="CB235" s="55">
        <f t="shared" si="91"/>
        <v>0</v>
      </c>
      <c r="CC235" s="56">
        <f t="shared" si="92"/>
        <v>0</v>
      </c>
      <c r="CD235" s="57">
        <f t="shared" si="96"/>
        <v>-1</v>
      </c>
      <c r="CE235" s="49"/>
      <c r="CF235" s="57" t="e">
        <f t="shared" si="97"/>
        <v>#N/A</v>
      </c>
      <c r="CG235" s="58">
        <f t="shared" si="93"/>
        <v>1</v>
      </c>
      <c r="CH235" s="57">
        <f t="shared" si="94"/>
        <v>0</v>
      </c>
      <c r="CI235" s="59" t="e">
        <f>VLOOKUP(A235,[1]DATA!$A$6:$AI$331,34,0)</f>
        <v>#N/A</v>
      </c>
      <c r="CJ235" s="60" t="e">
        <f>VLOOKUP(A235,[2]CHAMCONG!A$7:CI$333,79,0)</f>
        <v>#N/A</v>
      </c>
      <c r="CK235" s="61" t="e">
        <f t="shared" si="95"/>
        <v>#N/A</v>
      </c>
      <c r="CL235" s="62"/>
      <c r="CM235" s="62"/>
    </row>
    <row r="236" spans="1:91" s="68" customFormat="1" ht="15.75" customHeight="1" x14ac:dyDescent="0.25">
      <c r="A236" s="63"/>
      <c r="B236" s="64"/>
      <c r="C236" s="45"/>
      <c r="D236" s="46"/>
      <c r="E236" s="47"/>
      <c r="F236" s="48"/>
      <c r="G236" s="49"/>
      <c r="H236" s="51"/>
      <c r="I236" s="50"/>
      <c r="J236" s="51"/>
      <c r="K236" s="51"/>
      <c r="L236" s="51"/>
      <c r="M236" s="51"/>
      <c r="N236" s="51"/>
      <c r="O236" s="50"/>
      <c r="P236" s="51"/>
      <c r="Q236" s="51"/>
      <c r="R236" s="51"/>
      <c r="S236" s="50"/>
      <c r="T236" s="51"/>
      <c r="U236" s="49"/>
      <c r="V236" s="51"/>
      <c r="W236" s="50"/>
      <c r="X236" s="51"/>
      <c r="Y236" s="50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2">
        <f t="shared" si="81"/>
        <v>0</v>
      </c>
      <c r="BR236" s="52">
        <f t="shared" si="82"/>
        <v>0</v>
      </c>
      <c r="BS236" s="52">
        <f t="shared" si="83"/>
        <v>0</v>
      </c>
      <c r="BT236" s="52">
        <f t="shared" si="84"/>
        <v>0</v>
      </c>
      <c r="BU236" s="52">
        <f t="shared" si="85"/>
        <v>0</v>
      </c>
      <c r="BV236" s="65"/>
      <c r="BW236" s="52">
        <f t="shared" si="86"/>
        <v>0</v>
      </c>
      <c r="BX236" s="52">
        <f t="shared" si="87"/>
        <v>0</v>
      </c>
      <c r="BY236" s="52">
        <f t="shared" si="88"/>
        <v>0</v>
      </c>
      <c r="BZ236" s="66">
        <f t="shared" si="89"/>
        <v>0</v>
      </c>
      <c r="CA236" s="54">
        <f t="shared" si="90"/>
        <v>0</v>
      </c>
      <c r="CB236" s="55">
        <f t="shared" si="91"/>
        <v>0</v>
      </c>
      <c r="CC236" s="56">
        <f t="shared" si="92"/>
        <v>0</v>
      </c>
      <c r="CD236" s="57"/>
      <c r="CE236" s="49"/>
      <c r="CF236" s="57" t="e">
        <f t="shared" si="97"/>
        <v>#N/A</v>
      </c>
      <c r="CG236" s="58">
        <f t="shared" si="93"/>
        <v>1</v>
      </c>
      <c r="CH236" s="57">
        <f t="shared" si="94"/>
        <v>0</v>
      </c>
      <c r="CI236" s="59" t="e">
        <f>VLOOKUP(A236,[1]DATA!$A$6:$AI$331,34,0)</f>
        <v>#N/A</v>
      </c>
      <c r="CJ236" s="60" t="e">
        <f>VLOOKUP(A236,[2]CHAMCONG!A$7:CI$333,79,0)</f>
        <v>#N/A</v>
      </c>
      <c r="CK236" s="61" t="e">
        <f t="shared" si="95"/>
        <v>#N/A</v>
      </c>
      <c r="CL236" s="62"/>
      <c r="CM236" s="62"/>
    </row>
    <row r="237" spans="1:91" s="68" customFormat="1" ht="15.75" customHeight="1" x14ac:dyDescent="0.25">
      <c r="A237" s="63"/>
      <c r="B237" s="64"/>
      <c r="C237" s="45"/>
      <c r="D237" s="46"/>
      <c r="E237" s="47"/>
      <c r="F237" s="48"/>
      <c r="G237" s="49"/>
      <c r="H237" s="51"/>
      <c r="I237" s="49"/>
      <c r="J237" s="51"/>
      <c r="K237" s="49"/>
      <c r="L237" s="51"/>
      <c r="M237" s="51"/>
      <c r="N237" s="51"/>
      <c r="O237" s="49"/>
      <c r="P237" s="51"/>
      <c r="Q237" s="49"/>
      <c r="R237" s="51"/>
      <c r="S237" s="49"/>
      <c r="T237" s="51"/>
      <c r="U237" s="49"/>
      <c r="V237" s="51"/>
      <c r="W237" s="49"/>
      <c r="X237" s="51"/>
      <c r="Y237" s="49"/>
      <c r="Z237" s="51"/>
      <c r="AA237" s="51"/>
      <c r="AB237" s="51"/>
      <c r="AC237" s="49"/>
      <c r="AD237" s="51"/>
      <c r="AE237" s="49"/>
      <c r="AF237" s="51"/>
      <c r="AG237" s="49"/>
      <c r="AH237" s="51"/>
      <c r="AI237" s="49"/>
      <c r="AJ237" s="51"/>
      <c r="AK237" s="49"/>
      <c r="AL237" s="51"/>
      <c r="AM237" s="49"/>
      <c r="AN237" s="51"/>
      <c r="AO237" s="51"/>
      <c r="AP237" s="51"/>
      <c r="AQ237" s="49"/>
      <c r="AR237" s="51"/>
      <c r="AS237" s="49"/>
      <c r="AT237" s="51"/>
      <c r="AU237" s="49"/>
      <c r="AV237" s="51"/>
      <c r="AW237" s="49"/>
      <c r="AX237" s="51"/>
      <c r="AY237" s="49"/>
      <c r="AZ237" s="51"/>
      <c r="BA237" s="49"/>
      <c r="BB237" s="51"/>
      <c r="BC237" s="51"/>
      <c r="BD237" s="51"/>
      <c r="BE237" s="49"/>
      <c r="BF237" s="51"/>
      <c r="BG237" s="49"/>
      <c r="BH237" s="51"/>
      <c r="BI237" s="49"/>
      <c r="BJ237" s="51"/>
      <c r="BK237" s="49"/>
      <c r="BL237" s="51"/>
      <c r="BM237" s="49"/>
      <c r="BN237" s="51"/>
      <c r="BO237" s="49"/>
      <c r="BP237" s="51"/>
      <c r="BQ237" s="52">
        <f t="shared" si="81"/>
        <v>0</v>
      </c>
      <c r="BR237" s="52">
        <f t="shared" si="82"/>
        <v>0</v>
      </c>
      <c r="BS237" s="52">
        <f t="shared" si="83"/>
        <v>0</v>
      </c>
      <c r="BT237" s="52">
        <f t="shared" si="84"/>
        <v>0</v>
      </c>
      <c r="BU237" s="52">
        <f t="shared" si="85"/>
        <v>0</v>
      </c>
      <c r="BV237" s="65"/>
      <c r="BW237" s="52">
        <f t="shared" si="86"/>
        <v>0</v>
      </c>
      <c r="BX237" s="52">
        <f t="shared" si="87"/>
        <v>0</v>
      </c>
      <c r="BY237" s="52">
        <f t="shared" si="88"/>
        <v>0</v>
      </c>
      <c r="BZ237" s="66">
        <f t="shared" si="89"/>
        <v>0</v>
      </c>
      <c r="CA237" s="54">
        <f t="shared" si="90"/>
        <v>0</v>
      </c>
      <c r="CB237" s="55">
        <f t="shared" si="91"/>
        <v>0</v>
      </c>
      <c r="CC237" s="56">
        <f t="shared" si="92"/>
        <v>0</v>
      </c>
      <c r="CD237" s="57"/>
      <c r="CE237" s="49"/>
      <c r="CF237" s="57" t="e">
        <f t="shared" si="97"/>
        <v>#N/A</v>
      </c>
      <c r="CG237" s="58">
        <f t="shared" si="93"/>
        <v>1</v>
      </c>
      <c r="CH237" s="57">
        <f t="shared" si="94"/>
        <v>0</v>
      </c>
      <c r="CI237" s="59" t="e">
        <f>VLOOKUP(A237,[1]DATA!$A$6:$AI$331,34,0)</f>
        <v>#N/A</v>
      </c>
      <c r="CJ237" s="60" t="e">
        <f>VLOOKUP(A237,[2]CHAMCONG!A$7:CI$333,79,0)</f>
        <v>#N/A</v>
      </c>
      <c r="CK237" s="61" t="e">
        <f t="shared" si="95"/>
        <v>#N/A</v>
      </c>
      <c r="CL237" s="62"/>
      <c r="CM237" s="62"/>
    </row>
    <row r="238" spans="1:91" s="68" customFormat="1" ht="15.75" customHeight="1" x14ac:dyDescent="0.25">
      <c r="A238" s="69"/>
      <c r="B238" s="64"/>
      <c r="C238" s="45"/>
      <c r="D238" s="46"/>
      <c r="E238" s="47"/>
      <c r="F238" s="48"/>
      <c r="G238" s="49"/>
      <c r="H238" s="74"/>
      <c r="I238" s="50"/>
      <c r="J238" s="74"/>
      <c r="K238" s="51"/>
      <c r="L238" s="51"/>
      <c r="M238" s="51"/>
      <c r="N238" s="51"/>
      <c r="O238" s="50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0"/>
      <c r="AR238" s="74"/>
      <c r="AS238" s="51"/>
      <c r="AT238" s="51"/>
      <c r="AU238" s="51"/>
      <c r="AV238" s="74"/>
      <c r="AW238" s="51"/>
      <c r="AX238" s="74"/>
      <c r="AY238" s="50"/>
      <c r="AZ238" s="74"/>
      <c r="BA238" s="51"/>
      <c r="BB238" s="74"/>
      <c r="BC238" s="51"/>
      <c r="BD238" s="74"/>
      <c r="BE238" s="50"/>
      <c r="BF238" s="74"/>
      <c r="BG238" s="51"/>
      <c r="BH238" s="51"/>
      <c r="BI238" s="51"/>
      <c r="BJ238" s="74"/>
      <c r="BK238" s="51"/>
      <c r="BL238" s="74"/>
      <c r="BM238" s="51"/>
      <c r="BN238" s="74"/>
      <c r="BO238" s="51"/>
      <c r="BP238" s="74"/>
      <c r="BQ238" s="52">
        <f t="shared" si="81"/>
        <v>0</v>
      </c>
      <c r="BR238" s="52">
        <f t="shared" si="82"/>
        <v>0</v>
      </c>
      <c r="BS238" s="52">
        <f t="shared" si="83"/>
        <v>0</v>
      </c>
      <c r="BT238" s="52">
        <f t="shared" si="84"/>
        <v>0</v>
      </c>
      <c r="BU238" s="52">
        <f t="shared" si="85"/>
        <v>0</v>
      </c>
      <c r="BV238" s="65"/>
      <c r="BW238" s="52">
        <f t="shared" si="86"/>
        <v>0</v>
      </c>
      <c r="BX238" s="52">
        <f t="shared" si="87"/>
        <v>0</v>
      </c>
      <c r="BY238" s="52">
        <f t="shared" si="88"/>
        <v>0</v>
      </c>
      <c r="BZ238" s="66">
        <f t="shared" si="89"/>
        <v>0</v>
      </c>
      <c r="CA238" s="54">
        <f t="shared" si="90"/>
        <v>0</v>
      </c>
      <c r="CB238" s="55">
        <f t="shared" si="91"/>
        <v>0</v>
      </c>
      <c r="CC238" s="56">
        <f t="shared" si="92"/>
        <v>0</v>
      </c>
      <c r="CD238" s="57">
        <f t="shared" si="96"/>
        <v>-1</v>
      </c>
      <c r="CE238" s="49"/>
      <c r="CF238" s="57" t="e">
        <f t="shared" si="97"/>
        <v>#N/A</v>
      </c>
      <c r="CG238" s="58">
        <f t="shared" si="93"/>
        <v>1</v>
      </c>
      <c r="CH238" s="57">
        <f t="shared" si="94"/>
        <v>0</v>
      </c>
      <c r="CI238" s="59" t="e">
        <f>VLOOKUP(A238,[1]DATA!$A$6:$AI$331,34,0)</f>
        <v>#N/A</v>
      </c>
      <c r="CJ238" s="60" t="e">
        <f>VLOOKUP(A238,[2]CHAMCONG!A$7:CI$333,79,0)</f>
        <v>#N/A</v>
      </c>
      <c r="CK238" s="61" t="e">
        <f t="shared" si="95"/>
        <v>#N/A</v>
      </c>
      <c r="CL238" s="62"/>
      <c r="CM238" s="62"/>
    </row>
    <row r="239" spans="1:91" s="68" customFormat="1" ht="15.75" customHeight="1" x14ac:dyDescent="0.25">
      <c r="A239" s="69"/>
      <c r="B239" s="64"/>
      <c r="C239" s="45"/>
      <c r="D239" s="46"/>
      <c r="E239" s="47"/>
      <c r="F239" s="48"/>
      <c r="G239" s="49"/>
      <c r="H239" s="51"/>
      <c r="I239" s="50"/>
      <c r="J239" s="51"/>
      <c r="K239" s="50"/>
      <c r="L239" s="51"/>
      <c r="M239" s="50"/>
      <c r="N239" s="51"/>
      <c r="O239" s="50"/>
      <c r="P239" s="51"/>
      <c r="Q239" s="49"/>
      <c r="R239" s="51"/>
      <c r="S239" s="50"/>
      <c r="T239" s="51"/>
      <c r="U239" s="50"/>
      <c r="V239" s="51"/>
      <c r="W239" s="50"/>
      <c r="X239" s="51"/>
      <c r="Y239" s="50"/>
      <c r="Z239" s="51"/>
      <c r="AA239" s="50"/>
      <c r="AB239" s="51"/>
      <c r="AC239" s="50"/>
      <c r="AD239" s="51"/>
      <c r="AE239" s="49"/>
      <c r="AF239" s="51"/>
      <c r="AG239" s="49"/>
      <c r="AH239" s="51"/>
      <c r="AI239" s="49"/>
      <c r="AJ239" s="51"/>
      <c r="AK239" s="49"/>
      <c r="AL239" s="51"/>
      <c r="AM239" s="49"/>
      <c r="AN239" s="51"/>
      <c r="AO239" s="51"/>
      <c r="AP239" s="51"/>
      <c r="AQ239" s="49"/>
      <c r="AR239" s="51"/>
      <c r="AS239" s="49"/>
      <c r="AT239" s="51"/>
      <c r="AU239" s="49"/>
      <c r="AV239" s="51"/>
      <c r="AW239" s="51"/>
      <c r="AX239" s="51"/>
      <c r="AY239" s="49"/>
      <c r="AZ239" s="51"/>
      <c r="BA239" s="49"/>
      <c r="BB239" s="51"/>
      <c r="BC239" s="51"/>
      <c r="BD239" s="51"/>
      <c r="BE239" s="49"/>
      <c r="BF239" s="51"/>
      <c r="BG239" s="49"/>
      <c r="BH239" s="51"/>
      <c r="BI239" s="51"/>
      <c r="BJ239" s="51"/>
      <c r="BK239" s="51"/>
      <c r="BL239" s="51"/>
      <c r="BM239" s="51"/>
      <c r="BN239" s="51"/>
      <c r="BO239" s="51"/>
      <c r="BP239" s="51"/>
      <c r="BQ239" s="52">
        <f t="shared" si="81"/>
        <v>0</v>
      </c>
      <c r="BR239" s="52">
        <f t="shared" si="82"/>
        <v>0</v>
      </c>
      <c r="BS239" s="52">
        <f t="shared" si="83"/>
        <v>0</v>
      </c>
      <c r="BT239" s="52">
        <f t="shared" si="84"/>
        <v>0</v>
      </c>
      <c r="BU239" s="52">
        <f t="shared" si="85"/>
        <v>0</v>
      </c>
      <c r="BV239" s="65"/>
      <c r="BW239" s="52">
        <f t="shared" si="86"/>
        <v>0</v>
      </c>
      <c r="BX239" s="52">
        <f t="shared" si="87"/>
        <v>0</v>
      </c>
      <c r="BY239" s="52">
        <f t="shared" si="88"/>
        <v>0</v>
      </c>
      <c r="BZ239" s="66">
        <f t="shared" si="89"/>
        <v>0</v>
      </c>
      <c r="CA239" s="54">
        <f t="shared" si="90"/>
        <v>0</v>
      </c>
      <c r="CB239" s="55">
        <f t="shared" si="91"/>
        <v>0</v>
      </c>
      <c r="CC239" s="56">
        <f t="shared" si="92"/>
        <v>0</v>
      </c>
      <c r="CD239" s="57">
        <f t="shared" si="96"/>
        <v>-1</v>
      </c>
      <c r="CE239" s="49">
        <v>4</v>
      </c>
      <c r="CF239" s="57" t="e">
        <f t="shared" si="97"/>
        <v>#N/A</v>
      </c>
      <c r="CG239" s="58">
        <f t="shared" si="93"/>
        <v>1</v>
      </c>
      <c r="CH239" s="57">
        <f t="shared" si="94"/>
        <v>64</v>
      </c>
      <c r="CI239" s="59" t="e">
        <f>VLOOKUP(A239,[1]DATA!$A$6:$AI$331,34,0)</f>
        <v>#N/A</v>
      </c>
      <c r="CJ239" s="60" t="e">
        <f>VLOOKUP(A239,[2]CHAMCONG!A$7:CI$333,79,0)</f>
        <v>#N/A</v>
      </c>
      <c r="CK239" s="61" t="e">
        <f t="shared" si="95"/>
        <v>#N/A</v>
      </c>
      <c r="CL239" s="62"/>
      <c r="CM239" s="62"/>
    </row>
    <row r="240" spans="1:91" s="70" customFormat="1" ht="15.75" customHeight="1" x14ac:dyDescent="0.25">
      <c r="A240" s="69"/>
      <c r="B240" s="64"/>
      <c r="C240" s="45"/>
      <c r="D240" s="46"/>
      <c r="E240" s="47"/>
      <c r="F240" s="48"/>
      <c r="G240" s="49"/>
      <c r="H240" s="73"/>
      <c r="I240" s="51"/>
      <c r="J240" s="51"/>
      <c r="K240" s="51"/>
      <c r="L240" s="51"/>
      <c r="M240" s="51"/>
      <c r="N240" s="51"/>
      <c r="O240" s="51"/>
      <c r="P240" s="51"/>
      <c r="Q240" s="50"/>
      <c r="R240" s="67"/>
      <c r="S240" s="50"/>
      <c r="T240" s="51"/>
      <c r="U240" s="50"/>
      <c r="V240" s="51"/>
      <c r="W240" s="50"/>
      <c r="X240" s="51"/>
      <c r="Y240" s="50"/>
      <c r="Z240" s="51"/>
      <c r="AA240" s="50"/>
      <c r="AB240" s="51"/>
      <c r="AC240" s="50"/>
      <c r="AD240" s="51"/>
      <c r="AE240" s="49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73"/>
      <c r="AS240" s="51"/>
      <c r="AT240" s="51"/>
      <c r="AU240" s="51"/>
      <c r="AV240" s="73"/>
      <c r="AW240" s="51"/>
      <c r="AX240" s="73"/>
      <c r="AY240" s="51"/>
      <c r="AZ240" s="73"/>
      <c r="BA240" s="51"/>
      <c r="BB240" s="73"/>
      <c r="BC240" s="51"/>
      <c r="BD240" s="73"/>
      <c r="BE240" s="51"/>
      <c r="BF240" s="73"/>
      <c r="BG240" s="51"/>
      <c r="BH240" s="51"/>
      <c r="BI240" s="51"/>
      <c r="BJ240" s="73"/>
      <c r="BK240" s="51"/>
      <c r="BL240" s="73"/>
      <c r="BM240" s="51"/>
      <c r="BN240" s="73"/>
      <c r="BO240" s="51"/>
      <c r="BP240" s="73"/>
      <c r="BQ240" s="52">
        <f t="shared" si="81"/>
        <v>0</v>
      </c>
      <c r="BR240" s="52">
        <f t="shared" si="82"/>
        <v>0</v>
      </c>
      <c r="BS240" s="52">
        <f t="shared" si="83"/>
        <v>0</v>
      </c>
      <c r="BT240" s="52">
        <f t="shared" si="84"/>
        <v>0</v>
      </c>
      <c r="BU240" s="52">
        <f t="shared" si="85"/>
        <v>0</v>
      </c>
      <c r="BV240" s="65"/>
      <c r="BW240" s="52">
        <f t="shared" si="86"/>
        <v>0</v>
      </c>
      <c r="BX240" s="52">
        <f t="shared" si="87"/>
        <v>0</v>
      </c>
      <c r="BY240" s="52">
        <f t="shared" si="88"/>
        <v>0</v>
      </c>
      <c r="BZ240" s="66">
        <f t="shared" si="89"/>
        <v>0</v>
      </c>
      <c r="CA240" s="54">
        <f t="shared" si="90"/>
        <v>0</v>
      </c>
      <c r="CB240" s="55">
        <f t="shared" si="91"/>
        <v>0</v>
      </c>
      <c r="CC240" s="56">
        <f t="shared" si="92"/>
        <v>0</v>
      </c>
      <c r="CD240" s="57">
        <f t="shared" si="96"/>
        <v>-1</v>
      </c>
      <c r="CE240" s="49"/>
      <c r="CF240" s="57" t="e">
        <f t="shared" si="97"/>
        <v>#N/A</v>
      </c>
      <c r="CG240" s="58">
        <f t="shared" si="93"/>
        <v>1</v>
      </c>
      <c r="CH240" s="57">
        <f t="shared" si="94"/>
        <v>0</v>
      </c>
      <c r="CI240" s="59" t="e">
        <f>VLOOKUP(A240,[1]DATA!$A$6:$AI$331,34,0)</f>
        <v>#N/A</v>
      </c>
      <c r="CJ240" s="60" t="e">
        <f>VLOOKUP(A240,[2]CHAMCONG!A$7:CI$333,79,0)</f>
        <v>#N/A</v>
      </c>
      <c r="CK240" s="61" t="e">
        <f t="shared" si="95"/>
        <v>#N/A</v>
      </c>
      <c r="CL240" s="62"/>
      <c r="CM240" s="62"/>
    </row>
    <row r="241" spans="1:91" s="75" customFormat="1" ht="17.25" customHeight="1" x14ac:dyDescent="0.25">
      <c r="A241" s="69"/>
      <c r="B241" s="64"/>
      <c r="C241" s="45"/>
      <c r="D241" s="46"/>
      <c r="E241" s="47"/>
      <c r="F241" s="48"/>
      <c r="G241" s="49"/>
      <c r="H241" s="51"/>
      <c r="I241" s="50"/>
      <c r="J241" s="51"/>
      <c r="K241" s="49"/>
      <c r="L241" s="51"/>
      <c r="M241" s="49"/>
      <c r="N241" s="51"/>
      <c r="O241" s="49"/>
      <c r="P241" s="51"/>
      <c r="Q241" s="49"/>
      <c r="R241" s="51"/>
      <c r="S241" s="49"/>
      <c r="T241" s="51"/>
      <c r="U241" s="49"/>
      <c r="V241" s="51"/>
      <c r="W241" s="49"/>
      <c r="X241" s="51"/>
      <c r="Y241" s="49"/>
      <c r="Z241" s="51"/>
      <c r="AA241" s="49"/>
      <c r="AB241" s="51"/>
      <c r="AC241" s="49"/>
      <c r="AD241" s="51"/>
      <c r="AE241" s="49"/>
      <c r="AF241" s="51"/>
      <c r="AG241" s="49"/>
      <c r="AH241" s="51"/>
      <c r="AI241" s="51"/>
      <c r="AJ241" s="51"/>
      <c r="AK241" s="51"/>
      <c r="AL241" s="51"/>
      <c r="AM241" s="51"/>
      <c r="AN241" s="51"/>
      <c r="AO241" s="51"/>
      <c r="AP241" s="51"/>
      <c r="AQ241" s="49"/>
      <c r="AR241" s="51"/>
      <c r="AS241" s="49"/>
      <c r="AT241" s="51"/>
      <c r="AU241" s="49"/>
      <c r="AV241" s="51"/>
      <c r="AW241" s="51"/>
      <c r="AX241" s="51"/>
      <c r="AY241" s="49"/>
      <c r="AZ241" s="51"/>
      <c r="BA241" s="49"/>
      <c r="BB241" s="51"/>
      <c r="BC241" s="49"/>
      <c r="BD241" s="51"/>
      <c r="BE241" s="49"/>
      <c r="BF241" s="51"/>
      <c r="BG241" s="49"/>
      <c r="BH241" s="51"/>
      <c r="BI241" s="51"/>
      <c r="BJ241" s="51"/>
      <c r="BK241" s="51"/>
      <c r="BL241" s="51"/>
      <c r="BM241" s="51"/>
      <c r="BN241" s="51"/>
      <c r="BO241" s="51"/>
      <c r="BP241" s="51"/>
      <c r="BQ241" s="52">
        <f t="shared" si="81"/>
        <v>0</v>
      </c>
      <c r="BR241" s="52">
        <f t="shared" si="82"/>
        <v>0</v>
      </c>
      <c r="BS241" s="52">
        <f t="shared" si="83"/>
        <v>0</v>
      </c>
      <c r="BT241" s="52">
        <f t="shared" si="84"/>
        <v>0</v>
      </c>
      <c r="BU241" s="52">
        <f t="shared" si="85"/>
        <v>0</v>
      </c>
      <c r="BV241" s="65"/>
      <c r="BW241" s="52">
        <f t="shared" si="86"/>
        <v>0</v>
      </c>
      <c r="BX241" s="52">
        <f t="shared" si="87"/>
        <v>0</v>
      </c>
      <c r="BY241" s="52">
        <f t="shared" si="88"/>
        <v>0</v>
      </c>
      <c r="BZ241" s="66">
        <f t="shared" si="89"/>
        <v>0</v>
      </c>
      <c r="CA241" s="54">
        <f t="shared" si="90"/>
        <v>0</v>
      </c>
      <c r="CB241" s="55">
        <f t="shared" si="91"/>
        <v>0</v>
      </c>
      <c r="CC241" s="56">
        <f t="shared" si="92"/>
        <v>0</v>
      </c>
      <c r="CD241" s="57">
        <f t="shared" si="96"/>
        <v>-1</v>
      </c>
      <c r="CE241" s="49">
        <v>2</v>
      </c>
      <c r="CF241" s="57" t="e">
        <f t="shared" si="97"/>
        <v>#N/A</v>
      </c>
      <c r="CG241" s="58">
        <f t="shared" si="93"/>
        <v>1</v>
      </c>
      <c r="CH241" s="57">
        <f t="shared" si="94"/>
        <v>32</v>
      </c>
      <c r="CI241" s="59" t="e">
        <f>VLOOKUP(A241,[1]DATA!$A$6:$AI$331,34,0)</f>
        <v>#N/A</v>
      </c>
      <c r="CJ241" s="60" t="e">
        <f>VLOOKUP(A241,[2]CHAMCONG!A$7:CI$333,79,0)</f>
        <v>#N/A</v>
      </c>
      <c r="CK241" s="61" t="e">
        <f t="shared" si="95"/>
        <v>#N/A</v>
      </c>
      <c r="CL241" s="62"/>
      <c r="CM241" s="62"/>
    </row>
    <row r="242" spans="1:91" s="75" customFormat="1" ht="15.75" customHeight="1" x14ac:dyDescent="0.25">
      <c r="A242" s="69"/>
      <c r="B242" s="64"/>
      <c r="C242" s="45"/>
      <c r="D242" s="46"/>
      <c r="E242" s="47"/>
      <c r="F242" s="48"/>
      <c r="G242" s="49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49"/>
      <c r="V242" s="51"/>
      <c r="W242" s="49"/>
      <c r="X242" s="51"/>
      <c r="Y242" s="49"/>
      <c r="Z242" s="51"/>
      <c r="AA242" s="50"/>
      <c r="AB242" s="51"/>
      <c r="AC242" s="50"/>
      <c r="AD242" s="51"/>
      <c r="AE242" s="50"/>
      <c r="AF242" s="67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0"/>
      <c r="BB242" s="51"/>
      <c r="BC242" s="50"/>
      <c r="BD242" s="51"/>
      <c r="BE242" s="50"/>
      <c r="BF242" s="51"/>
      <c r="BG242" s="50"/>
      <c r="BH242" s="67"/>
      <c r="BI242" s="51"/>
      <c r="BJ242" s="51"/>
      <c r="BK242" s="51"/>
      <c r="BL242" s="51"/>
      <c r="BM242" s="51"/>
      <c r="BN242" s="51"/>
      <c r="BO242" s="51"/>
      <c r="BP242" s="51"/>
      <c r="BQ242" s="52">
        <f t="shared" si="81"/>
        <v>0</v>
      </c>
      <c r="BR242" s="52">
        <f t="shared" si="82"/>
        <v>0</v>
      </c>
      <c r="BS242" s="52">
        <f t="shared" si="83"/>
        <v>0</v>
      </c>
      <c r="BT242" s="52">
        <f t="shared" si="84"/>
        <v>0</v>
      </c>
      <c r="BU242" s="52">
        <f t="shared" si="85"/>
        <v>0</v>
      </c>
      <c r="BV242" s="65"/>
      <c r="BW242" s="52">
        <f t="shared" si="86"/>
        <v>0</v>
      </c>
      <c r="BX242" s="52">
        <f t="shared" si="87"/>
        <v>0</v>
      </c>
      <c r="BY242" s="52">
        <f t="shared" si="88"/>
        <v>0</v>
      </c>
      <c r="BZ242" s="66">
        <f t="shared" si="89"/>
        <v>0</v>
      </c>
      <c r="CA242" s="54">
        <f t="shared" si="90"/>
        <v>0</v>
      </c>
      <c r="CB242" s="55">
        <f t="shared" si="91"/>
        <v>0</v>
      </c>
      <c r="CC242" s="56">
        <f t="shared" si="92"/>
        <v>0</v>
      </c>
      <c r="CD242" s="57">
        <f t="shared" si="96"/>
        <v>-1</v>
      </c>
      <c r="CE242" s="49"/>
      <c r="CF242" s="57" t="e">
        <f t="shared" si="97"/>
        <v>#N/A</v>
      </c>
      <c r="CG242" s="58">
        <f t="shared" si="93"/>
        <v>1</v>
      </c>
      <c r="CH242" s="57">
        <f t="shared" si="94"/>
        <v>0</v>
      </c>
      <c r="CI242" s="59" t="e">
        <f>VLOOKUP(A242,[1]DATA!$A$6:$AI$331,34,0)</f>
        <v>#N/A</v>
      </c>
      <c r="CJ242" s="60" t="e">
        <f>VLOOKUP(A242,[2]CHAMCONG!A$7:CI$333,79,0)</f>
        <v>#N/A</v>
      </c>
      <c r="CK242" s="61" t="e">
        <f t="shared" si="95"/>
        <v>#N/A</v>
      </c>
      <c r="CL242" s="62"/>
      <c r="CM242" s="62"/>
    </row>
    <row r="243" spans="1:91" s="75" customFormat="1" ht="15.75" customHeight="1" x14ac:dyDescent="0.25">
      <c r="A243" s="69"/>
      <c r="B243" s="64"/>
      <c r="C243" s="45"/>
      <c r="D243" s="46"/>
      <c r="E243" s="47"/>
      <c r="F243" s="48"/>
      <c r="G243" s="49"/>
      <c r="H243" s="51"/>
      <c r="I243" s="50"/>
      <c r="J243" s="51"/>
      <c r="K243" s="50"/>
      <c r="L243" s="51"/>
      <c r="M243" s="50"/>
      <c r="N243" s="51"/>
      <c r="O243" s="50"/>
      <c r="P243" s="51"/>
      <c r="Q243" s="49"/>
      <c r="R243" s="51"/>
      <c r="S243" s="50"/>
      <c r="T243" s="51"/>
      <c r="U243" s="50"/>
      <c r="V243" s="51"/>
      <c r="W243" s="50"/>
      <c r="X243" s="51"/>
      <c r="Y243" s="50"/>
      <c r="Z243" s="51"/>
      <c r="AA243" s="50"/>
      <c r="AB243" s="51"/>
      <c r="AC243" s="50"/>
      <c r="AD243" s="51"/>
      <c r="AE243" s="49"/>
      <c r="AF243" s="51"/>
      <c r="AG243" s="49"/>
      <c r="AH243" s="51"/>
      <c r="AI243" s="49"/>
      <c r="AJ243" s="51"/>
      <c r="AK243" s="49"/>
      <c r="AL243" s="51"/>
      <c r="AM243" s="49"/>
      <c r="AN243" s="51"/>
      <c r="AO243" s="49"/>
      <c r="AP243" s="51"/>
      <c r="AQ243" s="49"/>
      <c r="AR243" s="51"/>
      <c r="AS243" s="49"/>
      <c r="AT243" s="51"/>
      <c r="AU243" s="49"/>
      <c r="AV243" s="51"/>
      <c r="AW243" s="51"/>
      <c r="AX243" s="51"/>
      <c r="AY243" s="49"/>
      <c r="AZ243" s="51"/>
      <c r="BA243" s="49"/>
      <c r="BB243" s="51"/>
      <c r="BC243" s="51"/>
      <c r="BD243" s="51"/>
      <c r="BE243" s="49"/>
      <c r="BF243" s="51"/>
      <c r="BG243" s="49"/>
      <c r="BH243" s="51"/>
      <c r="BI243" s="51"/>
      <c r="BJ243" s="51"/>
      <c r="BK243" s="51"/>
      <c r="BL243" s="51"/>
      <c r="BM243" s="51"/>
      <c r="BN243" s="51"/>
      <c r="BO243" s="51"/>
      <c r="BP243" s="51"/>
      <c r="BQ243" s="52">
        <f t="shared" si="81"/>
        <v>0</v>
      </c>
      <c r="BR243" s="52">
        <f t="shared" si="82"/>
        <v>0</v>
      </c>
      <c r="BS243" s="52">
        <f t="shared" si="83"/>
        <v>0</v>
      </c>
      <c r="BT243" s="52">
        <f t="shared" si="84"/>
        <v>0</v>
      </c>
      <c r="BU243" s="52">
        <f t="shared" si="85"/>
        <v>0</v>
      </c>
      <c r="BV243" s="65"/>
      <c r="BW243" s="52">
        <f t="shared" si="86"/>
        <v>0</v>
      </c>
      <c r="BX243" s="52">
        <f t="shared" si="87"/>
        <v>0</v>
      </c>
      <c r="BY243" s="52">
        <f t="shared" si="88"/>
        <v>0</v>
      </c>
      <c r="BZ243" s="66">
        <f t="shared" si="89"/>
        <v>0</v>
      </c>
      <c r="CA243" s="54">
        <f t="shared" si="90"/>
        <v>0</v>
      </c>
      <c r="CB243" s="55">
        <f t="shared" si="91"/>
        <v>0</v>
      </c>
      <c r="CC243" s="56">
        <f t="shared" si="92"/>
        <v>0</v>
      </c>
      <c r="CD243" s="57">
        <f t="shared" si="96"/>
        <v>-1</v>
      </c>
      <c r="CE243" s="49">
        <v>4</v>
      </c>
      <c r="CF243" s="57" t="e">
        <f t="shared" si="97"/>
        <v>#N/A</v>
      </c>
      <c r="CG243" s="58">
        <f t="shared" si="93"/>
        <v>1</v>
      </c>
      <c r="CH243" s="57">
        <f t="shared" si="94"/>
        <v>64</v>
      </c>
      <c r="CI243" s="59" t="e">
        <f>VLOOKUP(A243,[1]DATA!$A$6:$AI$331,34,0)</f>
        <v>#N/A</v>
      </c>
      <c r="CJ243" s="60" t="e">
        <f>VLOOKUP(A243,[2]CHAMCONG!A$7:CI$333,79,0)</f>
        <v>#N/A</v>
      </c>
      <c r="CK243" s="61" t="e">
        <f t="shared" si="95"/>
        <v>#N/A</v>
      </c>
      <c r="CL243" s="62"/>
      <c r="CM243" s="62"/>
    </row>
    <row r="244" spans="1:91" s="75" customFormat="1" ht="15.75" customHeight="1" x14ac:dyDescent="0.25">
      <c r="A244" s="69"/>
      <c r="B244" s="64"/>
      <c r="C244" s="45"/>
      <c r="D244" s="46"/>
      <c r="E244" s="47"/>
      <c r="F244" s="48"/>
      <c r="G244" s="49"/>
      <c r="H244" s="51"/>
      <c r="I244" s="50"/>
      <c r="J244" s="51"/>
      <c r="K244" s="50"/>
      <c r="L244" s="51"/>
      <c r="M244" s="50"/>
      <c r="N244" s="51"/>
      <c r="O244" s="50"/>
      <c r="P244" s="51"/>
      <c r="Q244" s="49"/>
      <c r="R244" s="51"/>
      <c r="S244" s="50"/>
      <c r="T244" s="51"/>
      <c r="U244" s="50"/>
      <c r="V244" s="51"/>
      <c r="W244" s="50"/>
      <c r="X244" s="51"/>
      <c r="Y244" s="49"/>
      <c r="Z244" s="51"/>
      <c r="AA244" s="51"/>
      <c r="AB244" s="51"/>
      <c r="AC244" s="49"/>
      <c r="AD244" s="51"/>
      <c r="AE244" s="49"/>
      <c r="AF244" s="51"/>
      <c r="AG244" s="49"/>
      <c r="AH244" s="51"/>
      <c r="AI244" s="49"/>
      <c r="AJ244" s="51"/>
      <c r="AK244" s="49"/>
      <c r="AL244" s="51"/>
      <c r="AM244" s="49"/>
      <c r="AN244" s="51"/>
      <c r="AO244" s="49"/>
      <c r="AP244" s="51"/>
      <c r="AQ244" s="49"/>
      <c r="AR244" s="51"/>
      <c r="AS244" s="49"/>
      <c r="AT244" s="51"/>
      <c r="AU244" s="49"/>
      <c r="AV244" s="51"/>
      <c r="AW244" s="51"/>
      <c r="AX244" s="51"/>
      <c r="AY244" s="49"/>
      <c r="AZ244" s="51"/>
      <c r="BA244" s="49"/>
      <c r="BB244" s="51"/>
      <c r="BC244" s="51"/>
      <c r="BD244" s="51"/>
      <c r="BE244" s="49"/>
      <c r="BF244" s="51"/>
      <c r="BG244" s="49"/>
      <c r="BH244" s="51"/>
      <c r="BI244" s="51"/>
      <c r="BJ244" s="51"/>
      <c r="BK244" s="51"/>
      <c r="BL244" s="51"/>
      <c r="BM244" s="51"/>
      <c r="BN244" s="51"/>
      <c r="BO244" s="51"/>
      <c r="BP244" s="51"/>
      <c r="BQ244" s="52">
        <f t="shared" si="81"/>
        <v>0</v>
      </c>
      <c r="BR244" s="52">
        <f t="shared" si="82"/>
        <v>0</v>
      </c>
      <c r="BS244" s="52">
        <f t="shared" si="83"/>
        <v>0</v>
      </c>
      <c r="BT244" s="52">
        <f t="shared" si="84"/>
        <v>0</v>
      </c>
      <c r="BU244" s="52">
        <f t="shared" si="85"/>
        <v>0</v>
      </c>
      <c r="BV244" s="65"/>
      <c r="BW244" s="52">
        <f t="shared" si="86"/>
        <v>0</v>
      </c>
      <c r="BX244" s="52">
        <f t="shared" si="87"/>
        <v>0</v>
      </c>
      <c r="BY244" s="52">
        <f t="shared" si="88"/>
        <v>0</v>
      </c>
      <c r="BZ244" s="66">
        <f t="shared" si="89"/>
        <v>0</v>
      </c>
      <c r="CA244" s="54">
        <f t="shared" si="90"/>
        <v>0</v>
      </c>
      <c r="CB244" s="55">
        <f t="shared" si="91"/>
        <v>0</v>
      </c>
      <c r="CC244" s="56">
        <f t="shared" si="92"/>
        <v>0</v>
      </c>
      <c r="CD244" s="57">
        <f t="shared" si="96"/>
        <v>-1</v>
      </c>
      <c r="CE244" s="49">
        <v>2</v>
      </c>
      <c r="CF244" s="57" t="e">
        <f t="shared" si="97"/>
        <v>#N/A</v>
      </c>
      <c r="CG244" s="58">
        <f t="shared" si="93"/>
        <v>1</v>
      </c>
      <c r="CH244" s="57">
        <f t="shared" si="94"/>
        <v>32</v>
      </c>
      <c r="CI244" s="59" t="e">
        <f>VLOOKUP(A244,[1]DATA!$A$6:$AI$331,34,0)</f>
        <v>#N/A</v>
      </c>
      <c r="CJ244" s="60" t="e">
        <f>VLOOKUP(A244,[2]CHAMCONG!A$7:CI$333,79,0)</f>
        <v>#N/A</v>
      </c>
      <c r="CK244" s="61" t="e">
        <f t="shared" si="95"/>
        <v>#N/A</v>
      </c>
      <c r="CL244" s="62"/>
      <c r="CM244" s="62"/>
    </row>
    <row r="245" spans="1:91" s="70" customFormat="1" ht="16.5" customHeight="1" x14ac:dyDescent="0.25">
      <c r="A245" s="69"/>
      <c r="B245" s="64"/>
      <c r="C245" s="45"/>
      <c r="D245" s="46"/>
      <c r="E245" s="47"/>
      <c r="F245" s="48"/>
      <c r="G245" s="49"/>
      <c r="H245" s="51"/>
      <c r="I245" s="49"/>
      <c r="J245" s="51"/>
      <c r="K245" s="49"/>
      <c r="L245" s="51"/>
      <c r="M245" s="49"/>
      <c r="N245" s="51"/>
      <c r="O245" s="49"/>
      <c r="P245" s="51"/>
      <c r="Q245" s="50"/>
      <c r="R245" s="67"/>
      <c r="S245" s="49"/>
      <c r="T245" s="51"/>
      <c r="U245" s="49"/>
      <c r="V245" s="51"/>
      <c r="W245" s="49"/>
      <c r="X245" s="51"/>
      <c r="Y245" s="49"/>
      <c r="Z245" s="51"/>
      <c r="AA245" s="49"/>
      <c r="AB245" s="51"/>
      <c r="AC245" s="49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2">
        <f t="shared" si="81"/>
        <v>0</v>
      </c>
      <c r="BR245" s="52">
        <f t="shared" si="82"/>
        <v>0</v>
      </c>
      <c r="BS245" s="52">
        <f t="shared" si="83"/>
        <v>0</v>
      </c>
      <c r="BT245" s="52">
        <f t="shared" si="84"/>
        <v>0</v>
      </c>
      <c r="BU245" s="52">
        <f t="shared" si="85"/>
        <v>0</v>
      </c>
      <c r="BV245" s="65"/>
      <c r="BW245" s="52">
        <f t="shared" si="86"/>
        <v>0</v>
      </c>
      <c r="BX245" s="52">
        <f t="shared" si="87"/>
        <v>0</v>
      </c>
      <c r="BY245" s="52">
        <f t="shared" si="88"/>
        <v>0</v>
      </c>
      <c r="BZ245" s="66">
        <f t="shared" si="89"/>
        <v>0</v>
      </c>
      <c r="CA245" s="54">
        <f t="shared" si="90"/>
        <v>0</v>
      </c>
      <c r="CB245" s="55">
        <f t="shared" si="91"/>
        <v>0</v>
      </c>
      <c r="CC245" s="56">
        <f t="shared" si="92"/>
        <v>0</v>
      </c>
      <c r="CD245" s="57">
        <f t="shared" si="96"/>
        <v>-1</v>
      </c>
      <c r="CE245" s="49">
        <v>1</v>
      </c>
      <c r="CF245" s="77" t="e">
        <f t="shared" si="97"/>
        <v>#N/A</v>
      </c>
      <c r="CG245" s="58">
        <f t="shared" si="93"/>
        <v>1</v>
      </c>
      <c r="CH245" s="57">
        <f t="shared" si="94"/>
        <v>16</v>
      </c>
      <c r="CI245" s="59" t="e">
        <f>VLOOKUP(A245,[1]DATA!$A$6:$AI$331,34,0)</f>
        <v>#N/A</v>
      </c>
      <c r="CJ245" s="60" t="e">
        <f>VLOOKUP(A245,[2]CHAMCONG!A$7:CI$333,79,0)</f>
        <v>#N/A</v>
      </c>
      <c r="CK245" s="61" t="e">
        <f t="shared" si="95"/>
        <v>#N/A</v>
      </c>
      <c r="CL245" s="62"/>
      <c r="CM245" s="62"/>
    </row>
    <row r="246" spans="1:91" s="75" customFormat="1" ht="18" customHeight="1" x14ac:dyDescent="0.25">
      <c r="A246" s="69"/>
      <c r="B246" s="64"/>
      <c r="C246" s="45"/>
      <c r="D246" s="46"/>
      <c r="E246" s="47"/>
      <c r="F246" s="48"/>
      <c r="G246" s="49"/>
      <c r="H246" s="51"/>
      <c r="I246" s="49"/>
      <c r="J246" s="51"/>
      <c r="K246" s="49"/>
      <c r="L246" s="51"/>
      <c r="M246" s="49"/>
      <c r="N246" s="51"/>
      <c r="O246" s="49"/>
      <c r="P246" s="51"/>
      <c r="Q246" s="49"/>
      <c r="R246" s="51"/>
      <c r="S246" s="49"/>
      <c r="T246" s="51"/>
      <c r="U246" s="49"/>
      <c r="V246" s="51"/>
      <c r="W246" s="49"/>
      <c r="X246" s="51"/>
      <c r="Y246" s="51"/>
      <c r="Z246" s="51"/>
      <c r="AA246" s="51"/>
      <c r="AB246" s="51"/>
      <c r="AC246" s="51"/>
      <c r="AD246" s="51"/>
      <c r="AE246" s="50"/>
      <c r="AF246" s="51"/>
      <c r="AG246" s="50"/>
      <c r="AH246" s="51"/>
      <c r="AI246" s="50"/>
      <c r="AJ246" s="51"/>
      <c r="AK246" s="50"/>
      <c r="AL246" s="51"/>
      <c r="AM246" s="50"/>
      <c r="AN246" s="51"/>
      <c r="AO246" s="50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2">
        <f t="shared" si="81"/>
        <v>0</v>
      </c>
      <c r="BR246" s="52">
        <f t="shared" si="82"/>
        <v>0</v>
      </c>
      <c r="BS246" s="52">
        <f t="shared" si="83"/>
        <v>0</v>
      </c>
      <c r="BT246" s="52">
        <f t="shared" si="84"/>
        <v>0</v>
      </c>
      <c r="BU246" s="52">
        <f t="shared" si="85"/>
        <v>0</v>
      </c>
      <c r="BV246" s="65"/>
      <c r="BW246" s="52">
        <f t="shared" si="86"/>
        <v>0</v>
      </c>
      <c r="BX246" s="52">
        <f t="shared" si="87"/>
        <v>0</v>
      </c>
      <c r="BY246" s="52">
        <f t="shared" si="88"/>
        <v>0</v>
      </c>
      <c r="BZ246" s="66">
        <f t="shared" si="89"/>
        <v>0</v>
      </c>
      <c r="CA246" s="54">
        <f t="shared" si="90"/>
        <v>0</v>
      </c>
      <c r="CB246" s="55">
        <f t="shared" si="91"/>
        <v>0</v>
      </c>
      <c r="CC246" s="56">
        <f t="shared" si="92"/>
        <v>0</v>
      </c>
      <c r="CD246" s="57">
        <f t="shared" si="96"/>
        <v>-1</v>
      </c>
      <c r="CE246" s="49"/>
      <c r="CF246" s="77" t="e">
        <f t="shared" si="97"/>
        <v>#N/A</v>
      </c>
      <c r="CG246" s="58">
        <f t="shared" si="93"/>
        <v>1</v>
      </c>
      <c r="CH246" s="57">
        <f t="shared" si="94"/>
        <v>0</v>
      </c>
      <c r="CI246" s="59" t="e">
        <f>VLOOKUP(A246,[1]DATA!$A$6:$AI$331,34,0)</f>
        <v>#N/A</v>
      </c>
      <c r="CJ246" s="60" t="e">
        <f>VLOOKUP(A246,[2]CHAMCONG!A$7:CI$333,79,0)</f>
        <v>#N/A</v>
      </c>
      <c r="CK246" s="61" t="e">
        <f t="shared" si="95"/>
        <v>#N/A</v>
      </c>
      <c r="CL246" s="62"/>
      <c r="CM246" s="62"/>
    </row>
    <row r="247" spans="1:91" s="75" customFormat="1" ht="18" customHeight="1" x14ac:dyDescent="0.25">
      <c r="A247" s="69"/>
      <c r="B247" s="64"/>
      <c r="C247" s="45"/>
      <c r="D247" s="46"/>
      <c r="E247" s="47"/>
      <c r="F247" s="48"/>
      <c r="G247" s="49"/>
      <c r="H247" s="74"/>
      <c r="I247" s="50"/>
      <c r="J247" s="51"/>
      <c r="K247" s="50"/>
      <c r="L247" s="51"/>
      <c r="M247" s="50"/>
      <c r="N247" s="51"/>
      <c r="O247" s="50"/>
      <c r="P247" s="51"/>
      <c r="Q247" s="51"/>
      <c r="R247" s="51"/>
      <c r="S247" s="50"/>
      <c r="T247" s="51"/>
      <c r="U247" s="50"/>
      <c r="V247" s="51"/>
      <c r="W247" s="50"/>
      <c r="X247" s="51"/>
      <c r="Y247" s="50"/>
      <c r="Z247" s="51"/>
      <c r="AA247" s="50"/>
      <c r="AB247" s="51"/>
      <c r="AC247" s="50"/>
      <c r="AD247" s="51"/>
      <c r="AE247" s="51"/>
      <c r="AF247" s="51"/>
      <c r="AG247" s="50"/>
      <c r="AH247" s="51"/>
      <c r="AI247" s="50"/>
      <c r="AJ247" s="51"/>
      <c r="AK247" s="50"/>
      <c r="AL247" s="51"/>
      <c r="AM247" s="50"/>
      <c r="AN247" s="51"/>
      <c r="AO247" s="50"/>
      <c r="AP247" s="51"/>
      <c r="AQ247" s="50"/>
      <c r="AR247" s="74"/>
      <c r="AS247" s="51"/>
      <c r="AT247" s="51"/>
      <c r="AU247" s="51"/>
      <c r="AV247" s="74"/>
      <c r="AW247" s="51"/>
      <c r="AX247" s="74"/>
      <c r="AY247" s="50"/>
      <c r="AZ247" s="74"/>
      <c r="BA247" s="51"/>
      <c r="BB247" s="74"/>
      <c r="BC247" s="51"/>
      <c r="BD247" s="74"/>
      <c r="BE247" s="50"/>
      <c r="BF247" s="74"/>
      <c r="BG247" s="51"/>
      <c r="BH247" s="51"/>
      <c r="BI247" s="51"/>
      <c r="BJ247" s="74"/>
      <c r="BK247" s="51"/>
      <c r="BL247" s="74"/>
      <c r="BM247" s="51"/>
      <c r="BN247" s="74"/>
      <c r="BO247" s="51"/>
      <c r="BP247" s="74"/>
      <c r="BQ247" s="52">
        <f t="shared" si="81"/>
        <v>0</v>
      </c>
      <c r="BR247" s="52">
        <f t="shared" si="82"/>
        <v>0</v>
      </c>
      <c r="BS247" s="52">
        <f t="shared" si="83"/>
        <v>0</v>
      </c>
      <c r="BT247" s="52">
        <f t="shared" si="84"/>
        <v>0</v>
      </c>
      <c r="BU247" s="52">
        <f t="shared" si="85"/>
        <v>0</v>
      </c>
      <c r="BV247" s="65"/>
      <c r="BW247" s="52">
        <f t="shared" si="86"/>
        <v>0</v>
      </c>
      <c r="BX247" s="52">
        <f t="shared" si="87"/>
        <v>0</v>
      </c>
      <c r="BY247" s="52">
        <f t="shared" si="88"/>
        <v>0</v>
      </c>
      <c r="BZ247" s="66">
        <f t="shared" si="89"/>
        <v>0</v>
      </c>
      <c r="CA247" s="54">
        <f t="shared" si="90"/>
        <v>0</v>
      </c>
      <c r="CB247" s="55">
        <f t="shared" si="91"/>
        <v>0</v>
      </c>
      <c r="CC247" s="56">
        <f t="shared" si="92"/>
        <v>0</v>
      </c>
      <c r="CD247" s="57">
        <f t="shared" si="96"/>
        <v>-1</v>
      </c>
      <c r="CE247" s="49"/>
      <c r="CF247" s="77" t="e">
        <f t="shared" si="97"/>
        <v>#N/A</v>
      </c>
      <c r="CG247" s="58">
        <f t="shared" si="93"/>
        <v>1</v>
      </c>
      <c r="CH247" s="57">
        <f t="shared" si="94"/>
        <v>0</v>
      </c>
      <c r="CI247" s="59" t="e">
        <f>VLOOKUP(A247,[1]DATA!$A$6:$AI$331,34,0)</f>
        <v>#N/A</v>
      </c>
      <c r="CJ247" s="60" t="e">
        <f>VLOOKUP(A247,[2]CHAMCONG!A$7:CI$333,79,0)</f>
        <v>#N/A</v>
      </c>
      <c r="CK247" s="61" t="e">
        <f t="shared" si="95"/>
        <v>#N/A</v>
      </c>
      <c r="CL247" s="62"/>
      <c r="CM247" s="62"/>
    </row>
    <row r="248" spans="1:91" s="70" customFormat="1" ht="19.5" customHeight="1" x14ac:dyDescent="0.25">
      <c r="A248" s="69"/>
      <c r="B248" s="64"/>
      <c r="C248" s="45"/>
      <c r="D248" s="46"/>
      <c r="E248" s="47"/>
      <c r="F248" s="48"/>
      <c r="G248" s="49"/>
      <c r="H248" s="51"/>
      <c r="I248" s="50"/>
      <c r="J248" s="51"/>
      <c r="K248" s="51"/>
      <c r="L248" s="51"/>
      <c r="M248" s="51"/>
      <c r="N248" s="51"/>
      <c r="O248" s="50"/>
      <c r="P248" s="51"/>
      <c r="Q248" s="51"/>
      <c r="R248" s="51"/>
      <c r="S248" s="51"/>
      <c r="T248" s="51"/>
      <c r="U248" s="49"/>
      <c r="V248" s="51"/>
      <c r="W248" s="50"/>
      <c r="X248" s="51"/>
      <c r="Y248" s="51"/>
      <c r="Z248" s="51"/>
      <c r="AA248" s="51"/>
      <c r="AB248" s="51"/>
      <c r="AC248" s="50"/>
      <c r="AD248" s="51"/>
      <c r="AE248" s="51"/>
      <c r="AF248" s="51"/>
      <c r="AG248" s="51"/>
      <c r="AH248" s="51"/>
      <c r="AI248" s="51"/>
      <c r="AJ248" s="51"/>
      <c r="AK248" s="50"/>
      <c r="AL248" s="51"/>
      <c r="AM248" s="51"/>
      <c r="AN248" s="51"/>
      <c r="AO248" s="51"/>
      <c r="AP248" s="51"/>
      <c r="AQ248" s="50"/>
      <c r="AR248" s="51"/>
      <c r="AS248" s="51"/>
      <c r="AT248" s="51"/>
      <c r="AU248" s="51"/>
      <c r="AV248" s="51"/>
      <c r="AW248" s="51"/>
      <c r="AX248" s="51"/>
      <c r="AY248" s="50"/>
      <c r="AZ248" s="51"/>
      <c r="BA248" s="51"/>
      <c r="BB248" s="51"/>
      <c r="BC248" s="51"/>
      <c r="BD248" s="51"/>
      <c r="BE248" s="50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2">
        <f t="shared" si="81"/>
        <v>0</v>
      </c>
      <c r="BR248" s="52">
        <f t="shared" si="82"/>
        <v>0</v>
      </c>
      <c r="BS248" s="52">
        <f t="shared" si="83"/>
        <v>0</v>
      </c>
      <c r="BT248" s="52">
        <f t="shared" si="84"/>
        <v>0</v>
      </c>
      <c r="BU248" s="52">
        <f t="shared" si="85"/>
        <v>0</v>
      </c>
      <c r="BV248" s="65"/>
      <c r="BW248" s="52">
        <f t="shared" si="86"/>
        <v>0</v>
      </c>
      <c r="BX248" s="52">
        <f t="shared" si="87"/>
        <v>0</v>
      </c>
      <c r="BY248" s="52">
        <f t="shared" si="88"/>
        <v>0</v>
      </c>
      <c r="BZ248" s="66">
        <f t="shared" si="89"/>
        <v>0</v>
      </c>
      <c r="CA248" s="54">
        <f t="shared" si="90"/>
        <v>0</v>
      </c>
      <c r="CB248" s="55">
        <f t="shared" si="91"/>
        <v>0</v>
      </c>
      <c r="CC248" s="56">
        <f t="shared" si="92"/>
        <v>0</v>
      </c>
      <c r="CD248" s="57">
        <f t="shared" si="96"/>
        <v>-1</v>
      </c>
      <c r="CE248" s="49">
        <v>1</v>
      </c>
      <c r="CF248" s="77" t="e">
        <f t="shared" si="97"/>
        <v>#N/A</v>
      </c>
      <c r="CG248" s="58">
        <f t="shared" si="93"/>
        <v>1</v>
      </c>
      <c r="CH248" s="57">
        <f t="shared" si="94"/>
        <v>16</v>
      </c>
      <c r="CI248" s="59" t="e">
        <f>VLOOKUP(A248,[1]DATA!$A$6:$AI$331,34,0)</f>
        <v>#N/A</v>
      </c>
      <c r="CJ248" s="60" t="e">
        <f>VLOOKUP(A248,[2]CHAMCONG!A$7:CI$333,79,0)</f>
        <v>#N/A</v>
      </c>
      <c r="CK248" s="61" t="e">
        <f t="shared" si="95"/>
        <v>#N/A</v>
      </c>
      <c r="CL248" s="62"/>
      <c r="CM248" s="62"/>
    </row>
    <row r="249" spans="1:91" s="75" customFormat="1" ht="18" customHeight="1" x14ac:dyDescent="0.25">
      <c r="A249" s="69"/>
      <c r="B249" s="64"/>
      <c r="C249" s="45"/>
      <c r="D249" s="46"/>
      <c r="E249" s="47"/>
      <c r="F249" s="48"/>
      <c r="G249" s="49"/>
      <c r="H249" s="51"/>
      <c r="I249" s="49"/>
      <c r="J249" s="51"/>
      <c r="K249" s="49"/>
      <c r="L249" s="51"/>
      <c r="M249" s="51"/>
      <c r="N249" s="51"/>
      <c r="O249" s="50"/>
      <c r="P249" s="51"/>
      <c r="Q249" s="50"/>
      <c r="R249" s="67"/>
      <c r="S249" s="50"/>
      <c r="T249" s="51"/>
      <c r="U249" s="50"/>
      <c r="V249" s="51"/>
      <c r="W249" s="50"/>
      <c r="X249" s="51"/>
      <c r="Y249" s="50"/>
      <c r="Z249" s="51"/>
      <c r="AA249" s="50"/>
      <c r="AB249" s="51"/>
      <c r="AC249" s="50"/>
      <c r="AD249" s="51"/>
      <c r="AE249" s="50"/>
      <c r="AF249" s="67"/>
      <c r="AG249" s="50"/>
      <c r="AH249" s="51"/>
      <c r="AI249" s="50"/>
      <c r="AJ249" s="51"/>
      <c r="AK249" s="50"/>
      <c r="AL249" s="51"/>
      <c r="AM249" s="50"/>
      <c r="AN249" s="51"/>
      <c r="AO249" s="50"/>
      <c r="AP249" s="51"/>
      <c r="AQ249" s="50"/>
      <c r="AR249" s="51"/>
      <c r="AS249" s="50"/>
      <c r="AT249" s="67"/>
      <c r="AU249" s="50"/>
      <c r="AV249" s="51"/>
      <c r="AW249" s="51"/>
      <c r="AX249" s="51"/>
      <c r="AY249" s="50"/>
      <c r="AZ249" s="51"/>
      <c r="BA249" s="50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2">
        <f t="shared" si="81"/>
        <v>0</v>
      </c>
      <c r="BR249" s="52">
        <f t="shared" si="82"/>
        <v>0</v>
      </c>
      <c r="BS249" s="52">
        <f t="shared" si="83"/>
        <v>0</v>
      </c>
      <c r="BT249" s="52">
        <f t="shared" si="84"/>
        <v>0</v>
      </c>
      <c r="BU249" s="52">
        <f t="shared" si="85"/>
        <v>0</v>
      </c>
      <c r="BV249" s="65"/>
      <c r="BW249" s="52">
        <f t="shared" si="86"/>
        <v>0</v>
      </c>
      <c r="BX249" s="52">
        <f t="shared" si="87"/>
        <v>0</v>
      </c>
      <c r="BY249" s="52">
        <f t="shared" si="88"/>
        <v>0</v>
      </c>
      <c r="BZ249" s="66">
        <f t="shared" si="89"/>
        <v>0</v>
      </c>
      <c r="CA249" s="54">
        <f t="shared" si="90"/>
        <v>0</v>
      </c>
      <c r="CB249" s="55">
        <f t="shared" si="91"/>
        <v>0</v>
      </c>
      <c r="CC249" s="56">
        <f t="shared" si="92"/>
        <v>0</v>
      </c>
      <c r="CD249" s="57">
        <f t="shared" si="96"/>
        <v>-1</v>
      </c>
      <c r="CE249" s="49">
        <v>3</v>
      </c>
      <c r="CF249" s="77" t="e">
        <f t="shared" si="97"/>
        <v>#N/A</v>
      </c>
      <c r="CG249" s="58">
        <f t="shared" si="93"/>
        <v>1</v>
      </c>
      <c r="CH249" s="57">
        <f t="shared" si="94"/>
        <v>48</v>
      </c>
      <c r="CI249" s="59" t="e">
        <f>VLOOKUP(A249,[1]DATA!$A$6:$AI$331,34,0)</f>
        <v>#N/A</v>
      </c>
      <c r="CJ249" s="60" t="e">
        <f>VLOOKUP(A249,[2]CHAMCONG!A$7:CI$333,79,0)</f>
        <v>#N/A</v>
      </c>
      <c r="CK249" s="61" t="e">
        <f t="shared" si="95"/>
        <v>#N/A</v>
      </c>
      <c r="CL249" s="62"/>
      <c r="CM249" s="62"/>
    </row>
    <row r="250" spans="1:91" s="75" customFormat="1" ht="18" customHeight="1" x14ac:dyDescent="0.25">
      <c r="A250" s="69"/>
      <c r="B250" s="64"/>
      <c r="C250" s="45"/>
      <c r="D250" s="46"/>
      <c r="E250" s="47"/>
      <c r="F250" s="48"/>
      <c r="G250" s="49"/>
      <c r="H250" s="51"/>
      <c r="I250" s="50"/>
      <c r="J250" s="51"/>
      <c r="K250" s="50"/>
      <c r="L250" s="51"/>
      <c r="M250" s="50"/>
      <c r="N250" s="51"/>
      <c r="O250" s="50"/>
      <c r="P250" s="51"/>
      <c r="Q250" s="50"/>
      <c r="R250" s="67"/>
      <c r="S250" s="50"/>
      <c r="T250" s="51"/>
      <c r="U250" s="50"/>
      <c r="V250" s="51"/>
      <c r="W250" s="50"/>
      <c r="X250" s="51"/>
      <c r="Y250" s="50"/>
      <c r="Z250" s="51"/>
      <c r="AA250" s="50"/>
      <c r="AB250" s="51"/>
      <c r="AC250" s="49"/>
      <c r="AD250" s="51"/>
      <c r="AE250" s="49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2">
        <f t="shared" si="81"/>
        <v>0</v>
      </c>
      <c r="BR250" s="52">
        <f t="shared" si="82"/>
        <v>0</v>
      </c>
      <c r="BS250" s="52">
        <f t="shared" si="83"/>
        <v>0</v>
      </c>
      <c r="BT250" s="52">
        <f t="shared" si="84"/>
        <v>0</v>
      </c>
      <c r="BU250" s="52">
        <f t="shared" si="85"/>
        <v>0</v>
      </c>
      <c r="BV250" s="65"/>
      <c r="BW250" s="52">
        <f t="shared" si="86"/>
        <v>0</v>
      </c>
      <c r="BX250" s="52">
        <f t="shared" si="87"/>
        <v>0</v>
      </c>
      <c r="BY250" s="52">
        <f t="shared" si="88"/>
        <v>0</v>
      </c>
      <c r="BZ250" s="66">
        <f t="shared" si="89"/>
        <v>0</v>
      </c>
      <c r="CA250" s="54">
        <f t="shared" si="90"/>
        <v>0</v>
      </c>
      <c r="CB250" s="55">
        <f t="shared" si="91"/>
        <v>0</v>
      </c>
      <c r="CC250" s="56">
        <f t="shared" si="92"/>
        <v>0</v>
      </c>
      <c r="CD250" s="57">
        <f t="shared" si="96"/>
        <v>-1</v>
      </c>
      <c r="CE250" s="49">
        <v>2</v>
      </c>
      <c r="CF250" s="77" t="e">
        <f t="shared" si="97"/>
        <v>#N/A</v>
      </c>
      <c r="CG250" s="58">
        <f t="shared" si="93"/>
        <v>1</v>
      </c>
      <c r="CH250" s="57">
        <f t="shared" si="94"/>
        <v>32</v>
      </c>
      <c r="CI250" s="59" t="e">
        <f>VLOOKUP(A250,[1]DATA!$A$6:$AI$331,34,0)</f>
        <v>#N/A</v>
      </c>
      <c r="CJ250" s="60" t="e">
        <f>VLOOKUP(A250,[2]CHAMCONG!A$7:CI$333,79,0)</f>
        <v>#N/A</v>
      </c>
      <c r="CK250" s="61" t="e">
        <f t="shared" si="95"/>
        <v>#N/A</v>
      </c>
      <c r="CL250" s="62"/>
      <c r="CM250" s="62"/>
    </row>
    <row r="251" spans="1:91" s="75" customFormat="1" ht="18" customHeight="1" x14ac:dyDescent="0.25">
      <c r="A251" s="69"/>
      <c r="B251" s="64"/>
      <c r="C251" s="45"/>
      <c r="D251" s="46"/>
      <c r="E251" s="47"/>
      <c r="F251" s="48"/>
      <c r="G251" s="49"/>
      <c r="H251" s="51"/>
      <c r="I251" s="50"/>
      <c r="J251" s="51"/>
      <c r="K251" s="51"/>
      <c r="L251" s="51"/>
      <c r="M251" s="51"/>
      <c r="N251" s="51"/>
      <c r="O251" s="50"/>
      <c r="P251" s="51"/>
      <c r="Q251" s="50"/>
      <c r="R251" s="67"/>
      <c r="S251" s="50"/>
      <c r="T251" s="51"/>
      <c r="U251" s="49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0"/>
      <c r="AP251" s="51"/>
      <c r="AQ251" s="50"/>
      <c r="AR251" s="51"/>
      <c r="AS251" s="50"/>
      <c r="AT251" s="67"/>
      <c r="AU251" s="50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2">
        <f t="shared" si="81"/>
        <v>0</v>
      </c>
      <c r="BR251" s="52">
        <f t="shared" si="82"/>
        <v>0</v>
      </c>
      <c r="BS251" s="52">
        <f t="shared" si="83"/>
        <v>0</v>
      </c>
      <c r="BT251" s="52">
        <f t="shared" si="84"/>
        <v>0</v>
      </c>
      <c r="BU251" s="52">
        <f t="shared" si="85"/>
        <v>0</v>
      </c>
      <c r="BV251" s="65"/>
      <c r="BW251" s="52">
        <f t="shared" si="86"/>
        <v>0</v>
      </c>
      <c r="BX251" s="52">
        <f t="shared" si="87"/>
        <v>0</v>
      </c>
      <c r="BY251" s="52">
        <f t="shared" si="88"/>
        <v>0</v>
      </c>
      <c r="BZ251" s="66">
        <f t="shared" si="89"/>
        <v>0</v>
      </c>
      <c r="CA251" s="54">
        <f t="shared" si="90"/>
        <v>0</v>
      </c>
      <c r="CB251" s="55">
        <f t="shared" si="91"/>
        <v>0</v>
      </c>
      <c r="CC251" s="56">
        <f t="shared" si="92"/>
        <v>0</v>
      </c>
      <c r="CD251" s="57">
        <f t="shared" si="96"/>
        <v>-1</v>
      </c>
      <c r="CE251" s="49"/>
      <c r="CF251" s="77" t="e">
        <f t="shared" si="97"/>
        <v>#N/A</v>
      </c>
      <c r="CG251" s="58">
        <f t="shared" si="93"/>
        <v>1</v>
      </c>
      <c r="CH251" s="57">
        <f t="shared" si="94"/>
        <v>0</v>
      </c>
      <c r="CI251" s="59" t="e">
        <f>VLOOKUP(A251,[1]DATA!$A$6:$AI$331,34,0)</f>
        <v>#N/A</v>
      </c>
      <c r="CJ251" s="60" t="e">
        <f>VLOOKUP(A251,[2]CHAMCONG!A$7:CI$333,79,0)</f>
        <v>#N/A</v>
      </c>
      <c r="CK251" s="61" t="e">
        <f t="shared" si="95"/>
        <v>#N/A</v>
      </c>
      <c r="CL251" s="62"/>
      <c r="CM251" s="62"/>
    </row>
    <row r="252" spans="1:91" s="75" customFormat="1" ht="18" customHeight="1" x14ac:dyDescent="0.25">
      <c r="A252" s="69"/>
      <c r="B252" s="64"/>
      <c r="C252" s="45"/>
      <c r="D252" s="46"/>
      <c r="E252" s="47"/>
      <c r="F252" s="48"/>
      <c r="G252" s="49"/>
      <c r="H252" s="51"/>
      <c r="I252" s="50"/>
      <c r="J252" s="51"/>
      <c r="K252" s="50"/>
      <c r="L252" s="51"/>
      <c r="M252" s="50"/>
      <c r="N252" s="51"/>
      <c r="O252" s="50"/>
      <c r="P252" s="51"/>
      <c r="Q252" s="49"/>
      <c r="R252" s="51"/>
      <c r="S252" s="50"/>
      <c r="T252" s="51"/>
      <c r="U252" s="50"/>
      <c r="V252" s="51"/>
      <c r="W252" s="50"/>
      <c r="X252" s="51"/>
      <c r="Y252" s="50"/>
      <c r="Z252" s="51"/>
      <c r="AA252" s="51"/>
      <c r="AB252" s="51"/>
      <c r="AC252" s="49"/>
      <c r="AD252" s="51"/>
      <c r="AE252" s="49"/>
      <c r="AF252" s="51"/>
      <c r="AG252" s="49"/>
      <c r="AH252" s="51"/>
      <c r="AI252" s="49"/>
      <c r="AJ252" s="51"/>
      <c r="AK252" s="49"/>
      <c r="AL252" s="51"/>
      <c r="AM252" s="49"/>
      <c r="AN252" s="51"/>
      <c r="AO252" s="49"/>
      <c r="AP252" s="51"/>
      <c r="AQ252" s="49"/>
      <c r="AR252" s="51"/>
      <c r="AS252" s="49"/>
      <c r="AT252" s="51"/>
      <c r="AU252" s="49"/>
      <c r="AV252" s="51"/>
      <c r="AW252" s="51"/>
      <c r="AX252" s="51"/>
      <c r="AY252" s="49"/>
      <c r="AZ252" s="51"/>
      <c r="BA252" s="49"/>
      <c r="BB252" s="51"/>
      <c r="BC252" s="51"/>
      <c r="BD252" s="51"/>
      <c r="BE252" s="49"/>
      <c r="BF252" s="51"/>
      <c r="BG252" s="49"/>
      <c r="BH252" s="51"/>
      <c r="BI252" s="51"/>
      <c r="BJ252" s="51"/>
      <c r="BK252" s="51"/>
      <c r="BL252" s="51"/>
      <c r="BM252" s="51"/>
      <c r="BN252" s="51"/>
      <c r="BO252" s="51"/>
      <c r="BP252" s="51"/>
      <c r="BQ252" s="52">
        <f t="shared" si="81"/>
        <v>0</v>
      </c>
      <c r="BR252" s="52">
        <f t="shared" si="82"/>
        <v>0</v>
      </c>
      <c r="BS252" s="52">
        <f t="shared" si="83"/>
        <v>0</v>
      </c>
      <c r="BT252" s="52">
        <f t="shared" si="84"/>
        <v>0</v>
      </c>
      <c r="BU252" s="52">
        <f t="shared" si="85"/>
        <v>0</v>
      </c>
      <c r="BV252" s="65"/>
      <c r="BW252" s="52">
        <f t="shared" si="86"/>
        <v>0</v>
      </c>
      <c r="BX252" s="52">
        <f t="shared" si="87"/>
        <v>0</v>
      </c>
      <c r="BY252" s="52">
        <f t="shared" si="88"/>
        <v>0</v>
      </c>
      <c r="BZ252" s="66">
        <f t="shared" si="89"/>
        <v>0</v>
      </c>
      <c r="CA252" s="54">
        <f t="shared" si="90"/>
        <v>0</v>
      </c>
      <c r="CB252" s="55">
        <f t="shared" si="91"/>
        <v>0</v>
      </c>
      <c r="CC252" s="56">
        <f t="shared" si="92"/>
        <v>0</v>
      </c>
      <c r="CD252" s="57">
        <f t="shared" si="96"/>
        <v>-1</v>
      </c>
      <c r="CE252" s="49">
        <v>4</v>
      </c>
      <c r="CF252" s="77" t="e">
        <f t="shared" si="97"/>
        <v>#N/A</v>
      </c>
      <c r="CG252" s="58">
        <f t="shared" si="93"/>
        <v>1</v>
      </c>
      <c r="CH252" s="57">
        <f t="shared" si="94"/>
        <v>64</v>
      </c>
      <c r="CI252" s="59" t="e">
        <f>VLOOKUP(A252,[1]DATA!$A$6:$AI$331,34,0)</f>
        <v>#N/A</v>
      </c>
      <c r="CJ252" s="60" t="e">
        <f>VLOOKUP(A252,[2]CHAMCONG!A$7:CI$333,79,0)</f>
        <v>#N/A</v>
      </c>
      <c r="CK252" s="61" t="e">
        <f t="shared" si="95"/>
        <v>#N/A</v>
      </c>
      <c r="CL252" s="62"/>
      <c r="CM252" s="62"/>
    </row>
    <row r="253" spans="1:91" s="75" customFormat="1" ht="18" customHeight="1" x14ac:dyDescent="0.25">
      <c r="A253" s="69"/>
      <c r="B253" s="64"/>
      <c r="C253" s="45"/>
      <c r="D253" s="46"/>
      <c r="E253" s="47"/>
      <c r="F253" s="48"/>
      <c r="G253" s="49"/>
      <c r="H253" s="74"/>
      <c r="I253" s="50"/>
      <c r="J253" s="51"/>
      <c r="K253" s="50"/>
      <c r="L253" s="51"/>
      <c r="M253" s="50"/>
      <c r="N253" s="51"/>
      <c r="O253" s="50"/>
      <c r="P253" s="74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0"/>
      <c r="AR253" s="74"/>
      <c r="AS253" s="51"/>
      <c r="AT253" s="51"/>
      <c r="AU253" s="51"/>
      <c r="AV253" s="74"/>
      <c r="AW253" s="51"/>
      <c r="AX253" s="74"/>
      <c r="AY253" s="50"/>
      <c r="AZ253" s="74"/>
      <c r="BA253" s="51"/>
      <c r="BB253" s="74"/>
      <c r="BC253" s="51"/>
      <c r="BD253" s="74"/>
      <c r="BE253" s="50"/>
      <c r="BF253" s="74"/>
      <c r="BG253" s="51"/>
      <c r="BH253" s="51"/>
      <c r="BI253" s="51"/>
      <c r="BJ253" s="74"/>
      <c r="BK253" s="51"/>
      <c r="BL253" s="74"/>
      <c r="BM253" s="51"/>
      <c r="BN253" s="74"/>
      <c r="BO253" s="51"/>
      <c r="BP253" s="74"/>
      <c r="BQ253" s="52">
        <f t="shared" si="81"/>
        <v>0</v>
      </c>
      <c r="BR253" s="52">
        <f t="shared" si="82"/>
        <v>0</v>
      </c>
      <c r="BS253" s="52">
        <f t="shared" si="83"/>
        <v>0</v>
      </c>
      <c r="BT253" s="52">
        <f t="shared" si="84"/>
        <v>0</v>
      </c>
      <c r="BU253" s="52">
        <f t="shared" si="85"/>
        <v>0</v>
      </c>
      <c r="BV253" s="65"/>
      <c r="BW253" s="52">
        <f t="shared" si="86"/>
        <v>0</v>
      </c>
      <c r="BX253" s="52">
        <f t="shared" si="87"/>
        <v>0</v>
      </c>
      <c r="BY253" s="52">
        <f t="shared" si="88"/>
        <v>0</v>
      </c>
      <c r="BZ253" s="66">
        <f t="shared" si="89"/>
        <v>0</v>
      </c>
      <c r="CA253" s="54">
        <f t="shared" si="90"/>
        <v>0</v>
      </c>
      <c r="CB253" s="55">
        <f t="shared" si="91"/>
        <v>0</v>
      </c>
      <c r="CC253" s="56">
        <f t="shared" si="92"/>
        <v>0</v>
      </c>
      <c r="CD253" s="57">
        <f t="shared" si="96"/>
        <v>-1</v>
      </c>
      <c r="CE253" s="49"/>
      <c r="CF253" s="77" t="e">
        <f t="shared" si="97"/>
        <v>#N/A</v>
      </c>
      <c r="CG253" s="58">
        <f t="shared" si="93"/>
        <v>1</v>
      </c>
      <c r="CH253" s="57">
        <f t="shared" si="94"/>
        <v>0</v>
      </c>
      <c r="CI253" s="59" t="e">
        <f>VLOOKUP(A253,[1]DATA!$A$6:$AI$331,34,0)</f>
        <v>#N/A</v>
      </c>
      <c r="CJ253" s="60" t="e">
        <f>VLOOKUP(A253,[2]CHAMCONG!A$7:CI$333,79,0)</f>
        <v>#N/A</v>
      </c>
      <c r="CK253" s="61" t="e">
        <f t="shared" si="95"/>
        <v>#N/A</v>
      </c>
      <c r="CL253" s="62"/>
      <c r="CM253" s="62"/>
    </row>
    <row r="254" spans="1:91" s="75" customFormat="1" ht="18" customHeight="1" x14ac:dyDescent="0.25">
      <c r="A254" s="69"/>
      <c r="B254" s="64"/>
      <c r="C254" s="45"/>
      <c r="D254" s="46"/>
      <c r="E254" s="47"/>
      <c r="F254" s="48"/>
      <c r="G254" s="49"/>
      <c r="H254" s="51"/>
      <c r="I254" s="49"/>
      <c r="J254" s="51"/>
      <c r="K254" s="49"/>
      <c r="L254" s="51"/>
      <c r="M254" s="49"/>
      <c r="N254" s="51"/>
      <c r="O254" s="49"/>
      <c r="P254" s="51"/>
      <c r="Q254" s="67"/>
      <c r="R254" s="67"/>
      <c r="S254" s="49"/>
      <c r="T254" s="51"/>
      <c r="U254" s="49"/>
      <c r="V254" s="51"/>
      <c r="W254" s="49"/>
      <c r="X254" s="51"/>
      <c r="Y254" s="49"/>
      <c r="Z254" s="51"/>
      <c r="AA254" s="49"/>
      <c r="AB254" s="51"/>
      <c r="AC254" s="49"/>
      <c r="AD254" s="51"/>
      <c r="AE254" s="51"/>
      <c r="AF254" s="51"/>
      <c r="AG254" s="50"/>
      <c r="AH254" s="51"/>
      <c r="AI254" s="50"/>
      <c r="AJ254" s="51"/>
      <c r="AK254" s="50"/>
      <c r="AL254" s="51"/>
      <c r="AM254" s="50"/>
      <c r="AN254" s="51"/>
      <c r="AO254" s="50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2">
        <f t="shared" si="81"/>
        <v>0</v>
      </c>
      <c r="BR254" s="52">
        <f t="shared" si="82"/>
        <v>0</v>
      </c>
      <c r="BS254" s="52">
        <f t="shared" si="83"/>
        <v>0</v>
      </c>
      <c r="BT254" s="52">
        <f t="shared" si="84"/>
        <v>0</v>
      </c>
      <c r="BU254" s="52">
        <f t="shared" si="85"/>
        <v>0</v>
      </c>
      <c r="BV254" s="65"/>
      <c r="BW254" s="52">
        <f t="shared" si="86"/>
        <v>0</v>
      </c>
      <c r="BX254" s="52">
        <f t="shared" si="87"/>
        <v>0</v>
      </c>
      <c r="BY254" s="52">
        <f t="shared" si="88"/>
        <v>0</v>
      </c>
      <c r="BZ254" s="66">
        <f t="shared" si="89"/>
        <v>0</v>
      </c>
      <c r="CA254" s="54">
        <f t="shared" si="90"/>
        <v>0</v>
      </c>
      <c r="CB254" s="55">
        <f t="shared" si="91"/>
        <v>0</v>
      </c>
      <c r="CC254" s="56">
        <f t="shared" si="92"/>
        <v>0</v>
      </c>
      <c r="CD254" s="57">
        <f t="shared" si="96"/>
        <v>-1</v>
      </c>
      <c r="CE254" s="49"/>
      <c r="CF254" s="77" t="e">
        <f t="shared" si="97"/>
        <v>#N/A</v>
      </c>
      <c r="CG254" s="58">
        <f t="shared" si="93"/>
        <v>1</v>
      </c>
      <c r="CH254" s="57">
        <f t="shared" si="94"/>
        <v>0</v>
      </c>
      <c r="CI254" s="59" t="e">
        <f>VLOOKUP(A254,[1]DATA!$A$6:$AI$331,34,0)</f>
        <v>#N/A</v>
      </c>
      <c r="CJ254" s="60" t="e">
        <f>VLOOKUP(A254,[2]CHAMCONG!A$7:CI$333,79,0)</f>
        <v>#N/A</v>
      </c>
      <c r="CK254" s="61" t="e">
        <f t="shared" si="95"/>
        <v>#N/A</v>
      </c>
      <c r="CL254" s="62"/>
      <c r="CM254" s="62"/>
    </row>
    <row r="255" spans="1:91" s="75" customFormat="1" ht="15.75" customHeight="1" x14ac:dyDescent="0.25">
      <c r="A255" s="69"/>
      <c r="B255" s="64"/>
      <c r="C255" s="45"/>
      <c r="D255" s="46"/>
      <c r="E255" s="47"/>
      <c r="F255" s="48"/>
      <c r="G255" s="49"/>
      <c r="H255" s="51"/>
      <c r="I255" s="49"/>
      <c r="J255" s="51"/>
      <c r="K255" s="49"/>
      <c r="L255" s="51"/>
      <c r="M255" s="49"/>
      <c r="N255" s="51"/>
      <c r="O255" s="49"/>
      <c r="P255" s="51"/>
      <c r="Q255" s="67"/>
      <c r="R255" s="67"/>
      <c r="S255" s="50"/>
      <c r="T255" s="51"/>
      <c r="U255" s="49"/>
      <c r="V255" s="51"/>
      <c r="W255" s="50"/>
      <c r="X255" s="51"/>
      <c r="Y255" s="50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2">
        <f t="shared" si="81"/>
        <v>0</v>
      </c>
      <c r="BR255" s="52">
        <f t="shared" si="82"/>
        <v>0</v>
      </c>
      <c r="BS255" s="52">
        <f t="shared" si="83"/>
        <v>0</v>
      </c>
      <c r="BT255" s="52">
        <f t="shared" si="84"/>
        <v>0</v>
      </c>
      <c r="BU255" s="52">
        <f t="shared" si="85"/>
        <v>0</v>
      </c>
      <c r="BV255" s="65"/>
      <c r="BW255" s="52">
        <f t="shared" si="86"/>
        <v>0</v>
      </c>
      <c r="BX255" s="52">
        <f t="shared" si="87"/>
        <v>0</v>
      </c>
      <c r="BY255" s="52">
        <f t="shared" si="88"/>
        <v>0</v>
      </c>
      <c r="BZ255" s="66">
        <f t="shared" si="89"/>
        <v>0</v>
      </c>
      <c r="CA255" s="54">
        <f t="shared" si="90"/>
        <v>0</v>
      </c>
      <c r="CB255" s="55">
        <f t="shared" si="91"/>
        <v>0</v>
      </c>
      <c r="CC255" s="56">
        <f t="shared" si="92"/>
        <v>0</v>
      </c>
      <c r="CD255" s="57">
        <f t="shared" si="96"/>
        <v>-1</v>
      </c>
      <c r="CE255" s="49"/>
      <c r="CF255" s="57" t="e">
        <f t="shared" si="97"/>
        <v>#N/A</v>
      </c>
      <c r="CG255" s="58">
        <f t="shared" si="93"/>
        <v>1</v>
      </c>
      <c r="CH255" s="57">
        <f t="shared" si="94"/>
        <v>0</v>
      </c>
      <c r="CI255" s="59" t="e">
        <f>VLOOKUP(A255,[1]DATA!$A$6:$AI$331,34,0)</f>
        <v>#N/A</v>
      </c>
      <c r="CJ255" s="60" t="e">
        <f>VLOOKUP(A255,[2]CHAMCONG!A$7:CI$333,79,0)</f>
        <v>#N/A</v>
      </c>
      <c r="CK255" s="61" t="e">
        <f t="shared" si="95"/>
        <v>#N/A</v>
      </c>
      <c r="CL255" s="62"/>
      <c r="CM255" s="62"/>
    </row>
    <row r="256" spans="1:91" s="75" customFormat="1" ht="18" customHeight="1" x14ac:dyDescent="0.25">
      <c r="A256" s="69"/>
      <c r="B256" s="64"/>
      <c r="C256" s="45"/>
      <c r="D256" s="46"/>
      <c r="E256" s="47"/>
      <c r="F256" s="48"/>
      <c r="G256" s="49"/>
      <c r="H256" s="51"/>
      <c r="I256" s="51"/>
      <c r="J256" s="51"/>
      <c r="K256" s="51"/>
      <c r="L256" s="51"/>
      <c r="M256" s="51"/>
      <c r="N256" s="51"/>
      <c r="O256" s="50"/>
      <c r="P256" s="51"/>
      <c r="Q256" s="50"/>
      <c r="R256" s="67"/>
      <c r="S256" s="50"/>
      <c r="T256" s="51"/>
      <c r="U256" s="51"/>
      <c r="V256" s="51"/>
      <c r="W256" s="50"/>
      <c r="X256" s="51"/>
      <c r="Y256" s="50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0"/>
      <c r="AR256" s="51"/>
      <c r="AS256" s="50"/>
      <c r="AT256" s="67"/>
      <c r="AU256" s="50"/>
      <c r="AV256" s="51"/>
      <c r="AW256" s="51"/>
      <c r="AX256" s="51"/>
      <c r="AY256" s="50"/>
      <c r="AZ256" s="51"/>
      <c r="BA256" s="50"/>
      <c r="BB256" s="51"/>
      <c r="BC256" s="51"/>
      <c r="BD256" s="51"/>
      <c r="BE256" s="49"/>
      <c r="BF256" s="51"/>
      <c r="BG256" s="49"/>
      <c r="BH256" s="51"/>
      <c r="BI256" s="49"/>
      <c r="BJ256" s="51"/>
      <c r="BK256" s="49"/>
      <c r="BL256" s="51"/>
      <c r="BM256" s="49"/>
      <c r="BN256" s="51"/>
      <c r="BO256" s="49"/>
      <c r="BP256" s="51"/>
      <c r="BQ256" s="52">
        <f t="shared" si="81"/>
        <v>0</v>
      </c>
      <c r="BR256" s="52">
        <f t="shared" si="82"/>
        <v>0</v>
      </c>
      <c r="BS256" s="52">
        <f t="shared" si="83"/>
        <v>0</v>
      </c>
      <c r="BT256" s="52">
        <f t="shared" si="84"/>
        <v>0</v>
      </c>
      <c r="BU256" s="52">
        <f t="shared" si="85"/>
        <v>0</v>
      </c>
      <c r="BV256" s="65"/>
      <c r="BW256" s="52">
        <f t="shared" si="86"/>
        <v>0</v>
      </c>
      <c r="BX256" s="52">
        <f t="shared" si="87"/>
        <v>0</v>
      </c>
      <c r="BY256" s="52">
        <f t="shared" si="88"/>
        <v>0</v>
      </c>
      <c r="BZ256" s="66">
        <f t="shared" si="89"/>
        <v>0</v>
      </c>
      <c r="CA256" s="54">
        <f t="shared" si="90"/>
        <v>0</v>
      </c>
      <c r="CB256" s="55">
        <f t="shared" si="91"/>
        <v>0</v>
      </c>
      <c r="CC256" s="56">
        <f t="shared" si="92"/>
        <v>0</v>
      </c>
      <c r="CD256" s="57"/>
      <c r="CE256" s="49"/>
      <c r="CF256" s="77" t="e">
        <f t="shared" si="97"/>
        <v>#N/A</v>
      </c>
      <c r="CG256" s="58">
        <f t="shared" si="93"/>
        <v>1</v>
      </c>
      <c r="CH256" s="57">
        <f t="shared" si="94"/>
        <v>0</v>
      </c>
      <c r="CI256" s="59" t="e">
        <f>VLOOKUP(A256,[1]DATA!$A$6:$AI$331,34,0)</f>
        <v>#N/A</v>
      </c>
      <c r="CJ256" s="60" t="e">
        <f>VLOOKUP(A256,[2]CHAMCONG!A$7:CI$333,79,0)</f>
        <v>#N/A</v>
      </c>
      <c r="CK256" s="61" t="e">
        <f t="shared" si="95"/>
        <v>#N/A</v>
      </c>
      <c r="CL256" s="62"/>
      <c r="CM256" s="62"/>
    </row>
    <row r="257" spans="1:91" s="75" customFormat="1" ht="18" customHeight="1" x14ac:dyDescent="0.25">
      <c r="A257" s="69"/>
      <c r="B257" s="64"/>
      <c r="C257" s="45"/>
      <c r="D257" s="46"/>
      <c r="E257" s="47"/>
      <c r="F257" s="48"/>
      <c r="G257" s="49"/>
      <c r="H257" s="51"/>
      <c r="I257" s="50"/>
      <c r="J257" s="51"/>
      <c r="K257" s="51"/>
      <c r="L257" s="51"/>
      <c r="M257" s="51"/>
      <c r="N257" s="51"/>
      <c r="O257" s="50"/>
      <c r="P257" s="51"/>
      <c r="Q257" s="49"/>
      <c r="R257" s="51"/>
      <c r="S257" s="49"/>
      <c r="T257" s="51"/>
      <c r="U257" s="49"/>
      <c r="V257" s="51"/>
      <c r="W257" s="49"/>
      <c r="X257" s="51"/>
      <c r="Y257" s="49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2">
        <f t="shared" si="81"/>
        <v>0</v>
      </c>
      <c r="BR257" s="52">
        <f t="shared" si="82"/>
        <v>0</v>
      </c>
      <c r="BS257" s="52">
        <f t="shared" si="83"/>
        <v>0</v>
      </c>
      <c r="BT257" s="52">
        <f t="shared" si="84"/>
        <v>0</v>
      </c>
      <c r="BU257" s="52">
        <f t="shared" si="85"/>
        <v>0</v>
      </c>
      <c r="BV257" s="65"/>
      <c r="BW257" s="52">
        <f t="shared" si="86"/>
        <v>0</v>
      </c>
      <c r="BX257" s="52">
        <f t="shared" si="87"/>
        <v>0</v>
      </c>
      <c r="BY257" s="52">
        <f t="shared" si="88"/>
        <v>0</v>
      </c>
      <c r="BZ257" s="66">
        <f t="shared" si="89"/>
        <v>0</v>
      </c>
      <c r="CA257" s="54">
        <f t="shared" si="90"/>
        <v>0</v>
      </c>
      <c r="CB257" s="55">
        <f t="shared" si="91"/>
        <v>0</v>
      </c>
      <c r="CC257" s="56">
        <f t="shared" si="92"/>
        <v>0</v>
      </c>
      <c r="CD257" s="57">
        <f t="shared" si="96"/>
        <v>-1</v>
      </c>
      <c r="CE257" s="49"/>
      <c r="CF257" s="77" t="e">
        <f t="shared" si="97"/>
        <v>#N/A</v>
      </c>
      <c r="CG257" s="58">
        <f t="shared" si="93"/>
        <v>1</v>
      </c>
      <c r="CH257" s="57">
        <f t="shared" si="94"/>
        <v>0</v>
      </c>
      <c r="CI257" s="59" t="e">
        <f>VLOOKUP(A257,[1]DATA!$A$6:$AI$331,34,0)</f>
        <v>#N/A</v>
      </c>
      <c r="CJ257" s="60" t="e">
        <f>VLOOKUP(A257,[2]CHAMCONG!A$7:CI$333,79,0)</f>
        <v>#N/A</v>
      </c>
      <c r="CK257" s="61" t="e">
        <f t="shared" si="95"/>
        <v>#N/A</v>
      </c>
      <c r="CL257" s="62"/>
      <c r="CM257" s="62"/>
    </row>
    <row r="258" spans="1:91" s="75" customFormat="1" ht="18" customHeight="1" x14ac:dyDescent="0.25">
      <c r="A258" s="69"/>
      <c r="B258" s="64"/>
      <c r="C258" s="45"/>
      <c r="D258" s="46"/>
      <c r="E258" s="47"/>
      <c r="F258" s="48"/>
      <c r="G258" s="49"/>
      <c r="H258" s="51"/>
      <c r="I258" s="50"/>
      <c r="J258" s="51"/>
      <c r="K258" s="50"/>
      <c r="L258" s="51"/>
      <c r="M258" s="50"/>
      <c r="N258" s="51"/>
      <c r="O258" s="50"/>
      <c r="P258" s="51"/>
      <c r="Q258" s="49"/>
      <c r="R258" s="51"/>
      <c r="S258" s="50"/>
      <c r="T258" s="51"/>
      <c r="U258" s="50"/>
      <c r="V258" s="51"/>
      <c r="W258" s="50"/>
      <c r="X258" s="51"/>
      <c r="Y258" s="50"/>
      <c r="Z258" s="51"/>
      <c r="AA258" s="50"/>
      <c r="AB258" s="51"/>
      <c r="AC258" s="50"/>
      <c r="AD258" s="51"/>
      <c r="AE258" s="49"/>
      <c r="AF258" s="51"/>
      <c r="AG258" s="50"/>
      <c r="AH258" s="51"/>
      <c r="AI258" s="50"/>
      <c r="AJ258" s="51"/>
      <c r="AK258" s="50"/>
      <c r="AL258" s="51"/>
      <c r="AM258" s="50"/>
      <c r="AN258" s="51"/>
      <c r="AO258" s="50"/>
      <c r="AP258" s="51"/>
      <c r="AQ258" s="49"/>
      <c r="AR258" s="51"/>
      <c r="AS258" s="49"/>
      <c r="AT258" s="51"/>
      <c r="AU258" s="49"/>
      <c r="AV258" s="51"/>
      <c r="AW258" s="51"/>
      <c r="AX258" s="51"/>
      <c r="AY258" s="49"/>
      <c r="AZ258" s="51"/>
      <c r="BA258" s="49"/>
      <c r="BB258" s="51"/>
      <c r="BC258" s="51"/>
      <c r="BD258" s="51"/>
      <c r="BE258" s="49"/>
      <c r="BF258" s="51"/>
      <c r="BG258" s="49"/>
      <c r="BH258" s="51"/>
      <c r="BI258" s="51"/>
      <c r="BJ258" s="51"/>
      <c r="BK258" s="51"/>
      <c r="BL258" s="51"/>
      <c r="BM258" s="51"/>
      <c r="BN258" s="51"/>
      <c r="BO258" s="51"/>
      <c r="BP258" s="51"/>
      <c r="BQ258" s="52">
        <f t="shared" si="81"/>
        <v>0</v>
      </c>
      <c r="BR258" s="52">
        <f t="shared" si="82"/>
        <v>0</v>
      </c>
      <c r="BS258" s="52">
        <f t="shared" si="83"/>
        <v>0</v>
      </c>
      <c r="BT258" s="52">
        <f t="shared" si="84"/>
        <v>0</v>
      </c>
      <c r="BU258" s="52">
        <f t="shared" si="85"/>
        <v>0</v>
      </c>
      <c r="BV258" s="65"/>
      <c r="BW258" s="52">
        <f t="shared" si="86"/>
        <v>0</v>
      </c>
      <c r="BX258" s="52">
        <f t="shared" si="87"/>
        <v>0</v>
      </c>
      <c r="BY258" s="52">
        <f t="shared" si="88"/>
        <v>0</v>
      </c>
      <c r="BZ258" s="66">
        <f t="shared" si="89"/>
        <v>0</v>
      </c>
      <c r="CA258" s="54">
        <f t="shared" si="90"/>
        <v>0</v>
      </c>
      <c r="CB258" s="55">
        <f t="shared" si="91"/>
        <v>0</v>
      </c>
      <c r="CC258" s="56">
        <f t="shared" si="92"/>
        <v>0</v>
      </c>
      <c r="CD258" s="57">
        <f t="shared" si="96"/>
        <v>-1</v>
      </c>
      <c r="CE258" s="49">
        <v>2</v>
      </c>
      <c r="CF258" s="77" t="e">
        <f t="shared" si="97"/>
        <v>#N/A</v>
      </c>
      <c r="CG258" s="58">
        <f t="shared" si="93"/>
        <v>1</v>
      </c>
      <c r="CH258" s="57">
        <f t="shared" si="94"/>
        <v>32</v>
      </c>
      <c r="CI258" s="59" t="e">
        <f>VLOOKUP(A258,[1]DATA!$A$6:$AI$331,34,0)</f>
        <v>#N/A</v>
      </c>
      <c r="CJ258" s="60" t="e">
        <f>VLOOKUP(A258,[2]CHAMCONG!A$7:CI$333,79,0)</f>
        <v>#N/A</v>
      </c>
      <c r="CK258" s="61" t="e">
        <f t="shared" si="95"/>
        <v>#N/A</v>
      </c>
      <c r="CL258" s="62"/>
      <c r="CM258" s="62"/>
    </row>
    <row r="259" spans="1:91" s="70" customFormat="1" ht="14.25" customHeight="1" x14ac:dyDescent="0.25">
      <c r="A259" s="69"/>
      <c r="B259" s="64"/>
      <c r="C259" s="45"/>
      <c r="D259" s="46"/>
      <c r="E259" s="47"/>
      <c r="F259" s="48"/>
      <c r="G259" s="49"/>
      <c r="H259" s="51"/>
      <c r="I259" s="50"/>
      <c r="J259" s="51"/>
      <c r="K259" s="50"/>
      <c r="L259" s="51"/>
      <c r="M259" s="50"/>
      <c r="N259" s="51"/>
      <c r="O259" s="50"/>
      <c r="P259" s="51"/>
      <c r="Q259" s="49"/>
      <c r="R259" s="51"/>
      <c r="S259" s="50"/>
      <c r="T259" s="51"/>
      <c r="U259" s="50"/>
      <c r="V259" s="51"/>
      <c r="W259" s="50"/>
      <c r="X259" s="51"/>
      <c r="Y259" s="49"/>
      <c r="Z259" s="51"/>
      <c r="AA259" s="50"/>
      <c r="AB259" s="51"/>
      <c r="AC259" s="50"/>
      <c r="AD259" s="51"/>
      <c r="AE259" s="49"/>
      <c r="AF259" s="51"/>
      <c r="AG259" s="50"/>
      <c r="AH259" s="51"/>
      <c r="AI259" s="50"/>
      <c r="AJ259" s="51"/>
      <c r="AK259" s="50"/>
      <c r="AL259" s="51"/>
      <c r="AM259" s="50"/>
      <c r="AN259" s="51"/>
      <c r="AO259" s="50"/>
      <c r="AP259" s="51"/>
      <c r="AQ259" s="49"/>
      <c r="AR259" s="51"/>
      <c r="AS259" s="49"/>
      <c r="AT259" s="51"/>
      <c r="AU259" s="49"/>
      <c r="AV259" s="51"/>
      <c r="AW259" s="51"/>
      <c r="AX259" s="51"/>
      <c r="AY259" s="49"/>
      <c r="AZ259" s="51"/>
      <c r="BA259" s="49"/>
      <c r="BB259" s="51"/>
      <c r="BC259" s="51"/>
      <c r="BD259" s="51"/>
      <c r="BE259" s="49"/>
      <c r="BF259" s="51"/>
      <c r="BG259" s="49"/>
      <c r="BH259" s="51"/>
      <c r="BI259" s="51"/>
      <c r="BJ259" s="51"/>
      <c r="BK259" s="51"/>
      <c r="BL259" s="51"/>
      <c r="BM259" s="51"/>
      <c r="BN259" s="51"/>
      <c r="BO259" s="51"/>
      <c r="BP259" s="51"/>
      <c r="BQ259" s="52">
        <f t="shared" si="81"/>
        <v>0</v>
      </c>
      <c r="BR259" s="52">
        <f t="shared" si="82"/>
        <v>0</v>
      </c>
      <c r="BS259" s="52">
        <f t="shared" si="83"/>
        <v>0</v>
      </c>
      <c r="BT259" s="52">
        <f t="shared" si="84"/>
        <v>0</v>
      </c>
      <c r="BU259" s="52">
        <f t="shared" si="85"/>
        <v>0</v>
      </c>
      <c r="BV259" s="65"/>
      <c r="BW259" s="52">
        <f t="shared" si="86"/>
        <v>0</v>
      </c>
      <c r="BX259" s="52">
        <f t="shared" si="87"/>
        <v>0</v>
      </c>
      <c r="BY259" s="52">
        <f t="shared" si="88"/>
        <v>0</v>
      </c>
      <c r="BZ259" s="66">
        <f t="shared" si="89"/>
        <v>0</v>
      </c>
      <c r="CA259" s="54">
        <f t="shared" si="90"/>
        <v>0</v>
      </c>
      <c r="CB259" s="55">
        <f t="shared" si="91"/>
        <v>0</v>
      </c>
      <c r="CC259" s="56">
        <f t="shared" si="92"/>
        <v>0</v>
      </c>
      <c r="CD259" s="57">
        <f t="shared" si="96"/>
        <v>-1</v>
      </c>
      <c r="CE259" s="49">
        <v>1</v>
      </c>
      <c r="CF259" s="77" t="e">
        <f t="shared" si="97"/>
        <v>#N/A</v>
      </c>
      <c r="CG259" s="58">
        <f t="shared" si="93"/>
        <v>1</v>
      </c>
      <c r="CH259" s="57">
        <f t="shared" si="94"/>
        <v>16</v>
      </c>
      <c r="CI259" s="59" t="e">
        <f>VLOOKUP(A259,[1]DATA!$A$6:$AI$331,34,0)</f>
        <v>#N/A</v>
      </c>
      <c r="CJ259" s="60" t="e">
        <f>VLOOKUP(A259,[2]CHAMCONG!A$7:CI$333,79,0)</f>
        <v>#N/A</v>
      </c>
      <c r="CK259" s="61" t="e">
        <f t="shared" si="95"/>
        <v>#N/A</v>
      </c>
      <c r="CL259" s="62"/>
      <c r="CM259" s="62"/>
    </row>
    <row r="260" spans="1:91" s="70" customFormat="1" ht="18.75" customHeight="1" x14ac:dyDescent="0.25">
      <c r="A260" s="69"/>
      <c r="B260" s="64"/>
      <c r="C260" s="45"/>
      <c r="D260" s="46"/>
      <c r="E260" s="47"/>
      <c r="F260" s="48"/>
      <c r="G260" s="49"/>
      <c r="H260" s="51"/>
      <c r="I260" s="50"/>
      <c r="J260" s="51"/>
      <c r="K260" s="50"/>
      <c r="L260" s="51"/>
      <c r="M260" s="50"/>
      <c r="N260" s="51"/>
      <c r="O260" s="50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2">
        <f t="shared" si="81"/>
        <v>0</v>
      </c>
      <c r="BR260" s="52">
        <f t="shared" si="82"/>
        <v>0</v>
      </c>
      <c r="BS260" s="52">
        <f t="shared" si="83"/>
        <v>0</v>
      </c>
      <c r="BT260" s="52">
        <f t="shared" si="84"/>
        <v>0</v>
      </c>
      <c r="BU260" s="52">
        <f t="shared" si="85"/>
        <v>0</v>
      </c>
      <c r="BV260" s="65"/>
      <c r="BW260" s="52">
        <f t="shared" si="86"/>
        <v>0</v>
      </c>
      <c r="BX260" s="52">
        <f t="shared" si="87"/>
        <v>0</v>
      </c>
      <c r="BY260" s="52">
        <f t="shared" si="88"/>
        <v>0</v>
      </c>
      <c r="BZ260" s="66">
        <f t="shared" si="89"/>
        <v>0</v>
      </c>
      <c r="CA260" s="54">
        <f t="shared" si="90"/>
        <v>0</v>
      </c>
      <c r="CB260" s="55">
        <f t="shared" si="91"/>
        <v>0</v>
      </c>
      <c r="CC260" s="56">
        <f t="shared" si="92"/>
        <v>0</v>
      </c>
      <c r="CD260" s="57">
        <f t="shared" si="96"/>
        <v>-1</v>
      </c>
      <c r="CE260" s="49">
        <v>1</v>
      </c>
      <c r="CF260" s="77" t="e">
        <f t="shared" si="97"/>
        <v>#N/A</v>
      </c>
      <c r="CG260" s="58">
        <f t="shared" si="93"/>
        <v>1</v>
      </c>
      <c r="CH260" s="57">
        <f t="shared" si="94"/>
        <v>16</v>
      </c>
      <c r="CI260" s="59" t="e">
        <f>VLOOKUP(A260,[1]DATA!$A$6:$AI$331,34,0)</f>
        <v>#N/A</v>
      </c>
      <c r="CJ260" s="60" t="e">
        <f>VLOOKUP(A260,[2]CHAMCONG!A$7:CI$333,79,0)</f>
        <v>#N/A</v>
      </c>
      <c r="CK260" s="61" t="e">
        <f t="shared" si="95"/>
        <v>#N/A</v>
      </c>
      <c r="CL260" s="62"/>
      <c r="CM260" s="62"/>
    </row>
    <row r="261" spans="1:91" s="75" customFormat="1" ht="15.75" customHeight="1" x14ac:dyDescent="0.25">
      <c r="A261" s="69"/>
      <c r="B261" s="64"/>
      <c r="C261" s="45"/>
      <c r="D261" s="46"/>
      <c r="E261" s="47"/>
      <c r="F261" s="48"/>
      <c r="G261" s="49"/>
      <c r="H261" s="51"/>
      <c r="I261" s="49"/>
      <c r="J261" s="51"/>
      <c r="K261" s="49"/>
      <c r="L261" s="51"/>
      <c r="M261" s="49"/>
      <c r="N261" s="51"/>
      <c r="O261" s="49"/>
      <c r="P261" s="51"/>
      <c r="Q261" s="50"/>
      <c r="R261" s="67"/>
      <c r="S261" s="50"/>
      <c r="T261" s="51"/>
      <c r="U261" s="50"/>
      <c r="V261" s="51"/>
      <c r="W261" s="50"/>
      <c r="X261" s="51"/>
      <c r="Y261" s="50"/>
      <c r="Z261" s="51"/>
      <c r="AA261" s="50"/>
      <c r="AB261" s="51"/>
      <c r="AC261" s="50"/>
      <c r="AD261" s="51"/>
      <c r="AE261" s="50"/>
      <c r="AF261" s="67"/>
      <c r="AG261" s="50"/>
      <c r="AH261" s="51"/>
      <c r="AI261" s="50"/>
      <c r="AJ261" s="51"/>
      <c r="AK261" s="50"/>
      <c r="AL261" s="51"/>
      <c r="AM261" s="50"/>
      <c r="AN261" s="51"/>
      <c r="AO261" s="50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2">
        <f t="shared" si="81"/>
        <v>0</v>
      </c>
      <c r="BR261" s="52">
        <f t="shared" si="82"/>
        <v>0</v>
      </c>
      <c r="BS261" s="52">
        <f t="shared" si="83"/>
        <v>0</v>
      </c>
      <c r="BT261" s="52">
        <f t="shared" si="84"/>
        <v>0</v>
      </c>
      <c r="BU261" s="52">
        <f t="shared" si="85"/>
        <v>0</v>
      </c>
      <c r="BV261" s="65"/>
      <c r="BW261" s="52">
        <f t="shared" si="86"/>
        <v>0</v>
      </c>
      <c r="BX261" s="52">
        <f t="shared" si="87"/>
        <v>0</v>
      </c>
      <c r="BY261" s="52">
        <f t="shared" si="88"/>
        <v>0</v>
      </c>
      <c r="BZ261" s="66">
        <f t="shared" si="89"/>
        <v>0</v>
      </c>
      <c r="CA261" s="54">
        <f t="shared" si="90"/>
        <v>0</v>
      </c>
      <c r="CB261" s="55">
        <f t="shared" si="91"/>
        <v>0</v>
      </c>
      <c r="CC261" s="56">
        <f t="shared" si="92"/>
        <v>0</v>
      </c>
      <c r="CD261" s="57">
        <f t="shared" si="96"/>
        <v>-1</v>
      </c>
      <c r="CE261" s="49">
        <v>1</v>
      </c>
      <c r="CF261" s="57" t="e">
        <f t="shared" si="97"/>
        <v>#N/A</v>
      </c>
      <c r="CG261" s="58">
        <f t="shared" si="93"/>
        <v>1</v>
      </c>
      <c r="CH261" s="57">
        <f t="shared" si="94"/>
        <v>16</v>
      </c>
      <c r="CI261" s="59" t="e">
        <f>VLOOKUP(A261,[1]DATA!$A$6:$AI$331,34,0)</f>
        <v>#N/A</v>
      </c>
      <c r="CJ261" s="60" t="e">
        <f>VLOOKUP(A261,[2]CHAMCONG!A$7:CI$333,79,0)</f>
        <v>#N/A</v>
      </c>
      <c r="CK261" s="61" t="e">
        <f t="shared" si="95"/>
        <v>#N/A</v>
      </c>
      <c r="CL261" s="62"/>
      <c r="CM261" s="62"/>
    </row>
    <row r="262" spans="1:91" s="75" customFormat="1" ht="18" customHeight="1" x14ac:dyDescent="0.25">
      <c r="A262" s="69"/>
      <c r="B262" s="64"/>
      <c r="C262" s="45"/>
      <c r="D262" s="46"/>
      <c r="E262" s="47"/>
      <c r="F262" s="48"/>
      <c r="G262" s="49"/>
      <c r="H262" s="51"/>
      <c r="I262" s="49"/>
      <c r="J262" s="51"/>
      <c r="K262" s="49"/>
      <c r="L262" s="51"/>
      <c r="M262" s="49"/>
      <c r="N262" s="51"/>
      <c r="O262" s="50"/>
      <c r="P262" s="51"/>
      <c r="Q262" s="49"/>
      <c r="R262" s="49"/>
      <c r="S262" s="50"/>
      <c r="T262" s="51"/>
      <c r="U262" s="50"/>
      <c r="V262" s="51"/>
      <c r="W262" s="50"/>
      <c r="X262" s="51"/>
      <c r="Y262" s="50"/>
      <c r="Z262" s="51"/>
      <c r="AA262" s="50"/>
      <c r="AB262" s="51"/>
      <c r="AC262" s="50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49"/>
      <c r="AR262" s="51"/>
      <c r="AS262" s="49"/>
      <c r="AT262" s="49"/>
      <c r="AU262" s="49"/>
      <c r="AV262" s="51"/>
      <c r="AW262" s="50"/>
      <c r="AX262" s="51"/>
      <c r="AY262" s="49"/>
      <c r="AZ262" s="51"/>
      <c r="BA262" s="49"/>
      <c r="BB262" s="51"/>
      <c r="BC262" s="49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2">
        <f t="shared" si="81"/>
        <v>0</v>
      </c>
      <c r="BR262" s="52">
        <f t="shared" si="82"/>
        <v>0</v>
      </c>
      <c r="BS262" s="52">
        <f t="shared" si="83"/>
        <v>0</v>
      </c>
      <c r="BT262" s="52">
        <f t="shared" si="84"/>
        <v>0</v>
      </c>
      <c r="BU262" s="52">
        <f t="shared" si="85"/>
        <v>0</v>
      </c>
      <c r="BV262" s="65"/>
      <c r="BW262" s="52">
        <f t="shared" si="86"/>
        <v>0</v>
      </c>
      <c r="BX262" s="52">
        <f t="shared" si="87"/>
        <v>0</v>
      </c>
      <c r="BY262" s="52">
        <f t="shared" si="88"/>
        <v>0</v>
      </c>
      <c r="BZ262" s="66">
        <f t="shared" si="89"/>
        <v>0</v>
      </c>
      <c r="CA262" s="54">
        <f t="shared" si="90"/>
        <v>0</v>
      </c>
      <c r="CB262" s="55">
        <f t="shared" si="91"/>
        <v>0</v>
      </c>
      <c r="CC262" s="56">
        <f t="shared" si="92"/>
        <v>0</v>
      </c>
      <c r="CD262" s="57">
        <f t="shared" si="96"/>
        <v>-1</v>
      </c>
      <c r="CE262" s="49">
        <v>1</v>
      </c>
      <c r="CF262" s="77" t="e">
        <f t="shared" si="97"/>
        <v>#N/A</v>
      </c>
      <c r="CG262" s="58">
        <f t="shared" si="93"/>
        <v>1</v>
      </c>
      <c r="CH262" s="57">
        <f t="shared" si="94"/>
        <v>16</v>
      </c>
      <c r="CI262" s="59" t="e">
        <f>VLOOKUP(A262,[1]DATA!$A$6:$AI$331,34,0)</f>
        <v>#N/A</v>
      </c>
      <c r="CJ262" s="60" t="e">
        <f>VLOOKUP(A262,[2]CHAMCONG!A$7:CI$333,79,0)</f>
        <v>#N/A</v>
      </c>
      <c r="CK262" s="61" t="e">
        <f t="shared" si="95"/>
        <v>#N/A</v>
      </c>
      <c r="CL262" s="62"/>
      <c r="CM262" s="62"/>
    </row>
    <row r="263" spans="1:91" s="75" customFormat="1" ht="18" customHeight="1" x14ac:dyDescent="0.25">
      <c r="A263" s="69"/>
      <c r="B263" s="64"/>
      <c r="C263" s="45"/>
      <c r="D263" s="46"/>
      <c r="E263" s="47"/>
      <c r="F263" s="48"/>
      <c r="G263" s="49"/>
      <c r="H263" s="51"/>
      <c r="I263" s="51"/>
      <c r="J263" s="51"/>
      <c r="K263" s="51"/>
      <c r="L263" s="51"/>
      <c r="M263" s="50"/>
      <c r="N263" s="51"/>
      <c r="O263" s="50"/>
      <c r="P263" s="51"/>
      <c r="Q263" s="50"/>
      <c r="R263" s="67"/>
      <c r="S263" s="50"/>
      <c r="T263" s="51"/>
      <c r="U263" s="49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0"/>
      <c r="AR263" s="51"/>
      <c r="AS263" s="50"/>
      <c r="AT263" s="67"/>
      <c r="AU263" s="50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2">
        <f t="shared" si="81"/>
        <v>0</v>
      </c>
      <c r="BR263" s="52">
        <f t="shared" si="82"/>
        <v>0</v>
      </c>
      <c r="BS263" s="52">
        <f t="shared" si="83"/>
        <v>0</v>
      </c>
      <c r="BT263" s="52">
        <f t="shared" si="84"/>
        <v>0</v>
      </c>
      <c r="BU263" s="52">
        <f t="shared" si="85"/>
        <v>0</v>
      </c>
      <c r="BV263" s="65"/>
      <c r="BW263" s="52">
        <f t="shared" si="86"/>
        <v>0</v>
      </c>
      <c r="BX263" s="52">
        <f t="shared" si="87"/>
        <v>0</v>
      </c>
      <c r="BY263" s="52">
        <f t="shared" si="88"/>
        <v>0</v>
      </c>
      <c r="BZ263" s="66">
        <f t="shared" si="89"/>
        <v>0</v>
      </c>
      <c r="CA263" s="54">
        <f>SUM(J263,L263,N263,P263,R263,T263,X263,Z263,AB263,AD263,AF263,AH263,AL263,AN263,AP263,AR263,AT263,AV263,AZ263,BB263,BD263,BF263,BH263,BP263)</f>
        <v>0</v>
      </c>
      <c r="CB263" s="55">
        <f t="shared" si="91"/>
        <v>0</v>
      </c>
      <c r="CC263" s="56">
        <f t="shared" si="92"/>
        <v>0</v>
      </c>
      <c r="CD263" s="57">
        <f t="shared" si="96"/>
        <v>-1</v>
      </c>
      <c r="CE263" s="49"/>
      <c r="CF263" s="77" t="e">
        <f t="shared" si="97"/>
        <v>#N/A</v>
      </c>
      <c r="CG263" s="58">
        <f t="shared" si="93"/>
        <v>1</v>
      </c>
      <c r="CH263" s="57">
        <f t="shared" si="94"/>
        <v>0</v>
      </c>
      <c r="CI263" s="59" t="e">
        <f>VLOOKUP(A263,[1]DATA!$A$6:$AI$331,34,0)</f>
        <v>#N/A</v>
      </c>
      <c r="CJ263" s="60" t="e">
        <f>VLOOKUP(A263,[2]CHAMCONG!A$7:CI$333,79,0)</f>
        <v>#N/A</v>
      </c>
      <c r="CK263" s="61" t="e">
        <f t="shared" si="95"/>
        <v>#N/A</v>
      </c>
      <c r="CL263" s="62"/>
      <c r="CM263" s="62"/>
    </row>
    <row r="264" spans="1:91" s="70" customFormat="1" ht="20.25" customHeight="1" x14ac:dyDescent="0.25">
      <c r="A264" s="69"/>
      <c r="B264" s="64"/>
      <c r="C264" s="45"/>
      <c r="D264" s="46"/>
      <c r="E264" s="47"/>
      <c r="F264" s="48"/>
      <c r="G264" s="49"/>
      <c r="H264" s="74"/>
      <c r="I264" s="50"/>
      <c r="J264" s="74"/>
      <c r="K264" s="51"/>
      <c r="L264" s="74"/>
      <c r="M264" s="51"/>
      <c r="N264" s="74"/>
      <c r="O264" s="50"/>
      <c r="P264" s="74"/>
      <c r="Q264" s="49"/>
      <c r="R264" s="51"/>
      <c r="S264" s="49"/>
      <c r="T264" s="74"/>
      <c r="U264" s="49"/>
      <c r="V264" s="74"/>
      <c r="W264" s="50"/>
      <c r="X264" s="74"/>
      <c r="Y264" s="51"/>
      <c r="Z264" s="74"/>
      <c r="AA264" s="51"/>
      <c r="AB264" s="74"/>
      <c r="AC264" s="50"/>
      <c r="AD264" s="74"/>
      <c r="AE264" s="51"/>
      <c r="AF264" s="51"/>
      <c r="AG264" s="51"/>
      <c r="AH264" s="74"/>
      <c r="AI264" s="51"/>
      <c r="AJ264" s="74"/>
      <c r="AK264" s="50"/>
      <c r="AL264" s="74"/>
      <c r="AM264" s="51"/>
      <c r="AN264" s="74"/>
      <c r="AO264" s="51"/>
      <c r="AP264" s="74"/>
      <c r="AQ264" s="50"/>
      <c r="AR264" s="74"/>
      <c r="AS264" s="51"/>
      <c r="AT264" s="51"/>
      <c r="AU264" s="51"/>
      <c r="AV264" s="74"/>
      <c r="AW264" s="51"/>
      <c r="AX264" s="74"/>
      <c r="AY264" s="50"/>
      <c r="AZ264" s="74"/>
      <c r="BA264" s="51"/>
      <c r="BB264" s="74"/>
      <c r="BC264" s="51"/>
      <c r="BD264" s="74"/>
      <c r="BE264" s="50"/>
      <c r="BF264" s="74"/>
      <c r="BG264" s="51"/>
      <c r="BH264" s="51"/>
      <c r="BI264" s="51"/>
      <c r="BJ264" s="74"/>
      <c r="BK264" s="51"/>
      <c r="BL264" s="74"/>
      <c r="BM264" s="51"/>
      <c r="BN264" s="74"/>
      <c r="BO264" s="51"/>
      <c r="BP264" s="74"/>
      <c r="BQ264" s="52">
        <f t="shared" si="81"/>
        <v>0</v>
      </c>
      <c r="BR264" s="52">
        <f t="shared" si="82"/>
        <v>0</v>
      </c>
      <c r="BS264" s="52">
        <f t="shared" si="83"/>
        <v>0</v>
      </c>
      <c r="BT264" s="52">
        <f t="shared" si="84"/>
        <v>0</v>
      </c>
      <c r="BU264" s="52">
        <f t="shared" si="85"/>
        <v>0</v>
      </c>
      <c r="BV264" s="78"/>
      <c r="BW264" s="52">
        <f t="shared" si="86"/>
        <v>0</v>
      </c>
      <c r="BX264" s="52">
        <f t="shared" si="87"/>
        <v>0</v>
      </c>
      <c r="BY264" s="52">
        <f t="shared" si="88"/>
        <v>0</v>
      </c>
      <c r="BZ264" s="66">
        <f t="shared" si="89"/>
        <v>0</v>
      </c>
      <c r="CA264" s="54">
        <f t="shared" si="90"/>
        <v>0</v>
      </c>
      <c r="CB264" s="55">
        <f t="shared" si="91"/>
        <v>0</v>
      </c>
      <c r="CC264" s="56">
        <f t="shared" si="92"/>
        <v>0</v>
      </c>
      <c r="CD264" s="57">
        <f t="shared" si="96"/>
        <v>-1</v>
      </c>
      <c r="CE264" s="49"/>
      <c r="CF264" s="79">
        <v>0</v>
      </c>
      <c r="CG264" s="58">
        <f t="shared" si="93"/>
        <v>1</v>
      </c>
      <c r="CH264" s="57">
        <f t="shared" si="94"/>
        <v>0</v>
      </c>
      <c r="CI264" s="59" t="e">
        <f>VLOOKUP(A264,[1]DATA!$A$6:$AI$331,34,0)</f>
        <v>#N/A</v>
      </c>
      <c r="CJ264" s="60" t="e">
        <f>VLOOKUP(A264,[2]CHAMCONG!A$7:CI$333,79,0)</f>
        <v>#N/A</v>
      </c>
      <c r="CK264" s="61" t="e">
        <f t="shared" si="95"/>
        <v>#N/A</v>
      </c>
      <c r="CL264" s="62"/>
      <c r="CM264" s="62"/>
    </row>
    <row r="265" spans="1:91" s="75" customFormat="1" ht="18" customHeight="1" x14ac:dyDescent="0.25">
      <c r="A265" s="69"/>
      <c r="B265" s="64"/>
      <c r="C265" s="45"/>
      <c r="D265" s="46"/>
      <c r="E265" s="47"/>
      <c r="F265" s="48"/>
      <c r="G265" s="49"/>
      <c r="H265" s="51"/>
      <c r="I265" s="51"/>
      <c r="J265" s="51"/>
      <c r="K265" s="50"/>
      <c r="L265" s="51"/>
      <c r="M265" s="50"/>
      <c r="N265" s="51"/>
      <c r="O265" s="50"/>
      <c r="P265" s="51"/>
      <c r="Q265" s="49"/>
      <c r="R265" s="51"/>
      <c r="S265" s="50"/>
      <c r="T265" s="51"/>
      <c r="U265" s="50"/>
      <c r="V265" s="51"/>
      <c r="W265" s="50"/>
      <c r="X265" s="51"/>
      <c r="Y265" s="50"/>
      <c r="Z265" s="51"/>
      <c r="AA265" s="50"/>
      <c r="AB265" s="51"/>
      <c r="AC265" s="50"/>
      <c r="AD265" s="51"/>
      <c r="AE265" s="49"/>
      <c r="AF265" s="51"/>
      <c r="AG265" s="51"/>
      <c r="AH265" s="51"/>
      <c r="AI265" s="49"/>
      <c r="AJ265" s="51"/>
      <c r="AK265" s="49"/>
      <c r="AL265" s="51"/>
      <c r="AM265" s="49"/>
      <c r="AN265" s="51"/>
      <c r="AO265" s="49"/>
      <c r="AP265" s="51"/>
      <c r="AQ265" s="49"/>
      <c r="AR265" s="51"/>
      <c r="AS265" s="49"/>
      <c r="AT265" s="51"/>
      <c r="AU265" s="49"/>
      <c r="AV265" s="51"/>
      <c r="AW265" s="51"/>
      <c r="AX265" s="51"/>
      <c r="AY265" s="49"/>
      <c r="AZ265" s="51"/>
      <c r="BA265" s="49"/>
      <c r="BB265" s="51"/>
      <c r="BC265" s="49"/>
      <c r="BD265" s="51"/>
      <c r="BE265" s="49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2">
        <f t="shared" si="81"/>
        <v>0</v>
      </c>
      <c r="BR265" s="52">
        <f t="shared" si="82"/>
        <v>0</v>
      </c>
      <c r="BS265" s="52">
        <f t="shared" si="83"/>
        <v>0</v>
      </c>
      <c r="BT265" s="52">
        <f t="shared" si="84"/>
        <v>0</v>
      </c>
      <c r="BU265" s="52">
        <f t="shared" si="85"/>
        <v>0</v>
      </c>
      <c r="BV265" s="65"/>
      <c r="BW265" s="52">
        <f t="shared" si="86"/>
        <v>0</v>
      </c>
      <c r="BX265" s="52">
        <f t="shared" si="87"/>
        <v>0</v>
      </c>
      <c r="BY265" s="52">
        <f t="shared" si="88"/>
        <v>0</v>
      </c>
      <c r="BZ265" s="66">
        <f t="shared" si="89"/>
        <v>0</v>
      </c>
      <c r="CA265" s="54">
        <f t="shared" si="90"/>
        <v>0</v>
      </c>
      <c r="CB265" s="55">
        <f t="shared" si="91"/>
        <v>0</v>
      </c>
      <c r="CC265" s="56">
        <f t="shared" si="92"/>
        <v>0</v>
      </c>
      <c r="CD265" s="57">
        <f t="shared" si="96"/>
        <v>-1</v>
      </c>
      <c r="CE265" s="49">
        <v>2</v>
      </c>
      <c r="CF265" s="57" t="e">
        <f>CD265*CI265</f>
        <v>#N/A</v>
      </c>
      <c r="CG265" s="58">
        <f t="shared" si="93"/>
        <v>1</v>
      </c>
      <c r="CH265" s="57">
        <f t="shared" si="94"/>
        <v>32</v>
      </c>
      <c r="CI265" s="59" t="e">
        <f>VLOOKUP(A265,[1]DATA!$A$6:$AI$331,34,0)</f>
        <v>#N/A</v>
      </c>
      <c r="CJ265" s="60" t="e">
        <f>VLOOKUP(A265,[2]CHAMCONG!A$7:CI$333,79,0)</f>
        <v>#N/A</v>
      </c>
      <c r="CK265" s="61" t="e">
        <f t="shared" si="95"/>
        <v>#N/A</v>
      </c>
      <c r="CL265" s="62"/>
      <c r="CM265" s="62"/>
    </row>
    <row r="266" spans="1:91" s="75" customFormat="1" ht="18" customHeight="1" x14ac:dyDescent="0.25">
      <c r="A266" s="69"/>
      <c r="B266" s="64"/>
      <c r="C266" s="45"/>
      <c r="D266" s="46"/>
      <c r="E266" s="47"/>
      <c r="F266" s="48"/>
      <c r="G266" s="49"/>
      <c r="H266" s="51"/>
      <c r="I266" s="49"/>
      <c r="J266" s="51"/>
      <c r="K266" s="49"/>
      <c r="L266" s="51"/>
      <c r="M266" s="49"/>
      <c r="N266" s="51"/>
      <c r="O266" s="49"/>
      <c r="P266" s="51"/>
      <c r="Q266" s="50"/>
      <c r="R266" s="67"/>
      <c r="S266" s="49"/>
      <c r="T266" s="51"/>
      <c r="U266" s="49"/>
      <c r="V266" s="51"/>
      <c r="W266" s="49"/>
      <c r="X266" s="51"/>
      <c r="Y266" s="49"/>
      <c r="Z266" s="51"/>
      <c r="AA266" s="49"/>
      <c r="AB266" s="51"/>
      <c r="AC266" s="49"/>
      <c r="AD266" s="51"/>
      <c r="AE266" s="49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2">
        <f t="shared" si="81"/>
        <v>0</v>
      </c>
      <c r="BR266" s="52">
        <f t="shared" si="82"/>
        <v>0</v>
      </c>
      <c r="BS266" s="52">
        <f t="shared" si="83"/>
        <v>0</v>
      </c>
      <c r="BT266" s="52">
        <f t="shared" si="84"/>
        <v>0</v>
      </c>
      <c r="BU266" s="52">
        <f t="shared" si="85"/>
        <v>0</v>
      </c>
      <c r="BV266" s="65"/>
      <c r="BW266" s="52">
        <f t="shared" si="86"/>
        <v>0</v>
      </c>
      <c r="BX266" s="52">
        <f t="shared" si="87"/>
        <v>0</v>
      </c>
      <c r="BY266" s="52">
        <f t="shared" si="88"/>
        <v>0</v>
      </c>
      <c r="BZ266" s="66">
        <f t="shared" si="89"/>
        <v>0</v>
      </c>
      <c r="CA266" s="54">
        <f t="shared" si="90"/>
        <v>0</v>
      </c>
      <c r="CB266" s="55">
        <f t="shared" si="91"/>
        <v>0</v>
      </c>
      <c r="CC266" s="56">
        <f t="shared" si="92"/>
        <v>0</v>
      </c>
      <c r="CD266" s="57">
        <f t="shared" si="96"/>
        <v>-1</v>
      </c>
      <c r="CE266" s="49">
        <v>1</v>
      </c>
      <c r="CF266" s="77" t="e">
        <f t="shared" ref="CF266:CF329" si="98">CD266*CI266</f>
        <v>#N/A</v>
      </c>
      <c r="CG266" s="58">
        <f t="shared" si="93"/>
        <v>1</v>
      </c>
      <c r="CH266" s="57">
        <f t="shared" si="94"/>
        <v>16</v>
      </c>
      <c r="CI266" s="59" t="e">
        <f>VLOOKUP(A266,[1]DATA!$A$6:$AI$331,34,0)</f>
        <v>#N/A</v>
      </c>
      <c r="CJ266" s="60" t="e">
        <f>VLOOKUP(A266,[2]CHAMCONG!A$7:CI$333,79,0)</f>
        <v>#N/A</v>
      </c>
      <c r="CK266" s="61" t="e">
        <f t="shared" si="95"/>
        <v>#N/A</v>
      </c>
      <c r="CL266" s="62"/>
      <c r="CM266" s="62"/>
    </row>
    <row r="267" spans="1:91" s="75" customFormat="1" ht="18" customHeight="1" x14ac:dyDescent="0.25">
      <c r="A267" s="69"/>
      <c r="B267" s="71"/>
      <c r="C267" s="69"/>
      <c r="D267" s="46"/>
      <c r="E267" s="47"/>
      <c r="F267" s="48"/>
      <c r="G267" s="49"/>
      <c r="H267" s="51"/>
      <c r="I267" s="49"/>
      <c r="J267" s="51"/>
      <c r="K267" s="49"/>
      <c r="L267" s="51"/>
      <c r="M267" s="49"/>
      <c r="N267" s="51"/>
      <c r="O267" s="49"/>
      <c r="P267" s="51"/>
      <c r="Q267" s="67"/>
      <c r="R267" s="67"/>
      <c r="S267" s="50"/>
      <c r="T267" s="51"/>
      <c r="U267" s="49"/>
      <c r="V267" s="51"/>
      <c r="W267" s="50"/>
      <c r="X267" s="51"/>
      <c r="Y267" s="49"/>
      <c r="Z267" s="51"/>
      <c r="AA267" s="49"/>
      <c r="AB267" s="51"/>
      <c r="AC267" s="49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2">
        <f t="shared" ref="BQ267:BQ330" si="99">COUNTIF($G267:$BP267,"a")+COUNTIF($G267:$BP267,"r0,a5")/2+COUNTIF($G267:$BP267,"p5,a5")/2</f>
        <v>0</v>
      </c>
      <c r="BR267" s="52">
        <f t="shared" ref="BR267:BR330" si="100">COUNTIF($G267:$BP267,"d")+COUNTIF($G267:$BP267,"r0,d5")/2+COUNTIF($G267:$BP267,"p5,d5")/2</f>
        <v>0</v>
      </c>
      <c r="BS267" s="52">
        <f t="shared" ref="BS267:BS330" si="101">COUNTIF($G267:$BP267,"b")+COUNTIF($G267:$BP267,"r0,b5")/2+COUNTIF($G267:$BP267,"p5,b5")/2</f>
        <v>0</v>
      </c>
      <c r="BT267" s="52">
        <f t="shared" ref="BT267:BT330" si="102">COUNTIF($G267:$BP267,"c")+COUNTIF($G267:$BP267,"r0,c5")/2+COUNTIF($G267:$BP267,"p5,c5")/2</f>
        <v>0</v>
      </c>
      <c r="BU267" s="52">
        <f t="shared" ref="BU267:BU330" si="103">COUNTIF($G267:$BP267,"KH")+COUNTIF($G267:$BP267,"TL")+COUNTIF($G267:$BP267,"L")</f>
        <v>0</v>
      </c>
      <c r="BV267" s="78"/>
      <c r="BW267" s="52">
        <f t="shared" ref="BW267:BW330" si="104">COUNTIF($G267:$BP267,"hh")</f>
        <v>0</v>
      </c>
      <c r="BX267" s="52">
        <f t="shared" ref="BX267:BX330" si="105">COUNTIF($G267:$BP267,"nt7")</f>
        <v>0</v>
      </c>
      <c r="BY267" s="52">
        <f t="shared" ref="BY267:BY330" si="106">COUNTIF($G267:$BP267,"P")+COUNTIF($G267:$BP267,"p5,a5")/2+COUNTIF($G267:$BP267,"p5,b5")/2+COUNTIF($G267:$BP267,"p5,c5")/2+COUNTIF($G267:$BP267,"p5,d5")/2</f>
        <v>0</v>
      </c>
      <c r="BZ267" s="66">
        <f t="shared" ref="BZ267:BZ330" si="107">SUBTOTAL(9,BQ267:BY267)</f>
        <v>0</v>
      </c>
      <c r="CA267" s="54">
        <f t="shared" si="90"/>
        <v>0</v>
      </c>
      <c r="CB267" s="55">
        <f t="shared" si="91"/>
        <v>0</v>
      </c>
      <c r="CC267" s="56">
        <f t="shared" si="92"/>
        <v>0</v>
      </c>
      <c r="CD267" s="57">
        <f t="shared" si="96"/>
        <v>-1</v>
      </c>
      <c r="CE267" s="49"/>
      <c r="CF267" s="77" t="e">
        <f t="shared" si="98"/>
        <v>#N/A</v>
      </c>
      <c r="CG267" s="58">
        <f t="shared" si="93"/>
        <v>1</v>
      </c>
      <c r="CH267" s="57">
        <f t="shared" si="94"/>
        <v>0</v>
      </c>
      <c r="CI267" s="59" t="e">
        <f>VLOOKUP(A267,[1]DATA!$A$6:$AI$331,34,0)</f>
        <v>#N/A</v>
      </c>
      <c r="CJ267" s="60" t="e">
        <f>VLOOKUP(A267,[2]CHAMCONG!A$7:CI$333,79,0)</f>
        <v>#N/A</v>
      </c>
      <c r="CK267" s="61" t="e">
        <f t="shared" si="95"/>
        <v>#N/A</v>
      </c>
      <c r="CL267" s="62"/>
      <c r="CM267" s="62"/>
    </row>
    <row r="268" spans="1:91" s="75" customFormat="1" ht="18" customHeight="1" x14ac:dyDescent="0.25">
      <c r="A268" s="69"/>
      <c r="B268" s="71"/>
      <c r="C268" s="45"/>
      <c r="D268" s="46"/>
      <c r="E268" s="47"/>
      <c r="F268" s="48"/>
      <c r="G268" s="49"/>
      <c r="H268" s="51"/>
      <c r="I268" s="50"/>
      <c r="J268" s="51"/>
      <c r="K268" s="50"/>
      <c r="L268" s="51"/>
      <c r="M268" s="50"/>
      <c r="N268" s="51"/>
      <c r="O268" s="50"/>
      <c r="P268" s="51"/>
      <c r="Q268" s="49"/>
      <c r="R268" s="51"/>
      <c r="S268" s="50"/>
      <c r="T268" s="51"/>
      <c r="U268" s="50"/>
      <c r="V268" s="51"/>
      <c r="W268" s="50"/>
      <c r="X268" s="51"/>
      <c r="Y268" s="50"/>
      <c r="Z268" s="51"/>
      <c r="AA268" s="50"/>
      <c r="AB268" s="51"/>
      <c r="AC268" s="50"/>
      <c r="AD268" s="51"/>
      <c r="AE268" s="50"/>
      <c r="AF268" s="67"/>
      <c r="AG268" s="50"/>
      <c r="AH268" s="51"/>
      <c r="AI268" s="50"/>
      <c r="AJ268" s="51"/>
      <c r="AK268" s="50"/>
      <c r="AL268" s="51"/>
      <c r="AM268" s="50"/>
      <c r="AN268" s="51"/>
      <c r="AO268" s="50"/>
      <c r="AP268" s="51"/>
      <c r="AQ268" s="49"/>
      <c r="AR268" s="51"/>
      <c r="AS268" s="49"/>
      <c r="AT268" s="51"/>
      <c r="AU268" s="49"/>
      <c r="AV268" s="51"/>
      <c r="AW268" s="49"/>
      <c r="AX268" s="51"/>
      <c r="AY268" s="49"/>
      <c r="AZ268" s="51"/>
      <c r="BA268" s="49"/>
      <c r="BB268" s="51"/>
      <c r="BC268" s="51"/>
      <c r="BD268" s="51"/>
      <c r="BE268" s="49"/>
      <c r="BF268" s="51"/>
      <c r="BG268" s="49"/>
      <c r="BH268" s="51"/>
      <c r="BI268" s="51"/>
      <c r="BJ268" s="51"/>
      <c r="BK268" s="51"/>
      <c r="BL268" s="51"/>
      <c r="BM268" s="51"/>
      <c r="BN268" s="51"/>
      <c r="BO268" s="51"/>
      <c r="BP268" s="51"/>
      <c r="BQ268" s="52">
        <f t="shared" si="99"/>
        <v>0</v>
      </c>
      <c r="BR268" s="52">
        <f t="shared" si="100"/>
        <v>0</v>
      </c>
      <c r="BS268" s="52">
        <f t="shared" si="101"/>
        <v>0</v>
      </c>
      <c r="BT268" s="52">
        <f t="shared" si="102"/>
        <v>0</v>
      </c>
      <c r="BU268" s="52">
        <f t="shared" si="103"/>
        <v>0</v>
      </c>
      <c r="BV268" s="65"/>
      <c r="BW268" s="52">
        <f t="shared" si="104"/>
        <v>0</v>
      </c>
      <c r="BX268" s="52">
        <f t="shared" si="105"/>
        <v>0</v>
      </c>
      <c r="BY268" s="52">
        <f t="shared" si="106"/>
        <v>0</v>
      </c>
      <c r="BZ268" s="66">
        <f t="shared" si="107"/>
        <v>0</v>
      </c>
      <c r="CA268" s="54">
        <f t="shared" ref="CA268:CA334" si="108">SUM(J268,L268,N268,P268,R268,T268,X268,Z268,AB268,AD268,AF268,AH268,AL268,AN268,AP268,AR268,AT268,AV268,AZ268,BB268,BD268,BF268,BH268,BP268)</f>
        <v>0</v>
      </c>
      <c r="CB268" s="55">
        <f t="shared" ref="CB268:CB334" si="109">SUM(H268,V268,AJ268,AX268,BL268)</f>
        <v>0</v>
      </c>
      <c r="CC268" s="56">
        <f t="shared" ref="CC268:CC334" si="110">SUM(BJ268,BN268)</f>
        <v>0</v>
      </c>
      <c r="CD268" s="57">
        <f t="shared" si="96"/>
        <v>-1</v>
      </c>
      <c r="CE268" s="49">
        <v>1</v>
      </c>
      <c r="CF268" s="77" t="e">
        <f t="shared" si="98"/>
        <v>#N/A</v>
      </c>
      <c r="CG268" s="58">
        <f t="shared" ref="CG268:CG299" si="111">F268-BY268+1</f>
        <v>1</v>
      </c>
      <c r="CH268" s="57">
        <f t="shared" ref="CH268:CH334" si="112">CE268*16</f>
        <v>16</v>
      </c>
      <c r="CI268" s="59" t="e">
        <f>VLOOKUP(A268,[1]DATA!$A$6:$AI$331,34,0)</f>
        <v>#N/A</v>
      </c>
      <c r="CJ268" s="60" t="e">
        <f>VLOOKUP(A268,[2]CHAMCONG!A$7:CI$333,79,0)</f>
        <v>#N/A</v>
      </c>
      <c r="CK268" s="61" t="e">
        <f t="shared" ref="CK268:CK334" si="113">CJ268-CA268</f>
        <v>#N/A</v>
      </c>
      <c r="CL268" s="62"/>
      <c r="CM268" s="62"/>
    </row>
    <row r="269" spans="1:91" s="75" customFormat="1" ht="18" customHeight="1" x14ac:dyDescent="0.25">
      <c r="A269" s="69"/>
      <c r="B269" s="71"/>
      <c r="C269" s="45"/>
      <c r="D269" s="46"/>
      <c r="E269" s="47"/>
      <c r="F269" s="48"/>
      <c r="G269" s="49"/>
      <c r="H269" s="51"/>
      <c r="I269" s="50"/>
      <c r="J269" s="51"/>
      <c r="K269" s="50"/>
      <c r="L269" s="51"/>
      <c r="M269" s="50"/>
      <c r="N269" s="51"/>
      <c r="O269" s="50"/>
      <c r="P269" s="51"/>
      <c r="Q269" s="50"/>
      <c r="R269" s="67"/>
      <c r="S269" s="50"/>
      <c r="T269" s="51"/>
      <c r="U269" s="50"/>
      <c r="V269" s="51"/>
      <c r="W269" s="50"/>
      <c r="X269" s="51"/>
      <c r="Y269" s="50"/>
      <c r="Z269" s="51"/>
      <c r="AA269" s="50"/>
      <c r="AB269" s="51"/>
      <c r="AC269" s="50"/>
      <c r="AD269" s="51"/>
      <c r="AE269" s="49"/>
      <c r="AF269" s="51"/>
      <c r="AG269" s="50"/>
      <c r="AH269" s="51"/>
      <c r="AI269" s="50"/>
      <c r="AJ269" s="51"/>
      <c r="AK269" s="50"/>
      <c r="AL269" s="51"/>
      <c r="AM269" s="50"/>
      <c r="AN269" s="51"/>
      <c r="AO269" s="50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2">
        <f t="shared" si="99"/>
        <v>0</v>
      </c>
      <c r="BR269" s="52">
        <f t="shared" si="100"/>
        <v>0</v>
      </c>
      <c r="BS269" s="52">
        <f t="shared" si="101"/>
        <v>0</v>
      </c>
      <c r="BT269" s="52">
        <f t="shared" si="102"/>
        <v>0</v>
      </c>
      <c r="BU269" s="52">
        <f t="shared" si="103"/>
        <v>0</v>
      </c>
      <c r="BV269" s="65"/>
      <c r="BW269" s="52">
        <f t="shared" si="104"/>
        <v>0</v>
      </c>
      <c r="BX269" s="52">
        <f t="shared" si="105"/>
        <v>0</v>
      </c>
      <c r="BY269" s="52">
        <f t="shared" si="106"/>
        <v>0</v>
      </c>
      <c r="BZ269" s="66">
        <f t="shared" si="107"/>
        <v>0</v>
      </c>
      <c r="CA269" s="54">
        <f t="shared" si="108"/>
        <v>0</v>
      </c>
      <c r="CB269" s="55">
        <f t="shared" si="109"/>
        <v>0</v>
      </c>
      <c r="CC269" s="56">
        <f t="shared" si="110"/>
        <v>0</v>
      </c>
      <c r="CD269" s="57">
        <f t="shared" ref="CD269:CD330" si="114">IF(BZ269&gt;25,4,IF(BZ269&gt;18,3,IF(BZ269&gt;12,2,IF(BZ269&gt;4,1,0))))-BX269-2+1</f>
        <v>-1</v>
      </c>
      <c r="CE269" s="49">
        <v>1</v>
      </c>
      <c r="CF269" s="77" t="e">
        <f t="shared" si="98"/>
        <v>#N/A</v>
      </c>
      <c r="CG269" s="58">
        <f t="shared" si="111"/>
        <v>1</v>
      </c>
      <c r="CH269" s="57">
        <f t="shared" si="112"/>
        <v>16</v>
      </c>
      <c r="CI269" s="59" t="e">
        <f>VLOOKUP(A269,[1]DATA!$A$6:$AI$331,34,0)</f>
        <v>#N/A</v>
      </c>
      <c r="CJ269" s="60" t="e">
        <f>VLOOKUP(A269,[2]CHAMCONG!A$7:CI$333,79,0)</f>
        <v>#N/A</v>
      </c>
      <c r="CK269" s="61" t="e">
        <f t="shared" si="113"/>
        <v>#N/A</v>
      </c>
      <c r="CL269" s="62"/>
      <c r="CM269" s="62"/>
    </row>
    <row r="270" spans="1:91" s="75" customFormat="1" ht="18" customHeight="1" x14ac:dyDescent="0.25">
      <c r="A270" s="69"/>
      <c r="B270" s="64"/>
      <c r="C270" s="45"/>
      <c r="D270" s="46"/>
      <c r="E270" s="47"/>
      <c r="F270" s="48"/>
      <c r="G270" s="49"/>
      <c r="H270" s="51"/>
      <c r="I270" s="50"/>
      <c r="J270" s="51"/>
      <c r="K270" s="50"/>
      <c r="L270" s="51"/>
      <c r="M270" s="50"/>
      <c r="N270" s="51"/>
      <c r="O270" s="50"/>
      <c r="P270" s="51"/>
      <c r="Q270" s="50"/>
      <c r="R270" s="67"/>
      <c r="S270" s="50"/>
      <c r="T270" s="51"/>
      <c r="U270" s="49"/>
      <c r="V270" s="51"/>
      <c r="W270" s="50"/>
      <c r="X270" s="51"/>
      <c r="Y270" s="50"/>
      <c r="Z270" s="51"/>
      <c r="AA270" s="50"/>
      <c r="AB270" s="51"/>
      <c r="AC270" s="50"/>
      <c r="AD270" s="51"/>
      <c r="AE270" s="50"/>
      <c r="AF270" s="67"/>
      <c r="AG270" s="50"/>
      <c r="AH270" s="51"/>
      <c r="AI270" s="51"/>
      <c r="AJ270" s="51"/>
      <c r="AK270" s="50"/>
      <c r="AL270" s="51"/>
      <c r="AM270" s="50"/>
      <c r="AN270" s="51"/>
      <c r="AO270" s="50"/>
      <c r="AP270" s="51"/>
      <c r="AQ270" s="50"/>
      <c r="AR270" s="51"/>
      <c r="AS270" s="50"/>
      <c r="AT270" s="67"/>
      <c r="AU270" s="50"/>
      <c r="AV270" s="51"/>
      <c r="AW270" s="51"/>
      <c r="AX270" s="51"/>
      <c r="AY270" s="50"/>
      <c r="AZ270" s="51"/>
      <c r="BA270" s="50"/>
      <c r="BB270" s="51"/>
      <c r="BC270" s="50"/>
      <c r="BD270" s="51"/>
      <c r="BE270" s="50"/>
      <c r="BF270" s="51"/>
      <c r="BG270" s="50"/>
      <c r="BH270" s="67"/>
      <c r="BI270" s="51"/>
      <c r="BJ270" s="51"/>
      <c r="BK270" s="51"/>
      <c r="BL270" s="51"/>
      <c r="BM270" s="51"/>
      <c r="BN270" s="51"/>
      <c r="BO270" s="51"/>
      <c r="BP270" s="51"/>
      <c r="BQ270" s="52">
        <f t="shared" si="99"/>
        <v>0</v>
      </c>
      <c r="BR270" s="52">
        <f t="shared" si="100"/>
        <v>0</v>
      </c>
      <c r="BS270" s="52">
        <f t="shared" si="101"/>
        <v>0</v>
      </c>
      <c r="BT270" s="52">
        <f t="shared" si="102"/>
        <v>0</v>
      </c>
      <c r="BU270" s="52">
        <f t="shared" si="103"/>
        <v>0</v>
      </c>
      <c r="BV270" s="65"/>
      <c r="BW270" s="52">
        <f t="shared" si="104"/>
        <v>0</v>
      </c>
      <c r="BX270" s="52">
        <f t="shared" si="105"/>
        <v>0</v>
      </c>
      <c r="BY270" s="52">
        <f t="shared" si="106"/>
        <v>0</v>
      </c>
      <c r="BZ270" s="66">
        <f t="shared" si="107"/>
        <v>0</v>
      </c>
      <c r="CA270" s="54">
        <f t="shared" si="108"/>
        <v>0</v>
      </c>
      <c r="CB270" s="55">
        <f t="shared" si="109"/>
        <v>0</v>
      </c>
      <c r="CC270" s="56">
        <f t="shared" si="110"/>
        <v>0</v>
      </c>
      <c r="CD270" s="57">
        <f t="shared" si="114"/>
        <v>-1</v>
      </c>
      <c r="CE270" s="49"/>
      <c r="CF270" s="77" t="e">
        <f t="shared" si="98"/>
        <v>#N/A</v>
      </c>
      <c r="CG270" s="58">
        <f t="shared" si="111"/>
        <v>1</v>
      </c>
      <c r="CH270" s="57">
        <f t="shared" si="112"/>
        <v>0</v>
      </c>
      <c r="CI270" s="59" t="e">
        <f>VLOOKUP(A270,[1]DATA!$A$6:$AI$331,34,0)</f>
        <v>#N/A</v>
      </c>
      <c r="CJ270" s="60" t="e">
        <f>VLOOKUP(A270,[2]CHAMCONG!A$7:CI$333,79,0)</f>
        <v>#N/A</v>
      </c>
      <c r="CK270" s="61" t="e">
        <f t="shared" si="113"/>
        <v>#N/A</v>
      </c>
      <c r="CL270" s="62"/>
      <c r="CM270" s="62"/>
    </row>
    <row r="271" spans="1:91" s="75" customFormat="1" ht="18" customHeight="1" x14ac:dyDescent="0.25">
      <c r="A271" s="69"/>
      <c r="B271" s="64"/>
      <c r="C271" s="45"/>
      <c r="D271" s="46"/>
      <c r="E271" s="47"/>
      <c r="F271" s="48"/>
      <c r="G271" s="49"/>
      <c r="H271" s="51"/>
      <c r="I271" s="50"/>
      <c r="J271" s="51"/>
      <c r="K271" s="50"/>
      <c r="L271" s="51"/>
      <c r="M271" s="51"/>
      <c r="N271" s="51"/>
      <c r="O271" s="49"/>
      <c r="P271" s="51"/>
      <c r="Q271" s="49"/>
      <c r="R271" s="51"/>
      <c r="S271" s="50"/>
      <c r="T271" s="51"/>
      <c r="U271" s="50"/>
      <c r="V271" s="51"/>
      <c r="W271" s="50"/>
      <c r="X271" s="51"/>
      <c r="Y271" s="50"/>
      <c r="Z271" s="51"/>
      <c r="AA271" s="50"/>
      <c r="AB271" s="51"/>
      <c r="AC271" s="50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2">
        <f t="shared" si="99"/>
        <v>0</v>
      </c>
      <c r="BR271" s="52">
        <f t="shared" si="100"/>
        <v>0</v>
      </c>
      <c r="BS271" s="52">
        <f t="shared" si="101"/>
        <v>0</v>
      </c>
      <c r="BT271" s="52">
        <f t="shared" si="102"/>
        <v>0</v>
      </c>
      <c r="BU271" s="52">
        <f t="shared" si="103"/>
        <v>0</v>
      </c>
      <c r="BV271" s="65"/>
      <c r="BW271" s="52">
        <f t="shared" si="104"/>
        <v>0</v>
      </c>
      <c r="BX271" s="52">
        <f t="shared" si="105"/>
        <v>0</v>
      </c>
      <c r="BY271" s="52">
        <f t="shared" si="106"/>
        <v>0</v>
      </c>
      <c r="BZ271" s="66">
        <f t="shared" si="107"/>
        <v>0</v>
      </c>
      <c r="CA271" s="54">
        <f t="shared" si="108"/>
        <v>0</v>
      </c>
      <c r="CB271" s="55">
        <f t="shared" si="109"/>
        <v>0</v>
      </c>
      <c r="CC271" s="56">
        <f t="shared" si="110"/>
        <v>0</v>
      </c>
      <c r="CD271" s="57">
        <f t="shared" si="114"/>
        <v>-1</v>
      </c>
      <c r="CE271" s="49">
        <v>2</v>
      </c>
      <c r="CF271" s="77" t="e">
        <f t="shared" si="98"/>
        <v>#N/A</v>
      </c>
      <c r="CG271" s="58">
        <f t="shared" si="111"/>
        <v>1</v>
      </c>
      <c r="CH271" s="57">
        <f t="shared" si="112"/>
        <v>32</v>
      </c>
      <c r="CI271" s="59" t="e">
        <f>VLOOKUP(A271,[1]DATA!$A$6:$AI$331,34,0)</f>
        <v>#N/A</v>
      </c>
      <c r="CJ271" s="60" t="e">
        <f>VLOOKUP(A271,[2]CHAMCONG!A$7:CI$333,79,0)</f>
        <v>#N/A</v>
      </c>
      <c r="CK271" s="61" t="e">
        <f t="shared" si="113"/>
        <v>#N/A</v>
      </c>
      <c r="CL271" s="62"/>
      <c r="CM271" s="62"/>
    </row>
    <row r="272" spans="1:91" s="68" customFormat="1" ht="15" customHeight="1" x14ac:dyDescent="0.25">
      <c r="A272" s="69"/>
      <c r="B272" s="64"/>
      <c r="C272" s="45"/>
      <c r="D272" s="46"/>
      <c r="E272" s="47"/>
      <c r="F272" s="48"/>
      <c r="G272" s="49"/>
      <c r="H272" s="51"/>
      <c r="I272" s="50"/>
      <c r="J272" s="51"/>
      <c r="K272" s="67"/>
      <c r="L272" s="51"/>
      <c r="M272" s="67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2">
        <f t="shared" si="99"/>
        <v>0</v>
      </c>
      <c r="BR272" s="52">
        <f t="shared" si="100"/>
        <v>0</v>
      </c>
      <c r="BS272" s="52">
        <f t="shared" si="101"/>
        <v>0</v>
      </c>
      <c r="BT272" s="52">
        <f t="shared" si="102"/>
        <v>0</v>
      </c>
      <c r="BU272" s="52">
        <f t="shared" si="103"/>
        <v>0</v>
      </c>
      <c r="BV272" s="65"/>
      <c r="BW272" s="52">
        <f t="shared" si="104"/>
        <v>0</v>
      </c>
      <c r="BX272" s="52">
        <f t="shared" si="105"/>
        <v>0</v>
      </c>
      <c r="BY272" s="52">
        <f t="shared" si="106"/>
        <v>0</v>
      </c>
      <c r="BZ272" s="66">
        <f t="shared" si="107"/>
        <v>0</v>
      </c>
      <c r="CA272" s="54">
        <f t="shared" si="108"/>
        <v>0</v>
      </c>
      <c r="CB272" s="55">
        <f t="shared" si="109"/>
        <v>0</v>
      </c>
      <c r="CC272" s="56">
        <f t="shared" si="110"/>
        <v>0</v>
      </c>
      <c r="CD272" s="57">
        <f t="shared" si="114"/>
        <v>-1</v>
      </c>
      <c r="CE272" s="49">
        <v>2</v>
      </c>
      <c r="CF272" s="57" t="e">
        <f t="shared" si="98"/>
        <v>#N/A</v>
      </c>
      <c r="CG272" s="58">
        <f t="shared" si="111"/>
        <v>1</v>
      </c>
      <c r="CH272" s="57">
        <f t="shared" si="112"/>
        <v>32</v>
      </c>
      <c r="CI272" s="59" t="e">
        <f>VLOOKUP(A272,[1]DATA!$A$6:$AI$331,34,0)</f>
        <v>#N/A</v>
      </c>
      <c r="CJ272" s="60" t="e">
        <f>VLOOKUP(A272,[2]CHAMCONG!A$7:CI$333,79,0)</f>
        <v>#N/A</v>
      </c>
      <c r="CK272" s="61" t="e">
        <f t="shared" si="113"/>
        <v>#N/A</v>
      </c>
      <c r="CL272" s="62"/>
      <c r="CM272" s="62"/>
    </row>
    <row r="273" spans="1:91" s="75" customFormat="1" ht="18" customHeight="1" x14ac:dyDescent="0.25">
      <c r="A273" s="63"/>
      <c r="B273" s="64"/>
      <c r="C273" s="45"/>
      <c r="D273" s="46"/>
      <c r="E273" s="47"/>
      <c r="F273" s="48"/>
      <c r="G273" s="49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49"/>
      <c r="V273" s="49"/>
      <c r="W273" s="49"/>
      <c r="X273" s="49"/>
      <c r="Y273" s="49"/>
      <c r="Z273" s="49"/>
      <c r="AA273" s="49"/>
      <c r="AB273" s="49"/>
      <c r="AC273" s="50"/>
      <c r="AD273" s="51"/>
      <c r="AE273" s="50"/>
      <c r="AF273" s="67"/>
      <c r="AG273" s="50"/>
      <c r="AH273" s="51"/>
      <c r="AI273" s="49"/>
      <c r="AJ273" s="51"/>
      <c r="AK273" s="49"/>
      <c r="AL273" s="51"/>
      <c r="AM273" s="49"/>
      <c r="AN273" s="51"/>
      <c r="AO273" s="49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0"/>
      <c r="BB273" s="51"/>
      <c r="BC273" s="50"/>
      <c r="BD273" s="51"/>
      <c r="BE273" s="50"/>
      <c r="BF273" s="51"/>
      <c r="BG273" s="50"/>
      <c r="BH273" s="67"/>
      <c r="BI273" s="51"/>
      <c r="BJ273" s="51"/>
      <c r="BK273" s="51"/>
      <c r="BL273" s="51"/>
      <c r="BM273" s="51"/>
      <c r="BN273" s="51"/>
      <c r="BO273" s="51"/>
      <c r="BP273" s="51"/>
      <c r="BQ273" s="52">
        <f t="shared" si="99"/>
        <v>0</v>
      </c>
      <c r="BR273" s="52">
        <f t="shared" si="100"/>
        <v>0</v>
      </c>
      <c r="BS273" s="52">
        <f t="shared" si="101"/>
        <v>0</v>
      </c>
      <c r="BT273" s="52">
        <f t="shared" si="102"/>
        <v>0</v>
      </c>
      <c r="BU273" s="52">
        <f t="shared" si="103"/>
        <v>0</v>
      </c>
      <c r="BV273" s="65"/>
      <c r="BW273" s="52">
        <f t="shared" si="104"/>
        <v>0</v>
      </c>
      <c r="BX273" s="52">
        <f t="shared" si="105"/>
        <v>0</v>
      </c>
      <c r="BY273" s="52">
        <f t="shared" si="106"/>
        <v>0</v>
      </c>
      <c r="BZ273" s="66">
        <f t="shared" si="107"/>
        <v>0</v>
      </c>
      <c r="CA273" s="54">
        <f t="shared" si="108"/>
        <v>0</v>
      </c>
      <c r="CB273" s="55">
        <f t="shared" si="109"/>
        <v>0</v>
      </c>
      <c r="CC273" s="56">
        <f t="shared" si="110"/>
        <v>0</v>
      </c>
      <c r="CD273" s="57">
        <f t="shared" si="114"/>
        <v>-1</v>
      </c>
      <c r="CE273" s="49">
        <v>1</v>
      </c>
      <c r="CF273" s="57" t="e">
        <f t="shared" si="98"/>
        <v>#N/A</v>
      </c>
      <c r="CG273" s="58">
        <f t="shared" si="111"/>
        <v>1</v>
      </c>
      <c r="CH273" s="57">
        <f t="shared" si="112"/>
        <v>16</v>
      </c>
      <c r="CI273" s="59" t="e">
        <f>VLOOKUP(A273,[1]DATA!$A$6:$AI$331,34,0)</f>
        <v>#N/A</v>
      </c>
      <c r="CJ273" s="60" t="e">
        <f>VLOOKUP(A273,[2]CHAMCONG!A$7:CI$333,79,0)</f>
        <v>#N/A</v>
      </c>
      <c r="CK273" s="61" t="e">
        <f t="shared" si="113"/>
        <v>#N/A</v>
      </c>
      <c r="CL273" s="62"/>
      <c r="CM273" s="62"/>
    </row>
    <row r="274" spans="1:91" s="75" customFormat="1" ht="18" customHeight="1" x14ac:dyDescent="0.25">
      <c r="A274" s="63"/>
      <c r="B274" s="64"/>
      <c r="C274" s="45"/>
      <c r="D274" s="46"/>
      <c r="E274" s="47"/>
      <c r="F274" s="48"/>
      <c r="G274" s="49"/>
      <c r="H274" s="51"/>
      <c r="I274" s="50"/>
      <c r="J274" s="51"/>
      <c r="K274" s="51"/>
      <c r="L274" s="51"/>
      <c r="M274" s="51"/>
      <c r="N274" s="51"/>
      <c r="O274" s="50"/>
      <c r="P274" s="51"/>
      <c r="Q274" s="51"/>
      <c r="R274" s="51"/>
      <c r="S274" s="51"/>
      <c r="T274" s="51"/>
      <c r="U274" s="49"/>
      <c r="V274" s="51"/>
      <c r="W274" s="50"/>
      <c r="X274" s="51"/>
      <c r="Y274" s="51"/>
      <c r="Z274" s="51"/>
      <c r="AA274" s="51"/>
      <c r="AB274" s="51"/>
      <c r="AC274" s="50"/>
      <c r="AD274" s="51"/>
      <c r="AE274" s="51"/>
      <c r="AF274" s="51"/>
      <c r="AG274" s="51"/>
      <c r="AH274" s="51"/>
      <c r="AI274" s="51"/>
      <c r="AJ274" s="51"/>
      <c r="AK274" s="50"/>
      <c r="AL274" s="51"/>
      <c r="AM274" s="51"/>
      <c r="AN274" s="51"/>
      <c r="AO274" s="51"/>
      <c r="AP274" s="51"/>
      <c r="AQ274" s="50"/>
      <c r="AR274" s="51"/>
      <c r="AS274" s="51"/>
      <c r="AT274" s="51"/>
      <c r="AU274" s="51"/>
      <c r="AV274" s="51"/>
      <c r="AW274" s="51"/>
      <c r="AX274" s="51"/>
      <c r="AY274" s="50"/>
      <c r="AZ274" s="51"/>
      <c r="BA274" s="51"/>
      <c r="BB274" s="51"/>
      <c r="BC274" s="51"/>
      <c r="BD274" s="51"/>
      <c r="BE274" s="50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2">
        <f t="shared" si="99"/>
        <v>0</v>
      </c>
      <c r="BR274" s="52">
        <f t="shared" si="100"/>
        <v>0</v>
      </c>
      <c r="BS274" s="52">
        <f t="shared" si="101"/>
        <v>0</v>
      </c>
      <c r="BT274" s="52">
        <f t="shared" si="102"/>
        <v>0</v>
      </c>
      <c r="BU274" s="52">
        <f t="shared" si="103"/>
        <v>0</v>
      </c>
      <c r="BV274" s="65"/>
      <c r="BW274" s="52">
        <f t="shared" si="104"/>
        <v>0</v>
      </c>
      <c r="BX274" s="52">
        <f t="shared" si="105"/>
        <v>0</v>
      </c>
      <c r="BY274" s="52">
        <f t="shared" si="106"/>
        <v>0</v>
      </c>
      <c r="BZ274" s="66">
        <f t="shared" si="107"/>
        <v>0</v>
      </c>
      <c r="CA274" s="54">
        <f t="shared" si="108"/>
        <v>0</v>
      </c>
      <c r="CB274" s="55">
        <f t="shared" si="109"/>
        <v>0</v>
      </c>
      <c r="CC274" s="56">
        <f t="shared" si="110"/>
        <v>0</v>
      </c>
      <c r="CD274" s="57">
        <f t="shared" si="114"/>
        <v>-1</v>
      </c>
      <c r="CE274" s="49"/>
      <c r="CF274" s="57" t="e">
        <f t="shared" si="98"/>
        <v>#N/A</v>
      </c>
      <c r="CG274" s="58">
        <f t="shared" si="111"/>
        <v>1</v>
      </c>
      <c r="CH274" s="57">
        <f t="shared" si="112"/>
        <v>0</v>
      </c>
      <c r="CI274" s="59" t="e">
        <f>VLOOKUP(A274,[1]DATA!$A$6:$AI$331,34,0)</f>
        <v>#N/A</v>
      </c>
      <c r="CJ274" s="60" t="e">
        <f>VLOOKUP(A274,[2]CHAMCONG!A$7:CI$333,79,0)</f>
        <v>#N/A</v>
      </c>
      <c r="CK274" s="61" t="e">
        <f t="shared" si="113"/>
        <v>#N/A</v>
      </c>
      <c r="CL274" s="62"/>
      <c r="CM274" s="62"/>
    </row>
    <row r="275" spans="1:91" s="75" customFormat="1" ht="18" customHeight="1" x14ac:dyDescent="0.25">
      <c r="A275" s="69"/>
      <c r="B275" s="64"/>
      <c r="C275" s="45"/>
      <c r="D275" s="46"/>
      <c r="E275" s="47"/>
      <c r="F275" s="48"/>
      <c r="G275" s="49"/>
      <c r="H275" s="51"/>
      <c r="I275" s="51"/>
      <c r="J275" s="51"/>
      <c r="K275" s="51"/>
      <c r="L275" s="51"/>
      <c r="M275" s="51"/>
      <c r="N275" s="51"/>
      <c r="O275" s="51"/>
      <c r="P275" s="51"/>
      <c r="Q275" s="49"/>
      <c r="R275" s="51"/>
      <c r="S275" s="49"/>
      <c r="T275" s="51"/>
      <c r="U275" s="50"/>
      <c r="V275" s="51"/>
      <c r="W275" s="50"/>
      <c r="X275" s="51"/>
      <c r="Y275" s="50"/>
      <c r="Z275" s="51"/>
      <c r="AA275" s="50"/>
      <c r="AB275" s="51"/>
      <c r="AC275" s="50"/>
      <c r="AD275" s="51"/>
      <c r="AE275" s="49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49"/>
      <c r="AR275" s="51"/>
      <c r="AS275" s="49"/>
      <c r="AT275" s="51"/>
      <c r="AU275" s="49"/>
      <c r="AV275" s="51"/>
      <c r="AW275" s="49"/>
      <c r="AX275" s="51"/>
      <c r="AY275" s="49"/>
      <c r="AZ275" s="51"/>
      <c r="BA275" s="49"/>
      <c r="BB275" s="51"/>
      <c r="BC275" s="49"/>
      <c r="BD275" s="51"/>
      <c r="BE275" s="49"/>
      <c r="BF275" s="51"/>
      <c r="BG275" s="49"/>
      <c r="BH275" s="51"/>
      <c r="BI275" s="51"/>
      <c r="BJ275" s="51"/>
      <c r="BK275" s="51"/>
      <c r="BL275" s="51"/>
      <c r="BM275" s="51"/>
      <c r="BN275" s="51"/>
      <c r="BO275" s="49"/>
      <c r="BP275" s="51"/>
      <c r="BQ275" s="52">
        <f t="shared" si="99"/>
        <v>0</v>
      </c>
      <c r="BR275" s="52">
        <f t="shared" si="100"/>
        <v>0</v>
      </c>
      <c r="BS275" s="52">
        <f t="shared" si="101"/>
        <v>0</v>
      </c>
      <c r="BT275" s="52">
        <f t="shared" si="102"/>
        <v>0</v>
      </c>
      <c r="BU275" s="52">
        <f t="shared" si="103"/>
        <v>0</v>
      </c>
      <c r="BV275" s="65"/>
      <c r="BW275" s="52">
        <f t="shared" si="104"/>
        <v>0</v>
      </c>
      <c r="BX275" s="52">
        <f t="shared" si="105"/>
        <v>0</v>
      </c>
      <c r="BY275" s="52">
        <f t="shared" si="106"/>
        <v>0</v>
      </c>
      <c r="BZ275" s="66">
        <f t="shared" si="107"/>
        <v>0</v>
      </c>
      <c r="CA275" s="54">
        <f t="shared" si="108"/>
        <v>0</v>
      </c>
      <c r="CB275" s="55">
        <f t="shared" si="109"/>
        <v>0</v>
      </c>
      <c r="CC275" s="56">
        <f t="shared" si="110"/>
        <v>0</v>
      </c>
      <c r="CD275" s="57">
        <f t="shared" si="114"/>
        <v>-1</v>
      </c>
      <c r="CE275" s="49"/>
      <c r="CF275" s="57" t="e">
        <f t="shared" si="98"/>
        <v>#N/A</v>
      </c>
      <c r="CG275" s="58">
        <f t="shared" si="111"/>
        <v>1</v>
      </c>
      <c r="CH275" s="57">
        <f t="shared" si="112"/>
        <v>0</v>
      </c>
      <c r="CI275" s="59" t="e">
        <f>VLOOKUP(A275,[1]DATA!$A$6:$AI$331,34,0)</f>
        <v>#N/A</v>
      </c>
      <c r="CJ275" s="60" t="e">
        <f>VLOOKUP(A275,[2]CHAMCONG!A$7:CI$333,79,0)</f>
        <v>#N/A</v>
      </c>
      <c r="CK275" s="61" t="e">
        <f t="shared" si="113"/>
        <v>#N/A</v>
      </c>
      <c r="CL275" s="62"/>
      <c r="CM275" s="62"/>
    </row>
    <row r="276" spans="1:91" s="75" customFormat="1" ht="18" customHeight="1" x14ac:dyDescent="0.25">
      <c r="A276" s="63"/>
      <c r="B276" s="64"/>
      <c r="C276" s="45"/>
      <c r="D276" s="46"/>
      <c r="E276" s="47"/>
      <c r="F276" s="48"/>
      <c r="G276" s="49"/>
      <c r="H276" s="51"/>
      <c r="I276" s="51"/>
      <c r="J276" s="51"/>
      <c r="K276" s="51"/>
      <c r="L276" s="51"/>
      <c r="M276" s="49"/>
      <c r="N276" s="51"/>
      <c r="O276" s="51"/>
      <c r="P276" s="51"/>
      <c r="Q276" s="49"/>
      <c r="R276" s="51"/>
      <c r="S276" s="49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49"/>
      <c r="AF276" s="51"/>
      <c r="AG276" s="51"/>
      <c r="AH276" s="51"/>
      <c r="AI276" s="51"/>
      <c r="AJ276" s="51"/>
      <c r="AK276" s="49"/>
      <c r="AL276" s="51"/>
      <c r="AM276" s="51"/>
      <c r="AN276" s="51"/>
      <c r="AO276" s="51"/>
      <c r="AP276" s="51"/>
      <c r="AQ276" s="49"/>
      <c r="AR276" s="51"/>
      <c r="AS276" s="49"/>
      <c r="AT276" s="51"/>
      <c r="AU276" s="49"/>
      <c r="AV276" s="51"/>
      <c r="AW276" s="50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49"/>
      <c r="BP276" s="51"/>
      <c r="BQ276" s="52">
        <f t="shared" si="99"/>
        <v>0</v>
      </c>
      <c r="BR276" s="52">
        <f t="shared" si="100"/>
        <v>0</v>
      </c>
      <c r="BS276" s="52">
        <f t="shared" si="101"/>
        <v>0</v>
      </c>
      <c r="BT276" s="52">
        <f t="shared" si="102"/>
        <v>0</v>
      </c>
      <c r="BU276" s="52">
        <f t="shared" si="103"/>
        <v>0</v>
      </c>
      <c r="BV276" s="65"/>
      <c r="BW276" s="52">
        <f t="shared" si="104"/>
        <v>0</v>
      </c>
      <c r="BX276" s="52">
        <f t="shared" si="105"/>
        <v>0</v>
      </c>
      <c r="BY276" s="52">
        <f t="shared" si="106"/>
        <v>0</v>
      </c>
      <c r="BZ276" s="66">
        <f t="shared" si="107"/>
        <v>0</v>
      </c>
      <c r="CA276" s="54">
        <f t="shared" si="108"/>
        <v>0</v>
      </c>
      <c r="CB276" s="55">
        <f t="shared" si="109"/>
        <v>0</v>
      </c>
      <c r="CC276" s="56">
        <f t="shared" si="110"/>
        <v>0</v>
      </c>
      <c r="CD276" s="57">
        <f t="shared" si="114"/>
        <v>-1</v>
      </c>
      <c r="CE276" s="49"/>
      <c r="CF276" s="77" t="e">
        <f t="shared" si="98"/>
        <v>#N/A</v>
      </c>
      <c r="CG276" s="58">
        <f t="shared" si="111"/>
        <v>1</v>
      </c>
      <c r="CH276" s="57">
        <f t="shared" si="112"/>
        <v>0</v>
      </c>
      <c r="CI276" s="59" t="e">
        <f>VLOOKUP(A276,[1]DATA!$A$6:$AI$331,34,0)</f>
        <v>#N/A</v>
      </c>
      <c r="CJ276" s="60" t="e">
        <f>VLOOKUP(A276,[2]CHAMCONG!A$7:CI$333,79,0)</f>
        <v>#N/A</v>
      </c>
      <c r="CK276" s="61" t="e">
        <f t="shared" si="113"/>
        <v>#N/A</v>
      </c>
      <c r="CL276" s="62"/>
      <c r="CM276" s="62"/>
    </row>
    <row r="277" spans="1:91" s="75" customFormat="1" ht="18" customHeight="1" x14ac:dyDescent="0.25">
      <c r="A277" s="69"/>
      <c r="B277" s="64"/>
      <c r="C277" s="45"/>
      <c r="D277" s="46"/>
      <c r="E277" s="47"/>
      <c r="F277" s="48"/>
      <c r="G277" s="49"/>
      <c r="H277" s="51"/>
      <c r="I277" s="51"/>
      <c r="J277" s="51"/>
      <c r="K277" s="51"/>
      <c r="L277" s="51"/>
      <c r="M277" s="51"/>
      <c r="N277" s="51"/>
      <c r="O277" s="51"/>
      <c r="P277" s="51"/>
      <c r="Q277" s="50"/>
      <c r="R277" s="67"/>
      <c r="S277" s="50"/>
      <c r="T277" s="51"/>
      <c r="U277" s="50"/>
      <c r="V277" s="51"/>
      <c r="W277" s="50"/>
      <c r="X277" s="51"/>
      <c r="Y277" s="50"/>
      <c r="Z277" s="51"/>
      <c r="AA277" s="50"/>
      <c r="AB277" s="51"/>
      <c r="AC277" s="51"/>
      <c r="AD277" s="51"/>
      <c r="AE277" s="51"/>
      <c r="AF277" s="51"/>
      <c r="AG277" s="50"/>
      <c r="AH277" s="51"/>
      <c r="AI277" s="50"/>
      <c r="AJ277" s="51"/>
      <c r="AK277" s="50"/>
      <c r="AL277" s="51"/>
      <c r="AM277" s="50"/>
      <c r="AN277" s="51"/>
      <c r="AO277" s="50"/>
      <c r="AP277" s="51"/>
      <c r="AQ277" s="51"/>
      <c r="AR277" s="51"/>
      <c r="AS277" s="51"/>
      <c r="AT277" s="51"/>
      <c r="AU277" s="51"/>
      <c r="AV277" s="51"/>
      <c r="AW277" s="51"/>
      <c r="AX277" s="51"/>
      <c r="AY277" s="50"/>
      <c r="AZ277" s="51"/>
      <c r="BA277" s="67"/>
      <c r="BB277" s="51"/>
      <c r="BC277" s="67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2">
        <f t="shared" si="99"/>
        <v>0</v>
      </c>
      <c r="BR277" s="52">
        <f t="shared" si="100"/>
        <v>0</v>
      </c>
      <c r="BS277" s="52">
        <f t="shared" si="101"/>
        <v>0</v>
      </c>
      <c r="BT277" s="52">
        <f t="shared" si="102"/>
        <v>0</v>
      </c>
      <c r="BU277" s="52">
        <f t="shared" si="103"/>
        <v>0</v>
      </c>
      <c r="BV277" s="65"/>
      <c r="BW277" s="52">
        <f t="shared" si="104"/>
        <v>0</v>
      </c>
      <c r="BX277" s="52">
        <f t="shared" si="105"/>
        <v>0</v>
      </c>
      <c r="BY277" s="52">
        <f t="shared" si="106"/>
        <v>0</v>
      </c>
      <c r="BZ277" s="66">
        <f t="shared" si="107"/>
        <v>0</v>
      </c>
      <c r="CA277" s="54">
        <f t="shared" si="108"/>
        <v>0</v>
      </c>
      <c r="CB277" s="55">
        <f t="shared" si="109"/>
        <v>0</v>
      </c>
      <c r="CC277" s="56">
        <f t="shared" si="110"/>
        <v>0</v>
      </c>
      <c r="CD277" s="57">
        <f t="shared" si="114"/>
        <v>-1</v>
      </c>
      <c r="CE277" s="49"/>
      <c r="CF277" s="77" t="e">
        <f t="shared" si="98"/>
        <v>#N/A</v>
      </c>
      <c r="CG277" s="58">
        <f t="shared" si="111"/>
        <v>1</v>
      </c>
      <c r="CH277" s="57">
        <f t="shared" si="112"/>
        <v>0</v>
      </c>
      <c r="CI277" s="59" t="e">
        <f>VLOOKUP(A277,[1]DATA!$A$6:$AI$331,34,0)</f>
        <v>#N/A</v>
      </c>
      <c r="CJ277" s="60" t="e">
        <f>VLOOKUP(A277,[2]CHAMCONG!A$7:CI$333,79,0)</f>
        <v>#N/A</v>
      </c>
      <c r="CK277" s="61" t="e">
        <f t="shared" si="113"/>
        <v>#N/A</v>
      </c>
      <c r="CL277" s="62"/>
      <c r="CM277" s="62"/>
    </row>
    <row r="278" spans="1:91" s="75" customFormat="1" ht="18" customHeight="1" x14ac:dyDescent="0.25">
      <c r="A278" s="63"/>
      <c r="B278" s="64"/>
      <c r="C278" s="45"/>
      <c r="D278" s="46"/>
      <c r="E278" s="47"/>
      <c r="F278" s="48"/>
      <c r="G278" s="49"/>
      <c r="H278" s="51"/>
      <c r="I278" s="49"/>
      <c r="J278" s="51"/>
      <c r="K278" s="49"/>
      <c r="L278" s="51"/>
      <c r="M278" s="49"/>
      <c r="N278" s="51"/>
      <c r="O278" s="49"/>
      <c r="P278" s="51"/>
      <c r="Q278" s="50"/>
      <c r="R278" s="67"/>
      <c r="S278" s="51"/>
      <c r="T278" s="51"/>
      <c r="U278" s="49"/>
      <c r="V278" s="51"/>
      <c r="W278" s="50"/>
      <c r="X278" s="51"/>
      <c r="Y278" s="50"/>
      <c r="Z278" s="51"/>
      <c r="AA278" s="50"/>
      <c r="AB278" s="51"/>
      <c r="AC278" s="50"/>
      <c r="AD278" s="51"/>
      <c r="AE278" s="50"/>
      <c r="AF278" s="67"/>
      <c r="AG278" s="50"/>
      <c r="AH278" s="51"/>
      <c r="AI278" s="51"/>
      <c r="AJ278" s="51"/>
      <c r="AK278" s="50"/>
      <c r="AL278" s="51"/>
      <c r="AM278" s="50"/>
      <c r="AN278" s="51"/>
      <c r="AO278" s="50"/>
      <c r="AP278" s="51"/>
      <c r="AQ278" s="50"/>
      <c r="AR278" s="51"/>
      <c r="AS278" s="50"/>
      <c r="AT278" s="67"/>
      <c r="AU278" s="51"/>
      <c r="AV278" s="51"/>
      <c r="AW278" s="49"/>
      <c r="AX278" s="51"/>
      <c r="AY278" s="50"/>
      <c r="AZ278" s="51"/>
      <c r="BA278" s="50"/>
      <c r="BB278" s="51"/>
      <c r="BC278" s="50"/>
      <c r="BD278" s="51"/>
      <c r="BE278" s="50"/>
      <c r="BF278" s="51"/>
      <c r="BG278" s="50"/>
      <c r="BH278" s="67"/>
      <c r="BI278" s="51"/>
      <c r="BJ278" s="51"/>
      <c r="BK278" s="51"/>
      <c r="BL278" s="51"/>
      <c r="BM278" s="51"/>
      <c r="BN278" s="51"/>
      <c r="BO278" s="51"/>
      <c r="BP278" s="51"/>
      <c r="BQ278" s="52">
        <f t="shared" si="99"/>
        <v>0</v>
      </c>
      <c r="BR278" s="52">
        <f t="shared" si="100"/>
        <v>0</v>
      </c>
      <c r="BS278" s="52">
        <f t="shared" si="101"/>
        <v>0</v>
      </c>
      <c r="BT278" s="52">
        <f t="shared" si="102"/>
        <v>0</v>
      </c>
      <c r="BU278" s="52">
        <f t="shared" si="103"/>
        <v>0</v>
      </c>
      <c r="BV278" s="65"/>
      <c r="BW278" s="52">
        <f t="shared" si="104"/>
        <v>0</v>
      </c>
      <c r="BX278" s="52">
        <f t="shared" si="105"/>
        <v>0</v>
      </c>
      <c r="BY278" s="52">
        <f t="shared" si="106"/>
        <v>0</v>
      </c>
      <c r="BZ278" s="66">
        <f t="shared" si="107"/>
        <v>0</v>
      </c>
      <c r="CA278" s="54">
        <f t="shared" si="108"/>
        <v>0</v>
      </c>
      <c r="CB278" s="55">
        <f t="shared" si="109"/>
        <v>0</v>
      </c>
      <c r="CC278" s="56">
        <f t="shared" si="110"/>
        <v>0</v>
      </c>
      <c r="CD278" s="57">
        <f t="shared" si="114"/>
        <v>-1</v>
      </c>
      <c r="CE278" s="49">
        <v>4</v>
      </c>
      <c r="CF278" s="77" t="e">
        <f t="shared" si="98"/>
        <v>#N/A</v>
      </c>
      <c r="CG278" s="58">
        <f t="shared" si="111"/>
        <v>1</v>
      </c>
      <c r="CH278" s="57">
        <f t="shared" si="112"/>
        <v>64</v>
      </c>
      <c r="CI278" s="59" t="e">
        <f>VLOOKUP(A278,[1]DATA!$A$6:$AI$331,34,0)</f>
        <v>#N/A</v>
      </c>
      <c r="CJ278" s="60" t="e">
        <f>VLOOKUP(A278,[2]CHAMCONG!A$7:CI$333,79,0)</f>
        <v>#N/A</v>
      </c>
      <c r="CK278" s="61" t="e">
        <f t="shared" si="113"/>
        <v>#N/A</v>
      </c>
      <c r="CL278" s="62"/>
      <c r="CM278" s="62"/>
    </row>
    <row r="279" spans="1:91" s="75" customFormat="1" ht="18" customHeight="1" x14ac:dyDescent="0.25">
      <c r="A279" s="69"/>
      <c r="B279" s="64"/>
      <c r="C279" s="45"/>
      <c r="D279" s="46"/>
      <c r="E279" s="47"/>
      <c r="F279" s="48"/>
      <c r="G279" s="49"/>
      <c r="H279" s="51"/>
      <c r="I279" s="49"/>
      <c r="J279" s="51"/>
      <c r="K279" s="49"/>
      <c r="L279" s="51"/>
      <c r="M279" s="49"/>
      <c r="N279" s="51"/>
      <c r="O279" s="50"/>
      <c r="P279" s="51"/>
      <c r="Q279" s="49"/>
      <c r="R279" s="49"/>
      <c r="S279" s="49"/>
      <c r="T279" s="51"/>
      <c r="U279" s="49"/>
      <c r="V279" s="51"/>
      <c r="W279" s="49"/>
      <c r="X279" s="51"/>
      <c r="Y279" s="49"/>
      <c r="Z279" s="51"/>
      <c r="AA279" s="49"/>
      <c r="AB279" s="51"/>
      <c r="AC279" s="49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49"/>
      <c r="AR279" s="51"/>
      <c r="AS279" s="49"/>
      <c r="AT279" s="49"/>
      <c r="AU279" s="49"/>
      <c r="AV279" s="51"/>
      <c r="AW279" s="51"/>
      <c r="AX279" s="51"/>
      <c r="AY279" s="49"/>
      <c r="AZ279" s="51"/>
      <c r="BA279" s="49"/>
      <c r="BB279" s="51"/>
      <c r="BC279" s="49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2">
        <f t="shared" si="99"/>
        <v>0</v>
      </c>
      <c r="BR279" s="52">
        <f t="shared" si="100"/>
        <v>0</v>
      </c>
      <c r="BS279" s="52">
        <f t="shared" si="101"/>
        <v>0</v>
      </c>
      <c r="BT279" s="52">
        <f t="shared" si="102"/>
        <v>0</v>
      </c>
      <c r="BU279" s="52">
        <f t="shared" si="103"/>
        <v>0</v>
      </c>
      <c r="BV279" s="65"/>
      <c r="BW279" s="52">
        <f t="shared" si="104"/>
        <v>0</v>
      </c>
      <c r="BX279" s="52">
        <f t="shared" si="105"/>
        <v>0</v>
      </c>
      <c r="BY279" s="52">
        <f t="shared" si="106"/>
        <v>0</v>
      </c>
      <c r="BZ279" s="66">
        <f t="shared" si="107"/>
        <v>0</v>
      </c>
      <c r="CA279" s="54">
        <f t="shared" si="108"/>
        <v>0</v>
      </c>
      <c r="CB279" s="55">
        <f t="shared" si="109"/>
        <v>0</v>
      </c>
      <c r="CC279" s="56">
        <f t="shared" si="110"/>
        <v>0</v>
      </c>
      <c r="CD279" s="57">
        <f t="shared" si="114"/>
        <v>-1</v>
      </c>
      <c r="CE279" s="49">
        <v>1</v>
      </c>
      <c r="CF279" s="57" t="e">
        <f t="shared" si="98"/>
        <v>#N/A</v>
      </c>
      <c r="CG279" s="58">
        <f t="shared" si="111"/>
        <v>1</v>
      </c>
      <c r="CH279" s="57">
        <f t="shared" si="112"/>
        <v>16</v>
      </c>
      <c r="CI279" s="59" t="e">
        <f>VLOOKUP(A279,[1]DATA!$A$6:$AI$331,34,0)</f>
        <v>#N/A</v>
      </c>
      <c r="CJ279" s="60" t="e">
        <f>VLOOKUP(A279,[2]CHAMCONG!A$7:CI$333,79,0)</f>
        <v>#N/A</v>
      </c>
      <c r="CK279" s="61" t="e">
        <f t="shared" si="113"/>
        <v>#N/A</v>
      </c>
      <c r="CL279" s="62"/>
      <c r="CM279" s="62"/>
    </row>
    <row r="280" spans="1:91" s="75" customFormat="1" ht="18" customHeight="1" x14ac:dyDescent="0.25">
      <c r="A280" s="63"/>
      <c r="B280" s="64"/>
      <c r="C280" s="45"/>
      <c r="D280" s="46"/>
      <c r="E280" s="47"/>
      <c r="F280" s="48"/>
      <c r="G280" s="49"/>
      <c r="H280" s="51"/>
      <c r="I280" s="51"/>
      <c r="J280" s="51"/>
      <c r="K280" s="51"/>
      <c r="L280" s="51"/>
      <c r="M280" s="51"/>
      <c r="N280" s="51"/>
      <c r="O280" s="51"/>
      <c r="P280" s="51"/>
      <c r="Q280" s="49"/>
      <c r="R280" s="51"/>
      <c r="S280" s="50"/>
      <c r="T280" s="51"/>
      <c r="U280" s="50"/>
      <c r="V280" s="51"/>
      <c r="W280" s="50"/>
      <c r="X280" s="51"/>
      <c r="Y280" s="50"/>
      <c r="Z280" s="51"/>
      <c r="AA280" s="50"/>
      <c r="AB280" s="51"/>
      <c r="AC280" s="50"/>
      <c r="AD280" s="51"/>
      <c r="AE280" s="50"/>
      <c r="AF280" s="67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0"/>
      <c r="AR280" s="51"/>
      <c r="AS280" s="50"/>
      <c r="AT280" s="67"/>
      <c r="AU280" s="50"/>
      <c r="AV280" s="51"/>
      <c r="AW280" s="50"/>
      <c r="AX280" s="51"/>
      <c r="AY280" s="49"/>
      <c r="AZ280" s="51"/>
      <c r="BA280" s="49"/>
      <c r="BB280" s="51"/>
      <c r="BC280" s="49"/>
      <c r="BD280" s="51"/>
      <c r="BE280" s="49"/>
      <c r="BF280" s="51"/>
      <c r="BG280" s="49"/>
      <c r="BH280" s="51"/>
      <c r="BI280" s="51"/>
      <c r="BJ280" s="51"/>
      <c r="BK280" s="51"/>
      <c r="BL280" s="51"/>
      <c r="BM280" s="51"/>
      <c r="BN280" s="51"/>
      <c r="BO280" s="49"/>
      <c r="BP280" s="51"/>
      <c r="BQ280" s="52">
        <f t="shared" si="99"/>
        <v>0</v>
      </c>
      <c r="BR280" s="52">
        <f t="shared" si="100"/>
        <v>0</v>
      </c>
      <c r="BS280" s="52">
        <f t="shared" si="101"/>
        <v>0</v>
      </c>
      <c r="BT280" s="52">
        <f t="shared" si="102"/>
        <v>0</v>
      </c>
      <c r="BU280" s="52">
        <f t="shared" si="103"/>
        <v>0</v>
      </c>
      <c r="BV280" s="65"/>
      <c r="BW280" s="52">
        <f t="shared" si="104"/>
        <v>0</v>
      </c>
      <c r="BX280" s="52">
        <f t="shared" si="105"/>
        <v>0</v>
      </c>
      <c r="BY280" s="52">
        <f t="shared" si="106"/>
        <v>0</v>
      </c>
      <c r="BZ280" s="66">
        <f t="shared" si="107"/>
        <v>0</v>
      </c>
      <c r="CA280" s="54">
        <f t="shared" si="108"/>
        <v>0</v>
      </c>
      <c r="CB280" s="55">
        <f t="shared" si="109"/>
        <v>0</v>
      </c>
      <c r="CC280" s="56">
        <f t="shared" si="110"/>
        <v>0</v>
      </c>
      <c r="CD280" s="57">
        <f t="shared" si="114"/>
        <v>-1</v>
      </c>
      <c r="CE280" s="49">
        <v>1</v>
      </c>
      <c r="CF280" s="57" t="e">
        <f t="shared" si="98"/>
        <v>#N/A</v>
      </c>
      <c r="CG280" s="58">
        <f t="shared" si="111"/>
        <v>1</v>
      </c>
      <c r="CH280" s="57">
        <f t="shared" si="112"/>
        <v>16</v>
      </c>
      <c r="CI280" s="59" t="e">
        <f>VLOOKUP(A280,[1]DATA!$A$6:$AI$331,34,0)</f>
        <v>#N/A</v>
      </c>
      <c r="CJ280" s="60" t="e">
        <f>VLOOKUP(A280,[2]CHAMCONG!A$7:CI$333,79,0)</f>
        <v>#N/A</v>
      </c>
      <c r="CK280" s="61" t="e">
        <f t="shared" si="113"/>
        <v>#N/A</v>
      </c>
      <c r="CL280" s="62"/>
      <c r="CM280" s="62"/>
    </row>
    <row r="281" spans="1:91" s="75" customFormat="1" ht="18" customHeight="1" x14ac:dyDescent="0.25">
      <c r="A281" s="63"/>
      <c r="B281" s="64"/>
      <c r="C281" s="45"/>
      <c r="D281" s="46"/>
      <c r="E281" s="47"/>
      <c r="F281" s="48"/>
      <c r="G281" s="49"/>
      <c r="H281" s="51"/>
      <c r="I281" s="49"/>
      <c r="J281" s="51"/>
      <c r="K281" s="49"/>
      <c r="L281" s="51"/>
      <c r="M281" s="49"/>
      <c r="N281" s="51"/>
      <c r="O281" s="49"/>
      <c r="P281" s="51"/>
      <c r="Q281" s="49"/>
      <c r="R281" s="51"/>
      <c r="S281" s="51"/>
      <c r="T281" s="51"/>
      <c r="U281" s="51"/>
      <c r="V281" s="51"/>
      <c r="W281" s="51"/>
      <c r="X281" s="51"/>
      <c r="Y281" s="51"/>
      <c r="Z281" s="51"/>
      <c r="AA281" s="50"/>
      <c r="AB281" s="51"/>
      <c r="AC281" s="51"/>
      <c r="AD281" s="51"/>
      <c r="AE281" s="50"/>
      <c r="AF281" s="67"/>
      <c r="AG281" s="50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49"/>
      <c r="AZ281" s="51"/>
      <c r="BA281" s="49"/>
      <c r="BB281" s="51"/>
      <c r="BC281" s="49"/>
      <c r="BD281" s="51"/>
      <c r="BE281" s="49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2">
        <f t="shared" si="99"/>
        <v>0</v>
      </c>
      <c r="BR281" s="52">
        <f t="shared" si="100"/>
        <v>0</v>
      </c>
      <c r="BS281" s="52">
        <f t="shared" si="101"/>
        <v>0</v>
      </c>
      <c r="BT281" s="52">
        <f t="shared" si="102"/>
        <v>0</v>
      </c>
      <c r="BU281" s="52">
        <f t="shared" si="103"/>
        <v>0</v>
      </c>
      <c r="BV281" s="65"/>
      <c r="BW281" s="52">
        <f t="shared" si="104"/>
        <v>0</v>
      </c>
      <c r="BX281" s="52">
        <f t="shared" si="105"/>
        <v>0</v>
      </c>
      <c r="BY281" s="52">
        <f t="shared" si="106"/>
        <v>0</v>
      </c>
      <c r="BZ281" s="66">
        <f t="shared" si="107"/>
        <v>0</v>
      </c>
      <c r="CA281" s="54">
        <f t="shared" si="108"/>
        <v>0</v>
      </c>
      <c r="CB281" s="55">
        <f t="shared" si="109"/>
        <v>0</v>
      </c>
      <c r="CC281" s="56">
        <f t="shared" si="110"/>
        <v>0</v>
      </c>
      <c r="CD281" s="57">
        <f t="shared" si="114"/>
        <v>-1</v>
      </c>
      <c r="CE281" s="49">
        <v>1</v>
      </c>
      <c r="CF281" s="57" t="e">
        <f t="shared" si="98"/>
        <v>#N/A</v>
      </c>
      <c r="CG281" s="58">
        <f t="shared" si="111"/>
        <v>1</v>
      </c>
      <c r="CH281" s="57">
        <f t="shared" si="112"/>
        <v>16</v>
      </c>
      <c r="CI281" s="59" t="e">
        <f>VLOOKUP(A281,[1]DATA!$A$6:$AI$331,34,0)</f>
        <v>#N/A</v>
      </c>
      <c r="CJ281" s="60" t="e">
        <f>VLOOKUP(A281,[2]CHAMCONG!A$7:CI$333,79,0)</f>
        <v>#N/A</v>
      </c>
      <c r="CK281" s="61" t="e">
        <f t="shared" si="113"/>
        <v>#N/A</v>
      </c>
      <c r="CL281" s="62"/>
      <c r="CM281" s="62"/>
    </row>
    <row r="282" spans="1:91" s="75" customFormat="1" ht="18" customHeight="1" x14ac:dyDescent="0.25">
      <c r="A282" s="63"/>
      <c r="B282" s="64"/>
      <c r="C282" s="45"/>
      <c r="D282" s="46"/>
      <c r="E282" s="47"/>
      <c r="F282" s="48"/>
      <c r="G282" s="49"/>
      <c r="H282" s="51"/>
      <c r="I282" s="49"/>
      <c r="J282" s="51"/>
      <c r="K282" s="49"/>
      <c r="L282" s="51"/>
      <c r="M282" s="49"/>
      <c r="N282" s="51"/>
      <c r="O282" s="49"/>
      <c r="P282" s="51"/>
      <c r="Q282" s="49"/>
      <c r="R282" s="51"/>
      <c r="S282" s="51"/>
      <c r="T282" s="51"/>
      <c r="U282" s="51"/>
      <c r="V282" s="51"/>
      <c r="W282" s="51"/>
      <c r="X282" s="51"/>
      <c r="Y282" s="51"/>
      <c r="Z282" s="51"/>
      <c r="AA282" s="50"/>
      <c r="AB282" s="51"/>
      <c r="AC282" s="51"/>
      <c r="AD282" s="51"/>
      <c r="AE282" s="50"/>
      <c r="AF282" s="67"/>
      <c r="AG282" s="51"/>
      <c r="AH282" s="51"/>
      <c r="AI282" s="51"/>
      <c r="AJ282" s="51"/>
      <c r="AK282" s="50"/>
      <c r="AL282" s="51"/>
      <c r="AM282" s="51"/>
      <c r="AN282" s="51"/>
      <c r="AO282" s="51"/>
      <c r="AP282" s="51"/>
      <c r="AQ282" s="50"/>
      <c r="AR282" s="51"/>
      <c r="AS282" s="50"/>
      <c r="AT282" s="67"/>
      <c r="AU282" s="50"/>
      <c r="AV282" s="51"/>
      <c r="AW282" s="49"/>
      <c r="AX282" s="51"/>
      <c r="AY282" s="49"/>
      <c r="AZ282" s="51"/>
      <c r="BA282" s="49"/>
      <c r="BB282" s="51"/>
      <c r="BC282" s="49"/>
      <c r="BD282" s="51"/>
      <c r="BE282" s="49"/>
      <c r="BF282" s="51"/>
      <c r="BG282" s="49"/>
      <c r="BH282" s="51"/>
      <c r="BI282" s="49"/>
      <c r="BJ282" s="51"/>
      <c r="BK282" s="49"/>
      <c r="BL282" s="51"/>
      <c r="BM282" s="49"/>
      <c r="BN282" s="51"/>
      <c r="BO282" s="51"/>
      <c r="BP282" s="51"/>
      <c r="BQ282" s="52">
        <f t="shared" si="99"/>
        <v>0</v>
      </c>
      <c r="BR282" s="52">
        <f t="shared" si="100"/>
        <v>0</v>
      </c>
      <c r="BS282" s="52">
        <f t="shared" si="101"/>
        <v>0</v>
      </c>
      <c r="BT282" s="52">
        <f t="shared" si="102"/>
        <v>0</v>
      </c>
      <c r="BU282" s="52">
        <f t="shared" si="103"/>
        <v>0</v>
      </c>
      <c r="BV282" s="65"/>
      <c r="BW282" s="52">
        <f t="shared" si="104"/>
        <v>0</v>
      </c>
      <c r="BX282" s="52">
        <f t="shared" si="105"/>
        <v>0</v>
      </c>
      <c r="BY282" s="52">
        <f t="shared" si="106"/>
        <v>0</v>
      </c>
      <c r="BZ282" s="66">
        <f t="shared" si="107"/>
        <v>0</v>
      </c>
      <c r="CA282" s="54">
        <f t="shared" si="108"/>
        <v>0</v>
      </c>
      <c r="CB282" s="55">
        <f t="shared" si="109"/>
        <v>0</v>
      </c>
      <c r="CC282" s="56">
        <f t="shared" si="110"/>
        <v>0</v>
      </c>
      <c r="CD282" s="57">
        <f t="shared" si="114"/>
        <v>-1</v>
      </c>
      <c r="CE282" s="49"/>
      <c r="CF282" s="57" t="e">
        <f t="shared" si="98"/>
        <v>#N/A</v>
      </c>
      <c r="CG282" s="58">
        <f t="shared" si="111"/>
        <v>1</v>
      </c>
      <c r="CH282" s="57">
        <f t="shared" si="112"/>
        <v>0</v>
      </c>
      <c r="CI282" s="59" t="e">
        <f>VLOOKUP(A282,[1]DATA!$A$6:$AI$331,34,0)</f>
        <v>#N/A</v>
      </c>
      <c r="CJ282" s="60" t="e">
        <f>VLOOKUP(A282,[2]CHAMCONG!A$7:CI$333,79,0)</f>
        <v>#N/A</v>
      </c>
      <c r="CK282" s="61" t="e">
        <f t="shared" si="113"/>
        <v>#N/A</v>
      </c>
      <c r="CL282" s="62"/>
      <c r="CM282" s="62"/>
    </row>
    <row r="283" spans="1:91" s="75" customFormat="1" ht="18" customHeight="1" x14ac:dyDescent="0.25">
      <c r="A283" s="63"/>
      <c r="B283" s="64"/>
      <c r="C283" s="45"/>
      <c r="D283" s="46"/>
      <c r="E283" s="47"/>
      <c r="F283" s="48"/>
      <c r="G283" s="49"/>
      <c r="H283" s="51"/>
      <c r="I283" s="49"/>
      <c r="J283" s="51"/>
      <c r="K283" s="49"/>
      <c r="L283" s="51"/>
      <c r="M283" s="49"/>
      <c r="N283" s="51"/>
      <c r="O283" s="49"/>
      <c r="P283" s="51"/>
      <c r="Q283" s="49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49"/>
      <c r="AR283" s="51"/>
      <c r="AS283" s="49"/>
      <c r="AT283" s="49"/>
      <c r="AU283" s="49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2">
        <f t="shared" si="99"/>
        <v>0</v>
      </c>
      <c r="BR283" s="52">
        <f t="shared" si="100"/>
        <v>0</v>
      </c>
      <c r="BS283" s="52">
        <f t="shared" si="101"/>
        <v>0</v>
      </c>
      <c r="BT283" s="52">
        <f t="shared" si="102"/>
        <v>0</v>
      </c>
      <c r="BU283" s="52">
        <f t="shared" si="103"/>
        <v>0</v>
      </c>
      <c r="BV283" s="65"/>
      <c r="BW283" s="52">
        <f t="shared" si="104"/>
        <v>0</v>
      </c>
      <c r="BX283" s="52">
        <f t="shared" si="105"/>
        <v>0</v>
      </c>
      <c r="BY283" s="52">
        <f t="shared" si="106"/>
        <v>0</v>
      </c>
      <c r="BZ283" s="66">
        <f t="shared" si="107"/>
        <v>0</v>
      </c>
      <c r="CA283" s="54">
        <f t="shared" si="108"/>
        <v>0</v>
      </c>
      <c r="CB283" s="55">
        <f t="shared" si="109"/>
        <v>0</v>
      </c>
      <c r="CC283" s="56">
        <f t="shared" si="110"/>
        <v>0</v>
      </c>
      <c r="CD283" s="57">
        <f t="shared" si="114"/>
        <v>-1</v>
      </c>
      <c r="CE283" s="49"/>
      <c r="CF283" s="57" t="e">
        <f t="shared" si="98"/>
        <v>#N/A</v>
      </c>
      <c r="CG283" s="58">
        <f t="shared" si="111"/>
        <v>1</v>
      </c>
      <c r="CH283" s="57">
        <f t="shared" si="112"/>
        <v>0</v>
      </c>
      <c r="CI283" s="59" t="e">
        <f>VLOOKUP(A283,[1]DATA!$A$6:$AI$331,34,0)</f>
        <v>#N/A</v>
      </c>
      <c r="CJ283" s="60" t="e">
        <f>VLOOKUP(A283,[2]CHAMCONG!A$7:CI$333,79,0)</f>
        <v>#N/A</v>
      </c>
      <c r="CK283" s="61" t="e">
        <f t="shared" si="113"/>
        <v>#N/A</v>
      </c>
      <c r="CL283" s="62"/>
      <c r="CM283" s="62"/>
    </row>
    <row r="284" spans="1:91" s="75" customFormat="1" ht="18" customHeight="1" x14ac:dyDescent="0.25">
      <c r="A284" s="63"/>
      <c r="B284" s="64"/>
      <c r="C284" s="45"/>
      <c r="D284" s="46"/>
      <c r="E284" s="47"/>
      <c r="F284" s="48"/>
      <c r="G284" s="49"/>
      <c r="H284" s="51"/>
      <c r="I284" s="49"/>
      <c r="J284" s="51"/>
      <c r="K284" s="49"/>
      <c r="L284" s="51"/>
      <c r="M284" s="49"/>
      <c r="N284" s="51"/>
      <c r="O284" s="51"/>
      <c r="P284" s="51"/>
      <c r="Q284" s="50"/>
      <c r="R284" s="67"/>
      <c r="S284" s="51"/>
      <c r="T284" s="51"/>
      <c r="U284" s="49"/>
      <c r="V284" s="51"/>
      <c r="W284" s="50"/>
      <c r="X284" s="51"/>
      <c r="Y284" s="50"/>
      <c r="Z284" s="51"/>
      <c r="AA284" s="50"/>
      <c r="AB284" s="51"/>
      <c r="AC284" s="50"/>
      <c r="AD284" s="51"/>
      <c r="AE284" s="50"/>
      <c r="AF284" s="67"/>
      <c r="AG284" s="50"/>
      <c r="AH284" s="51"/>
      <c r="AI284" s="51"/>
      <c r="AJ284" s="51"/>
      <c r="AK284" s="50"/>
      <c r="AL284" s="51"/>
      <c r="AM284" s="50"/>
      <c r="AN284" s="51"/>
      <c r="AO284" s="50"/>
      <c r="AP284" s="51"/>
      <c r="AQ284" s="50"/>
      <c r="AR284" s="51"/>
      <c r="AS284" s="50"/>
      <c r="AT284" s="67"/>
      <c r="AU284" s="51"/>
      <c r="AV284" s="51"/>
      <c r="AW284" s="49"/>
      <c r="AX284" s="51"/>
      <c r="AY284" s="50"/>
      <c r="AZ284" s="51"/>
      <c r="BA284" s="50"/>
      <c r="BB284" s="51"/>
      <c r="BC284" s="50"/>
      <c r="BD284" s="51"/>
      <c r="BE284" s="50"/>
      <c r="BF284" s="51"/>
      <c r="BG284" s="50"/>
      <c r="BH284" s="67"/>
      <c r="BI284" s="51"/>
      <c r="BJ284" s="51"/>
      <c r="BK284" s="51"/>
      <c r="BL284" s="51"/>
      <c r="BM284" s="51"/>
      <c r="BN284" s="51"/>
      <c r="BO284" s="51"/>
      <c r="BP284" s="51"/>
      <c r="BQ284" s="52">
        <f t="shared" si="99"/>
        <v>0</v>
      </c>
      <c r="BR284" s="52">
        <f t="shared" si="100"/>
        <v>0</v>
      </c>
      <c r="BS284" s="52">
        <f t="shared" si="101"/>
        <v>0</v>
      </c>
      <c r="BT284" s="52">
        <f t="shared" si="102"/>
        <v>0</v>
      </c>
      <c r="BU284" s="52">
        <f t="shared" si="103"/>
        <v>0</v>
      </c>
      <c r="BV284" s="65"/>
      <c r="BW284" s="52">
        <f t="shared" si="104"/>
        <v>0</v>
      </c>
      <c r="BX284" s="52">
        <f t="shared" si="105"/>
        <v>0</v>
      </c>
      <c r="BY284" s="52">
        <f t="shared" si="106"/>
        <v>0</v>
      </c>
      <c r="BZ284" s="66">
        <f t="shared" si="107"/>
        <v>0</v>
      </c>
      <c r="CA284" s="54">
        <f t="shared" si="108"/>
        <v>0</v>
      </c>
      <c r="CB284" s="55">
        <f t="shared" si="109"/>
        <v>0</v>
      </c>
      <c r="CC284" s="56">
        <f t="shared" si="110"/>
        <v>0</v>
      </c>
      <c r="CD284" s="57">
        <f t="shared" si="114"/>
        <v>-1</v>
      </c>
      <c r="CE284" s="49">
        <v>2</v>
      </c>
      <c r="CF284" s="57" t="e">
        <f t="shared" si="98"/>
        <v>#N/A</v>
      </c>
      <c r="CG284" s="58">
        <f t="shared" si="111"/>
        <v>1</v>
      </c>
      <c r="CH284" s="57">
        <f t="shared" si="112"/>
        <v>32</v>
      </c>
      <c r="CI284" s="59" t="e">
        <f>VLOOKUP(A284,[1]DATA!$A$6:$AI$331,34,0)</f>
        <v>#N/A</v>
      </c>
      <c r="CJ284" s="60" t="e">
        <f>VLOOKUP(A284,[2]CHAMCONG!A$7:CI$333,79,0)</f>
        <v>#N/A</v>
      </c>
      <c r="CK284" s="61" t="e">
        <f t="shared" si="113"/>
        <v>#N/A</v>
      </c>
      <c r="CL284" s="62"/>
      <c r="CM284" s="62"/>
    </row>
    <row r="285" spans="1:91" s="75" customFormat="1" ht="18" customHeight="1" x14ac:dyDescent="0.25">
      <c r="A285" s="63"/>
      <c r="B285" s="64"/>
      <c r="C285" s="45"/>
      <c r="D285" s="46"/>
      <c r="E285" s="47"/>
      <c r="F285" s="48"/>
      <c r="G285" s="49"/>
      <c r="H285" s="51"/>
      <c r="I285" s="50"/>
      <c r="J285" s="51"/>
      <c r="K285" s="50"/>
      <c r="L285" s="51"/>
      <c r="M285" s="50"/>
      <c r="N285" s="51"/>
      <c r="O285" s="50"/>
      <c r="P285" s="51"/>
      <c r="Q285" s="51"/>
      <c r="R285" s="51"/>
      <c r="S285" s="50"/>
      <c r="T285" s="51"/>
      <c r="U285" s="50"/>
      <c r="V285" s="51"/>
      <c r="W285" s="50"/>
      <c r="X285" s="51"/>
      <c r="Y285" s="50"/>
      <c r="Z285" s="51"/>
      <c r="AA285" s="50"/>
      <c r="AB285" s="51"/>
      <c r="AC285" s="50"/>
      <c r="AD285" s="51"/>
      <c r="AE285" s="51"/>
      <c r="AF285" s="51"/>
      <c r="AG285" s="50"/>
      <c r="AH285" s="51"/>
      <c r="AI285" s="50"/>
      <c r="AJ285" s="51"/>
      <c r="AK285" s="50"/>
      <c r="AL285" s="51"/>
      <c r="AM285" s="50"/>
      <c r="AN285" s="51"/>
      <c r="AO285" s="50"/>
      <c r="AP285" s="51"/>
      <c r="AQ285" s="50"/>
      <c r="AR285" s="51"/>
      <c r="AS285" s="51"/>
      <c r="AT285" s="51"/>
      <c r="AU285" s="51"/>
      <c r="AV285" s="51"/>
      <c r="AW285" s="51"/>
      <c r="AX285" s="51"/>
      <c r="AY285" s="50"/>
      <c r="AZ285" s="51"/>
      <c r="BA285" s="51"/>
      <c r="BB285" s="51"/>
      <c r="BC285" s="51"/>
      <c r="BD285" s="51"/>
      <c r="BE285" s="50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2">
        <f t="shared" si="99"/>
        <v>0</v>
      </c>
      <c r="BR285" s="52">
        <f t="shared" si="100"/>
        <v>0</v>
      </c>
      <c r="BS285" s="52">
        <f t="shared" si="101"/>
        <v>0</v>
      </c>
      <c r="BT285" s="52">
        <f t="shared" si="102"/>
        <v>0</v>
      </c>
      <c r="BU285" s="52">
        <f t="shared" si="103"/>
        <v>0</v>
      </c>
      <c r="BV285" s="65"/>
      <c r="BW285" s="52">
        <f t="shared" si="104"/>
        <v>0</v>
      </c>
      <c r="BX285" s="52">
        <f t="shared" si="105"/>
        <v>0</v>
      </c>
      <c r="BY285" s="52">
        <f t="shared" si="106"/>
        <v>0</v>
      </c>
      <c r="BZ285" s="66">
        <f t="shared" si="107"/>
        <v>0</v>
      </c>
      <c r="CA285" s="54">
        <f t="shared" si="108"/>
        <v>0</v>
      </c>
      <c r="CB285" s="55">
        <f t="shared" si="109"/>
        <v>0</v>
      </c>
      <c r="CC285" s="56">
        <f t="shared" si="110"/>
        <v>0</v>
      </c>
      <c r="CD285" s="57">
        <f t="shared" si="114"/>
        <v>-1</v>
      </c>
      <c r="CE285" s="49"/>
      <c r="CF285" s="57" t="e">
        <f t="shared" si="98"/>
        <v>#N/A</v>
      </c>
      <c r="CG285" s="58">
        <f t="shared" si="111"/>
        <v>1</v>
      </c>
      <c r="CH285" s="57">
        <f t="shared" si="112"/>
        <v>0</v>
      </c>
      <c r="CI285" s="59" t="e">
        <f>VLOOKUP(A285,[1]DATA!$A$6:$AI$331,34,0)</f>
        <v>#N/A</v>
      </c>
      <c r="CJ285" s="60" t="e">
        <f>VLOOKUP(A285,[2]CHAMCONG!A$7:CI$333,79,0)</f>
        <v>#N/A</v>
      </c>
      <c r="CK285" s="61" t="e">
        <f t="shared" si="113"/>
        <v>#N/A</v>
      </c>
      <c r="CL285" s="62"/>
      <c r="CM285" s="62"/>
    </row>
    <row r="286" spans="1:91" s="75" customFormat="1" ht="18" customHeight="1" x14ac:dyDescent="0.25">
      <c r="A286" s="63"/>
      <c r="B286" s="64"/>
      <c r="C286" s="45"/>
      <c r="D286" s="46"/>
      <c r="E286" s="47"/>
      <c r="F286" s="48"/>
      <c r="G286" s="49"/>
      <c r="H286" s="51"/>
      <c r="I286" s="50"/>
      <c r="J286" s="51"/>
      <c r="K286" s="51"/>
      <c r="L286" s="51"/>
      <c r="M286" s="51"/>
      <c r="N286" s="51"/>
      <c r="O286" s="50"/>
      <c r="P286" s="51"/>
      <c r="Q286" s="51"/>
      <c r="R286" s="51"/>
      <c r="S286" s="51"/>
      <c r="T286" s="51"/>
      <c r="U286" s="49"/>
      <c r="V286" s="51"/>
      <c r="W286" s="50"/>
      <c r="X286" s="51"/>
      <c r="Y286" s="51"/>
      <c r="Z286" s="51"/>
      <c r="AA286" s="51"/>
      <c r="AB286" s="51"/>
      <c r="AC286" s="50"/>
      <c r="AD286" s="51"/>
      <c r="AE286" s="51"/>
      <c r="AF286" s="51"/>
      <c r="AG286" s="51"/>
      <c r="AH286" s="51"/>
      <c r="AI286" s="51"/>
      <c r="AJ286" s="51"/>
      <c r="AK286" s="50"/>
      <c r="AL286" s="51"/>
      <c r="AM286" s="51"/>
      <c r="AN286" s="51"/>
      <c r="AO286" s="51"/>
      <c r="AP286" s="51"/>
      <c r="AQ286" s="50"/>
      <c r="AR286" s="51"/>
      <c r="AS286" s="51"/>
      <c r="AT286" s="51"/>
      <c r="AU286" s="51"/>
      <c r="AV286" s="51"/>
      <c r="AW286" s="51"/>
      <c r="AX286" s="51"/>
      <c r="AY286" s="50"/>
      <c r="AZ286" s="51"/>
      <c r="BA286" s="51"/>
      <c r="BB286" s="51"/>
      <c r="BC286" s="51"/>
      <c r="BD286" s="51"/>
      <c r="BE286" s="50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2">
        <f t="shared" si="99"/>
        <v>0</v>
      </c>
      <c r="BR286" s="52">
        <f t="shared" si="100"/>
        <v>0</v>
      </c>
      <c r="BS286" s="52">
        <f t="shared" si="101"/>
        <v>0</v>
      </c>
      <c r="BT286" s="52">
        <f t="shared" si="102"/>
        <v>0</v>
      </c>
      <c r="BU286" s="52">
        <f t="shared" si="103"/>
        <v>0</v>
      </c>
      <c r="BV286" s="65"/>
      <c r="BW286" s="52">
        <f t="shared" si="104"/>
        <v>0</v>
      </c>
      <c r="BX286" s="52">
        <f t="shared" si="105"/>
        <v>0</v>
      </c>
      <c r="BY286" s="52">
        <f t="shared" si="106"/>
        <v>0</v>
      </c>
      <c r="BZ286" s="66">
        <f t="shared" si="107"/>
        <v>0</v>
      </c>
      <c r="CA286" s="54">
        <f t="shared" si="108"/>
        <v>0</v>
      </c>
      <c r="CB286" s="55">
        <f t="shared" si="109"/>
        <v>0</v>
      </c>
      <c r="CC286" s="56">
        <f t="shared" si="110"/>
        <v>0</v>
      </c>
      <c r="CD286" s="57">
        <f t="shared" si="114"/>
        <v>-1</v>
      </c>
      <c r="CE286" s="49"/>
      <c r="CF286" s="57" t="e">
        <f t="shared" si="98"/>
        <v>#N/A</v>
      </c>
      <c r="CG286" s="58">
        <f>F286-BY286+3</f>
        <v>3</v>
      </c>
      <c r="CH286" s="57">
        <f t="shared" si="112"/>
        <v>0</v>
      </c>
      <c r="CI286" s="59" t="e">
        <f>VLOOKUP(A286,[1]DATA!$A$6:$AI$331,34,0)</f>
        <v>#N/A</v>
      </c>
      <c r="CJ286" s="60" t="e">
        <f>VLOOKUP(A286,[2]CHAMCONG!A$7:CI$333,79,0)</f>
        <v>#N/A</v>
      </c>
      <c r="CK286" s="61" t="e">
        <f t="shared" si="113"/>
        <v>#N/A</v>
      </c>
      <c r="CL286" s="62"/>
      <c r="CM286" s="62"/>
    </row>
    <row r="287" spans="1:91" s="75" customFormat="1" ht="18" customHeight="1" x14ac:dyDescent="0.25">
      <c r="A287" s="63"/>
      <c r="B287" s="64"/>
      <c r="C287" s="45"/>
      <c r="D287" s="46"/>
      <c r="E287" s="47"/>
      <c r="F287" s="48"/>
      <c r="G287" s="49"/>
      <c r="H287" s="51"/>
      <c r="I287" s="51"/>
      <c r="J287" s="51"/>
      <c r="K287" s="51"/>
      <c r="L287" s="51"/>
      <c r="M287" s="51"/>
      <c r="N287" s="51"/>
      <c r="O287" s="51"/>
      <c r="P287" s="51"/>
      <c r="Q287" s="49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0"/>
      <c r="AD287" s="51"/>
      <c r="AE287" s="50"/>
      <c r="AF287" s="67"/>
      <c r="AG287" s="50"/>
      <c r="AH287" s="51"/>
      <c r="AI287" s="50"/>
      <c r="AJ287" s="51"/>
      <c r="AK287" s="50"/>
      <c r="AL287" s="51"/>
      <c r="AM287" s="50"/>
      <c r="AN287" s="51"/>
      <c r="AO287" s="50"/>
      <c r="AP287" s="51"/>
      <c r="AQ287" s="49"/>
      <c r="AR287" s="51"/>
      <c r="AS287" s="49"/>
      <c r="AT287" s="51"/>
      <c r="AU287" s="49"/>
      <c r="AV287" s="51"/>
      <c r="AW287" s="49"/>
      <c r="AX287" s="51"/>
      <c r="AY287" s="49"/>
      <c r="AZ287" s="51"/>
      <c r="BA287" s="49"/>
      <c r="BB287" s="51"/>
      <c r="BC287" s="51"/>
      <c r="BD287" s="51"/>
      <c r="BE287" s="49"/>
      <c r="BF287" s="51"/>
      <c r="BG287" s="49"/>
      <c r="BH287" s="51"/>
      <c r="BI287" s="51"/>
      <c r="BJ287" s="51"/>
      <c r="BK287" s="51"/>
      <c r="BL287" s="51"/>
      <c r="BM287" s="51"/>
      <c r="BN287" s="51"/>
      <c r="BO287" s="51"/>
      <c r="BP287" s="51"/>
      <c r="BQ287" s="52">
        <f t="shared" si="99"/>
        <v>0</v>
      </c>
      <c r="BR287" s="52">
        <f t="shared" si="100"/>
        <v>0</v>
      </c>
      <c r="BS287" s="52">
        <f t="shared" si="101"/>
        <v>0</v>
      </c>
      <c r="BT287" s="52">
        <f t="shared" si="102"/>
        <v>0</v>
      </c>
      <c r="BU287" s="52">
        <f t="shared" si="103"/>
        <v>0</v>
      </c>
      <c r="BV287" s="65"/>
      <c r="BW287" s="52">
        <f t="shared" si="104"/>
        <v>0</v>
      </c>
      <c r="BX287" s="52">
        <f t="shared" si="105"/>
        <v>0</v>
      </c>
      <c r="BY287" s="52">
        <f t="shared" si="106"/>
        <v>0</v>
      </c>
      <c r="BZ287" s="66">
        <f t="shared" si="107"/>
        <v>0</v>
      </c>
      <c r="CA287" s="54">
        <f t="shared" si="108"/>
        <v>0</v>
      </c>
      <c r="CB287" s="55">
        <f t="shared" si="109"/>
        <v>0</v>
      </c>
      <c r="CC287" s="56">
        <f t="shared" si="110"/>
        <v>0</v>
      </c>
      <c r="CD287" s="57">
        <f t="shared" si="114"/>
        <v>-1</v>
      </c>
      <c r="CE287" s="49">
        <v>3</v>
      </c>
      <c r="CF287" s="77" t="e">
        <f t="shared" si="98"/>
        <v>#N/A</v>
      </c>
      <c r="CG287" s="58">
        <f t="shared" si="111"/>
        <v>1</v>
      </c>
      <c r="CH287" s="57">
        <f t="shared" si="112"/>
        <v>48</v>
      </c>
      <c r="CI287" s="59" t="e">
        <f>VLOOKUP(A287,[1]DATA!$A$6:$AI$331,34,0)</f>
        <v>#N/A</v>
      </c>
      <c r="CJ287" s="60" t="e">
        <f>VLOOKUP(A287,[2]CHAMCONG!A$7:CI$333,79,0)</f>
        <v>#N/A</v>
      </c>
      <c r="CK287" s="61" t="e">
        <f t="shared" si="113"/>
        <v>#N/A</v>
      </c>
      <c r="CL287" s="62"/>
      <c r="CM287" s="62"/>
    </row>
    <row r="288" spans="1:91" s="75" customFormat="1" ht="18" customHeight="1" x14ac:dyDescent="0.25">
      <c r="A288" s="63"/>
      <c r="B288" s="64"/>
      <c r="C288" s="45"/>
      <c r="D288" s="46"/>
      <c r="E288" s="47"/>
      <c r="F288" s="48"/>
      <c r="G288" s="49"/>
      <c r="H288" s="51"/>
      <c r="I288" s="50"/>
      <c r="J288" s="51"/>
      <c r="K288" s="50"/>
      <c r="L288" s="51"/>
      <c r="M288" s="50"/>
      <c r="N288" s="51"/>
      <c r="O288" s="50"/>
      <c r="P288" s="51"/>
      <c r="Q288" s="51"/>
      <c r="R288" s="51"/>
      <c r="S288" s="50"/>
      <c r="T288" s="51"/>
      <c r="U288" s="50"/>
      <c r="V288" s="51"/>
      <c r="W288" s="50"/>
      <c r="X288" s="51"/>
      <c r="Y288" s="50"/>
      <c r="Z288" s="51"/>
      <c r="AA288" s="50"/>
      <c r="AB288" s="51"/>
      <c r="AC288" s="50"/>
      <c r="AD288" s="51"/>
      <c r="AE288" s="51"/>
      <c r="AF288" s="51"/>
      <c r="AG288" s="50"/>
      <c r="AH288" s="51"/>
      <c r="AI288" s="50"/>
      <c r="AJ288" s="51"/>
      <c r="AK288" s="50"/>
      <c r="AL288" s="51"/>
      <c r="AM288" s="50"/>
      <c r="AN288" s="51"/>
      <c r="AO288" s="50"/>
      <c r="AP288" s="51"/>
      <c r="AQ288" s="50"/>
      <c r="AR288" s="51"/>
      <c r="AS288" s="51"/>
      <c r="AT288" s="51"/>
      <c r="AU288" s="51"/>
      <c r="AV288" s="51"/>
      <c r="AW288" s="51"/>
      <c r="AX288" s="51"/>
      <c r="AY288" s="50"/>
      <c r="AZ288" s="51"/>
      <c r="BA288" s="51"/>
      <c r="BB288" s="51"/>
      <c r="BC288" s="51"/>
      <c r="BD288" s="51"/>
      <c r="BE288" s="50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2">
        <f t="shared" si="99"/>
        <v>0</v>
      </c>
      <c r="BR288" s="52">
        <f t="shared" si="100"/>
        <v>0</v>
      </c>
      <c r="BS288" s="52">
        <f t="shared" si="101"/>
        <v>0</v>
      </c>
      <c r="BT288" s="52">
        <f t="shared" si="102"/>
        <v>0</v>
      </c>
      <c r="BU288" s="52">
        <f t="shared" si="103"/>
        <v>0</v>
      </c>
      <c r="BV288" s="65"/>
      <c r="BW288" s="52">
        <f t="shared" si="104"/>
        <v>0</v>
      </c>
      <c r="BX288" s="52">
        <f t="shared" si="105"/>
        <v>0</v>
      </c>
      <c r="BY288" s="52">
        <f t="shared" si="106"/>
        <v>0</v>
      </c>
      <c r="BZ288" s="66">
        <f t="shared" si="107"/>
        <v>0</v>
      </c>
      <c r="CA288" s="54">
        <f t="shared" si="108"/>
        <v>0</v>
      </c>
      <c r="CB288" s="55">
        <f t="shared" si="109"/>
        <v>0</v>
      </c>
      <c r="CC288" s="56">
        <f t="shared" si="110"/>
        <v>0</v>
      </c>
      <c r="CD288" s="57">
        <f t="shared" si="114"/>
        <v>-1</v>
      </c>
      <c r="CE288" s="49"/>
      <c r="CF288" s="77" t="e">
        <f t="shared" si="98"/>
        <v>#N/A</v>
      </c>
      <c r="CG288" s="58">
        <f t="shared" si="111"/>
        <v>1</v>
      </c>
      <c r="CH288" s="57">
        <f t="shared" si="112"/>
        <v>0</v>
      </c>
      <c r="CI288" s="59" t="e">
        <f>VLOOKUP(A288,[1]DATA!$A$6:$AI$331,34,0)</f>
        <v>#N/A</v>
      </c>
      <c r="CJ288" s="60" t="e">
        <f>VLOOKUP(A288,[2]CHAMCONG!A$7:CI$333,79,0)</f>
        <v>#N/A</v>
      </c>
      <c r="CK288" s="61" t="e">
        <f t="shared" si="113"/>
        <v>#N/A</v>
      </c>
      <c r="CL288" s="62"/>
      <c r="CM288" s="62"/>
    </row>
    <row r="289" spans="1:91" s="75" customFormat="1" ht="18" customHeight="1" x14ac:dyDescent="0.25">
      <c r="A289" s="63"/>
      <c r="B289" s="64"/>
      <c r="C289" s="45"/>
      <c r="D289" s="46"/>
      <c r="E289" s="47"/>
      <c r="F289" s="48"/>
      <c r="G289" s="49"/>
      <c r="H289" s="51"/>
      <c r="I289" s="49"/>
      <c r="J289" s="51"/>
      <c r="K289" s="49"/>
      <c r="L289" s="51"/>
      <c r="M289" s="51"/>
      <c r="N289" s="51"/>
      <c r="O289" s="49"/>
      <c r="P289" s="51"/>
      <c r="Q289" s="49"/>
      <c r="R289" s="51"/>
      <c r="S289" s="49"/>
      <c r="T289" s="51"/>
      <c r="U289" s="49"/>
      <c r="V289" s="51"/>
      <c r="W289" s="49"/>
      <c r="X289" s="51"/>
      <c r="Y289" s="49"/>
      <c r="Z289" s="51"/>
      <c r="AA289" s="49"/>
      <c r="AB289" s="51"/>
      <c r="AC289" s="49"/>
      <c r="AD289" s="51"/>
      <c r="AE289" s="49"/>
      <c r="AF289" s="51"/>
      <c r="AG289" s="49"/>
      <c r="AH289" s="51"/>
      <c r="AI289" s="49"/>
      <c r="AJ289" s="51"/>
      <c r="AK289" s="49"/>
      <c r="AL289" s="51"/>
      <c r="AM289" s="49"/>
      <c r="AN289" s="51"/>
      <c r="AO289" s="49"/>
      <c r="AP289" s="51"/>
      <c r="AQ289" s="49"/>
      <c r="AR289" s="51"/>
      <c r="AS289" s="49"/>
      <c r="AT289" s="51"/>
      <c r="AU289" s="49"/>
      <c r="AV289" s="51"/>
      <c r="AW289" s="51"/>
      <c r="AX289" s="51"/>
      <c r="AY289" s="49"/>
      <c r="AZ289" s="51"/>
      <c r="BA289" s="49"/>
      <c r="BB289" s="51"/>
      <c r="BC289" s="51"/>
      <c r="BD289" s="51"/>
      <c r="BE289" s="49"/>
      <c r="BF289" s="51"/>
      <c r="BG289" s="49"/>
      <c r="BH289" s="51"/>
      <c r="BI289" s="51"/>
      <c r="BJ289" s="51"/>
      <c r="BK289" s="51"/>
      <c r="BL289" s="51"/>
      <c r="BM289" s="51"/>
      <c r="BN289" s="51"/>
      <c r="BO289" s="51"/>
      <c r="BP289" s="51"/>
      <c r="BQ289" s="52">
        <f t="shared" si="99"/>
        <v>0</v>
      </c>
      <c r="BR289" s="52">
        <f t="shared" si="100"/>
        <v>0</v>
      </c>
      <c r="BS289" s="52">
        <f t="shared" si="101"/>
        <v>0</v>
      </c>
      <c r="BT289" s="52">
        <f t="shared" si="102"/>
        <v>0</v>
      </c>
      <c r="BU289" s="52">
        <f t="shared" si="103"/>
        <v>0</v>
      </c>
      <c r="BV289" s="65"/>
      <c r="BW289" s="52">
        <f t="shared" si="104"/>
        <v>0</v>
      </c>
      <c r="BX289" s="52">
        <f t="shared" si="105"/>
        <v>0</v>
      </c>
      <c r="BY289" s="52">
        <f t="shared" si="106"/>
        <v>0</v>
      </c>
      <c r="BZ289" s="66">
        <f t="shared" si="107"/>
        <v>0</v>
      </c>
      <c r="CA289" s="54">
        <f t="shared" si="108"/>
        <v>0</v>
      </c>
      <c r="CB289" s="55">
        <f t="shared" si="109"/>
        <v>0</v>
      </c>
      <c r="CC289" s="56">
        <f t="shared" si="110"/>
        <v>0</v>
      </c>
      <c r="CD289" s="57">
        <f t="shared" si="114"/>
        <v>-1</v>
      </c>
      <c r="CE289" s="49"/>
      <c r="CF289" s="77" t="e">
        <f t="shared" si="98"/>
        <v>#N/A</v>
      </c>
      <c r="CG289" s="58">
        <v>0</v>
      </c>
      <c r="CH289" s="57">
        <f t="shared" si="112"/>
        <v>0</v>
      </c>
      <c r="CI289" s="59" t="e">
        <f>VLOOKUP(A289,[1]DATA!$A$6:$AI$331,34,0)</f>
        <v>#N/A</v>
      </c>
      <c r="CJ289" s="60" t="e">
        <f>VLOOKUP(A289,[2]CHAMCONG!A$7:CI$333,79,0)</f>
        <v>#N/A</v>
      </c>
      <c r="CK289" s="61" t="e">
        <f t="shared" si="113"/>
        <v>#N/A</v>
      </c>
      <c r="CL289" s="62"/>
      <c r="CM289" s="62"/>
    </row>
    <row r="290" spans="1:91" s="75" customFormat="1" ht="18" customHeight="1" x14ac:dyDescent="0.25">
      <c r="A290" s="63"/>
      <c r="B290" s="64"/>
      <c r="C290" s="45"/>
      <c r="D290" s="46"/>
      <c r="E290" s="47"/>
      <c r="F290" s="48"/>
      <c r="G290" s="49"/>
      <c r="H290" s="51"/>
      <c r="I290" s="50"/>
      <c r="J290" s="51"/>
      <c r="K290" s="51"/>
      <c r="L290" s="51"/>
      <c r="M290" s="51"/>
      <c r="N290" s="51"/>
      <c r="O290" s="50"/>
      <c r="P290" s="51"/>
      <c r="Q290" s="51"/>
      <c r="R290" s="51"/>
      <c r="S290" s="51"/>
      <c r="T290" s="51"/>
      <c r="U290" s="49"/>
      <c r="V290" s="51"/>
      <c r="W290" s="50"/>
      <c r="X290" s="51"/>
      <c r="Y290" s="51"/>
      <c r="Z290" s="51"/>
      <c r="AA290" s="51"/>
      <c r="AB290" s="51"/>
      <c r="AC290" s="50"/>
      <c r="AD290" s="51"/>
      <c r="AE290" s="51"/>
      <c r="AF290" s="51"/>
      <c r="AG290" s="51"/>
      <c r="AH290" s="51"/>
      <c r="AI290" s="51"/>
      <c r="AJ290" s="51"/>
      <c r="AK290" s="50"/>
      <c r="AL290" s="51"/>
      <c r="AM290" s="51"/>
      <c r="AN290" s="51"/>
      <c r="AO290" s="51"/>
      <c r="AP290" s="51"/>
      <c r="AQ290" s="50"/>
      <c r="AR290" s="51"/>
      <c r="AS290" s="51"/>
      <c r="AT290" s="51"/>
      <c r="AU290" s="51"/>
      <c r="AV290" s="51"/>
      <c r="AW290" s="51"/>
      <c r="AX290" s="51"/>
      <c r="AY290" s="50"/>
      <c r="AZ290" s="51"/>
      <c r="BA290" s="51"/>
      <c r="BB290" s="51"/>
      <c r="BC290" s="51"/>
      <c r="BD290" s="51"/>
      <c r="BE290" s="50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2">
        <f t="shared" si="99"/>
        <v>0</v>
      </c>
      <c r="BR290" s="52">
        <f t="shared" si="100"/>
        <v>0</v>
      </c>
      <c r="BS290" s="52">
        <f t="shared" si="101"/>
        <v>0</v>
      </c>
      <c r="BT290" s="52">
        <f t="shared" si="102"/>
        <v>0</v>
      </c>
      <c r="BU290" s="52">
        <f t="shared" si="103"/>
        <v>0</v>
      </c>
      <c r="BV290" s="65"/>
      <c r="BW290" s="52">
        <f t="shared" si="104"/>
        <v>0</v>
      </c>
      <c r="BX290" s="52">
        <f t="shared" si="105"/>
        <v>0</v>
      </c>
      <c r="BY290" s="52">
        <f t="shared" si="106"/>
        <v>0</v>
      </c>
      <c r="BZ290" s="66">
        <f t="shared" si="107"/>
        <v>0</v>
      </c>
      <c r="CA290" s="54">
        <f t="shared" si="108"/>
        <v>0</v>
      </c>
      <c r="CB290" s="55">
        <f t="shared" si="109"/>
        <v>0</v>
      </c>
      <c r="CC290" s="56">
        <f t="shared" si="110"/>
        <v>0</v>
      </c>
      <c r="CD290" s="57">
        <f t="shared" si="114"/>
        <v>-1</v>
      </c>
      <c r="CE290" s="49"/>
      <c r="CF290" s="77" t="e">
        <f t="shared" si="98"/>
        <v>#N/A</v>
      </c>
      <c r="CG290" s="58">
        <v>0</v>
      </c>
      <c r="CH290" s="57">
        <f t="shared" si="112"/>
        <v>0</v>
      </c>
      <c r="CI290" s="59" t="e">
        <f>VLOOKUP(A290,[1]DATA!$A$6:$AI$331,34,0)</f>
        <v>#N/A</v>
      </c>
      <c r="CJ290" s="60" t="e">
        <f>VLOOKUP(A290,[2]CHAMCONG!A$7:CI$333,79,0)</f>
        <v>#N/A</v>
      </c>
      <c r="CK290" s="61" t="e">
        <f t="shared" si="113"/>
        <v>#N/A</v>
      </c>
      <c r="CL290" s="62"/>
      <c r="CM290" s="62"/>
    </row>
    <row r="291" spans="1:91" s="75" customFormat="1" ht="18" customHeight="1" x14ac:dyDescent="0.25">
      <c r="A291" s="63"/>
      <c r="B291" s="64"/>
      <c r="C291" s="45"/>
      <c r="D291" s="46"/>
      <c r="E291" s="47"/>
      <c r="F291" s="48"/>
      <c r="G291" s="49"/>
      <c r="H291" s="51"/>
      <c r="I291" s="50"/>
      <c r="J291" s="51"/>
      <c r="K291" s="50"/>
      <c r="L291" s="51"/>
      <c r="M291" s="50"/>
      <c r="N291" s="51"/>
      <c r="O291" s="50"/>
      <c r="P291" s="51"/>
      <c r="Q291" s="50"/>
      <c r="R291" s="51"/>
      <c r="S291" s="50"/>
      <c r="T291" s="51"/>
      <c r="U291" s="50"/>
      <c r="V291" s="51"/>
      <c r="W291" s="50"/>
      <c r="X291" s="51"/>
      <c r="Y291" s="50"/>
      <c r="Z291" s="51"/>
      <c r="AA291" s="50"/>
      <c r="AB291" s="51"/>
      <c r="AC291" s="50"/>
      <c r="AD291" s="51"/>
      <c r="AE291" s="50"/>
      <c r="AF291" s="67"/>
      <c r="AG291" s="50"/>
      <c r="AH291" s="51"/>
      <c r="AI291" s="50"/>
      <c r="AJ291" s="51"/>
      <c r="AK291" s="50"/>
      <c r="AL291" s="51"/>
      <c r="AM291" s="50"/>
      <c r="AN291" s="51"/>
      <c r="AO291" s="50"/>
      <c r="AP291" s="51"/>
      <c r="AQ291" s="50"/>
      <c r="AR291" s="51"/>
      <c r="AS291" s="50"/>
      <c r="AT291" s="67"/>
      <c r="AU291" s="50"/>
      <c r="AV291" s="51"/>
      <c r="AW291" s="51"/>
      <c r="AX291" s="51"/>
      <c r="AY291" s="50"/>
      <c r="AZ291" s="51"/>
      <c r="BA291" s="50"/>
      <c r="BB291" s="51"/>
      <c r="BC291" s="50"/>
      <c r="BD291" s="51"/>
      <c r="BE291" s="50"/>
      <c r="BF291" s="51"/>
      <c r="BG291" s="50"/>
      <c r="BH291" s="67"/>
      <c r="BI291" s="51"/>
      <c r="BJ291" s="51"/>
      <c r="BK291" s="51"/>
      <c r="BL291" s="51"/>
      <c r="BM291" s="51"/>
      <c r="BN291" s="51"/>
      <c r="BO291" s="51"/>
      <c r="BP291" s="51"/>
      <c r="BQ291" s="52">
        <f t="shared" si="99"/>
        <v>0</v>
      </c>
      <c r="BR291" s="52">
        <f t="shared" si="100"/>
        <v>0</v>
      </c>
      <c r="BS291" s="52">
        <f t="shared" si="101"/>
        <v>0</v>
      </c>
      <c r="BT291" s="52">
        <f t="shared" si="102"/>
        <v>0</v>
      </c>
      <c r="BU291" s="52">
        <f t="shared" si="103"/>
        <v>0</v>
      </c>
      <c r="BV291" s="65"/>
      <c r="BW291" s="52">
        <f t="shared" si="104"/>
        <v>0</v>
      </c>
      <c r="BX291" s="52">
        <f t="shared" si="105"/>
        <v>0</v>
      </c>
      <c r="BY291" s="52">
        <f t="shared" si="106"/>
        <v>0</v>
      </c>
      <c r="BZ291" s="66">
        <f t="shared" si="107"/>
        <v>0</v>
      </c>
      <c r="CA291" s="54">
        <f t="shared" si="108"/>
        <v>0</v>
      </c>
      <c r="CB291" s="55">
        <f t="shared" si="109"/>
        <v>0</v>
      </c>
      <c r="CC291" s="56">
        <f t="shared" si="110"/>
        <v>0</v>
      </c>
      <c r="CD291" s="57">
        <f t="shared" si="114"/>
        <v>-1</v>
      </c>
      <c r="CE291" s="49">
        <v>3</v>
      </c>
      <c r="CF291" s="77" t="e">
        <f t="shared" si="98"/>
        <v>#N/A</v>
      </c>
      <c r="CG291" s="58">
        <v>0</v>
      </c>
      <c r="CH291" s="57">
        <f t="shared" si="112"/>
        <v>48</v>
      </c>
      <c r="CI291" s="59" t="e">
        <f>VLOOKUP(A291,[1]DATA!$A$6:$AI$331,34,0)</f>
        <v>#N/A</v>
      </c>
      <c r="CJ291" s="60" t="e">
        <f>VLOOKUP(A291,[2]CHAMCONG!A$7:CI$333,79,0)</f>
        <v>#N/A</v>
      </c>
      <c r="CK291" s="61" t="e">
        <f t="shared" si="113"/>
        <v>#N/A</v>
      </c>
      <c r="CL291" s="62"/>
      <c r="CM291" s="62"/>
    </row>
    <row r="292" spans="1:91" s="75" customFormat="1" ht="18" customHeight="1" x14ac:dyDescent="0.25">
      <c r="A292" s="63"/>
      <c r="B292" s="64"/>
      <c r="C292" s="45"/>
      <c r="D292" s="46"/>
      <c r="E292" s="47"/>
      <c r="F292" s="48"/>
      <c r="G292" s="49"/>
      <c r="H292" s="51"/>
      <c r="I292" s="50"/>
      <c r="J292" s="51"/>
      <c r="K292" s="51"/>
      <c r="L292" s="51"/>
      <c r="M292" s="51"/>
      <c r="N292" s="51"/>
      <c r="O292" s="50"/>
      <c r="P292" s="51"/>
      <c r="Q292" s="51"/>
      <c r="R292" s="51"/>
      <c r="S292" s="51"/>
      <c r="T292" s="51"/>
      <c r="U292" s="49"/>
      <c r="V292" s="51"/>
      <c r="W292" s="50"/>
      <c r="X292" s="51"/>
      <c r="Y292" s="51"/>
      <c r="Z292" s="51"/>
      <c r="AA292" s="51"/>
      <c r="AB292" s="51"/>
      <c r="AC292" s="50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2">
        <f t="shared" si="99"/>
        <v>0</v>
      </c>
      <c r="BR292" s="52">
        <f t="shared" si="100"/>
        <v>0</v>
      </c>
      <c r="BS292" s="52">
        <f t="shared" si="101"/>
        <v>0</v>
      </c>
      <c r="BT292" s="52">
        <f t="shared" si="102"/>
        <v>0</v>
      </c>
      <c r="BU292" s="52">
        <f t="shared" si="103"/>
        <v>0</v>
      </c>
      <c r="BV292" s="65"/>
      <c r="BW292" s="52">
        <f t="shared" si="104"/>
        <v>0</v>
      </c>
      <c r="BX292" s="52">
        <f t="shared" si="105"/>
        <v>0</v>
      </c>
      <c r="BY292" s="52">
        <f t="shared" si="106"/>
        <v>0</v>
      </c>
      <c r="BZ292" s="66">
        <f t="shared" si="107"/>
        <v>0</v>
      </c>
      <c r="CA292" s="54">
        <f t="shared" si="108"/>
        <v>0</v>
      </c>
      <c r="CB292" s="55">
        <f t="shared" si="109"/>
        <v>0</v>
      </c>
      <c r="CC292" s="56">
        <f t="shared" si="110"/>
        <v>0</v>
      </c>
      <c r="CD292" s="57"/>
      <c r="CE292" s="49"/>
      <c r="CF292" s="77" t="e">
        <f t="shared" si="98"/>
        <v>#N/A</v>
      </c>
      <c r="CG292" s="58">
        <v>0</v>
      </c>
      <c r="CH292" s="57">
        <f t="shared" si="112"/>
        <v>0</v>
      </c>
      <c r="CI292" s="59" t="e">
        <f>VLOOKUP(A292,[1]DATA!$A$6:$AI$331,34,0)</f>
        <v>#N/A</v>
      </c>
      <c r="CJ292" s="60" t="e">
        <f>VLOOKUP(A292,[2]CHAMCONG!A$7:CI$333,79,0)</f>
        <v>#N/A</v>
      </c>
      <c r="CK292" s="61" t="e">
        <f t="shared" si="113"/>
        <v>#N/A</v>
      </c>
      <c r="CL292" s="62"/>
      <c r="CM292" s="62"/>
    </row>
    <row r="293" spans="1:91" s="75" customFormat="1" ht="18" customHeight="1" x14ac:dyDescent="0.25">
      <c r="A293" s="63"/>
      <c r="B293" s="64"/>
      <c r="C293" s="45"/>
      <c r="D293" s="46"/>
      <c r="E293" s="47"/>
      <c r="F293" s="48"/>
      <c r="G293" s="49"/>
      <c r="H293" s="51"/>
      <c r="I293" s="50"/>
      <c r="J293" s="51"/>
      <c r="K293" s="51"/>
      <c r="L293" s="51"/>
      <c r="M293" s="51"/>
      <c r="N293" s="51"/>
      <c r="O293" s="50"/>
      <c r="P293" s="51"/>
      <c r="Q293" s="49"/>
      <c r="R293" s="51"/>
      <c r="S293" s="49"/>
      <c r="T293" s="51"/>
      <c r="U293" s="49"/>
      <c r="V293" s="51"/>
      <c r="W293" s="49"/>
      <c r="X293" s="51"/>
      <c r="Y293" s="49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2">
        <f t="shared" si="99"/>
        <v>0</v>
      </c>
      <c r="BR293" s="52">
        <f t="shared" si="100"/>
        <v>0</v>
      </c>
      <c r="BS293" s="52">
        <f t="shared" si="101"/>
        <v>0</v>
      </c>
      <c r="BT293" s="52">
        <f t="shared" si="102"/>
        <v>0</v>
      </c>
      <c r="BU293" s="52">
        <f t="shared" si="103"/>
        <v>0</v>
      </c>
      <c r="BV293" s="65"/>
      <c r="BW293" s="52">
        <f t="shared" si="104"/>
        <v>0</v>
      </c>
      <c r="BX293" s="52">
        <f t="shared" si="105"/>
        <v>0</v>
      </c>
      <c r="BY293" s="52">
        <f t="shared" si="106"/>
        <v>0</v>
      </c>
      <c r="BZ293" s="66">
        <f t="shared" si="107"/>
        <v>0</v>
      </c>
      <c r="CA293" s="54">
        <f t="shared" si="108"/>
        <v>0</v>
      </c>
      <c r="CB293" s="55">
        <f t="shared" si="109"/>
        <v>0</v>
      </c>
      <c r="CC293" s="56">
        <f t="shared" si="110"/>
        <v>0</v>
      </c>
      <c r="CD293" s="57"/>
      <c r="CE293" s="49"/>
      <c r="CF293" s="77" t="e">
        <f t="shared" si="98"/>
        <v>#N/A</v>
      </c>
      <c r="CG293" s="58">
        <v>0</v>
      </c>
      <c r="CH293" s="57">
        <f t="shared" si="112"/>
        <v>0</v>
      </c>
      <c r="CI293" s="59" t="e">
        <f>VLOOKUP(A293,[1]DATA!$A$6:$AI$331,34,0)</f>
        <v>#N/A</v>
      </c>
      <c r="CJ293" s="60" t="e">
        <f>VLOOKUP(A293,[2]CHAMCONG!A$7:CI$333,79,0)</f>
        <v>#N/A</v>
      </c>
      <c r="CK293" s="61" t="e">
        <f t="shared" si="113"/>
        <v>#N/A</v>
      </c>
      <c r="CL293" s="62"/>
      <c r="CM293" s="62"/>
    </row>
    <row r="294" spans="1:91" s="75" customFormat="1" ht="18" customHeight="1" x14ac:dyDescent="0.25">
      <c r="A294" s="63"/>
      <c r="B294" s="64"/>
      <c r="C294" s="45"/>
      <c r="D294" s="46"/>
      <c r="E294" s="47"/>
      <c r="F294" s="48"/>
      <c r="G294" s="49"/>
      <c r="H294" s="51"/>
      <c r="I294" s="49"/>
      <c r="J294" s="51"/>
      <c r="K294" s="49"/>
      <c r="L294" s="51"/>
      <c r="M294" s="49"/>
      <c r="N294" s="51"/>
      <c r="O294" s="49"/>
      <c r="P294" s="51"/>
      <c r="Q294" s="50"/>
      <c r="R294" s="51"/>
      <c r="S294" s="50"/>
      <c r="T294" s="51"/>
      <c r="U294" s="50"/>
      <c r="V294" s="51"/>
      <c r="W294" s="50"/>
      <c r="X294" s="51"/>
      <c r="Y294" s="50"/>
      <c r="Z294" s="51"/>
      <c r="AA294" s="50"/>
      <c r="AB294" s="51"/>
      <c r="AC294" s="50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2">
        <f t="shared" si="99"/>
        <v>0</v>
      </c>
      <c r="BR294" s="52">
        <f t="shared" si="100"/>
        <v>0</v>
      </c>
      <c r="BS294" s="52">
        <f t="shared" si="101"/>
        <v>0</v>
      </c>
      <c r="BT294" s="52">
        <f t="shared" si="102"/>
        <v>0</v>
      </c>
      <c r="BU294" s="52">
        <f t="shared" si="103"/>
        <v>0</v>
      </c>
      <c r="BV294" s="65"/>
      <c r="BW294" s="52">
        <f t="shared" si="104"/>
        <v>0</v>
      </c>
      <c r="BX294" s="52">
        <f t="shared" si="105"/>
        <v>0</v>
      </c>
      <c r="BY294" s="52">
        <f t="shared" si="106"/>
        <v>0</v>
      </c>
      <c r="BZ294" s="66">
        <f t="shared" si="107"/>
        <v>0</v>
      </c>
      <c r="CA294" s="54">
        <f t="shared" si="108"/>
        <v>0</v>
      </c>
      <c r="CB294" s="55">
        <f t="shared" si="109"/>
        <v>0</v>
      </c>
      <c r="CC294" s="56">
        <f t="shared" si="110"/>
        <v>0</v>
      </c>
      <c r="CD294" s="57">
        <f t="shared" si="114"/>
        <v>-1</v>
      </c>
      <c r="CE294" s="49"/>
      <c r="CF294" s="77" t="e">
        <f t="shared" si="98"/>
        <v>#N/A</v>
      </c>
      <c r="CG294" s="58">
        <f t="shared" si="111"/>
        <v>1</v>
      </c>
      <c r="CH294" s="57">
        <f t="shared" si="112"/>
        <v>0</v>
      </c>
      <c r="CI294" s="59" t="e">
        <f>VLOOKUP(A294,[1]DATA!$A$6:$AI$331,34,0)</f>
        <v>#N/A</v>
      </c>
      <c r="CJ294" s="60" t="e">
        <f>VLOOKUP(A294,[2]CHAMCONG!A$7:CI$333,79,0)</f>
        <v>#N/A</v>
      </c>
      <c r="CK294" s="61" t="e">
        <f t="shared" si="113"/>
        <v>#N/A</v>
      </c>
      <c r="CL294" s="62"/>
      <c r="CM294" s="62"/>
    </row>
    <row r="295" spans="1:91" s="75" customFormat="1" ht="18" customHeight="1" x14ac:dyDescent="0.25">
      <c r="A295" s="63"/>
      <c r="B295" s="64"/>
      <c r="C295" s="45"/>
      <c r="D295" s="46"/>
      <c r="E295" s="47"/>
      <c r="F295" s="48"/>
      <c r="G295" s="49"/>
      <c r="H295" s="51"/>
      <c r="I295" s="49"/>
      <c r="J295" s="51"/>
      <c r="K295" s="49"/>
      <c r="L295" s="51"/>
      <c r="M295" s="51"/>
      <c r="N295" s="51"/>
      <c r="O295" s="50"/>
      <c r="P295" s="51"/>
      <c r="Q295" s="50"/>
      <c r="R295" s="51"/>
      <c r="S295" s="50"/>
      <c r="T295" s="51"/>
      <c r="U295" s="49"/>
      <c r="V295" s="51"/>
      <c r="W295" s="50"/>
      <c r="X295" s="51"/>
      <c r="Y295" s="50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2">
        <f t="shared" si="99"/>
        <v>0</v>
      </c>
      <c r="BR295" s="52">
        <f t="shared" si="100"/>
        <v>0</v>
      </c>
      <c r="BS295" s="52">
        <f t="shared" si="101"/>
        <v>0</v>
      </c>
      <c r="BT295" s="52">
        <f t="shared" si="102"/>
        <v>0</v>
      </c>
      <c r="BU295" s="52">
        <f t="shared" si="103"/>
        <v>0</v>
      </c>
      <c r="BV295" s="65"/>
      <c r="BW295" s="52">
        <f t="shared" si="104"/>
        <v>0</v>
      </c>
      <c r="BX295" s="52">
        <f t="shared" si="105"/>
        <v>0</v>
      </c>
      <c r="BY295" s="52">
        <f t="shared" si="106"/>
        <v>0</v>
      </c>
      <c r="BZ295" s="66">
        <f t="shared" si="107"/>
        <v>0</v>
      </c>
      <c r="CA295" s="54">
        <f t="shared" si="108"/>
        <v>0</v>
      </c>
      <c r="CB295" s="55">
        <f t="shared" si="109"/>
        <v>0</v>
      </c>
      <c r="CC295" s="56">
        <f t="shared" si="110"/>
        <v>0</v>
      </c>
      <c r="CD295" s="57">
        <f t="shared" si="114"/>
        <v>-1</v>
      </c>
      <c r="CE295" s="49"/>
      <c r="CF295" s="77" t="e">
        <f t="shared" si="98"/>
        <v>#N/A</v>
      </c>
      <c r="CG295" s="58">
        <f t="shared" si="111"/>
        <v>1</v>
      </c>
      <c r="CH295" s="57">
        <f t="shared" si="112"/>
        <v>0</v>
      </c>
      <c r="CI295" s="59" t="e">
        <f>VLOOKUP(A295,[1]DATA!$A$6:$AI$331,34,0)</f>
        <v>#N/A</v>
      </c>
      <c r="CJ295" s="60" t="e">
        <f>VLOOKUP(A295,[2]CHAMCONG!A$7:CI$333,79,0)</f>
        <v>#N/A</v>
      </c>
      <c r="CK295" s="61" t="e">
        <f t="shared" si="113"/>
        <v>#N/A</v>
      </c>
      <c r="CL295" s="62"/>
      <c r="CM295" s="62"/>
    </row>
    <row r="296" spans="1:91" s="75" customFormat="1" ht="18" customHeight="1" x14ac:dyDescent="0.25">
      <c r="A296" s="63"/>
      <c r="B296" s="64"/>
      <c r="C296" s="45"/>
      <c r="D296" s="46"/>
      <c r="E296" s="47"/>
      <c r="F296" s="48"/>
      <c r="G296" s="49"/>
      <c r="H296" s="51"/>
      <c r="I296" s="49"/>
      <c r="J296" s="51"/>
      <c r="K296" s="49"/>
      <c r="L296" s="51"/>
      <c r="M296" s="49"/>
      <c r="N296" s="51"/>
      <c r="O296" s="49"/>
      <c r="P296" s="51"/>
      <c r="Q296" s="50"/>
      <c r="R296" s="51"/>
      <c r="S296" s="50"/>
      <c r="T296" s="51"/>
      <c r="U296" s="50"/>
      <c r="V296" s="51"/>
      <c r="W296" s="50"/>
      <c r="X296" s="51"/>
      <c r="Y296" s="50"/>
      <c r="Z296" s="51"/>
      <c r="AA296" s="50"/>
      <c r="AB296" s="51"/>
      <c r="AC296" s="50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2">
        <f t="shared" si="99"/>
        <v>0</v>
      </c>
      <c r="BR296" s="52">
        <f t="shared" si="100"/>
        <v>0</v>
      </c>
      <c r="BS296" s="52">
        <f t="shared" si="101"/>
        <v>0</v>
      </c>
      <c r="BT296" s="52">
        <f t="shared" si="102"/>
        <v>0</v>
      </c>
      <c r="BU296" s="52">
        <f t="shared" si="103"/>
        <v>0</v>
      </c>
      <c r="BV296" s="65"/>
      <c r="BW296" s="52">
        <f t="shared" si="104"/>
        <v>0</v>
      </c>
      <c r="BX296" s="52">
        <f t="shared" si="105"/>
        <v>0</v>
      </c>
      <c r="BY296" s="52">
        <f t="shared" si="106"/>
        <v>0</v>
      </c>
      <c r="BZ296" s="66">
        <f t="shared" si="107"/>
        <v>0</v>
      </c>
      <c r="CA296" s="54">
        <f t="shared" si="108"/>
        <v>0</v>
      </c>
      <c r="CB296" s="55">
        <f t="shared" si="109"/>
        <v>0</v>
      </c>
      <c r="CC296" s="56">
        <f t="shared" si="110"/>
        <v>0</v>
      </c>
      <c r="CD296" s="57">
        <f t="shared" si="114"/>
        <v>-1</v>
      </c>
      <c r="CE296" s="49">
        <v>1</v>
      </c>
      <c r="CF296" s="77" t="e">
        <f t="shared" si="98"/>
        <v>#N/A</v>
      </c>
      <c r="CG296" s="58">
        <f t="shared" si="111"/>
        <v>1</v>
      </c>
      <c r="CH296" s="57">
        <f t="shared" si="112"/>
        <v>16</v>
      </c>
      <c r="CI296" s="59" t="e">
        <f>VLOOKUP(A296,[1]DATA!$A$6:$AI$331,34,0)</f>
        <v>#N/A</v>
      </c>
      <c r="CJ296" s="60" t="e">
        <f>VLOOKUP(A296,[2]CHAMCONG!A$7:CI$333,79,0)</f>
        <v>#N/A</v>
      </c>
      <c r="CK296" s="61" t="e">
        <f t="shared" si="113"/>
        <v>#N/A</v>
      </c>
      <c r="CL296" s="62"/>
      <c r="CM296" s="62"/>
    </row>
    <row r="297" spans="1:91" s="75" customFormat="1" ht="18" customHeight="1" x14ac:dyDescent="0.25">
      <c r="A297" s="63"/>
      <c r="B297" s="64"/>
      <c r="C297" s="45"/>
      <c r="D297" s="46"/>
      <c r="E297" s="47"/>
      <c r="F297" s="48"/>
      <c r="G297" s="49"/>
      <c r="H297" s="51"/>
      <c r="I297" s="49"/>
      <c r="J297" s="51"/>
      <c r="K297" s="49"/>
      <c r="L297" s="51"/>
      <c r="M297" s="49"/>
      <c r="N297" s="51"/>
      <c r="O297" s="49"/>
      <c r="P297" s="51"/>
      <c r="Q297" s="50"/>
      <c r="R297" s="51"/>
      <c r="S297" s="50"/>
      <c r="T297" s="51"/>
      <c r="U297" s="50"/>
      <c r="V297" s="51"/>
      <c r="W297" s="50"/>
      <c r="X297" s="51"/>
      <c r="Y297" s="50"/>
      <c r="Z297" s="51"/>
      <c r="AA297" s="50"/>
      <c r="AB297" s="51"/>
      <c r="AC297" s="50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2">
        <f t="shared" si="99"/>
        <v>0</v>
      </c>
      <c r="BR297" s="52">
        <f t="shared" si="100"/>
        <v>0</v>
      </c>
      <c r="BS297" s="52">
        <f t="shared" si="101"/>
        <v>0</v>
      </c>
      <c r="BT297" s="52">
        <f t="shared" si="102"/>
        <v>0</v>
      </c>
      <c r="BU297" s="52">
        <f t="shared" si="103"/>
        <v>0</v>
      </c>
      <c r="BV297" s="65"/>
      <c r="BW297" s="52">
        <f t="shared" si="104"/>
        <v>0</v>
      </c>
      <c r="BX297" s="52">
        <f t="shared" si="105"/>
        <v>0</v>
      </c>
      <c r="BY297" s="52">
        <f t="shared" si="106"/>
        <v>0</v>
      </c>
      <c r="BZ297" s="66">
        <f t="shared" si="107"/>
        <v>0</v>
      </c>
      <c r="CA297" s="54">
        <f t="shared" si="108"/>
        <v>0</v>
      </c>
      <c r="CB297" s="55">
        <f t="shared" si="109"/>
        <v>0</v>
      </c>
      <c r="CC297" s="56">
        <f t="shared" si="110"/>
        <v>0</v>
      </c>
      <c r="CD297" s="57">
        <f t="shared" si="114"/>
        <v>-1</v>
      </c>
      <c r="CE297" s="49">
        <v>1</v>
      </c>
      <c r="CF297" s="77" t="e">
        <f t="shared" si="98"/>
        <v>#N/A</v>
      </c>
      <c r="CG297" s="58">
        <f t="shared" si="111"/>
        <v>1</v>
      </c>
      <c r="CH297" s="57">
        <f t="shared" si="112"/>
        <v>16</v>
      </c>
      <c r="CI297" s="59" t="e">
        <f>VLOOKUP(A297,[1]DATA!$A$6:$AI$331,34,0)</f>
        <v>#N/A</v>
      </c>
      <c r="CJ297" s="60" t="e">
        <f>VLOOKUP(A297,[2]CHAMCONG!A$7:CI$333,79,0)</f>
        <v>#N/A</v>
      </c>
      <c r="CK297" s="61" t="e">
        <f t="shared" si="113"/>
        <v>#N/A</v>
      </c>
      <c r="CL297" s="62"/>
      <c r="CM297" s="62"/>
    </row>
    <row r="298" spans="1:91" s="75" customFormat="1" ht="18" customHeight="1" x14ac:dyDescent="0.25">
      <c r="A298" s="63"/>
      <c r="B298" s="64"/>
      <c r="C298" s="45"/>
      <c r="D298" s="46"/>
      <c r="E298" s="47"/>
      <c r="F298" s="48"/>
      <c r="G298" s="49"/>
      <c r="H298" s="51"/>
      <c r="I298" s="49"/>
      <c r="J298" s="51"/>
      <c r="K298" s="49"/>
      <c r="L298" s="51"/>
      <c r="M298" s="49"/>
      <c r="N298" s="51"/>
      <c r="O298" s="49"/>
      <c r="P298" s="51"/>
      <c r="Q298" s="50"/>
      <c r="R298" s="51"/>
      <c r="S298" s="50"/>
      <c r="T298" s="51"/>
      <c r="U298" s="50"/>
      <c r="V298" s="51"/>
      <c r="W298" s="50"/>
      <c r="X298" s="51"/>
      <c r="Y298" s="50"/>
      <c r="Z298" s="51"/>
      <c r="AA298" s="50"/>
      <c r="AB298" s="51"/>
      <c r="AC298" s="50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2">
        <f t="shared" si="99"/>
        <v>0</v>
      </c>
      <c r="BR298" s="52">
        <f t="shared" si="100"/>
        <v>0</v>
      </c>
      <c r="BS298" s="52">
        <f t="shared" si="101"/>
        <v>0</v>
      </c>
      <c r="BT298" s="52">
        <f t="shared" si="102"/>
        <v>0</v>
      </c>
      <c r="BU298" s="52">
        <f t="shared" si="103"/>
        <v>0</v>
      </c>
      <c r="BV298" s="65"/>
      <c r="BW298" s="52">
        <f t="shared" si="104"/>
        <v>0</v>
      </c>
      <c r="BX298" s="52">
        <f t="shared" si="105"/>
        <v>0</v>
      </c>
      <c r="BY298" s="52">
        <f t="shared" si="106"/>
        <v>0</v>
      </c>
      <c r="BZ298" s="66">
        <f t="shared" si="107"/>
        <v>0</v>
      </c>
      <c r="CA298" s="54">
        <f t="shared" si="108"/>
        <v>0</v>
      </c>
      <c r="CB298" s="55">
        <f t="shared" si="109"/>
        <v>0</v>
      </c>
      <c r="CC298" s="56">
        <f t="shared" si="110"/>
        <v>0</v>
      </c>
      <c r="CD298" s="57">
        <f t="shared" si="114"/>
        <v>-1</v>
      </c>
      <c r="CE298" s="49"/>
      <c r="CF298" s="77" t="e">
        <f t="shared" si="98"/>
        <v>#N/A</v>
      </c>
      <c r="CG298" s="58">
        <f t="shared" si="111"/>
        <v>1</v>
      </c>
      <c r="CH298" s="57">
        <f t="shared" si="112"/>
        <v>0</v>
      </c>
      <c r="CI298" s="59" t="e">
        <f>VLOOKUP(A298,[1]DATA!$A$6:$AI$331,34,0)</f>
        <v>#N/A</v>
      </c>
      <c r="CJ298" s="60" t="e">
        <f>VLOOKUP(A298,[2]CHAMCONG!A$7:CI$333,79,0)</f>
        <v>#N/A</v>
      </c>
      <c r="CK298" s="61" t="e">
        <f t="shared" si="113"/>
        <v>#N/A</v>
      </c>
      <c r="CL298" s="62"/>
      <c r="CM298" s="62"/>
    </row>
    <row r="299" spans="1:91" s="75" customFormat="1" ht="18" customHeight="1" x14ac:dyDescent="0.25">
      <c r="A299" s="63"/>
      <c r="B299" s="64"/>
      <c r="C299" s="45"/>
      <c r="D299" s="46"/>
      <c r="E299" s="47"/>
      <c r="F299" s="48"/>
      <c r="G299" s="49"/>
      <c r="H299" s="51"/>
      <c r="I299" s="49"/>
      <c r="J299" s="51"/>
      <c r="K299" s="49"/>
      <c r="L299" s="51"/>
      <c r="M299" s="49"/>
      <c r="N299" s="51"/>
      <c r="O299" s="49"/>
      <c r="P299" s="51"/>
      <c r="Q299" s="49"/>
      <c r="R299" s="51"/>
      <c r="S299" s="49"/>
      <c r="T299" s="51"/>
      <c r="U299" s="49"/>
      <c r="V299" s="51"/>
      <c r="W299" s="49"/>
      <c r="X299" s="51"/>
      <c r="Y299" s="49"/>
      <c r="Z299" s="51"/>
      <c r="AA299" s="49"/>
      <c r="AB299" s="51"/>
      <c r="AC299" s="49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2">
        <f t="shared" si="99"/>
        <v>0</v>
      </c>
      <c r="BR299" s="52">
        <f t="shared" si="100"/>
        <v>0</v>
      </c>
      <c r="BS299" s="52">
        <f t="shared" si="101"/>
        <v>0</v>
      </c>
      <c r="BT299" s="52">
        <f t="shared" si="102"/>
        <v>0</v>
      </c>
      <c r="BU299" s="52">
        <f t="shared" si="103"/>
        <v>0</v>
      </c>
      <c r="BV299" s="65"/>
      <c r="BW299" s="52">
        <f t="shared" si="104"/>
        <v>0</v>
      </c>
      <c r="BX299" s="52">
        <f t="shared" si="105"/>
        <v>0</v>
      </c>
      <c r="BY299" s="52">
        <f t="shared" si="106"/>
        <v>0</v>
      </c>
      <c r="BZ299" s="66">
        <f t="shared" si="107"/>
        <v>0</v>
      </c>
      <c r="CA299" s="54">
        <f t="shared" si="108"/>
        <v>0</v>
      </c>
      <c r="CB299" s="55">
        <f t="shared" si="109"/>
        <v>0</v>
      </c>
      <c r="CC299" s="56">
        <f t="shared" si="110"/>
        <v>0</v>
      </c>
      <c r="CD299" s="57">
        <f t="shared" si="114"/>
        <v>-1</v>
      </c>
      <c r="CE299" s="49">
        <v>1</v>
      </c>
      <c r="CF299" s="77" t="e">
        <f t="shared" si="98"/>
        <v>#N/A</v>
      </c>
      <c r="CG299" s="58">
        <f t="shared" si="111"/>
        <v>1</v>
      </c>
      <c r="CH299" s="57">
        <f t="shared" si="112"/>
        <v>16</v>
      </c>
      <c r="CI299" s="59" t="e">
        <f>VLOOKUP(A299,[1]DATA!$A$6:$AI$331,34,0)</f>
        <v>#N/A</v>
      </c>
      <c r="CJ299" s="60" t="e">
        <f>VLOOKUP(A299,[2]CHAMCONG!A$7:CI$333,79,0)</f>
        <v>#N/A</v>
      </c>
      <c r="CK299" s="61" t="e">
        <f t="shared" si="113"/>
        <v>#N/A</v>
      </c>
      <c r="CL299" s="62"/>
      <c r="CM299" s="62"/>
    </row>
    <row r="300" spans="1:91" s="75" customFormat="1" ht="18" customHeight="1" x14ac:dyDescent="0.25">
      <c r="A300" s="63"/>
      <c r="B300" s="64"/>
      <c r="C300" s="45"/>
      <c r="D300" s="46"/>
      <c r="E300" s="47"/>
      <c r="F300" s="48"/>
      <c r="G300" s="49"/>
      <c r="H300" s="51"/>
      <c r="I300" s="49"/>
      <c r="J300" s="51"/>
      <c r="K300" s="49"/>
      <c r="L300" s="51"/>
      <c r="M300" s="51"/>
      <c r="N300" s="51"/>
      <c r="O300" s="49"/>
      <c r="P300" s="51"/>
      <c r="Q300" s="49"/>
      <c r="R300" s="51"/>
      <c r="S300" s="49"/>
      <c r="T300" s="51"/>
      <c r="U300" s="49"/>
      <c r="V300" s="51"/>
      <c r="W300" s="49"/>
      <c r="X300" s="51"/>
      <c r="Y300" s="49"/>
      <c r="Z300" s="51"/>
      <c r="AA300" s="51"/>
      <c r="AB300" s="51"/>
      <c r="AC300" s="50"/>
      <c r="AD300" s="51"/>
      <c r="AE300" s="50"/>
      <c r="AF300" s="67"/>
      <c r="AG300" s="50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2">
        <f t="shared" si="99"/>
        <v>0</v>
      </c>
      <c r="BR300" s="52">
        <f t="shared" si="100"/>
        <v>0</v>
      </c>
      <c r="BS300" s="52">
        <f t="shared" si="101"/>
        <v>0</v>
      </c>
      <c r="BT300" s="52">
        <f t="shared" si="102"/>
        <v>0</v>
      </c>
      <c r="BU300" s="52">
        <f t="shared" si="103"/>
        <v>0</v>
      </c>
      <c r="BV300" s="65"/>
      <c r="BW300" s="52">
        <f t="shared" si="104"/>
        <v>0</v>
      </c>
      <c r="BX300" s="52">
        <f t="shared" si="105"/>
        <v>0</v>
      </c>
      <c r="BY300" s="52">
        <f t="shared" si="106"/>
        <v>0</v>
      </c>
      <c r="BZ300" s="66">
        <f t="shared" si="107"/>
        <v>0</v>
      </c>
      <c r="CA300" s="54">
        <f t="shared" si="108"/>
        <v>0</v>
      </c>
      <c r="CB300" s="55">
        <f t="shared" si="109"/>
        <v>0</v>
      </c>
      <c r="CC300" s="56">
        <f t="shared" si="110"/>
        <v>0</v>
      </c>
      <c r="CD300" s="57">
        <f t="shared" si="114"/>
        <v>-1</v>
      </c>
      <c r="CE300" s="49"/>
      <c r="CF300" s="77" t="e">
        <f t="shared" si="98"/>
        <v>#N/A</v>
      </c>
      <c r="CG300" s="58">
        <v>0</v>
      </c>
      <c r="CH300" s="57">
        <f t="shared" si="112"/>
        <v>0</v>
      </c>
      <c r="CI300" s="59" t="e">
        <f>VLOOKUP(A300,[1]DATA!$A$6:$AI$331,34,0)</f>
        <v>#N/A</v>
      </c>
      <c r="CJ300" s="60" t="e">
        <f>VLOOKUP(A300,[2]CHAMCONG!A$7:CI$333,79,0)</f>
        <v>#N/A</v>
      </c>
      <c r="CK300" s="61" t="e">
        <f t="shared" si="113"/>
        <v>#N/A</v>
      </c>
      <c r="CL300" s="62"/>
      <c r="CM300" s="62"/>
    </row>
    <row r="301" spans="1:91" s="75" customFormat="1" ht="18" customHeight="1" x14ac:dyDescent="0.25">
      <c r="A301" s="63"/>
      <c r="B301" s="64"/>
      <c r="C301" s="45"/>
      <c r="D301" s="46"/>
      <c r="E301" s="47"/>
      <c r="F301" s="48"/>
      <c r="G301" s="49"/>
      <c r="H301" s="51"/>
      <c r="I301" s="49"/>
      <c r="J301" s="51"/>
      <c r="K301" s="49"/>
      <c r="L301" s="51"/>
      <c r="M301" s="49"/>
      <c r="N301" s="51"/>
      <c r="O301" s="49"/>
      <c r="P301" s="51"/>
      <c r="Q301" s="49"/>
      <c r="R301" s="51"/>
      <c r="S301" s="49"/>
      <c r="T301" s="51"/>
      <c r="U301" s="49"/>
      <c r="V301" s="51"/>
      <c r="W301" s="49"/>
      <c r="X301" s="51"/>
      <c r="Y301" s="49"/>
      <c r="Z301" s="51"/>
      <c r="AA301" s="49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49"/>
      <c r="AR301" s="51"/>
      <c r="AS301" s="49"/>
      <c r="AT301" s="49"/>
      <c r="AU301" s="49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2">
        <f t="shared" si="99"/>
        <v>0</v>
      </c>
      <c r="BR301" s="52">
        <f t="shared" si="100"/>
        <v>0</v>
      </c>
      <c r="BS301" s="52">
        <f t="shared" si="101"/>
        <v>0</v>
      </c>
      <c r="BT301" s="52">
        <f t="shared" si="102"/>
        <v>0</v>
      </c>
      <c r="BU301" s="52">
        <f t="shared" si="103"/>
        <v>0</v>
      </c>
      <c r="BV301" s="65"/>
      <c r="BW301" s="52">
        <f t="shared" si="104"/>
        <v>0</v>
      </c>
      <c r="BX301" s="52">
        <f t="shared" si="105"/>
        <v>0</v>
      </c>
      <c r="BY301" s="52">
        <f t="shared" si="106"/>
        <v>0</v>
      </c>
      <c r="BZ301" s="66">
        <f t="shared" si="107"/>
        <v>0</v>
      </c>
      <c r="CA301" s="54">
        <f t="shared" si="108"/>
        <v>0</v>
      </c>
      <c r="CB301" s="55">
        <f t="shared" si="109"/>
        <v>0</v>
      </c>
      <c r="CC301" s="56">
        <f t="shared" si="110"/>
        <v>0</v>
      </c>
      <c r="CD301" s="57">
        <f t="shared" si="114"/>
        <v>-1</v>
      </c>
      <c r="CE301" s="49">
        <v>1</v>
      </c>
      <c r="CF301" s="77" t="e">
        <f t="shared" si="98"/>
        <v>#N/A</v>
      </c>
      <c r="CG301" s="58">
        <v>0</v>
      </c>
      <c r="CH301" s="57">
        <f t="shared" si="112"/>
        <v>16</v>
      </c>
      <c r="CI301" s="59" t="e">
        <f>VLOOKUP(A301,[1]DATA!$A$6:$AI$331,34,0)</f>
        <v>#N/A</v>
      </c>
      <c r="CJ301" s="60" t="e">
        <f>VLOOKUP(A301,[2]CHAMCONG!A$7:CI$333,79,0)</f>
        <v>#N/A</v>
      </c>
      <c r="CK301" s="61" t="e">
        <f t="shared" si="113"/>
        <v>#N/A</v>
      </c>
      <c r="CL301" s="62"/>
      <c r="CM301" s="62"/>
    </row>
    <row r="302" spans="1:91" s="75" customFormat="1" ht="18" customHeight="1" x14ac:dyDescent="0.25">
      <c r="A302" s="63"/>
      <c r="B302" s="64"/>
      <c r="C302" s="45"/>
      <c r="D302" s="46"/>
      <c r="E302" s="47"/>
      <c r="F302" s="48"/>
      <c r="G302" s="49"/>
      <c r="H302" s="51"/>
      <c r="I302" s="49"/>
      <c r="J302" s="51"/>
      <c r="K302" s="49"/>
      <c r="L302" s="51"/>
      <c r="M302" s="49"/>
      <c r="N302" s="51"/>
      <c r="O302" s="49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2">
        <f t="shared" si="99"/>
        <v>0</v>
      </c>
      <c r="BR302" s="52">
        <f t="shared" si="100"/>
        <v>0</v>
      </c>
      <c r="BS302" s="52">
        <f t="shared" si="101"/>
        <v>0</v>
      </c>
      <c r="BT302" s="52">
        <f t="shared" si="102"/>
        <v>0</v>
      </c>
      <c r="BU302" s="52">
        <f t="shared" si="103"/>
        <v>0</v>
      </c>
      <c r="BV302" s="65"/>
      <c r="BW302" s="52">
        <f t="shared" si="104"/>
        <v>0</v>
      </c>
      <c r="BX302" s="52">
        <f t="shared" si="105"/>
        <v>0</v>
      </c>
      <c r="BY302" s="52">
        <f t="shared" si="106"/>
        <v>0</v>
      </c>
      <c r="BZ302" s="66">
        <f t="shared" si="107"/>
        <v>0</v>
      </c>
      <c r="CA302" s="54">
        <f t="shared" si="108"/>
        <v>0</v>
      </c>
      <c r="CB302" s="55">
        <f t="shared" si="109"/>
        <v>0</v>
      </c>
      <c r="CC302" s="56">
        <f t="shared" si="110"/>
        <v>0</v>
      </c>
      <c r="CD302" s="57">
        <f t="shared" si="114"/>
        <v>-1</v>
      </c>
      <c r="CE302" s="49">
        <v>1</v>
      </c>
      <c r="CF302" s="77" t="e">
        <f t="shared" si="98"/>
        <v>#N/A</v>
      </c>
      <c r="CG302" s="58">
        <f t="shared" ref="CG302" si="115">F302-BY302+1</f>
        <v>1</v>
      </c>
      <c r="CH302" s="57">
        <f t="shared" si="112"/>
        <v>16</v>
      </c>
      <c r="CI302" s="59" t="e">
        <f>VLOOKUP(A302,[1]DATA!$A$6:$AI$331,34,0)</f>
        <v>#N/A</v>
      </c>
      <c r="CJ302" s="60" t="e">
        <f>VLOOKUP(A302,[2]CHAMCONG!A$7:CI$333,79,0)</f>
        <v>#N/A</v>
      </c>
      <c r="CK302" s="61" t="e">
        <f t="shared" si="113"/>
        <v>#N/A</v>
      </c>
      <c r="CL302" s="62"/>
      <c r="CM302" s="62"/>
    </row>
    <row r="303" spans="1:91" s="75" customFormat="1" ht="18" customHeight="1" x14ac:dyDescent="0.25">
      <c r="A303" s="63"/>
      <c r="B303" s="64"/>
      <c r="C303" s="45"/>
      <c r="D303" s="46"/>
      <c r="E303" s="47"/>
      <c r="F303" s="48"/>
      <c r="G303" s="49"/>
      <c r="H303" s="51"/>
      <c r="I303" s="50"/>
      <c r="J303" s="51"/>
      <c r="K303" s="50"/>
      <c r="L303" s="51"/>
      <c r="M303" s="50"/>
      <c r="N303" s="51"/>
      <c r="O303" s="50"/>
      <c r="P303" s="51"/>
      <c r="Q303" s="49"/>
      <c r="R303" s="51"/>
      <c r="S303" s="50"/>
      <c r="T303" s="51"/>
      <c r="U303" s="50"/>
      <c r="V303" s="51"/>
      <c r="W303" s="50"/>
      <c r="X303" s="51"/>
      <c r="Y303" s="49"/>
      <c r="Z303" s="51"/>
      <c r="AA303" s="50"/>
      <c r="AB303" s="51"/>
      <c r="AC303" s="50"/>
      <c r="AD303" s="51"/>
      <c r="AE303" s="49"/>
      <c r="AF303" s="51"/>
      <c r="AG303" s="49"/>
      <c r="AH303" s="51"/>
      <c r="AI303" s="49"/>
      <c r="AJ303" s="51"/>
      <c r="AK303" s="49"/>
      <c r="AL303" s="51"/>
      <c r="AM303" s="49"/>
      <c r="AN303" s="51"/>
      <c r="AO303" s="51"/>
      <c r="AP303" s="51"/>
      <c r="AQ303" s="49"/>
      <c r="AR303" s="51"/>
      <c r="AS303" s="49"/>
      <c r="AT303" s="51"/>
      <c r="AU303" s="49"/>
      <c r="AV303" s="51"/>
      <c r="AW303" s="51"/>
      <c r="AX303" s="51"/>
      <c r="AY303" s="49"/>
      <c r="AZ303" s="51"/>
      <c r="BA303" s="49"/>
      <c r="BB303" s="51"/>
      <c r="BC303" s="51"/>
      <c r="BD303" s="51"/>
      <c r="BE303" s="49"/>
      <c r="BF303" s="51"/>
      <c r="BG303" s="49"/>
      <c r="BH303" s="51"/>
      <c r="BI303" s="51"/>
      <c r="BJ303" s="51"/>
      <c r="BK303" s="51"/>
      <c r="BL303" s="51"/>
      <c r="BM303" s="51"/>
      <c r="BN303" s="51"/>
      <c r="BO303" s="51"/>
      <c r="BP303" s="51"/>
      <c r="BQ303" s="52">
        <f t="shared" si="99"/>
        <v>0</v>
      </c>
      <c r="BR303" s="52">
        <f t="shared" si="100"/>
        <v>0</v>
      </c>
      <c r="BS303" s="52">
        <f t="shared" si="101"/>
        <v>0</v>
      </c>
      <c r="BT303" s="52">
        <f t="shared" si="102"/>
        <v>0</v>
      </c>
      <c r="BU303" s="52">
        <f t="shared" si="103"/>
        <v>0</v>
      </c>
      <c r="BV303" s="65"/>
      <c r="BW303" s="52">
        <f t="shared" si="104"/>
        <v>0</v>
      </c>
      <c r="BX303" s="52">
        <f t="shared" si="105"/>
        <v>0</v>
      </c>
      <c r="BY303" s="52">
        <f t="shared" si="106"/>
        <v>0</v>
      </c>
      <c r="BZ303" s="66">
        <f t="shared" si="107"/>
        <v>0</v>
      </c>
      <c r="CA303" s="54">
        <f t="shared" si="108"/>
        <v>0</v>
      </c>
      <c r="CB303" s="55">
        <f t="shared" si="109"/>
        <v>0</v>
      </c>
      <c r="CC303" s="56">
        <f t="shared" si="110"/>
        <v>0</v>
      </c>
      <c r="CD303" s="57">
        <f t="shared" si="114"/>
        <v>-1</v>
      </c>
      <c r="CE303" s="49">
        <v>1</v>
      </c>
      <c r="CF303" s="77" t="e">
        <f t="shared" si="98"/>
        <v>#N/A</v>
      </c>
      <c r="CG303" s="58">
        <v>0</v>
      </c>
      <c r="CH303" s="57">
        <f t="shared" si="112"/>
        <v>16</v>
      </c>
      <c r="CI303" s="59" t="e">
        <f>VLOOKUP(A303,[1]DATA!$A$6:$AI$331,34,0)</f>
        <v>#N/A</v>
      </c>
      <c r="CJ303" s="60" t="e">
        <f>VLOOKUP(A303,[2]CHAMCONG!A$7:CI$333,79,0)</f>
        <v>#N/A</v>
      </c>
      <c r="CK303" s="61" t="e">
        <f t="shared" si="113"/>
        <v>#N/A</v>
      </c>
      <c r="CL303" s="62"/>
      <c r="CM303" s="62"/>
    </row>
    <row r="304" spans="1:91" s="75" customFormat="1" ht="18" customHeight="1" x14ac:dyDescent="0.25">
      <c r="A304" s="63"/>
      <c r="B304" s="64"/>
      <c r="C304" s="45"/>
      <c r="D304" s="46"/>
      <c r="E304" s="47"/>
      <c r="F304" s="48"/>
      <c r="G304" s="49"/>
      <c r="H304" s="51"/>
      <c r="I304" s="49"/>
      <c r="J304" s="51"/>
      <c r="K304" s="51"/>
      <c r="L304" s="51"/>
      <c r="M304" s="51"/>
      <c r="N304" s="51"/>
      <c r="O304" s="50"/>
      <c r="P304" s="51"/>
      <c r="Q304" s="50"/>
      <c r="R304" s="51"/>
      <c r="S304" s="50"/>
      <c r="T304" s="51"/>
      <c r="U304" s="50"/>
      <c r="V304" s="51"/>
      <c r="W304" s="50"/>
      <c r="X304" s="51"/>
      <c r="Y304" s="50"/>
      <c r="Z304" s="51"/>
      <c r="AA304" s="50"/>
      <c r="AB304" s="51"/>
      <c r="AC304" s="50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2">
        <f t="shared" si="99"/>
        <v>0</v>
      </c>
      <c r="BR304" s="52">
        <f t="shared" si="100"/>
        <v>0</v>
      </c>
      <c r="BS304" s="52">
        <f t="shared" si="101"/>
        <v>0</v>
      </c>
      <c r="BT304" s="52">
        <f t="shared" si="102"/>
        <v>0</v>
      </c>
      <c r="BU304" s="52">
        <f t="shared" si="103"/>
        <v>0</v>
      </c>
      <c r="BV304" s="65"/>
      <c r="BW304" s="52">
        <f t="shared" si="104"/>
        <v>0</v>
      </c>
      <c r="BX304" s="52">
        <f t="shared" si="105"/>
        <v>0</v>
      </c>
      <c r="BY304" s="52">
        <f t="shared" si="106"/>
        <v>0</v>
      </c>
      <c r="BZ304" s="66">
        <f t="shared" si="107"/>
        <v>0</v>
      </c>
      <c r="CA304" s="54">
        <f t="shared" si="108"/>
        <v>0</v>
      </c>
      <c r="CB304" s="55">
        <f t="shared" si="109"/>
        <v>0</v>
      </c>
      <c r="CC304" s="56">
        <f t="shared" si="110"/>
        <v>0</v>
      </c>
      <c r="CD304" s="57">
        <f t="shared" si="114"/>
        <v>-1</v>
      </c>
      <c r="CE304" s="49">
        <v>1</v>
      </c>
      <c r="CF304" s="77" t="e">
        <f t="shared" si="98"/>
        <v>#N/A</v>
      </c>
      <c r="CG304" s="58">
        <f t="shared" ref="CG304" si="116">F304-BY304+1</f>
        <v>1</v>
      </c>
      <c r="CH304" s="57">
        <f t="shared" si="112"/>
        <v>16</v>
      </c>
      <c r="CI304" s="59" t="e">
        <f>VLOOKUP(A304,[1]DATA!$A$6:$AI$331,34,0)</f>
        <v>#N/A</v>
      </c>
      <c r="CJ304" s="60" t="e">
        <f>VLOOKUP(A304,[2]CHAMCONG!A$7:CI$333,79,0)</f>
        <v>#N/A</v>
      </c>
      <c r="CK304" s="61" t="e">
        <f t="shared" si="113"/>
        <v>#N/A</v>
      </c>
      <c r="CL304" s="62"/>
      <c r="CM304" s="62"/>
    </row>
    <row r="305" spans="1:91" s="75" customFormat="1" ht="18" customHeight="1" x14ac:dyDescent="0.25">
      <c r="A305" s="63"/>
      <c r="B305" s="64"/>
      <c r="C305" s="45"/>
      <c r="D305" s="46"/>
      <c r="E305" s="47"/>
      <c r="F305" s="48"/>
      <c r="G305" s="49"/>
      <c r="H305" s="51"/>
      <c r="I305" s="50"/>
      <c r="J305" s="51"/>
      <c r="K305" s="50"/>
      <c r="L305" s="51"/>
      <c r="M305" s="50"/>
      <c r="N305" s="51"/>
      <c r="O305" s="49"/>
      <c r="P305" s="51"/>
      <c r="Q305" s="49"/>
      <c r="R305" s="51"/>
      <c r="S305" s="50"/>
      <c r="T305" s="51"/>
      <c r="U305" s="49"/>
      <c r="V305" s="51"/>
      <c r="W305" s="50"/>
      <c r="X305" s="51"/>
      <c r="Y305" s="49"/>
      <c r="Z305" s="51"/>
      <c r="AA305" s="51"/>
      <c r="AB305" s="51"/>
      <c r="AC305" s="50"/>
      <c r="AD305" s="51"/>
      <c r="AE305" s="49"/>
      <c r="AF305" s="51"/>
      <c r="AG305" s="49"/>
      <c r="AH305" s="51"/>
      <c r="AI305" s="49"/>
      <c r="AJ305" s="51"/>
      <c r="AK305" s="50"/>
      <c r="AL305" s="51"/>
      <c r="AM305" s="49"/>
      <c r="AN305" s="51"/>
      <c r="AO305" s="50"/>
      <c r="AP305" s="51"/>
      <c r="AQ305" s="49"/>
      <c r="AR305" s="51"/>
      <c r="AS305" s="49"/>
      <c r="AT305" s="51"/>
      <c r="AU305" s="49"/>
      <c r="AV305" s="51"/>
      <c r="AW305" s="51"/>
      <c r="AX305" s="51"/>
      <c r="AY305" s="49"/>
      <c r="AZ305" s="51"/>
      <c r="BA305" s="49"/>
      <c r="BB305" s="51"/>
      <c r="BC305" s="51"/>
      <c r="BD305" s="51"/>
      <c r="BE305" s="49"/>
      <c r="BF305" s="51"/>
      <c r="BG305" s="49"/>
      <c r="BH305" s="51"/>
      <c r="BI305" s="51"/>
      <c r="BJ305" s="51"/>
      <c r="BK305" s="51"/>
      <c r="BL305" s="51"/>
      <c r="BM305" s="51"/>
      <c r="BN305" s="51"/>
      <c r="BO305" s="51"/>
      <c r="BP305" s="51"/>
      <c r="BQ305" s="52">
        <f t="shared" si="99"/>
        <v>0</v>
      </c>
      <c r="BR305" s="52">
        <f t="shared" si="100"/>
        <v>0</v>
      </c>
      <c r="BS305" s="52">
        <f t="shared" si="101"/>
        <v>0</v>
      </c>
      <c r="BT305" s="52">
        <f t="shared" si="102"/>
        <v>0</v>
      </c>
      <c r="BU305" s="52">
        <f t="shared" si="103"/>
        <v>0</v>
      </c>
      <c r="BV305" s="65"/>
      <c r="BW305" s="52">
        <f t="shared" si="104"/>
        <v>0</v>
      </c>
      <c r="BX305" s="52">
        <f t="shared" si="105"/>
        <v>0</v>
      </c>
      <c r="BY305" s="52">
        <f t="shared" si="106"/>
        <v>0</v>
      </c>
      <c r="BZ305" s="66">
        <f t="shared" si="107"/>
        <v>0</v>
      </c>
      <c r="CA305" s="54">
        <f t="shared" si="108"/>
        <v>0</v>
      </c>
      <c r="CB305" s="55">
        <f t="shared" si="109"/>
        <v>0</v>
      </c>
      <c r="CC305" s="56">
        <f t="shared" si="110"/>
        <v>0</v>
      </c>
      <c r="CD305" s="57">
        <f t="shared" si="114"/>
        <v>-1</v>
      </c>
      <c r="CE305" s="49"/>
      <c r="CF305" s="77" t="e">
        <f t="shared" si="98"/>
        <v>#N/A</v>
      </c>
      <c r="CG305" s="58">
        <v>0</v>
      </c>
      <c r="CH305" s="57">
        <f t="shared" si="112"/>
        <v>0</v>
      </c>
      <c r="CI305" s="59" t="e">
        <f>VLOOKUP(A305,[1]DATA!$A$6:$AI$331,34,0)</f>
        <v>#N/A</v>
      </c>
      <c r="CJ305" s="60" t="e">
        <f>VLOOKUP(A305,[2]CHAMCONG!A$7:CI$333,79,0)</f>
        <v>#N/A</v>
      </c>
      <c r="CK305" s="61" t="e">
        <f t="shared" si="113"/>
        <v>#N/A</v>
      </c>
      <c r="CL305" s="62"/>
      <c r="CM305" s="62"/>
    </row>
    <row r="306" spans="1:91" s="75" customFormat="1" ht="18" customHeight="1" x14ac:dyDescent="0.25">
      <c r="A306" s="63"/>
      <c r="B306" s="64"/>
      <c r="C306" s="45"/>
      <c r="D306" s="46"/>
      <c r="E306" s="47"/>
      <c r="F306" s="48"/>
      <c r="G306" s="49"/>
      <c r="H306" s="51"/>
      <c r="I306" s="49"/>
      <c r="J306" s="51"/>
      <c r="K306" s="49"/>
      <c r="L306" s="51"/>
      <c r="M306" s="49"/>
      <c r="N306" s="51"/>
      <c r="O306" s="49"/>
      <c r="P306" s="51"/>
      <c r="Q306" s="49"/>
      <c r="R306" s="51"/>
      <c r="S306" s="50"/>
      <c r="T306" s="51"/>
      <c r="U306" s="50"/>
      <c r="V306" s="51"/>
      <c r="W306" s="50"/>
      <c r="X306" s="51"/>
      <c r="Y306" s="50"/>
      <c r="Z306" s="51"/>
      <c r="AA306" s="50"/>
      <c r="AB306" s="51"/>
      <c r="AC306" s="50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2">
        <f t="shared" si="99"/>
        <v>0</v>
      </c>
      <c r="BR306" s="52">
        <f t="shared" si="100"/>
        <v>0</v>
      </c>
      <c r="BS306" s="52">
        <f t="shared" si="101"/>
        <v>0</v>
      </c>
      <c r="BT306" s="52">
        <f t="shared" si="102"/>
        <v>0</v>
      </c>
      <c r="BU306" s="52">
        <f t="shared" si="103"/>
        <v>0</v>
      </c>
      <c r="BV306" s="65"/>
      <c r="BW306" s="52">
        <f t="shared" si="104"/>
        <v>0</v>
      </c>
      <c r="BX306" s="52">
        <f t="shared" si="105"/>
        <v>0</v>
      </c>
      <c r="BY306" s="52">
        <f t="shared" si="106"/>
        <v>0</v>
      </c>
      <c r="BZ306" s="66">
        <f t="shared" si="107"/>
        <v>0</v>
      </c>
      <c r="CA306" s="54">
        <f t="shared" si="108"/>
        <v>0</v>
      </c>
      <c r="CB306" s="55">
        <f t="shared" si="109"/>
        <v>0</v>
      </c>
      <c r="CC306" s="56">
        <f t="shared" si="110"/>
        <v>0</v>
      </c>
      <c r="CD306" s="57">
        <f t="shared" si="114"/>
        <v>-1</v>
      </c>
      <c r="CE306" s="49">
        <v>1</v>
      </c>
      <c r="CF306" s="77" t="e">
        <f t="shared" si="98"/>
        <v>#N/A</v>
      </c>
      <c r="CG306" s="58">
        <f t="shared" ref="CG306" si="117">F306-BY306+1</f>
        <v>1</v>
      </c>
      <c r="CH306" s="57">
        <f t="shared" si="112"/>
        <v>16</v>
      </c>
      <c r="CI306" s="59" t="e">
        <f>VLOOKUP(A306,[1]DATA!$A$6:$AI$331,34,0)</f>
        <v>#N/A</v>
      </c>
      <c r="CJ306" s="60" t="e">
        <f>VLOOKUP(A306,[2]CHAMCONG!A$7:CI$333,79,0)</f>
        <v>#N/A</v>
      </c>
      <c r="CK306" s="61" t="e">
        <f t="shared" si="113"/>
        <v>#N/A</v>
      </c>
      <c r="CL306" s="62"/>
      <c r="CM306" s="62"/>
    </row>
    <row r="307" spans="1:91" s="75" customFormat="1" ht="18" customHeight="1" x14ac:dyDescent="0.25">
      <c r="A307" s="63"/>
      <c r="B307" s="64"/>
      <c r="C307" s="45"/>
      <c r="D307" s="46"/>
      <c r="E307" s="47"/>
      <c r="F307" s="48"/>
      <c r="G307" s="49"/>
      <c r="H307" s="51"/>
      <c r="I307" s="49"/>
      <c r="J307" s="51"/>
      <c r="K307" s="50"/>
      <c r="L307" s="51"/>
      <c r="M307" s="50"/>
      <c r="N307" s="51"/>
      <c r="O307" s="50"/>
      <c r="P307" s="51"/>
      <c r="Q307" s="49"/>
      <c r="R307" s="51"/>
      <c r="S307" s="50"/>
      <c r="T307" s="51"/>
      <c r="U307" s="50"/>
      <c r="V307" s="51"/>
      <c r="W307" s="50"/>
      <c r="X307" s="51"/>
      <c r="Y307" s="50"/>
      <c r="Z307" s="51"/>
      <c r="AA307" s="50"/>
      <c r="AB307" s="51"/>
      <c r="AC307" s="50"/>
      <c r="AD307" s="51"/>
      <c r="AE307" s="49"/>
      <c r="AF307" s="51"/>
      <c r="AG307" s="50"/>
      <c r="AH307" s="51"/>
      <c r="AI307" s="50"/>
      <c r="AJ307" s="51"/>
      <c r="AK307" s="50"/>
      <c r="AL307" s="51"/>
      <c r="AM307" s="50"/>
      <c r="AN307" s="51"/>
      <c r="AO307" s="50"/>
      <c r="AP307" s="51"/>
      <c r="AQ307" s="49"/>
      <c r="AR307" s="51"/>
      <c r="AS307" s="49"/>
      <c r="AT307" s="51"/>
      <c r="AU307" s="49"/>
      <c r="AV307" s="51"/>
      <c r="AW307" s="51"/>
      <c r="AX307" s="51"/>
      <c r="AY307" s="49"/>
      <c r="AZ307" s="51"/>
      <c r="BA307" s="49"/>
      <c r="BB307" s="51"/>
      <c r="BC307" s="51"/>
      <c r="BD307" s="51"/>
      <c r="BE307" s="49"/>
      <c r="BF307" s="51"/>
      <c r="BG307" s="49"/>
      <c r="BH307" s="51"/>
      <c r="BI307" s="51"/>
      <c r="BJ307" s="51"/>
      <c r="BK307" s="51"/>
      <c r="BL307" s="51"/>
      <c r="BM307" s="51"/>
      <c r="BN307" s="51"/>
      <c r="BO307" s="51"/>
      <c r="BP307" s="51"/>
      <c r="BQ307" s="52">
        <f t="shared" si="99"/>
        <v>0</v>
      </c>
      <c r="BR307" s="52">
        <f t="shared" si="100"/>
        <v>0</v>
      </c>
      <c r="BS307" s="52">
        <f t="shared" si="101"/>
        <v>0</v>
      </c>
      <c r="BT307" s="52">
        <f t="shared" si="102"/>
        <v>0</v>
      </c>
      <c r="BU307" s="52">
        <f t="shared" si="103"/>
        <v>0</v>
      </c>
      <c r="BV307" s="65"/>
      <c r="BW307" s="52">
        <f t="shared" si="104"/>
        <v>0</v>
      </c>
      <c r="BX307" s="52">
        <f t="shared" si="105"/>
        <v>0</v>
      </c>
      <c r="BY307" s="52">
        <f t="shared" si="106"/>
        <v>0</v>
      </c>
      <c r="BZ307" s="66">
        <f t="shared" si="107"/>
        <v>0</v>
      </c>
      <c r="CA307" s="54">
        <f t="shared" si="108"/>
        <v>0</v>
      </c>
      <c r="CB307" s="55">
        <f t="shared" si="109"/>
        <v>0</v>
      </c>
      <c r="CC307" s="56">
        <f t="shared" si="110"/>
        <v>0</v>
      </c>
      <c r="CD307" s="57">
        <f t="shared" si="114"/>
        <v>-1</v>
      </c>
      <c r="CE307" s="49"/>
      <c r="CF307" s="77" t="e">
        <f t="shared" si="98"/>
        <v>#N/A</v>
      </c>
      <c r="CG307" s="58">
        <v>0</v>
      </c>
      <c r="CH307" s="57">
        <f t="shared" si="112"/>
        <v>0</v>
      </c>
      <c r="CI307" s="59" t="e">
        <f>VLOOKUP(A307,[1]DATA!$A$6:$AI$331,34,0)</f>
        <v>#N/A</v>
      </c>
      <c r="CJ307" s="60" t="e">
        <f>VLOOKUP(A307,[2]CHAMCONG!A$7:CI$333,79,0)</f>
        <v>#N/A</v>
      </c>
      <c r="CK307" s="61" t="e">
        <f t="shared" si="113"/>
        <v>#N/A</v>
      </c>
      <c r="CL307" s="62"/>
      <c r="CM307" s="62"/>
    </row>
    <row r="308" spans="1:91" s="75" customFormat="1" ht="18" customHeight="1" x14ac:dyDescent="0.25">
      <c r="A308" s="63"/>
      <c r="B308" s="64"/>
      <c r="C308" s="45"/>
      <c r="D308" s="46"/>
      <c r="E308" s="47"/>
      <c r="F308" s="48"/>
      <c r="G308" s="49"/>
      <c r="H308" s="51"/>
      <c r="I308" s="50"/>
      <c r="J308" s="51"/>
      <c r="K308" s="51"/>
      <c r="L308" s="51"/>
      <c r="M308" s="51"/>
      <c r="N308" s="51"/>
      <c r="O308" s="50"/>
      <c r="P308" s="51"/>
      <c r="Q308" s="51"/>
      <c r="R308" s="51"/>
      <c r="S308" s="51"/>
      <c r="T308" s="51"/>
      <c r="U308" s="49"/>
      <c r="V308" s="51"/>
      <c r="W308" s="50"/>
      <c r="X308" s="51"/>
      <c r="Y308" s="51"/>
      <c r="Z308" s="51"/>
      <c r="AA308" s="51"/>
      <c r="AB308" s="51"/>
      <c r="AC308" s="50"/>
      <c r="AD308" s="51"/>
      <c r="AE308" s="51"/>
      <c r="AF308" s="51"/>
      <c r="AG308" s="51"/>
      <c r="AH308" s="51"/>
      <c r="AI308" s="51"/>
      <c r="AJ308" s="51"/>
      <c r="AK308" s="50"/>
      <c r="AL308" s="51"/>
      <c r="AM308" s="51"/>
      <c r="AN308" s="51"/>
      <c r="AO308" s="51"/>
      <c r="AP308" s="51"/>
      <c r="AQ308" s="50"/>
      <c r="AR308" s="51"/>
      <c r="AS308" s="51"/>
      <c r="AT308" s="51"/>
      <c r="AU308" s="51"/>
      <c r="AV308" s="51"/>
      <c r="AW308" s="51"/>
      <c r="AX308" s="51"/>
      <c r="AY308" s="50"/>
      <c r="AZ308" s="51"/>
      <c r="BA308" s="51"/>
      <c r="BB308" s="51"/>
      <c r="BC308" s="51"/>
      <c r="BD308" s="51"/>
      <c r="BE308" s="50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2">
        <f t="shared" si="99"/>
        <v>0</v>
      </c>
      <c r="BR308" s="52">
        <f t="shared" si="100"/>
        <v>0</v>
      </c>
      <c r="BS308" s="52">
        <f t="shared" si="101"/>
        <v>0</v>
      </c>
      <c r="BT308" s="52">
        <f t="shared" si="102"/>
        <v>0</v>
      </c>
      <c r="BU308" s="52">
        <f t="shared" si="103"/>
        <v>0</v>
      </c>
      <c r="BV308" s="65"/>
      <c r="BW308" s="52">
        <f t="shared" si="104"/>
        <v>0</v>
      </c>
      <c r="BX308" s="52">
        <f t="shared" si="105"/>
        <v>0</v>
      </c>
      <c r="BY308" s="52">
        <f t="shared" si="106"/>
        <v>0</v>
      </c>
      <c r="BZ308" s="66">
        <f t="shared" si="107"/>
        <v>0</v>
      </c>
      <c r="CA308" s="54">
        <f t="shared" si="108"/>
        <v>0</v>
      </c>
      <c r="CB308" s="55">
        <f t="shared" si="109"/>
        <v>0</v>
      </c>
      <c r="CC308" s="56">
        <f t="shared" si="110"/>
        <v>0</v>
      </c>
      <c r="CD308" s="57">
        <f t="shared" si="114"/>
        <v>-1</v>
      </c>
      <c r="CE308" s="49"/>
      <c r="CF308" s="77" t="e">
        <f t="shared" si="98"/>
        <v>#N/A</v>
      </c>
      <c r="CG308" s="58">
        <v>0</v>
      </c>
      <c r="CH308" s="57">
        <f t="shared" si="112"/>
        <v>0</v>
      </c>
      <c r="CI308" s="59" t="e">
        <f>VLOOKUP(A308,[1]DATA!$A$6:$AI$331,34,0)</f>
        <v>#N/A</v>
      </c>
      <c r="CJ308" s="60" t="e">
        <f>VLOOKUP(A308,[2]CHAMCONG!A$7:CI$333,79,0)</f>
        <v>#N/A</v>
      </c>
      <c r="CK308" s="61" t="e">
        <f t="shared" si="113"/>
        <v>#N/A</v>
      </c>
      <c r="CL308" s="62"/>
      <c r="CM308" s="62"/>
    </row>
    <row r="309" spans="1:91" s="75" customFormat="1" ht="18" customHeight="1" x14ac:dyDescent="0.25">
      <c r="A309" s="63"/>
      <c r="B309" s="64"/>
      <c r="C309" s="45"/>
      <c r="D309" s="46"/>
      <c r="E309" s="47"/>
      <c r="F309" s="48"/>
      <c r="G309" s="49"/>
      <c r="H309" s="51"/>
      <c r="I309" s="49"/>
      <c r="J309" s="51"/>
      <c r="K309" s="49"/>
      <c r="L309" s="51"/>
      <c r="M309" s="51"/>
      <c r="N309" s="51"/>
      <c r="O309" s="50"/>
      <c r="P309" s="51"/>
      <c r="Q309" s="51"/>
      <c r="R309" s="51"/>
      <c r="S309" s="50"/>
      <c r="T309" s="51"/>
      <c r="U309" s="50"/>
      <c r="V309" s="51"/>
      <c r="W309" s="50"/>
      <c r="X309" s="51"/>
      <c r="Y309" s="50"/>
      <c r="Z309" s="51"/>
      <c r="AA309" s="50"/>
      <c r="AB309" s="51"/>
      <c r="AC309" s="50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2">
        <f t="shared" si="99"/>
        <v>0</v>
      </c>
      <c r="BR309" s="52">
        <f t="shared" si="100"/>
        <v>0</v>
      </c>
      <c r="BS309" s="52">
        <f t="shared" si="101"/>
        <v>0</v>
      </c>
      <c r="BT309" s="52">
        <f t="shared" si="102"/>
        <v>0</v>
      </c>
      <c r="BU309" s="52">
        <f t="shared" si="103"/>
        <v>0</v>
      </c>
      <c r="BV309" s="65"/>
      <c r="BW309" s="52">
        <f t="shared" si="104"/>
        <v>0</v>
      </c>
      <c r="BX309" s="52">
        <f t="shared" si="105"/>
        <v>0</v>
      </c>
      <c r="BY309" s="52">
        <f t="shared" si="106"/>
        <v>0</v>
      </c>
      <c r="BZ309" s="66">
        <f t="shared" si="107"/>
        <v>0</v>
      </c>
      <c r="CA309" s="54">
        <f t="shared" si="108"/>
        <v>0</v>
      </c>
      <c r="CB309" s="55">
        <f t="shared" si="109"/>
        <v>0</v>
      </c>
      <c r="CC309" s="56">
        <f t="shared" si="110"/>
        <v>0</v>
      </c>
      <c r="CD309" s="57">
        <f t="shared" si="114"/>
        <v>-1</v>
      </c>
      <c r="CE309" s="49">
        <v>1</v>
      </c>
      <c r="CF309" s="77" t="e">
        <f t="shared" si="98"/>
        <v>#N/A</v>
      </c>
      <c r="CG309" s="58">
        <f t="shared" ref="CG309" si="118">F309-BY309+1</f>
        <v>1</v>
      </c>
      <c r="CH309" s="57">
        <f t="shared" si="112"/>
        <v>16</v>
      </c>
      <c r="CI309" s="59" t="e">
        <f>VLOOKUP(A309,[1]DATA!$A$6:$AI$331,34,0)</f>
        <v>#N/A</v>
      </c>
      <c r="CJ309" s="60" t="e">
        <f>VLOOKUP(A309,[2]CHAMCONG!A$7:CI$333,79,0)</f>
        <v>#N/A</v>
      </c>
      <c r="CK309" s="61" t="e">
        <f t="shared" si="113"/>
        <v>#N/A</v>
      </c>
      <c r="CL309" s="62"/>
      <c r="CM309" s="62"/>
    </row>
    <row r="310" spans="1:91" s="75" customFormat="1" ht="18" customHeight="1" x14ac:dyDescent="0.25">
      <c r="A310" s="63"/>
      <c r="B310" s="64"/>
      <c r="C310" s="45"/>
      <c r="D310" s="46"/>
      <c r="E310" s="47"/>
      <c r="F310" s="48"/>
      <c r="G310" s="49"/>
      <c r="H310" s="51"/>
      <c r="I310" s="50"/>
      <c r="J310" s="51"/>
      <c r="K310" s="51"/>
      <c r="L310" s="51"/>
      <c r="M310" s="51"/>
      <c r="N310" s="51"/>
      <c r="O310" s="50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2">
        <f>COUNTIF($G310:$BP310,"a")+COUNTIF($G310:$BP310,"r0,a5")/2+COUNTIF($G310:$BP310,"p5,a5")/2</f>
        <v>0</v>
      </c>
      <c r="BR310" s="52">
        <f>COUNTIF($G310:$BP310,"d")+COUNTIF($G310:$BP310,"r0,d5")/2+COUNTIF($G310:$BP310,"p5,d5")/2</f>
        <v>0</v>
      </c>
      <c r="BS310" s="52">
        <f>COUNTIF($G310:$BP310,"b")+COUNTIF($G310:$BP310,"r0,b5")/2+COUNTIF($G310:$BP310,"p5,b5")/2</f>
        <v>0</v>
      </c>
      <c r="BT310" s="52">
        <f>COUNTIF($G310:$BP310,"c")+COUNTIF($G310:$BP310,"r0,c5")/2+COUNTIF($G310:$BP310,"p5,c5")/2</f>
        <v>0</v>
      </c>
      <c r="BU310" s="52">
        <f>COUNTIF($G310:$BP310,"KH")+COUNTIF($G310:$BP310,"TL")+COUNTIF($G310:$BP310,"L")</f>
        <v>0</v>
      </c>
      <c r="BV310" s="65"/>
      <c r="BW310" s="52">
        <f>COUNTIF($G310:$BP310,"hh")</f>
        <v>0</v>
      </c>
      <c r="BX310" s="52">
        <f>COUNTIF($G310:$BP310,"nt7")</f>
        <v>0</v>
      </c>
      <c r="BY310" s="52">
        <f t="shared" si="106"/>
        <v>0</v>
      </c>
      <c r="BZ310" s="66">
        <f t="shared" si="107"/>
        <v>0</v>
      </c>
      <c r="CA310" s="54">
        <f t="shared" si="108"/>
        <v>0</v>
      </c>
      <c r="CB310" s="55">
        <f t="shared" si="109"/>
        <v>0</v>
      </c>
      <c r="CC310" s="56">
        <f t="shared" si="110"/>
        <v>0</v>
      </c>
      <c r="CD310" s="57">
        <f t="shared" si="114"/>
        <v>-1</v>
      </c>
      <c r="CE310" s="49"/>
      <c r="CF310" s="77" t="e">
        <f t="shared" si="98"/>
        <v>#N/A</v>
      </c>
      <c r="CG310" s="58">
        <v>0</v>
      </c>
      <c r="CH310" s="57">
        <f t="shared" si="112"/>
        <v>0</v>
      </c>
      <c r="CI310" s="59" t="e">
        <f>VLOOKUP(A310,[1]DATA!$A$6:$AI$331,34,0)</f>
        <v>#N/A</v>
      </c>
      <c r="CJ310" s="60" t="e">
        <f>VLOOKUP(A310,[2]CHAMCONG!A$7:CI$333,79,0)</f>
        <v>#N/A</v>
      </c>
      <c r="CK310" s="61" t="e">
        <f t="shared" si="113"/>
        <v>#N/A</v>
      </c>
      <c r="CL310" s="62"/>
      <c r="CM310" s="62"/>
    </row>
    <row r="311" spans="1:91" s="75" customFormat="1" ht="18" customHeight="1" x14ac:dyDescent="0.25">
      <c r="A311" s="63"/>
      <c r="B311" s="64"/>
      <c r="C311" s="45"/>
      <c r="D311" s="46"/>
      <c r="E311" s="47"/>
      <c r="F311" s="48"/>
      <c r="G311" s="49"/>
      <c r="H311" s="51"/>
      <c r="I311" s="49"/>
      <c r="J311" s="51"/>
      <c r="K311" s="49"/>
      <c r="L311" s="51"/>
      <c r="M311" s="49"/>
      <c r="N311" s="51"/>
      <c r="O311" s="49"/>
      <c r="P311" s="51"/>
      <c r="Q311" s="49"/>
      <c r="R311" s="51"/>
      <c r="S311" s="49"/>
      <c r="T311" s="51"/>
      <c r="U311" s="49"/>
      <c r="V311" s="51"/>
      <c r="W311" s="49"/>
      <c r="X311" s="51"/>
      <c r="Y311" s="49"/>
      <c r="Z311" s="51"/>
      <c r="AA311" s="49"/>
      <c r="AB311" s="51"/>
      <c r="AC311" s="49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49"/>
      <c r="AR311" s="51"/>
      <c r="AS311" s="49"/>
      <c r="AT311" s="49"/>
      <c r="AU311" s="49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2">
        <f t="shared" si="99"/>
        <v>0</v>
      </c>
      <c r="BR311" s="52">
        <f t="shared" si="100"/>
        <v>0</v>
      </c>
      <c r="BS311" s="52">
        <f t="shared" si="101"/>
        <v>0</v>
      </c>
      <c r="BT311" s="52">
        <f t="shared" si="102"/>
        <v>0</v>
      </c>
      <c r="BU311" s="52">
        <f t="shared" si="103"/>
        <v>0</v>
      </c>
      <c r="BV311" s="65"/>
      <c r="BW311" s="52">
        <f t="shared" si="104"/>
        <v>0</v>
      </c>
      <c r="BX311" s="52">
        <f t="shared" si="105"/>
        <v>0</v>
      </c>
      <c r="BY311" s="52">
        <f t="shared" si="106"/>
        <v>0</v>
      </c>
      <c r="BZ311" s="66">
        <f t="shared" si="107"/>
        <v>0</v>
      </c>
      <c r="CA311" s="54">
        <f t="shared" si="108"/>
        <v>0</v>
      </c>
      <c r="CB311" s="55">
        <f t="shared" si="109"/>
        <v>0</v>
      </c>
      <c r="CC311" s="56">
        <f t="shared" si="110"/>
        <v>0</v>
      </c>
      <c r="CD311" s="57">
        <f t="shared" si="114"/>
        <v>-1</v>
      </c>
      <c r="CE311" s="49"/>
      <c r="CF311" s="77" t="e">
        <f t="shared" si="98"/>
        <v>#N/A</v>
      </c>
      <c r="CG311" s="58">
        <f t="shared" ref="CG311" si="119">F311-BY311+1</f>
        <v>1</v>
      </c>
      <c r="CH311" s="57">
        <f t="shared" si="112"/>
        <v>0</v>
      </c>
      <c r="CI311" s="59" t="e">
        <f>VLOOKUP(A311,[1]DATA!$A$6:$AI$331,34,0)</f>
        <v>#N/A</v>
      </c>
      <c r="CJ311" s="60" t="e">
        <f>VLOOKUP(A311,[2]CHAMCONG!A$7:CI$333,79,0)</f>
        <v>#N/A</v>
      </c>
      <c r="CK311" s="61" t="e">
        <f t="shared" si="113"/>
        <v>#N/A</v>
      </c>
      <c r="CL311" s="62"/>
      <c r="CM311" s="62"/>
    </row>
    <row r="312" spans="1:91" s="75" customFormat="1" ht="18" customHeight="1" x14ac:dyDescent="0.25">
      <c r="A312" s="63"/>
      <c r="B312" s="64"/>
      <c r="C312" s="45"/>
      <c r="D312" s="46"/>
      <c r="E312" s="47"/>
      <c r="F312" s="48"/>
      <c r="G312" s="49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0"/>
      <c r="T312" s="51"/>
      <c r="U312" s="50"/>
      <c r="V312" s="51"/>
      <c r="W312" s="51"/>
      <c r="X312" s="51"/>
      <c r="Y312" s="51"/>
      <c r="Z312" s="51"/>
      <c r="AA312" s="50"/>
      <c r="AB312" s="51"/>
      <c r="AC312" s="50"/>
      <c r="AD312" s="51"/>
      <c r="AE312" s="50"/>
      <c r="AF312" s="67"/>
      <c r="AG312" s="50"/>
      <c r="AH312" s="51"/>
      <c r="AI312" s="50"/>
      <c r="AJ312" s="51"/>
      <c r="AK312" s="51"/>
      <c r="AL312" s="51"/>
      <c r="AM312" s="50"/>
      <c r="AN312" s="51"/>
      <c r="AO312" s="50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0"/>
      <c r="BB312" s="51"/>
      <c r="BC312" s="50"/>
      <c r="BD312" s="51"/>
      <c r="BE312" s="50"/>
      <c r="BF312" s="51"/>
      <c r="BG312" s="50"/>
      <c r="BH312" s="67"/>
      <c r="BI312" s="51"/>
      <c r="BJ312" s="51"/>
      <c r="BK312" s="51"/>
      <c r="BL312" s="51"/>
      <c r="BM312" s="51"/>
      <c r="BN312" s="51"/>
      <c r="BO312" s="51"/>
      <c r="BP312" s="51"/>
      <c r="BQ312" s="52">
        <f>COUNTIF($G312:$BP312,"a")+COUNTIF($G312:$BP312,"r0,a5")/2+COUNTIF($G312:$BP312,"p5,a5")/2</f>
        <v>0</v>
      </c>
      <c r="BR312" s="52">
        <f>COUNTIF($G312:$BP312,"d")+COUNTIF($G312:$BP312,"r0,d5")/2+COUNTIF($G312:$BP312,"p5,d5")/2</f>
        <v>0</v>
      </c>
      <c r="BS312" s="52">
        <f>COUNTIF($G312:$BP312,"b")+COUNTIF($G312:$BP312,"r0,b5")/2+COUNTIF($G312:$BP312,"p5,b5")/2</f>
        <v>0</v>
      </c>
      <c r="BT312" s="52">
        <f>COUNTIF($G312:$BP312,"c")+COUNTIF($G312:$BP312,"r0,c5")/2+COUNTIF($G312:$BP312,"p5,c5")/2</f>
        <v>0</v>
      </c>
      <c r="BU312" s="52">
        <f>COUNTIF($G312:$BP312,"KH")+COUNTIF($G312:$BP312,"TL")+COUNTIF($G312:$BP312,"L")</f>
        <v>0</v>
      </c>
      <c r="BV312" s="65"/>
      <c r="BW312" s="52">
        <f>COUNTIF($G312:$BP312,"hh")</f>
        <v>0</v>
      </c>
      <c r="BX312" s="52">
        <f>COUNTIF($G312:$BP312,"nt7")</f>
        <v>0</v>
      </c>
      <c r="BY312" s="52">
        <f t="shared" si="106"/>
        <v>0</v>
      </c>
      <c r="BZ312" s="66">
        <f t="shared" si="107"/>
        <v>0</v>
      </c>
      <c r="CA312" s="54">
        <f t="shared" si="108"/>
        <v>0</v>
      </c>
      <c r="CB312" s="55">
        <f t="shared" si="109"/>
        <v>0</v>
      </c>
      <c r="CC312" s="56">
        <f t="shared" si="110"/>
        <v>0</v>
      </c>
      <c r="CD312" s="57">
        <f t="shared" si="114"/>
        <v>-1</v>
      </c>
      <c r="CE312" s="49"/>
      <c r="CF312" s="77" t="e">
        <f t="shared" si="98"/>
        <v>#N/A</v>
      </c>
      <c r="CG312" s="58">
        <v>0</v>
      </c>
      <c r="CH312" s="57">
        <f t="shared" si="112"/>
        <v>0</v>
      </c>
      <c r="CI312" s="59" t="e">
        <f>VLOOKUP(A312,[1]DATA!$A$6:$AI$331,34,0)</f>
        <v>#N/A</v>
      </c>
      <c r="CJ312" s="60" t="e">
        <f>VLOOKUP(A312,[2]CHAMCONG!A$7:CI$333,79,0)</f>
        <v>#N/A</v>
      </c>
      <c r="CK312" s="61" t="e">
        <f t="shared" si="113"/>
        <v>#N/A</v>
      </c>
      <c r="CL312" s="62"/>
      <c r="CM312" s="62"/>
    </row>
    <row r="313" spans="1:91" s="75" customFormat="1" ht="18" customHeight="1" x14ac:dyDescent="0.25">
      <c r="A313" s="63"/>
      <c r="B313" s="64"/>
      <c r="C313" s="45"/>
      <c r="D313" s="46"/>
      <c r="E313" s="47"/>
      <c r="F313" s="48"/>
      <c r="G313" s="49"/>
      <c r="H313" s="51"/>
      <c r="I313" s="49"/>
      <c r="J313" s="51"/>
      <c r="K313" s="49"/>
      <c r="L313" s="51"/>
      <c r="M313" s="49"/>
      <c r="N313" s="51"/>
      <c r="O313" s="49"/>
      <c r="P313" s="51"/>
      <c r="Q313" s="49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49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0"/>
      <c r="AX313" s="51"/>
      <c r="AY313" s="50"/>
      <c r="AZ313" s="51"/>
      <c r="BA313" s="50"/>
      <c r="BB313" s="51"/>
      <c r="BC313" s="50"/>
      <c r="BD313" s="51"/>
      <c r="BE313" s="50"/>
      <c r="BF313" s="51"/>
      <c r="BG313" s="50"/>
      <c r="BH313" s="67"/>
      <c r="BI313" s="49"/>
      <c r="BJ313" s="51"/>
      <c r="BK313" s="49"/>
      <c r="BL313" s="51"/>
      <c r="BM313" s="49"/>
      <c r="BN313" s="51"/>
      <c r="BO313" s="49"/>
      <c r="BP313" s="51"/>
      <c r="BQ313" s="52">
        <f t="shared" si="99"/>
        <v>0</v>
      </c>
      <c r="BR313" s="52">
        <f t="shared" si="100"/>
        <v>0</v>
      </c>
      <c r="BS313" s="52">
        <f t="shared" si="101"/>
        <v>0</v>
      </c>
      <c r="BT313" s="52">
        <f t="shared" si="102"/>
        <v>0</v>
      </c>
      <c r="BU313" s="52">
        <f t="shared" si="103"/>
        <v>0</v>
      </c>
      <c r="BV313" s="65"/>
      <c r="BW313" s="52">
        <f t="shared" si="104"/>
        <v>0</v>
      </c>
      <c r="BX313" s="52">
        <f t="shared" si="105"/>
        <v>0</v>
      </c>
      <c r="BY313" s="52">
        <f t="shared" si="106"/>
        <v>0</v>
      </c>
      <c r="BZ313" s="66">
        <f t="shared" si="107"/>
        <v>0</v>
      </c>
      <c r="CA313" s="54">
        <f t="shared" si="108"/>
        <v>0</v>
      </c>
      <c r="CB313" s="55">
        <f t="shared" si="109"/>
        <v>0</v>
      </c>
      <c r="CC313" s="56">
        <f t="shared" si="110"/>
        <v>0</v>
      </c>
      <c r="CD313" s="57">
        <f t="shared" si="114"/>
        <v>-1</v>
      </c>
      <c r="CE313" s="49"/>
      <c r="CF313" s="77" t="e">
        <f t="shared" si="98"/>
        <v>#N/A</v>
      </c>
      <c r="CG313" s="58">
        <v>0</v>
      </c>
      <c r="CH313" s="57">
        <f t="shared" si="112"/>
        <v>0</v>
      </c>
      <c r="CI313" s="59" t="e">
        <f>VLOOKUP(A313,[1]DATA!$A$6:$AI$331,34,0)</f>
        <v>#N/A</v>
      </c>
      <c r="CJ313" s="60" t="e">
        <f>VLOOKUP(A313,[2]CHAMCONG!A$7:CI$333,79,0)</f>
        <v>#N/A</v>
      </c>
      <c r="CK313" s="61" t="e">
        <f t="shared" si="113"/>
        <v>#N/A</v>
      </c>
      <c r="CL313" s="62"/>
      <c r="CM313" s="62"/>
    </row>
    <row r="314" spans="1:91" s="75" customFormat="1" ht="18" customHeight="1" x14ac:dyDescent="0.25">
      <c r="A314" s="63"/>
      <c r="B314" s="64"/>
      <c r="C314" s="45"/>
      <c r="D314" s="46"/>
      <c r="E314" s="47"/>
      <c r="F314" s="48"/>
      <c r="G314" s="49"/>
      <c r="H314" s="51"/>
      <c r="I314" s="50"/>
      <c r="J314" s="51"/>
      <c r="K314" s="51"/>
      <c r="L314" s="51"/>
      <c r="M314" s="51"/>
      <c r="N314" s="51"/>
      <c r="O314" s="50"/>
      <c r="P314" s="51"/>
      <c r="Q314" s="51"/>
      <c r="R314" s="51"/>
      <c r="S314" s="51"/>
      <c r="T314" s="51"/>
      <c r="U314" s="49"/>
      <c r="V314" s="51"/>
      <c r="W314" s="50"/>
      <c r="X314" s="51"/>
      <c r="Y314" s="51"/>
      <c r="Z314" s="51"/>
      <c r="AA314" s="51"/>
      <c r="AB314" s="51"/>
      <c r="AC314" s="50"/>
      <c r="AD314" s="51"/>
      <c r="AE314" s="51"/>
      <c r="AF314" s="51"/>
      <c r="AG314" s="51"/>
      <c r="AH314" s="51"/>
      <c r="AI314" s="51"/>
      <c r="AJ314" s="51"/>
      <c r="AK314" s="50"/>
      <c r="AL314" s="51"/>
      <c r="AM314" s="51"/>
      <c r="AN314" s="51"/>
      <c r="AO314" s="51"/>
      <c r="AP314" s="51"/>
      <c r="AQ314" s="50"/>
      <c r="AR314" s="51"/>
      <c r="AS314" s="51"/>
      <c r="AT314" s="51"/>
      <c r="AU314" s="51"/>
      <c r="AV314" s="51"/>
      <c r="AW314" s="51"/>
      <c r="AX314" s="51"/>
      <c r="AY314" s="50"/>
      <c r="AZ314" s="51"/>
      <c r="BA314" s="51"/>
      <c r="BB314" s="51"/>
      <c r="BC314" s="51"/>
      <c r="BD314" s="51"/>
      <c r="BE314" s="50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2">
        <f t="shared" si="99"/>
        <v>0</v>
      </c>
      <c r="BR314" s="52">
        <f t="shared" si="100"/>
        <v>0</v>
      </c>
      <c r="BS314" s="52">
        <f t="shared" si="101"/>
        <v>0</v>
      </c>
      <c r="BT314" s="52">
        <f t="shared" si="102"/>
        <v>0</v>
      </c>
      <c r="BU314" s="52">
        <f t="shared" si="103"/>
        <v>0</v>
      </c>
      <c r="BV314" s="65"/>
      <c r="BW314" s="52">
        <f t="shared" si="104"/>
        <v>0</v>
      </c>
      <c r="BX314" s="52">
        <f t="shared" si="105"/>
        <v>0</v>
      </c>
      <c r="BY314" s="52">
        <f t="shared" si="106"/>
        <v>0</v>
      </c>
      <c r="BZ314" s="66">
        <f t="shared" si="107"/>
        <v>0</v>
      </c>
      <c r="CA314" s="54">
        <f t="shared" si="108"/>
        <v>0</v>
      </c>
      <c r="CB314" s="55">
        <f t="shared" si="109"/>
        <v>0</v>
      </c>
      <c r="CC314" s="56">
        <f t="shared" si="110"/>
        <v>0</v>
      </c>
      <c r="CD314" s="57">
        <f t="shared" si="114"/>
        <v>-1</v>
      </c>
      <c r="CE314" s="49"/>
      <c r="CF314" s="77" t="e">
        <f t="shared" si="98"/>
        <v>#N/A</v>
      </c>
      <c r="CG314" s="58">
        <v>0</v>
      </c>
      <c r="CH314" s="57">
        <f t="shared" si="112"/>
        <v>0</v>
      </c>
      <c r="CI314" s="59" t="e">
        <f>VLOOKUP(A314,[1]DATA!$A$6:$AI$331,34,0)</f>
        <v>#N/A</v>
      </c>
      <c r="CJ314" s="60" t="e">
        <f>VLOOKUP(A314,[2]CHAMCONG!A$7:CI$333,79,0)</f>
        <v>#N/A</v>
      </c>
      <c r="CK314" s="61" t="e">
        <f t="shared" si="113"/>
        <v>#N/A</v>
      </c>
      <c r="CL314" s="62"/>
      <c r="CM314" s="62"/>
    </row>
    <row r="315" spans="1:91" s="75" customFormat="1" ht="18" customHeight="1" x14ac:dyDescent="0.25">
      <c r="A315" s="63"/>
      <c r="B315" s="64"/>
      <c r="C315" s="45"/>
      <c r="D315" s="46"/>
      <c r="E315" s="47"/>
      <c r="F315" s="48"/>
      <c r="G315" s="49"/>
      <c r="H315" s="51"/>
      <c r="I315" s="50"/>
      <c r="J315" s="51"/>
      <c r="K315" s="50"/>
      <c r="L315" s="51"/>
      <c r="M315" s="50"/>
      <c r="N315" s="51"/>
      <c r="O315" s="50"/>
      <c r="P315" s="51"/>
      <c r="Q315" s="49"/>
      <c r="R315" s="51"/>
      <c r="S315" s="50"/>
      <c r="T315" s="51"/>
      <c r="U315" s="50"/>
      <c r="V315" s="51"/>
      <c r="W315" s="50"/>
      <c r="X315" s="51"/>
      <c r="Y315" s="50"/>
      <c r="Z315" s="51"/>
      <c r="AA315" s="50"/>
      <c r="AB315" s="51"/>
      <c r="AC315" s="50"/>
      <c r="AD315" s="51"/>
      <c r="AE315" s="49"/>
      <c r="AF315" s="51"/>
      <c r="AG315" s="50"/>
      <c r="AH315" s="51"/>
      <c r="AI315" s="50"/>
      <c r="AJ315" s="51"/>
      <c r="AK315" s="50"/>
      <c r="AL315" s="51"/>
      <c r="AM315" s="50"/>
      <c r="AN315" s="51"/>
      <c r="AO315" s="50"/>
      <c r="AP315" s="51"/>
      <c r="AQ315" s="49"/>
      <c r="AR315" s="51"/>
      <c r="AS315" s="49"/>
      <c r="AT315" s="51"/>
      <c r="AU315" s="49"/>
      <c r="AV315" s="51"/>
      <c r="AW315" s="51"/>
      <c r="AX315" s="51"/>
      <c r="AY315" s="49"/>
      <c r="AZ315" s="51"/>
      <c r="BA315" s="49"/>
      <c r="BB315" s="51"/>
      <c r="BC315" s="49"/>
      <c r="BD315" s="51"/>
      <c r="BE315" s="49"/>
      <c r="BF315" s="51"/>
      <c r="BG315" s="49"/>
      <c r="BH315" s="51"/>
      <c r="BI315" s="51"/>
      <c r="BJ315" s="51"/>
      <c r="BK315" s="51"/>
      <c r="BL315" s="51"/>
      <c r="BM315" s="51"/>
      <c r="BN315" s="51"/>
      <c r="BO315" s="51"/>
      <c r="BP315" s="51"/>
      <c r="BQ315" s="52">
        <f t="shared" si="99"/>
        <v>0</v>
      </c>
      <c r="BR315" s="52">
        <f t="shared" si="100"/>
        <v>0</v>
      </c>
      <c r="BS315" s="52">
        <f t="shared" si="101"/>
        <v>0</v>
      </c>
      <c r="BT315" s="52">
        <f t="shared" si="102"/>
        <v>0</v>
      </c>
      <c r="BU315" s="52">
        <f t="shared" si="103"/>
        <v>0</v>
      </c>
      <c r="BV315" s="65"/>
      <c r="BW315" s="52">
        <f t="shared" si="104"/>
        <v>0</v>
      </c>
      <c r="BX315" s="52">
        <f t="shared" si="105"/>
        <v>0</v>
      </c>
      <c r="BY315" s="52">
        <f t="shared" si="106"/>
        <v>0</v>
      </c>
      <c r="BZ315" s="66">
        <f t="shared" si="107"/>
        <v>0</v>
      </c>
      <c r="CA315" s="54">
        <f t="shared" si="108"/>
        <v>0</v>
      </c>
      <c r="CB315" s="55">
        <f t="shared" si="109"/>
        <v>0</v>
      </c>
      <c r="CC315" s="56">
        <f t="shared" si="110"/>
        <v>0</v>
      </c>
      <c r="CD315" s="57">
        <f t="shared" si="114"/>
        <v>-1</v>
      </c>
      <c r="CE315" s="49"/>
      <c r="CF315" s="77" t="e">
        <f t="shared" si="98"/>
        <v>#N/A</v>
      </c>
      <c r="CG315" s="58">
        <v>0</v>
      </c>
      <c r="CH315" s="57">
        <f t="shared" si="112"/>
        <v>0</v>
      </c>
      <c r="CI315" s="59" t="e">
        <f>VLOOKUP(A315,[1]DATA!$A$6:$AI$331,34,0)</f>
        <v>#N/A</v>
      </c>
      <c r="CJ315" s="60" t="e">
        <f>VLOOKUP(A315,[2]CHAMCONG!A$7:CI$333,79,0)</f>
        <v>#N/A</v>
      </c>
      <c r="CK315" s="61" t="e">
        <f t="shared" si="113"/>
        <v>#N/A</v>
      </c>
      <c r="CL315" s="62"/>
      <c r="CM315" s="62"/>
    </row>
    <row r="316" spans="1:91" s="75" customFormat="1" ht="18" customHeight="1" x14ac:dyDescent="0.25">
      <c r="A316" s="63"/>
      <c r="B316" s="64"/>
      <c r="C316" s="45"/>
      <c r="D316" s="46"/>
      <c r="E316" s="47"/>
      <c r="F316" s="48"/>
      <c r="G316" s="49"/>
      <c r="H316" s="51"/>
      <c r="I316" s="49"/>
      <c r="J316" s="51"/>
      <c r="K316" s="49"/>
      <c r="L316" s="51"/>
      <c r="M316" s="49"/>
      <c r="N316" s="51"/>
      <c r="O316" s="49"/>
      <c r="P316" s="51"/>
      <c r="Q316" s="49"/>
      <c r="R316" s="51"/>
      <c r="S316" s="49"/>
      <c r="T316" s="51"/>
      <c r="U316" s="49"/>
      <c r="V316" s="51"/>
      <c r="W316" s="49"/>
      <c r="X316" s="51"/>
      <c r="Y316" s="49"/>
      <c r="Z316" s="51"/>
      <c r="AA316" s="49"/>
      <c r="AB316" s="51"/>
      <c r="AC316" s="49"/>
      <c r="AD316" s="51"/>
      <c r="AE316" s="50"/>
      <c r="AF316" s="67"/>
      <c r="AG316" s="49"/>
      <c r="AH316" s="51"/>
      <c r="AI316" s="49"/>
      <c r="AJ316" s="51"/>
      <c r="AK316" s="49"/>
      <c r="AL316" s="51"/>
      <c r="AM316" s="49"/>
      <c r="AN316" s="51"/>
      <c r="AO316" s="49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2">
        <f t="shared" si="99"/>
        <v>0</v>
      </c>
      <c r="BR316" s="52">
        <f t="shared" si="100"/>
        <v>0</v>
      </c>
      <c r="BS316" s="52">
        <f t="shared" si="101"/>
        <v>0</v>
      </c>
      <c r="BT316" s="52">
        <f t="shared" si="102"/>
        <v>0</v>
      </c>
      <c r="BU316" s="52">
        <f t="shared" si="103"/>
        <v>0</v>
      </c>
      <c r="BV316" s="65"/>
      <c r="BW316" s="52">
        <f t="shared" si="104"/>
        <v>0</v>
      </c>
      <c r="BX316" s="52">
        <f t="shared" si="105"/>
        <v>0</v>
      </c>
      <c r="BY316" s="52">
        <f t="shared" si="106"/>
        <v>0</v>
      </c>
      <c r="BZ316" s="66">
        <f t="shared" si="107"/>
        <v>0</v>
      </c>
      <c r="CA316" s="54">
        <f t="shared" si="108"/>
        <v>0</v>
      </c>
      <c r="CB316" s="55">
        <f t="shared" si="109"/>
        <v>0</v>
      </c>
      <c r="CC316" s="56">
        <f t="shared" si="110"/>
        <v>0</v>
      </c>
      <c r="CD316" s="57">
        <f t="shared" si="114"/>
        <v>-1</v>
      </c>
      <c r="CE316" s="49"/>
      <c r="CF316" s="77" t="e">
        <f t="shared" si="98"/>
        <v>#N/A</v>
      </c>
      <c r="CG316" s="58">
        <f t="shared" ref="CG316" si="120">F316-BY316+1</f>
        <v>1</v>
      </c>
      <c r="CH316" s="57">
        <f t="shared" si="112"/>
        <v>0</v>
      </c>
      <c r="CI316" s="59" t="e">
        <f>VLOOKUP(A316,[1]DATA!$A$6:$AI$331,34,0)</f>
        <v>#N/A</v>
      </c>
      <c r="CJ316" s="60" t="e">
        <f>VLOOKUP(A316,[2]CHAMCONG!A$7:CI$333,79,0)</f>
        <v>#N/A</v>
      </c>
      <c r="CK316" s="61" t="e">
        <f t="shared" si="113"/>
        <v>#N/A</v>
      </c>
      <c r="CL316" s="62"/>
      <c r="CM316" s="62"/>
    </row>
    <row r="317" spans="1:91" s="75" customFormat="1" ht="18" customHeight="1" x14ac:dyDescent="0.25">
      <c r="A317" s="63"/>
      <c r="B317" s="64"/>
      <c r="C317" s="45"/>
      <c r="D317" s="46"/>
      <c r="E317" s="47"/>
      <c r="F317" s="48"/>
      <c r="G317" s="49"/>
      <c r="H317" s="51"/>
      <c r="I317" s="49"/>
      <c r="J317" s="51"/>
      <c r="K317" s="49"/>
      <c r="L317" s="51"/>
      <c r="M317" s="49"/>
      <c r="N317" s="51"/>
      <c r="O317" s="49"/>
      <c r="P317" s="51"/>
      <c r="Q317" s="49"/>
      <c r="R317" s="49"/>
      <c r="S317" s="49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49"/>
      <c r="AL317" s="51"/>
      <c r="AM317" s="49"/>
      <c r="AN317" s="51"/>
      <c r="AO317" s="49"/>
      <c r="AP317" s="51"/>
      <c r="AQ317" s="49"/>
      <c r="AR317" s="51"/>
      <c r="AS317" s="49"/>
      <c r="AT317" s="49"/>
      <c r="AU317" s="49"/>
      <c r="AV317" s="51"/>
      <c r="AW317" s="50"/>
      <c r="AX317" s="51"/>
      <c r="AY317" s="49"/>
      <c r="AZ317" s="51"/>
      <c r="BA317" s="49"/>
      <c r="BB317" s="51"/>
      <c r="BC317" s="49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2">
        <f t="shared" si="99"/>
        <v>0</v>
      </c>
      <c r="BR317" s="52">
        <f t="shared" si="100"/>
        <v>0</v>
      </c>
      <c r="BS317" s="52">
        <f t="shared" si="101"/>
        <v>0</v>
      </c>
      <c r="BT317" s="52">
        <f t="shared" si="102"/>
        <v>0</v>
      </c>
      <c r="BU317" s="52">
        <f t="shared" si="103"/>
        <v>0</v>
      </c>
      <c r="BV317" s="65"/>
      <c r="BW317" s="52">
        <f t="shared" si="104"/>
        <v>0</v>
      </c>
      <c r="BX317" s="52">
        <f t="shared" si="105"/>
        <v>0</v>
      </c>
      <c r="BY317" s="52">
        <f t="shared" si="106"/>
        <v>0</v>
      </c>
      <c r="BZ317" s="66">
        <f t="shared" si="107"/>
        <v>0</v>
      </c>
      <c r="CA317" s="54">
        <f t="shared" si="108"/>
        <v>0</v>
      </c>
      <c r="CB317" s="55">
        <f t="shared" si="109"/>
        <v>0</v>
      </c>
      <c r="CC317" s="56">
        <f t="shared" si="110"/>
        <v>0</v>
      </c>
      <c r="CD317" s="57">
        <f t="shared" si="114"/>
        <v>-1</v>
      </c>
      <c r="CE317" s="49">
        <v>1</v>
      </c>
      <c r="CF317" s="77" t="e">
        <f t="shared" si="98"/>
        <v>#N/A</v>
      </c>
      <c r="CG317" s="58">
        <v>0</v>
      </c>
      <c r="CH317" s="57">
        <f t="shared" si="112"/>
        <v>16</v>
      </c>
      <c r="CI317" s="59" t="e">
        <f>VLOOKUP(A317,[1]DATA!$A$6:$AI$331,34,0)</f>
        <v>#N/A</v>
      </c>
      <c r="CJ317" s="60" t="e">
        <f>VLOOKUP(A317,[2]CHAMCONG!A$7:CI$333,79,0)</f>
        <v>#N/A</v>
      </c>
      <c r="CK317" s="61" t="e">
        <f t="shared" si="113"/>
        <v>#N/A</v>
      </c>
      <c r="CL317" s="62"/>
      <c r="CM317" s="62"/>
    </row>
    <row r="318" spans="1:91" s="75" customFormat="1" ht="18" customHeight="1" x14ac:dyDescent="0.25">
      <c r="A318" s="63"/>
      <c r="B318" s="64"/>
      <c r="C318" s="45"/>
      <c r="D318" s="46"/>
      <c r="E318" s="47"/>
      <c r="F318" s="48"/>
      <c r="G318" s="49"/>
      <c r="H318" s="51"/>
      <c r="I318" s="49"/>
      <c r="J318" s="51"/>
      <c r="K318" s="49"/>
      <c r="L318" s="51"/>
      <c r="M318" s="51"/>
      <c r="N318" s="51"/>
      <c r="O318" s="49"/>
      <c r="P318" s="51"/>
      <c r="Q318" s="49"/>
      <c r="R318" s="51"/>
      <c r="S318" s="49"/>
      <c r="T318" s="51"/>
      <c r="U318" s="49"/>
      <c r="V318" s="51"/>
      <c r="W318" s="49"/>
      <c r="X318" s="51"/>
      <c r="Y318" s="49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2">
        <f t="shared" si="99"/>
        <v>0</v>
      </c>
      <c r="BR318" s="52">
        <f t="shared" si="100"/>
        <v>0</v>
      </c>
      <c r="BS318" s="52">
        <f t="shared" si="101"/>
        <v>0</v>
      </c>
      <c r="BT318" s="52">
        <f t="shared" si="102"/>
        <v>0</v>
      </c>
      <c r="BU318" s="52">
        <f t="shared" si="103"/>
        <v>0</v>
      </c>
      <c r="BV318" s="65"/>
      <c r="BW318" s="52">
        <f t="shared" si="104"/>
        <v>0</v>
      </c>
      <c r="BX318" s="53">
        <f t="shared" si="105"/>
        <v>0</v>
      </c>
      <c r="BY318" s="52">
        <f t="shared" si="106"/>
        <v>0</v>
      </c>
      <c r="BZ318" s="66">
        <f t="shared" si="107"/>
        <v>0</v>
      </c>
      <c r="CA318" s="54">
        <f t="shared" si="108"/>
        <v>0</v>
      </c>
      <c r="CB318" s="55">
        <f t="shared" si="109"/>
        <v>0</v>
      </c>
      <c r="CC318" s="56">
        <f t="shared" si="110"/>
        <v>0</v>
      </c>
      <c r="CD318" s="57"/>
      <c r="CE318" s="49"/>
      <c r="CF318" s="77" t="e">
        <f t="shared" si="98"/>
        <v>#N/A</v>
      </c>
      <c r="CG318" s="58">
        <v>0</v>
      </c>
      <c r="CH318" s="57">
        <f t="shared" si="112"/>
        <v>0</v>
      </c>
      <c r="CI318" s="59" t="e">
        <f>VLOOKUP(A318,[1]DATA!$A$6:$AI$331,34,0)</f>
        <v>#N/A</v>
      </c>
      <c r="CJ318" s="60" t="e">
        <f>VLOOKUP(A318,[2]CHAMCONG!A$7:CI$333,79,0)</f>
        <v>#N/A</v>
      </c>
      <c r="CK318" s="61" t="e">
        <f t="shared" si="113"/>
        <v>#N/A</v>
      </c>
      <c r="CL318" s="62"/>
      <c r="CM318" s="62"/>
    </row>
    <row r="319" spans="1:91" s="75" customFormat="1" ht="21.75" customHeight="1" x14ac:dyDescent="0.25">
      <c r="A319" s="63"/>
      <c r="B319" s="64"/>
      <c r="C319" s="45"/>
      <c r="D319" s="46"/>
      <c r="E319" s="47"/>
      <c r="F319" s="48"/>
      <c r="G319" s="49"/>
      <c r="H319" s="51"/>
      <c r="I319" s="51"/>
      <c r="J319" s="51"/>
      <c r="K319" s="51"/>
      <c r="L319" s="51"/>
      <c r="M319" s="51"/>
      <c r="N319" s="51"/>
      <c r="O319" s="50"/>
      <c r="P319" s="51"/>
      <c r="Q319" s="50"/>
      <c r="R319" s="67"/>
      <c r="S319" s="49"/>
      <c r="T319" s="51"/>
      <c r="U319" s="49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0"/>
      <c r="AP319" s="51"/>
      <c r="AQ319" s="50"/>
      <c r="AR319" s="51"/>
      <c r="AS319" s="50"/>
      <c r="AT319" s="67"/>
      <c r="AU319" s="50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2">
        <f t="shared" si="99"/>
        <v>0</v>
      </c>
      <c r="BR319" s="52">
        <f t="shared" si="100"/>
        <v>0</v>
      </c>
      <c r="BS319" s="52">
        <f t="shared" si="101"/>
        <v>0</v>
      </c>
      <c r="BT319" s="52">
        <f t="shared" si="102"/>
        <v>0</v>
      </c>
      <c r="BU319" s="52">
        <f t="shared" si="103"/>
        <v>0</v>
      </c>
      <c r="BV319" s="65"/>
      <c r="BW319" s="52">
        <f t="shared" si="104"/>
        <v>0</v>
      </c>
      <c r="BX319" s="52">
        <f t="shared" si="105"/>
        <v>0</v>
      </c>
      <c r="BY319" s="52">
        <f t="shared" si="106"/>
        <v>0</v>
      </c>
      <c r="BZ319" s="66">
        <f t="shared" si="107"/>
        <v>0</v>
      </c>
      <c r="CA319" s="54">
        <f t="shared" si="108"/>
        <v>0</v>
      </c>
      <c r="CB319" s="55">
        <f t="shared" si="109"/>
        <v>0</v>
      </c>
      <c r="CC319" s="56">
        <f t="shared" si="110"/>
        <v>0</v>
      </c>
      <c r="CD319" s="57">
        <f t="shared" si="114"/>
        <v>-1</v>
      </c>
      <c r="CE319" s="49"/>
      <c r="CF319" s="77" t="e">
        <f t="shared" si="98"/>
        <v>#N/A</v>
      </c>
      <c r="CG319" s="58">
        <v>0</v>
      </c>
      <c r="CH319" s="57">
        <f t="shared" si="112"/>
        <v>0</v>
      </c>
      <c r="CI319" s="59" t="e">
        <f>VLOOKUP(A319,[1]DATA!$A$6:$AI$331,34,0)</f>
        <v>#N/A</v>
      </c>
      <c r="CJ319" s="60" t="e">
        <f>VLOOKUP(A319,[2]CHAMCONG!A$7:CI$333,79,0)</f>
        <v>#N/A</v>
      </c>
      <c r="CK319" s="61" t="e">
        <f t="shared" si="113"/>
        <v>#N/A</v>
      </c>
      <c r="CL319" s="62"/>
      <c r="CM319" s="62"/>
    </row>
    <row r="320" spans="1:91" s="75" customFormat="1" ht="18" customHeight="1" x14ac:dyDescent="0.25">
      <c r="A320" s="63"/>
      <c r="B320" s="64"/>
      <c r="C320" s="45"/>
      <c r="D320" s="46"/>
      <c r="E320" s="47"/>
      <c r="F320" s="48"/>
      <c r="G320" s="49"/>
      <c r="H320" s="51"/>
      <c r="I320" s="49"/>
      <c r="J320" s="51"/>
      <c r="K320" s="49"/>
      <c r="L320" s="51"/>
      <c r="M320" s="49"/>
      <c r="N320" s="51"/>
      <c r="O320" s="49"/>
      <c r="P320" s="51"/>
      <c r="Q320" s="49"/>
      <c r="R320" s="51"/>
      <c r="S320" s="49"/>
      <c r="T320" s="51"/>
      <c r="U320" s="49"/>
      <c r="V320" s="51"/>
      <c r="W320" s="49"/>
      <c r="X320" s="51"/>
      <c r="Y320" s="49"/>
      <c r="Z320" s="51"/>
      <c r="AA320" s="49"/>
      <c r="AB320" s="51"/>
      <c r="AC320" s="49"/>
      <c r="AD320" s="51"/>
      <c r="AE320" s="49"/>
      <c r="AF320" s="51"/>
      <c r="AG320" s="51"/>
      <c r="AH320" s="51"/>
      <c r="AI320" s="49"/>
      <c r="AJ320" s="51"/>
      <c r="AK320" s="49"/>
      <c r="AL320" s="51"/>
      <c r="AM320" s="49"/>
      <c r="AN320" s="51"/>
      <c r="AO320" s="49"/>
      <c r="AP320" s="51"/>
      <c r="AQ320" s="49"/>
      <c r="AR320" s="51"/>
      <c r="AS320" s="49"/>
      <c r="AT320" s="51"/>
      <c r="AU320" s="49"/>
      <c r="AV320" s="51"/>
      <c r="AW320" s="49"/>
      <c r="AX320" s="51"/>
      <c r="AY320" s="49"/>
      <c r="AZ320" s="51"/>
      <c r="BA320" s="49"/>
      <c r="BB320" s="51"/>
      <c r="BC320" s="49"/>
      <c r="BD320" s="51"/>
      <c r="BE320" s="49"/>
      <c r="BF320" s="51"/>
      <c r="BG320" s="49"/>
      <c r="BH320" s="51"/>
      <c r="BI320" s="51"/>
      <c r="BJ320" s="51"/>
      <c r="BK320" s="51"/>
      <c r="BL320" s="51"/>
      <c r="BM320" s="51"/>
      <c r="BN320" s="51"/>
      <c r="BO320" s="51"/>
      <c r="BP320" s="51"/>
      <c r="BQ320" s="52">
        <f t="shared" si="99"/>
        <v>0</v>
      </c>
      <c r="BR320" s="52">
        <f t="shared" si="100"/>
        <v>0</v>
      </c>
      <c r="BS320" s="52">
        <f t="shared" si="101"/>
        <v>0</v>
      </c>
      <c r="BT320" s="52">
        <f t="shared" si="102"/>
        <v>0</v>
      </c>
      <c r="BU320" s="52">
        <f t="shared" si="103"/>
        <v>0</v>
      </c>
      <c r="BV320" s="65"/>
      <c r="BW320" s="52">
        <f t="shared" si="104"/>
        <v>0</v>
      </c>
      <c r="BX320" s="52">
        <f t="shared" si="105"/>
        <v>0</v>
      </c>
      <c r="BY320" s="52">
        <f t="shared" si="106"/>
        <v>0</v>
      </c>
      <c r="BZ320" s="66">
        <f t="shared" si="107"/>
        <v>0</v>
      </c>
      <c r="CA320" s="54">
        <f t="shared" si="108"/>
        <v>0</v>
      </c>
      <c r="CB320" s="55">
        <f t="shared" si="109"/>
        <v>0</v>
      </c>
      <c r="CC320" s="56">
        <f t="shared" si="110"/>
        <v>0</v>
      </c>
      <c r="CD320" s="57">
        <f t="shared" si="114"/>
        <v>-1</v>
      </c>
      <c r="CE320" s="49"/>
      <c r="CF320" s="77" t="e">
        <f t="shared" si="98"/>
        <v>#N/A</v>
      </c>
      <c r="CG320" s="58">
        <v>0</v>
      </c>
      <c r="CH320" s="57">
        <f t="shared" si="112"/>
        <v>0</v>
      </c>
      <c r="CI320" s="59" t="e">
        <f>VLOOKUP(A320,[1]DATA!$A$6:$AI$331,34,0)</f>
        <v>#N/A</v>
      </c>
      <c r="CJ320" s="60" t="e">
        <f>VLOOKUP(A320,[2]CHAMCONG!A$7:CI$333,79,0)</f>
        <v>#N/A</v>
      </c>
      <c r="CK320" s="61" t="e">
        <f t="shared" si="113"/>
        <v>#N/A</v>
      </c>
      <c r="CL320" s="62"/>
      <c r="CM320" s="62"/>
    </row>
    <row r="321" spans="1:91" s="75" customFormat="1" ht="18" customHeight="1" x14ac:dyDescent="0.25">
      <c r="A321" s="63"/>
      <c r="B321" s="64"/>
      <c r="C321" s="45"/>
      <c r="D321" s="46"/>
      <c r="E321" s="47"/>
      <c r="F321" s="48"/>
      <c r="G321" s="49"/>
      <c r="H321" s="51"/>
      <c r="I321" s="49"/>
      <c r="J321" s="51"/>
      <c r="K321" s="49"/>
      <c r="L321" s="51"/>
      <c r="M321" s="51"/>
      <c r="N321" s="51"/>
      <c r="O321" s="49"/>
      <c r="P321" s="51"/>
      <c r="Q321" s="49"/>
      <c r="R321" s="51"/>
      <c r="S321" s="49"/>
      <c r="T321" s="51"/>
      <c r="U321" s="49"/>
      <c r="V321" s="51"/>
      <c r="W321" s="49"/>
      <c r="X321" s="51"/>
      <c r="Y321" s="49"/>
      <c r="Z321" s="51"/>
      <c r="AA321" s="51"/>
      <c r="AB321" s="51"/>
      <c r="AC321" s="49"/>
      <c r="AD321" s="51"/>
      <c r="AE321" s="49"/>
      <c r="AF321" s="51"/>
      <c r="AG321" s="49"/>
      <c r="AH321" s="51"/>
      <c r="AI321" s="49"/>
      <c r="AJ321" s="51"/>
      <c r="AK321" s="49"/>
      <c r="AL321" s="51"/>
      <c r="AM321" s="49"/>
      <c r="AN321" s="51"/>
      <c r="AO321" s="51"/>
      <c r="AP321" s="51"/>
      <c r="AQ321" s="49"/>
      <c r="AR321" s="51"/>
      <c r="AS321" s="49"/>
      <c r="AT321" s="51"/>
      <c r="AU321" s="49"/>
      <c r="AV321" s="51"/>
      <c r="AW321" s="49"/>
      <c r="AX321" s="51"/>
      <c r="AY321" s="49"/>
      <c r="AZ321" s="51"/>
      <c r="BA321" s="49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2">
        <f t="shared" si="99"/>
        <v>0</v>
      </c>
      <c r="BR321" s="52">
        <f t="shared" si="100"/>
        <v>0</v>
      </c>
      <c r="BS321" s="52">
        <f t="shared" si="101"/>
        <v>0</v>
      </c>
      <c r="BT321" s="52">
        <f t="shared" si="102"/>
        <v>0</v>
      </c>
      <c r="BU321" s="52">
        <f t="shared" si="103"/>
        <v>0</v>
      </c>
      <c r="BV321" s="65"/>
      <c r="BW321" s="52">
        <f t="shared" si="104"/>
        <v>0</v>
      </c>
      <c r="BX321" s="52">
        <f t="shared" si="105"/>
        <v>0</v>
      </c>
      <c r="BY321" s="52">
        <f t="shared" si="106"/>
        <v>0</v>
      </c>
      <c r="BZ321" s="66">
        <f t="shared" si="107"/>
        <v>0</v>
      </c>
      <c r="CA321" s="54">
        <f t="shared" si="108"/>
        <v>0</v>
      </c>
      <c r="CB321" s="55">
        <f t="shared" si="109"/>
        <v>0</v>
      </c>
      <c r="CC321" s="56">
        <f t="shared" si="110"/>
        <v>0</v>
      </c>
      <c r="CD321" s="57">
        <f t="shared" si="114"/>
        <v>-1</v>
      </c>
      <c r="CE321" s="49"/>
      <c r="CF321" s="77" t="e">
        <f t="shared" si="98"/>
        <v>#N/A</v>
      </c>
      <c r="CG321" s="58">
        <v>0</v>
      </c>
      <c r="CH321" s="57">
        <f t="shared" si="112"/>
        <v>0</v>
      </c>
      <c r="CI321" s="59" t="e">
        <f>VLOOKUP(A321,[1]DATA!$A$6:$AI$331,34,0)</f>
        <v>#N/A</v>
      </c>
      <c r="CJ321" s="60" t="e">
        <f>VLOOKUP(A321,[2]CHAMCONG!A$7:CI$333,79,0)</f>
        <v>#N/A</v>
      </c>
      <c r="CK321" s="61" t="e">
        <f t="shared" si="113"/>
        <v>#N/A</v>
      </c>
      <c r="CL321" s="62"/>
      <c r="CM321" s="62"/>
    </row>
    <row r="322" spans="1:91" s="75" customFormat="1" ht="18" customHeight="1" x14ac:dyDescent="0.25">
      <c r="A322" s="69"/>
      <c r="B322" s="64"/>
      <c r="C322" s="45"/>
      <c r="D322" s="80"/>
      <c r="E322" s="81"/>
      <c r="F322" s="48"/>
      <c r="G322" s="49"/>
      <c r="H322" s="51"/>
      <c r="I322" s="51"/>
      <c r="J322" s="51"/>
      <c r="K322" s="51"/>
      <c r="L322" s="51"/>
      <c r="M322" s="51"/>
      <c r="N322" s="51"/>
      <c r="O322" s="51"/>
      <c r="P322" s="51"/>
      <c r="Q322" s="49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49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49"/>
      <c r="AR322" s="51"/>
      <c r="AS322" s="49"/>
      <c r="AT322" s="51"/>
      <c r="AU322" s="49"/>
      <c r="AV322" s="51"/>
      <c r="AW322" s="49"/>
      <c r="AX322" s="51"/>
      <c r="AY322" s="49"/>
      <c r="AZ322" s="51"/>
      <c r="BA322" s="49"/>
      <c r="BB322" s="51"/>
      <c r="BC322" s="49"/>
      <c r="BD322" s="51"/>
      <c r="BE322" s="49"/>
      <c r="BF322" s="51"/>
      <c r="BG322" s="49"/>
      <c r="BH322" s="51"/>
      <c r="BI322" s="49"/>
      <c r="BJ322" s="51"/>
      <c r="BK322" s="49"/>
      <c r="BL322" s="51"/>
      <c r="BM322" s="51"/>
      <c r="BN322" s="51"/>
      <c r="BO322" s="51"/>
      <c r="BP322" s="51"/>
      <c r="BQ322" s="52">
        <f t="shared" si="99"/>
        <v>0</v>
      </c>
      <c r="BR322" s="52">
        <f t="shared" si="100"/>
        <v>0</v>
      </c>
      <c r="BS322" s="52">
        <f t="shared" si="101"/>
        <v>0</v>
      </c>
      <c r="BT322" s="52">
        <f t="shared" si="102"/>
        <v>0</v>
      </c>
      <c r="BU322" s="52">
        <f t="shared" si="103"/>
        <v>0</v>
      </c>
      <c r="BV322" s="65"/>
      <c r="BW322" s="52">
        <f t="shared" si="104"/>
        <v>0</v>
      </c>
      <c r="BX322" s="52">
        <f t="shared" si="105"/>
        <v>0</v>
      </c>
      <c r="BY322" s="52">
        <f t="shared" si="106"/>
        <v>0</v>
      </c>
      <c r="BZ322" s="66">
        <f t="shared" si="107"/>
        <v>0</v>
      </c>
      <c r="CA322" s="54">
        <f t="shared" si="108"/>
        <v>0</v>
      </c>
      <c r="CB322" s="55">
        <f t="shared" si="109"/>
        <v>0</v>
      </c>
      <c r="CC322" s="56">
        <f t="shared" si="110"/>
        <v>0</v>
      </c>
      <c r="CD322" s="57">
        <f t="shared" si="114"/>
        <v>-1</v>
      </c>
      <c r="CE322" s="51"/>
      <c r="CF322" s="77" t="e">
        <f t="shared" si="98"/>
        <v>#N/A</v>
      </c>
      <c r="CG322" s="58">
        <v>0</v>
      </c>
      <c r="CH322" s="57">
        <f t="shared" si="112"/>
        <v>0</v>
      </c>
      <c r="CI322" s="59" t="e">
        <f>VLOOKUP(A322,[1]DATA!$A$6:$AI$331,34,0)</f>
        <v>#N/A</v>
      </c>
      <c r="CJ322" s="60" t="e">
        <f>VLOOKUP(A322,[2]CHAMCONG!A$7:CI$333,79,0)</f>
        <v>#N/A</v>
      </c>
      <c r="CK322" s="61" t="e">
        <f t="shared" si="113"/>
        <v>#N/A</v>
      </c>
      <c r="CL322" s="62"/>
      <c r="CM322" s="62"/>
    </row>
    <row r="323" spans="1:91" s="75" customFormat="1" ht="18" customHeight="1" x14ac:dyDescent="0.25">
      <c r="A323" s="69"/>
      <c r="B323" s="64"/>
      <c r="C323" s="45"/>
      <c r="D323" s="80"/>
      <c r="E323" s="81"/>
      <c r="F323" s="48"/>
      <c r="G323" s="49"/>
      <c r="H323" s="51"/>
      <c r="I323" s="50"/>
      <c r="J323" s="51"/>
      <c r="K323" s="50"/>
      <c r="L323" s="51"/>
      <c r="M323" s="50"/>
      <c r="N323" s="51"/>
      <c r="O323" s="50"/>
      <c r="P323" s="51"/>
      <c r="Q323" s="49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49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49"/>
      <c r="AR323" s="51"/>
      <c r="AS323" s="49"/>
      <c r="AT323" s="51"/>
      <c r="AU323" s="49"/>
      <c r="AV323" s="51"/>
      <c r="AW323" s="49"/>
      <c r="AX323" s="51"/>
      <c r="AY323" s="49"/>
      <c r="AZ323" s="51"/>
      <c r="BA323" s="49"/>
      <c r="BB323" s="51"/>
      <c r="BC323" s="49"/>
      <c r="BD323" s="51"/>
      <c r="BE323" s="49"/>
      <c r="BF323" s="51"/>
      <c r="BG323" s="49"/>
      <c r="BH323" s="51"/>
      <c r="BI323" s="49"/>
      <c r="BJ323" s="51"/>
      <c r="BK323" s="49"/>
      <c r="BL323" s="51"/>
      <c r="BM323" s="49"/>
      <c r="BN323" s="51"/>
      <c r="BO323" s="51"/>
      <c r="BP323" s="51"/>
      <c r="BQ323" s="52">
        <f t="shared" si="99"/>
        <v>0</v>
      </c>
      <c r="BR323" s="52">
        <f t="shared" si="100"/>
        <v>0</v>
      </c>
      <c r="BS323" s="52">
        <f t="shared" si="101"/>
        <v>0</v>
      </c>
      <c r="BT323" s="52">
        <f t="shared" si="102"/>
        <v>0</v>
      </c>
      <c r="BU323" s="52">
        <f t="shared" si="103"/>
        <v>0</v>
      </c>
      <c r="BV323" s="65"/>
      <c r="BW323" s="52">
        <f t="shared" si="104"/>
        <v>0</v>
      </c>
      <c r="BX323" s="52">
        <f t="shared" si="105"/>
        <v>0</v>
      </c>
      <c r="BY323" s="52">
        <f t="shared" si="106"/>
        <v>0</v>
      </c>
      <c r="BZ323" s="66">
        <f t="shared" si="107"/>
        <v>0</v>
      </c>
      <c r="CA323" s="54">
        <f t="shared" si="108"/>
        <v>0</v>
      </c>
      <c r="CB323" s="55">
        <f t="shared" si="109"/>
        <v>0</v>
      </c>
      <c r="CC323" s="56">
        <f t="shared" si="110"/>
        <v>0</v>
      </c>
      <c r="CD323" s="57">
        <f t="shared" si="114"/>
        <v>-1</v>
      </c>
      <c r="CE323" s="51"/>
      <c r="CF323" s="77" t="e">
        <f t="shared" si="98"/>
        <v>#N/A</v>
      </c>
      <c r="CG323" s="58">
        <v>0</v>
      </c>
      <c r="CH323" s="57">
        <f t="shared" si="112"/>
        <v>0</v>
      </c>
      <c r="CI323" s="59" t="e">
        <f>VLOOKUP(A323,[1]DATA!$A$6:$AI$331,34,0)</f>
        <v>#N/A</v>
      </c>
      <c r="CJ323" s="60" t="e">
        <f>VLOOKUP(A323,[2]CHAMCONG!A$7:CI$333,79,0)</f>
        <v>#N/A</v>
      </c>
      <c r="CK323" s="61" t="e">
        <f t="shared" si="113"/>
        <v>#N/A</v>
      </c>
      <c r="CL323" s="62"/>
      <c r="CM323" s="62"/>
    </row>
    <row r="324" spans="1:91" s="75" customFormat="1" ht="18" customHeight="1" x14ac:dyDescent="0.25">
      <c r="A324" s="69"/>
      <c r="B324" s="64"/>
      <c r="C324" s="45"/>
      <c r="D324" s="80"/>
      <c r="E324" s="81"/>
      <c r="F324" s="48"/>
      <c r="G324" s="49"/>
      <c r="H324" s="51"/>
      <c r="I324" s="49"/>
      <c r="J324" s="51"/>
      <c r="K324" s="49"/>
      <c r="L324" s="51"/>
      <c r="M324" s="49"/>
      <c r="N324" s="51"/>
      <c r="O324" s="49"/>
      <c r="P324" s="51"/>
      <c r="Q324" s="49"/>
      <c r="R324" s="51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51"/>
      <c r="AG324" s="49"/>
      <c r="AH324" s="49"/>
      <c r="AI324" s="49"/>
      <c r="AJ324" s="49"/>
      <c r="AK324" s="49"/>
      <c r="AL324" s="49"/>
      <c r="AM324" s="49"/>
      <c r="AN324" s="49"/>
      <c r="AO324" s="49"/>
      <c r="AP324" s="49"/>
      <c r="AQ324" s="51"/>
      <c r="AR324" s="51"/>
      <c r="AS324" s="51"/>
      <c r="AT324" s="51"/>
      <c r="AU324" s="51"/>
      <c r="AV324" s="51"/>
      <c r="AW324" s="49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49"/>
      <c r="BJ324" s="51"/>
      <c r="BK324" s="49"/>
      <c r="BL324" s="51"/>
      <c r="BM324" s="49"/>
      <c r="BN324" s="51"/>
      <c r="BO324" s="51"/>
      <c r="BP324" s="51"/>
      <c r="BQ324" s="52">
        <f t="shared" si="99"/>
        <v>0</v>
      </c>
      <c r="BR324" s="52">
        <f t="shared" si="100"/>
        <v>0</v>
      </c>
      <c r="BS324" s="52">
        <f t="shared" si="101"/>
        <v>0</v>
      </c>
      <c r="BT324" s="52">
        <f t="shared" si="102"/>
        <v>0</v>
      </c>
      <c r="BU324" s="52">
        <f t="shared" si="103"/>
        <v>0</v>
      </c>
      <c r="BV324" s="65"/>
      <c r="BW324" s="52">
        <f t="shared" si="104"/>
        <v>0</v>
      </c>
      <c r="BX324" s="52">
        <f t="shared" si="105"/>
        <v>0</v>
      </c>
      <c r="BY324" s="52">
        <f t="shared" si="106"/>
        <v>0</v>
      </c>
      <c r="BZ324" s="66">
        <f t="shared" si="107"/>
        <v>0</v>
      </c>
      <c r="CA324" s="54">
        <f t="shared" si="108"/>
        <v>0</v>
      </c>
      <c r="CB324" s="55">
        <f t="shared" si="109"/>
        <v>0</v>
      </c>
      <c r="CC324" s="56">
        <f t="shared" si="110"/>
        <v>0</v>
      </c>
      <c r="CD324" s="57">
        <f t="shared" si="114"/>
        <v>-1</v>
      </c>
      <c r="CE324" s="51">
        <v>2</v>
      </c>
      <c r="CF324" s="77" t="e">
        <f t="shared" si="98"/>
        <v>#N/A</v>
      </c>
      <c r="CG324" s="58">
        <v>0</v>
      </c>
      <c r="CH324" s="57">
        <f t="shared" si="112"/>
        <v>32</v>
      </c>
      <c r="CI324" s="59" t="e">
        <f>VLOOKUP(A324,[1]DATA!$A$6:$AI$331,34,0)</f>
        <v>#N/A</v>
      </c>
      <c r="CJ324" s="60" t="e">
        <f>VLOOKUP(A324,[2]CHAMCONG!A$7:CI$333,79,0)</f>
        <v>#N/A</v>
      </c>
      <c r="CK324" s="61" t="e">
        <f t="shared" si="113"/>
        <v>#N/A</v>
      </c>
      <c r="CL324" s="62"/>
      <c r="CM324" s="62"/>
    </row>
    <row r="325" spans="1:91" s="75" customFormat="1" ht="18" customHeight="1" x14ac:dyDescent="0.25">
      <c r="A325" s="82"/>
      <c r="B325" s="83"/>
      <c r="C325" s="4"/>
      <c r="D325" s="84"/>
      <c r="E325" s="85"/>
      <c r="F325" s="48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/>
      <c r="BK325" s="49"/>
      <c r="BL325" s="49"/>
      <c r="BM325" s="49"/>
      <c r="BN325" s="49"/>
      <c r="BO325" s="49"/>
      <c r="BP325" s="49"/>
      <c r="BQ325" s="52">
        <f t="shared" si="99"/>
        <v>0</v>
      </c>
      <c r="BR325" s="52">
        <f t="shared" si="100"/>
        <v>0</v>
      </c>
      <c r="BS325" s="52">
        <f t="shared" si="101"/>
        <v>0</v>
      </c>
      <c r="BT325" s="52">
        <f t="shared" si="102"/>
        <v>0</v>
      </c>
      <c r="BU325" s="52">
        <f t="shared" si="103"/>
        <v>0</v>
      </c>
      <c r="BV325" s="65"/>
      <c r="BW325" s="52">
        <f t="shared" si="104"/>
        <v>0</v>
      </c>
      <c r="BX325" s="52">
        <f t="shared" si="105"/>
        <v>0</v>
      </c>
      <c r="BY325" s="52">
        <f t="shared" si="106"/>
        <v>0</v>
      </c>
      <c r="BZ325" s="66">
        <f t="shared" si="107"/>
        <v>0</v>
      </c>
      <c r="CA325" s="54">
        <f t="shared" si="108"/>
        <v>0</v>
      </c>
      <c r="CB325" s="55">
        <f t="shared" si="109"/>
        <v>0</v>
      </c>
      <c r="CC325" s="56">
        <f t="shared" si="110"/>
        <v>0</v>
      </c>
      <c r="CD325" s="57">
        <f t="shared" si="114"/>
        <v>-1</v>
      </c>
      <c r="CE325" s="51"/>
      <c r="CF325" s="77">
        <f t="shared" si="98"/>
        <v>-70</v>
      </c>
      <c r="CG325" s="58">
        <v>0</v>
      </c>
      <c r="CH325" s="57">
        <f t="shared" si="112"/>
        <v>0</v>
      </c>
      <c r="CI325" s="59">
        <v>70</v>
      </c>
      <c r="CJ325" s="60" t="e">
        <f>VLOOKUP(A325,[2]CHAMCONG!A$7:CI$333,79,0)</f>
        <v>#N/A</v>
      </c>
      <c r="CK325" s="61" t="e">
        <f t="shared" si="113"/>
        <v>#N/A</v>
      </c>
      <c r="CL325" s="62"/>
      <c r="CM325" s="62"/>
    </row>
    <row r="326" spans="1:91" s="75" customFormat="1" ht="18" customHeight="1" x14ac:dyDescent="0.25">
      <c r="A326" s="69"/>
      <c r="B326" s="64"/>
      <c r="C326" s="45"/>
      <c r="D326" s="80"/>
      <c r="E326" s="86"/>
      <c r="F326" s="48"/>
      <c r="G326" s="49"/>
      <c r="H326" s="87"/>
      <c r="I326" s="51"/>
      <c r="J326" s="51"/>
      <c r="K326" s="51"/>
      <c r="L326" s="51"/>
      <c r="M326" s="51"/>
      <c r="N326" s="51"/>
      <c r="O326" s="87"/>
      <c r="P326" s="87"/>
      <c r="Q326" s="87"/>
      <c r="R326" s="87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87"/>
      <c r="AF326" s="87"/>
      <c r="AG326" s="87"/>
      <c r="AH326" s="87"/>
      <c r="AI326" s="51"/>
      <c r="AJ326" s="51"/>
      <c r="AK326" s="51"/>
      <c r="AL326" s="51"/>
      <c r="AM326" s="51"/>
      <c r="AN326" s="51"/>
      <c r="AO326" s="51"/>
      <c r="AP326" s="51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  <c r="BA326" s="87"/>
      <c r="BB326" s="87"/>
      <c r="BC326" s="87"/>
      <c r="BD326" s="87"/>
      <c r="BE326" s="87"/>
      <c r="BF326" s="87"/>
      <c r="BG326" s="87"/>
      <c r="BH326" s="87"/>
      <c r="BI326" s="49"/>
      <c r="BJ326" s="87"/>
      <c r="BK326" s="49"/>
      <c r="BL326" s="87"/>
      <c r="BM326" s="49"/>
      <c r="BN326" s="87"/>
      <c r="BO326" s="87"/>
      <c r="BP326" s="87"/>
      <c r="BQ326" s="88">
        <f t="shared" si="99"/>
        <v>0</v>
      </c>
      <c r="BR326" s="88">
        <f t="shared" si="100"/>
        <v>0</v>
      </c>
      <c r="BS326" s="88">
        <f t="shared" si="101"/>
        <v>0</v>
      </c>
      <c r="BT326" s="88">
        <f t="shared" si="102"/>
        <v>0</v>
      </c>
      <c r="BU326" s="88">
        <f t="shared" si="103"/>
        <v>0</v>
      </c>
      <c r="BV326" s="89"/>
      <c r="BW326" s="88">
        <f t="shared" si="104"/>
        <v>0</v>
      </c>
      <c r="BX326" s="88">
        <f t="shared" si="105"/>
        <v>0</v>
      </c>
      <c r="BY326" s="88">
        <f t="shared" si="106"/>
        <v>0</v>
      </c>
      <c r="BZ326" s="90">
        <f t="shared" si="107"/>
        <v>0</v>
      </c>
      <c r="CA326" s="91">
        <f t="shared" si="108"/>
        <v>0</v>
      </c>
      <c r="CB326" s="92">
        <f t="shared" si="109"/>
        <v>0</v>
      </c>
      <c r="CC326" s="93">
        <f t="shared" si="110"/>
        <v>0</v>
      </c>
      <c r="CD326" s="57">
        <f t="shared" si="114"/>
        <v>-1</v>
      </c>
      <c r="CE326" s="94"/>
      <c r="CF326" s="95">
        <f t="shared" si="98"/>
        <v>-150</v>
      </c>
      <c r="CG326" s="96">
        <v>0</v>
      </c>
      <c r="CH326" s="97">
        <f t="shared" si="112"/>
        <v>0</v>
      </c>
      <c r="CI326" s="59">
        <v>150</v>
      </c>
      <c r="CJ326" s="60" t="e">
        <f>VLOOKUP(A326,[2]CHAMCONG!A$7:CI$333,79,0)</f>
        <v>#N/A</v>
      </c>
      <c r="CK326" s="61" t="e">
        <f t="shared" si="113"/>
        <v>#N/A</v>
      </c>
      <c r="CL326" s="62"/>
      <c r="CM326" s="62"/>
    </row>
    <row r="327" spans="1:91" s="101" customFormat="1" ht="18" customHeight="1" x14ac:dyDescent="0.25">
      <c r="A327" s="69"/>
      <c r="B327" s="64"/>
      <c r="C327" s="45"/>
      <c r="D327" s="80"/>
      <c r="E327" s="81"/>
      <c r="F327" s="48"/>
      <c r="G327" s="49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65">
        <f t="shared" si="99"/>
        <v>0</v>
      </c>
      <c r="BR327" s="65">
        <f t="shared" si="100"/>
        <v>0</v>
      </c>
      <c r="BS327" s="65">
        <f t="shared" si="101"/>
        <v>0</v>
      </c>
      <c r="BT327" s="65">
        <f t="shared" si="102"/>
        <v>0</v>
      </c>
      <c r="BU327" s="65">
        <f t="shared" si="103"/>
        <v>0</v>
      </c>
      <c r="BV327" s="65"/>
      <c r="BW327" s="65">
        <f t="shared" si="104"/>
        <v>0</v>
      </c>
      <c r="BX327" s="65">
        <f t="shared" si="105"/>
        <v>0</v>
      </c>
      <c r="BY327" s="65">
        <f t="shared" si="106"/>
        <v>0</v>
      </c>
      <c r="BZ327" s="66">
        <f t="shared" si="107"/>
        <v>0</v>
      </c>
      <c r="CA327" s="54">
        <f t="shared" si="108"/>
        <v>0</v>
      </c>
      <c r="CB327" s="55">
        <f t="shared" si="109"/>
        <v>0</v>
      </c>
      <c r="CC327" s="56">
        <f t="shared" si="110"/>
        <v>0</v>
      </c>
      <c r="CD327" s="57">
        <f t="shared" si="114"/>
        <v>-1</v>
      </c>
      <c r="CE327" s="51"/>
      <c r="CF327" s="77">
        <f t="shared" si="98"/>
        <v>-150</v>
      </c>
      <c r="CG327" s="98">
        <v>0</v>
      </c>
      <c r="CH327" s="77">
        <f t="shared" si="112"/>
        <v>0</v>
      </c>
      <c r="CI327" s="59">
        <v>150</v>
      </c>
      <c r="CJ327" s="99" t="e">
        <f>VLOOKUP(A327,[2]CHAMCONG!A$7:CI$333,79,0)</f>
        <v>#N/A</v>
      </c>
      <c r="CK327" s="100" t="e">
        <f t="shared" si="113"/>
        <v>#N/A</v>
      </c>
      <c r="CL327" s="62"/>
      <c r="CM327" s="62"/>
    </row>
    <row r="328" spans="1:91" s="101" customFormat="1" ht="18" customHeight="1" x14ac:dyDescent="0.25">
      <c r="A328" s="69"/>
      <c r="B328" s="64"/>
      <c r="C328" s="45"/>
      <c r="D328" s="80"/>
      <c r="E328" s="81"/>
      <c r="F328" s="48"/>
      <c r="G328" s="49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65">
        <f t="shared" si="99"/>
        <v>0</v>
      </c>
      <c r="BR328" s="65">
        <f t="shared" si="100"/>
        <v>0</v>
      </c>
      <c r="BS328" s="65">
        <f t="shared" si="101"/>
        <v>0</v>
      </c>
      <c r="BT328" s="65">
        <f t="shared" si="102"/>
        <v>0</v>
      </c>
      <c r="BU328" s="65">
        <f t="shared" si="103"/>
        <v>0</v>
      </c>
      <c r="BV328" s="65"/>
      <c r="BW328" s="65">
        <f t="shared" si="104"/>
        <v>0</v>
      </c>
      <c r="BX328" s="65">
        <f t="shared" si="105"/>
        <v>0</v>
      </c>
      <c r="BY328" s="65">
        <f t="shared" si="106"/>
        <v>0</v>
      </c>
      <c r="BZ328" s="66">
        <f t="shared" si="107"/>
        <v>0</v>
      </c>
      <c r="CA328" s="54">
        <f t="shared" si="108"/>
        <v>0</v>
      </c>
      <c r="CB328" s="55">
        <f t="shared" si="109"/>
        <v>0</v>
      </c>
      <c r="CC328" s="56">
        <f t="shared" si="110"/>
        <v>0</v>
      </c>
      <c r="CD328" s="57">
        <f t="shared" si="114"/>
        <v>-1</v>
      </c>
      <c r="CE328" s="51"/>
      <c r="CF328" s="77">
        <f t="shared" si="98"/>
        <v>-150</v>
      </c>
      <c r="CG328" s="98">
        <v>0</v>
      </c>
      <c r="CH328" s="77">
        <f t="shared" si="112"/>
        <v>0</v>
      </c>
      <c r="CI328" s="59">
        <v>150</v>
      </c>
      <c r="CJ328" s="99" t="e">
        <f>VLOOKUP(A328,[2]CHAMCONG!A$7:CI$333,79,0)</f>
        <v>#N/A</v>
      </c>
      <c r="CK328" s="100" t="e">
        <f t="shared" si="113"/>
        <v>#N/A</v>
      </c>
      <c r="CL328" s="62"/>
      <c r="CM328" s="62"/>
    </row>
    <row r="329" spans="1:91" s="101" customFormat="1" ht="18" customHeight="1" x14ac:dyDescent="0.25">
      <c r="A329" s="69"/>
      <c r="B329" s="64"/>
      <c r="C329" s="45"/>
      <c r="D329" s="80"/>
      <c r="E329" s="81"/>
      <c r="F329" s="48"/>
      <c r="G329" s="49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65">
        <f t="shared" si="99"/>
        <v>0</v>
      </c>
      <c r="BR329" s="65">
        <f t="shared" si="100"/>
        <v>0</v>
      </c>
      <c r="BS329" s="65">
        <f t="shared" si="101"/>
        <v>0</v>
      </c>
      <c r="BT329" s="65">
        <f t="shared" si="102"/>
        <v>0</v>
      </c>
      <c r="BU329" s="65">
        <f t="shared" si="103"/>
        <v>0</v>
      </c>
      <c r="BV329" s="65"/>
      <c r="BW329" s="65">
        <f t="shared" si="104"/>
        <v>0</v>
      </c>
      <c r="BX329" s="65">
        <f t="shared" si="105"/>
        <v>0</v>
      </c>
      <c r="BY329" s="65">
        <f t="shared" si="106"/>
        <v>0</v>
      </c>
      <c r="BZ329" s="66">
        <f t="shared" si="107"/>
        <v>0</v>
      </c>
      <c r="CA329" s="54">
        <f t="shared" si="108"/>
        <v>0</v>
      </c>
      <c r="CB329" s="55">
        <f t="shared" si="109"/>
        <v>0</v>
      </c>
      <c r="CC329" s="56">
        <f t="shared" si="110"/>
        <v>0</v>
      </c>
      <c r="CD329" s="57">
        <f t="shared" si="114"/>
        <v>-1</v>
      </c>
      <c r="CE329" s="51"/>
      <c r="CF329" s="77">
        <f t="shared" si="98"/>
        <v>-150</v>
      </c>
      <c r="CG329" s="98">
        <v>0</v>
      </c>
      <c r="CH329" s="77">
        <f t="shared" si="112"/>
        <v>0</v>
      </c>
      <c r="CI329" s="102">
        <v>150</v>
      </c>
      <c r="CJ329" s="99" t="e">
        <f>VLOOKUP(A329,[2]CHAMCONG!A$7:CI$333,79,0)</f>
        <v>#N/A</v>
      </c>
      <c r="CK329" s="100" t="e">
        <f t="shared" si="113"/>
        <v>#N/A</v>
      </c>
      <c r="CL329" s="62"/>
      <c r="CM329" s="62"/>
    </row>
    <row r="330" spans="1:91" s="75" customFormat="1" ht="18" customHeight="1" x14ac:dyDescent="0.25">
      <c r="A330" s="69"/>
      <c r="B330" s="64"/>
      <c r="C330" s="45"/>
      <c r="D330" s="84"/>
      <c r="E330" s="85"/>
      <c r="F330" s="48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/>
      <c r="BN330" s="49"/>
      <c r="BO330" s="49"/>
      <c r="BP330" s="49"/>
      <c r="BQ330" s="52">
        <f t="shared" si="99"/>
        <v>0</v>
      </c>
      <c r="BR330" s="52">
        <f t="shared" si="100"/>
        <v>0</v>
      </c>
      <c r="BS330" s="52">
        <f t="shared" si="101"/>
        <v>0</v>
      </c>
      <c r="BT330" s="52">
        <f t="shared" si="102"/>
        <v>0</v>
      </c>
      <c r="BU330" s="52">
        <f t="shared" si="103"/>
        <v>0</v>
      </c>
      <c r="BV330" s="52"/>
      <c r="BW330" s="52">
        <f t="shared" si="104"/>
        <v>0</v>
      </c>
      <c r="BX330" s="52">
        <f t="shared" si="105"/>
        <v>0</v>
      </c>
      <c r="BY330" s="52">
        <f t="shared" si="106"/>
        <v>0</v>
      </c>
      <c r="BZ330" s="53">
        <f t="shared" si="107"/>
        <v>0</v>
      </c>
      <c r="CA330" s="103">
        <f t="shared" si="108"/>
        <v>0</v>
      </c>
      <c r="CB330" s="104">
        <f t="shared" si="109"/>
        <v>0</v>
      </c>
      <c r="CC330" s="105">
        <f t="shared" si="110"/>
        <v>0</v>
      </c>
      <c r="CD330" s="57">
        <f t="shared" si="114"/>
        <v>-1</v>
      </c>
      <c r="CE330" s="49"/>
      <c r="CF330" s="57">
        <f t="shared" ref="CF330:CF334" si="121">CD330*CI330</f>
        <v>-70</v>
      </c>
      <c r="CG330" s="58">
        <v>0</v>
      </c>
      <c r="CH330" s="57">
        <f t="shared" si="112"/>
        <v>0</v>
      </c>
      <c r="CI330" s="59">
        <v>70</v>
      </c>
      <c r="CJ330" s="60" t="e">
        <f>VLOOKUP(A330,[2]CHAMCONG!A$7:CI$333,79,0)</f>
        <v>#N/A</v>
      </c>
      <c r="CK330" s="61" t="e">
        <f t="shared" si="113"/>
        <v>#N/A</v>
      </c>
      <c r="CL330" s="62"/>
      <c r="CM330" s="62"/>
    </row>
    <row r="331" spans="1:91" s="75" customFormat="1" ht="18" customHeight="1" x14ac:dyDescent="0.25">
      <c r="A331" s="1"/>
      <c r="B331" s="2"/>
      <c r="C331" s="4"/>
      <c r="D331" s="84"/>
      <c r="E331" s="85"/>
      <c r="F331" s="48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/>
      <c r="BN331" s="49"/>
      <c r="BO331" s="49"/>
      <c r="BP331" s="49"/>
      <c r="BQ331" s="52"/>
      <c r="BR331" s="52"/>
      <c r="BS331" s="52"/>
      <c r="BT331" s="52"/>
      <c r="BU331" s="52"/>
      <c r="BV331" s="52"/>
      <c r="BW331" s="52"/>
      <c r="BX331" s="52"/>
      <c r="BY331" s="52"/>
      <c r="BZ331" s="53"/>
      <c r="CA331" s="103"/>
      <c r="CB331" s="104"/>
      <c r="CC331" s="105"/>
      <c r="CD331" s="57"/>
      <c r="CE331" s="49"/>
      <c r="CF331" s="57"/>
      <c r="CG331" s="58"/>
      <c r="CH331" s="57"/>
      <c r="CI331" s="59"/>
      <c r="CJ331" s="60"/>
      <c r="CK331" s="61"/>
      <c r="CL331" s="62"/>
      <c r="CM331" s="62"/>
    </row>
    <row r="332" spans="1:91" s="75" customFormat="1" ht="18" customHeight="1" x14ac:dyDescent="0.25">
      <c r="A332" s="1"/>
      <c r="B332" s="2"/>
      <c r="C332" s="45"/>
      <c r="D332" s="84"/>
      <c r="E332" s="85"/>
      <c r="F332" s="106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/>
      <c r="BN332" s="49"/>
      <c r="BO332" s="49"/>
      <c r="BP332" s="49"/>
      <c r="BQ332" s="52"/>
      <c r="BR332" s="52"/>
      <c r="BS332" s="52"/>
      <c r="BT332" s="52"/>
      <c r="BU332" s="52"/>
      <c r="BV332" s="52"/>
      <c r="BW332" s="52"/>
      <c r="BX332" s="52"/>
      <c r="BY332" s="52"/>
      <c r="BZ332" s="53"/>
      <c r="CA332" s="103"/>
      <c r="CB332" s="104"/>
      <c r="CC332" s="105"/>
      <c r="CD332" s="57"/>
      <c r="CE332" s="49"/>
      <c r="CF332" s="57"/>
      <c r="CG332" s="58"/>
      <c r="CH332" s="57"/>
      <c r="CI332" s="59"/>
      <c r="CJ332" s="60"/>
      <c r="CK332" s="61"/>
      <c r="CL332" s="62"/>
      <c r="CM332" s="62"/>
    </row>
    <row r="333" spans="1:91" s="75" customFormat="1" ht="18" customHeight="1" x14ac:dyDescent="0.25">
      <c r="A333" s="1"/>
      <c r="B333" s="2"/>
      <c r="C333" s="4"/>
      <c r="D333" s="84"/>
      <c r="E333" s="85"/>
      <c r="F333" s="106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49"/>
      <c r="BQ333" s="52"/>
      <c r="BR333" s="52"/>
      <c r="BS333" s="52"/>
      <c r="BT333" s="52"/>
      <c r="BU333" s="52"/>
      <c r="BV333" s="52"/>
      <c r="BW333" s="52"/>
      <c r="BX333" s="52"/>
      <c r="BY333" s="52"/>
      <c r="BZ333" s="53"/>
      <c r="CA333" s="103"/>
      <c r="CB333" s="104"/>
      <c r="CC333" s="105"/>
      <c r="CD333" s="57"/>
      <c r="CE333" s="49"/>
      <c r="CF333" s="57"/>
      <c r="CG333" s="58"/>
      <c r="CH333" s="57"/>
      <c r="CI333" s="59"/>
      <c r="CJ333" s="60"/>
      <c r="CK333" s="61"/>
      <c r="CL333" s="62"/>
      <c r="CM333" s="62"/>
    </row>
    <row r="334" spans="1:91" s="75" customFormat="1" ht="18" customHeight="1" x14ac:dyDescent="0.25">
      <c r="A334" s="1"/>
      <c r="B334" s="2"/>
      <c r="C334" s="4"/>
      <c r="D334" s="84"/>
      <c r="E334" s="85"/>
      <c r="F334" s="106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103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49"/>
      <c r="BQ334" s="52">
        <f t="shared" ref="BQ334" si="122">COUNTIF($G334:$BP334,"a")+COUNTIF($G334:$BP334,"r0,a5")/2+COUNTIF($G334:$BP334,"p5,a5")/2</f>
        <v>0</v>
      </c>
      <c r="BR334" s="52">
        <f t="shared" ref="BR334" si="123">COUNTIF($G334:$BP334,"d")+COUNTIF($G334:$BP334,"r0,d5")/2+COUNTIF($G334:$BP334,"p5,d5")/2</f>
        <v>0</v>
      </c>
      <c r="BS334" s="52">
        <f t="shared" ref="BS334" si="124">COUNTIF($G334:$BP334,"b")+COUNTIF($G334:$BP334,"r0,b5")/2+COUNTIF($G334:$BP334,"p5,b5")/2</f>
        <v>0</v>
      </c>
      <c r="BT334" s="52">
        <f t="shared" ref="BT334" si="125">COUNTIF($G334:$BP334,"c")+COUNTIF($G334:$BP334,"r0,c5")/2+COUNTIF($G334:$BP334,"p5,c5")/2</f>
        <v>0</v>
      </c>
      <c r="BU334" s="52">
        <f t="shared" ref="BU334" si="126">COUNTIF($G334:$BP334,"KH")+COUNTIF($G334:$BP334,"TL")+COUNTIF($G334:$BP334,"L")</f>
        <v>0</v>
      </c>
      <c r="BV334" s="65"/>
      <c r="BW334" s="52">
        <f t="shared" ref="BW334" si="127">COUNTIF($G334:$BP334,"hh")</f>
        <v>0</v>
      </c>
      <c r="BX334" s="52">
        <f t="shared" ref="BX334" si="128">COUNTIF($G334:$BP334,"nt7")</f>
        <v>0</v>
      </c>
      <c r="BY334" s="52">
        <f t="shared" ref="BY334" si="129">COUNTIF($G334:$BP334,"P")+COUNTIF($G334:$BP334,"p5,a5")/2+COUNTIF($G334:$BP334,"p5,b5")/2+COUNTIF($G334:$BP334,"p5,c5")/2+COUNTIF($G334:$BP334,"p5,d5")/2</f>
        <v>0</v>
      </c>
      <c r="BZ334" s="66">
        <f t="shared" ref="BZ334" si="130">SUBTOTAL(9,BQ334:BY334)</f>
        <v>0</v>
      </c>
      <c r="CA334" s="54">
        <f t="shared" si="108"/>
        <v>0</v>
      </c>
      <c r="CB334" s="55">
        <f t="shared" si="109"/>
        <v>0</v>
      </c>
      <c r="CC334" s="56">
        <f t="shared" si="110"/>
        <v>0</v>
      </c>
      <c r="CD334" s="57"/>
      <c r="CE334" s="51"/>
      <c r="CF334" s="77">
        <f t="shared" si="121"/>
        <v>0</v>
      </c>
      <c r="CG334" s="58">
        <v>0</v>
      </c>
      <c r="CH334" s="57">
        <f t="shared" si="112"/>
        <v>0</v>
      </c>
      <c r="CI334" s="59"/>
      <c r="CJ334" s="60" t="e">
        <f>VLOOKUP(A334,[2]CHAMCONG!A$7:CI$333,79,0)</f>
        <v>#N/A</v>
      </c>
      <c r="CK334" s="61" t="e">
        <f t="shared" si="113"/>
        <v>#N/A</v>
      </c>
      <c r="CM334" s="62"/>
    </row>
    <row r="335" spans="1:91" s="111" customFormat="1" ht="18" customHeight="1" x14ac:dyDescent="0.2">
      <c r="A335" s="107"/>
      <c r="B335" s="108"/>
      <c r="C335" s="107"/>
      <c r="D335" s="107"/>
      <c r="E335" s="136"/>
      <c r="F335" s="137"/>
      <c r="G335" s="48"/>
      <c r="H335" s="48"/>
      <c r="I335" s="48"/>
      <c r="J335" s="50"/>
      <c r="K335" s="48"/>
      <c r="L335" s="48"/>
      <c r="M335" s="48"/>
      <c r="N335" s="48"/>
      <c r="O335" s="48"/>
      <c r="P335" s="50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109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  <c r="AS335" s="48"/>
      <c r="AT335" s="48"/>
      <c r="AU335" s="48"/>
      <c r="AV335" s="48"/>
      <c r="AW335" s="48"/>
      <c r="AX335" s="48"/>
      <c r="AY335" s="48"/>
      <c r="AZ335" s="48"/>
      <c r="BA335" s="48"/>
      <c r="BB335" s="48"/>
      <c r="BC335" s="48"/>
      <c r="BD335" s="48"/>
      <c r="BE335" s="48"/>
      <c r="BF335" s="48"/>
      <c r="BG335" s="48"/>
      <c r="BH335" s="48"/>
      <c r="BI335" s="48"/>
      <c r="BJ335" s="48"/>
      <c r="BK335" s="48"/>
      <c r="BL335" s="48"/>
      <c r="BM335" s="48"/>
      <c r="BN335" s="48"/>
      <c r="BO335" s="48"/>
      <c r="BP335" s="48"/>
      <c r="BQ335" s="110">
        <f>SUM(BQ11:BQ324)</f>
        <v>0</v>
      </c>
      <c r="BR335" s="110">
        <f>SUM(BR11:BR324)</f>
        <v>0</v>
      </c>
      <c r="BS335" s="110">
        <f>SUM(BS11:BS324)</f>
        <v>0</v>
      </c>
      <c r="BT335" s="110">
        <f>SUM(BT11:BT324)</f>
        <v>0</v>
      </c>
      <c r="BU335" s="110">
        <f>SUM(BU11:BU324)</f>
        <v>0</v>
      </c>
      <c r="BV335" s="110">
        <f>SUM(BV11:BV300)</f>
        <v>0</v>
      </c>
      <c r="BW335" s="110">
        <f t="shared" ref="BW335:CI335" si="131">SUM(BW11:BW324)</f>
        <v>0</v>
      </c>
      <c r="BX335" s="110">
        <f t="shared" si="131"/>
        <v>0</v>
      </c>
      <c r="BY335" s="110">
        <f t="shared" si="131"/>
        <v>0</v>
      </c>
      <c r="BZ335" s="110">
        <f t="shared" si="131"/>
        <v>0</v>
      </c>
      <c r="CA335" s="110">
        <f t="shared" si="131"/>
        <v>0</v>
      </c>
      <c r="CB335" s="110">
        <f t="shared" si="131"/>
        <v>0</v>
      </c>
      <c r="CC335" s="110">
        <f t="shared" si="131"/>
        <v>0</v>
      </c>
      <c r="CD335" s="110">
        <f t="shared" si="131"/>
        <v>-296</v>
      </c>
      <c r="CE335" s="110">
        <f t="shared" si="131"/>
        <v>388</v>
      </c>
      <c r="CF335" s="110" t="e">
        <f t="shared" si="131"/>
        <v>#N/A</v>
      </c>
      <c r="CG335" s="110">
        <f t="shared" si="131"/>
        <v>292</v>
      </c>
      <c r="CH335" s="110">
        <f t="shared" si="131"/>
        <v>6208</v>
      </c>
      <c r="CI335" s="110" t="e">
        <f t="shared" si="131"/>
        <v>#N/A</v>
      </c>
      <c r="CJ335" s="60" t="e">
        <f>VLOOKUP(A335,[2]CHAMCONG!A$7:CI$333,79,0)</f>
        <v>#N/A</v>
      </c>
      <c r="CK335" s="61" t="e">
        <f t="shared" ref="CK335:CK405" si="132">CJ335-CA335</f>
        <v>#N/A</v>
      </c>
    </row>
    <row r="336" spans="1:91" s="111" customFormat="1" ht="18" customHeight="1" x14ac:dyDescent="0.2">
      <c r="A336" s="107"/>
      <c r="B336" s="108"/>
      <c r="C336" s="107"/>
      <c r="D336" s="107"/>
      <c r="E336" s="138"/>
      <c r="F336" s="139"/>
      <c r="G336" s="45"/>
      <c r="H336" s="45"/>
      <c r="I336" s="45"/>
      <c r="J336" s="51"/>
      <c r="K336" s="45"/>
      <c r="L336" s="51"/>
      <c r="M336" s="45"/>
      <c r="N336" s="51"/>
      <c r="O336" s="45"/>
      <c r="P336" s="51"/>
      <c r="Q336" s="45"/>
      <c r="R336" s="45"/>
      <c r="S336" s="45"/>
      <c r="T336" s="51"/>
      <c r="U336" s="45"/>
      <c r="V336" s="51"/>
      <c r="W336" s="45"/>
      <c r="X336" s="51"/>
      <c r="Y336" s="45"/>
      <c r="Z336" s="51"/>
      <c r="AA336" s="45"/>
      <c r="AB336" s="51"/>
      <c r="AC336" s="45"/>
      <c r="AD336" s="51"/>
      <c r="AE336" s="45"/>
      <c r="AF336" s="45"/>
      <c r="AG336" s="45"/>
      <c r="AH336" s="51"/>
      <c r="AI336" s="45"/>
      <c r="AJ336" s="51"/>
      <c r="AK336" s="45"/>
      <c r="AL336" s="51"/>
      <c r="AM336" s="45"/>
      <c r="AN336" s="51"/>
      <c r="AO336" s="45"/>
      <c r="AP336" s="51"/>
      <c r="AQ336" s="45"/>
      <c r="AR336" s="51"/>
      <c r="AS336" s="45"/>
      <c r="AT336" s="45"/>
      <c r="AU336" s="45"/>
      <c r="AV336" s="51"/>
      <c r="AW336" s="45"/>
      <c r="AX336" s="51"/>
      <c r="AY336" s="45"/>
      <c r="AZ336" s="51"/>
      <c r="BA336" s="45"/>
      <c r="BB336" s="51"/>
      <c r="BC336" s="45"/>
      <c r="BD336" s="51"/>
      <c r="BE336" s="45"/>
      <c r="BF336" s="51"/>
      <c r="BG336" s="45"/>
      <c r="BH336" s="45"/>
      <c r="BI336" s="45"/>
      <c r="BJ336" s="51"/>
      <c r="BK336" s="45"/>
      <c r="BL336" s="51"/>
      <c r="BM336" s="45"/>
      <c r="BN336" s="51"/>
      <c r="BO336" s="45"/>
      <c r="BP336" s="51"/>
      <c r="BQ336" s="112"/>
      <c r="BR336" s="107"/>
      <c r="BS336" s="107"/>
      <c r="BT336" s="107"/>
      <c r="BU336" s="107"/>
      <c r="BV336" s="107"/>
      <c r="BW336" s="1"/>
      <c r="BX336" s="1"/>
      <c r="BY336" s="1"/>
      <c r="BZ336" s="9"/>
      <c r="CA336" s="1"/>
      <c r="CB336" s="9"/>
      <c r="CC336" s="107"/>
      <c r="CD336" s="57"/>
      <c r="CE336" s="107"/>
      <c r="CF336" s="107"/>
      <c r="CG336" s="107"/>
      <c r="CH336" s="113"/>
      <c r="CI336" s="114"/>
      <c r="CJ336" s="60" t="e">
        <f>VLOOKUP(A336,[2]CHAMCONG!A$7:CI$333,79,0)</f>
        <v>#N/A</v>
      </c>
      <c r="CK336" s="61" t="e">
        <f t="shared" si="132"/>
        <v>#N/A</v>
      </c>
    </row>
    <row r="337" spans="1:89" s="111" customFormat="1" ht="18" customHeight="1" x14ac:dyDescent="0.2">
      <c r="A337" s="107"/>
      <c r="B337" s="108"/>
      <c r="C337" s="107"/>
      <c r="D337" s="107"/>
      <c r="E337" s="140"/>
      <c r="F337" s="141"/>
      <c r="G337" s="45"/>
      <c r="H337" s="115"/>
      <c r="I337" s="67"/>
      <c r="J337" s="51"/>
      <c r="K337" s="45"/>
      <c r="L337" s="51"/>
      <c r="M337" s="45"/>
      <c r="N337" s="51"/>
      <c r="O337" s="67"/>
      <c r="P337" s="51"/>
      <c r="Q337" s="45"/>
      <c r="R337" s="45"/>
      <c r="S337" s="45"/>
      <c r="T337" s="51"/>
      <c r="U337" s="45"/>
      <c r="V337" s="51"/>
      <c r="W337" s="45"/>
      <c r="X337" s="51"/>
      <c r="Y337" s="45"/>
      <c r="Z337" s="51"/>
      <c r="AA337" s="45"/>
      <c r="AB337" s="51"/>
      <c r="AC337" s="45"/>
      <c r="AD337" s="51"/>
      <c r="AE337" s="45"/>
      <c r="AF337" s="45"/>
      <c r="AG337" s="45"/>
      <c r="AH337" s="51"/>
      <c r="AI337" s="45"/>
      <c r="AJ337" s="51"/>
      <c r="AK337" s="45"/>
      <c r="AL337" s="51"/>
      <c r="AM337" s="45"/>
      <c r="AN337" s="51"/>
      <c r="AO337" s="45"/>
      <c r="AP337" s="51"/>
      <c r="AQ337" s="45"/>
      <c r="AR337" s="51"/>
      <c r="AS337" s="45"/>
      <c r="AT337" s="45"/>
      <c r="AU337" s="45"/>
      <c r="AV337" s="51"/>
      <c r="AW337" s="45"/>
      <c r="AX337" s="51"/>
      <c r="AY337" s="45"/>
      <c r="AZ337" s="51"/>
      <c r="BA337" s="45"/>
      <c r="BB337" s="51"/>
      <c r="BC337" s="45"/>
      <c r="BD337" s="51"/>
      <c r="BE337" s="45"/>
      <c r="BF337" s="51"/>
      <c r="BG337" s="45"/>
      <c r="BH337" s="45"/>
      <c r="BI337" s="45"/>
      <c r="BJ337" s="51"/>
      <c r="BK337" s="45"/>
      <c r="BL337" s="51"/>
      <c r="BM337" s="45"/>
      <c r="BN337" s="51"/>
      <c r="BO337" s="45"/>
      <c r="BP337" s="51"/>
      <c r="BQ337" s="116"/>
      <c r="BR337" s="117"/>
      <c r="BS337" s="107"/>
      <c r="BT337" s="107"/>
      <c r="BU337" s="107"/>
      <c r="BV337" s="107"/>
      <c r="BW337" s="107"/>
      <c r="BX337" s="107"/>
      <c r="BY337" s="107"/>
      <c r="BZ337" s="118"/>
      <c r="CA337" s="107"/>
      <c r="CB337" s="118"/>
      <c r="CC337" s="107"/>
      <c r="CD337" s="57"/>
      <c r="CE337" s="107"/>
      <c r="CF337" s="107"/>
      <c r="CG337" s="107"/>
      <c r="CH337" s="107"/>
      <c r="CI337" s="114"/>
      <c r="CJ337" s="60" t="e">
        <f>VLOOKUP(A337,[2]CHAMCONG!A$7:CI$333,79,0)</f>
        <v>#N/A</v>
      </c>
      <c r="CK337" s="61" t="e">
        <f t="shared" si="132"/>
        <v>#N/A</v>
      </c>
    </row>
    <row r="338" spans="1:89" s="127" customFormat="1" ht="15" customHeight="1" x14ac:dyDescent="0.25">
      <c r="A338" s="119"/>
      <c r="B338" s="108"/>
      <c r="C338" s="107"/>
      <c r="D338" s="120"/>
      <c r="E338" s="107"/>
      <c r="F338" s="107"/>
      <c r="G338" s="121"/>
      <c r="H338" s="121"/>
      <c r="I338" s="122"/>
      <c r="J338" s="122"/>
      <c r="K338" s="121"/>
      <c r="L338" s="121"/>
      <c r="M338" s="121"/>
      <c r="N338" s="121"/>
      <c r="O338" s="122"/>
      <c r="P338" s="122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  <c r="AB338" s="123"/>
      <c r="AC338" s="121"/>
      <c r="AD338" s="121"/>
      <c r="AE338" s="121"/>
      <c r="AF338" s="121"/>
      <c r="AG338" s="121"/>
      <c r="AH338" s="121"/>
      <c r="AI338" s="121"/>
      <c r="AJ338" s="121"/>
      <c r="AK338" s="121"/>
      <c r="AL338" s="121"/>
      <c r="AM338" s="121"/>
      <c r="AN338" s="123"/>
      <c r="AO338" s="121"/>
      <c r="AP338" s="124"/>
      <c r="AQ338" s="121"/>
      <c r="AR338" s="123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  <c r="BC338" s="121"/>
      <c r="BD338" s="124"/>
      <c r="BE338" s="121"/>
      <c r="BF338" s="125"/>
      <c r="BG338" s="121"/>
      <c r="BH338" s="121"/>
      <c r="BI338" s="121"/>
      <c r="BJ338" s="121"/>
      <c r="BK338" s="121"/>
      <c r="BL338" s="121"/>
      <c r="BM338" s="121"/>
      <c r="BN338" s="121"/>
      <c r="BO338" s="121"/>
      <c r="BP338" s="121"/>
      <c r="BQ338" s="107"/>
      <c r="BR338" s="126"/>
      <c r="BS338" s="107"/>
      <c r="BT338" s="107"/>
      <c r="BU338" s="107"/>
      <c r="BV338" s="107"/>
      <c r="BW338" s="107"/>
      <c r="BX338" s="107"/>
      <c r="BY338" s="107"/>
      <c r="BZ338" s="118"/>
      <c r="CA338" s="107"/>
      <c r="CB338" s="118"/>
      <c r="CC338" s="107"/>
      <c r="CD338" s="57"/>
      <c r="CE338" s="107"/>
      <c r="CF338" s="107"/>
      <c r="CG338" s="107"/>
      <c r="CH338" s="107"/>
      <c r="CI338" s="114"/>
      <c r="CJ338" s="60" t="e">
        <f>VLOOKUP(A338,[2]CHAMCONG!A$7:CI$333,79,0)</f>
        <v>#N/A</v>
      </c>
      <c r="CK338" s="61" t="e">
        <f t="shared" si="132"/>
        <v>#N/A</v>
      </c>
    </row>
    <row r="339" spans="1:89" s="127" customFormat="1" ht="15" customHeight="1" x14ac:dyDescent="0.25">
      <c r="A339" s="119"/>
      <c r="B339" s="108"/>
      <c r="C339" s="107"/>
      <c r="D339" s="120"/>
      <c r="E339" s="128"/>
      <c r="F339" s="107"/>
      <c r="G339" s="121"/>
      <c r="H339" s="121"/>
      <c r="I339" s="122"/>
      <c r="J339" s="122"/>
      <c r="K339" s="121"/>
      <c r="L339" s="121"/>
      <c r="M339" s="121"/>
      <c r="N339" s="121"/>
      <c r="O339" s="122"/>
      <c r="P339" s="122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  <c r="AB339" s="123"/>
      <c r="AC339" s="121"/>
      <c r="AD339" s="121"/>
      <c r="AE339" s="121"/>
      <c r="AF339" s="121"/>
      <c r="AG339" s="121"/>
      <c r="AH339" s="121"/>
      <c r="AI339" s="121"/>
      <c r="AJ339" s="121"/>
      <c r="AK339" s="121"/>
      <c r="AL339" s="121"/>
      <c r="AM339" s="121"/>
      <c r="AN339" s="121"/>
      <c r="AO339" s="121"/>
      <c r="AP339" s="124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  <c r="BB339" s="121"/>
      <c r="BC339" s="121"/>
      <c r="BD339" s="124"/>
      <c r="BE339" s="121"/>
      <c r="BF339" s="121"/>
      <c r="BG339" s="121"/>
      <c r="BH339" s="121"/>
      <c r="BI339" s="121"/>
      <c r="BJ339" s="121"/>
      <c r="BK339" s="121"/>
      <c r="BL339" s="121"/>
      <c r="BM339" s="121"/>
      <c r="BN339" s="121"/>
      <c r="BO339" s="121"/>
      <c r="BP339" s="121"/>
      <c r="BQ339" s="128">
        <f t="shared" ref="BQ339" si="133">BQ340+BQ341</f>
        <v>0</v>
      </c>
      <c r="BR339" s="107"/>
      <c r="BS339" s="107"/>
      <c r="BT339" s="107"/>
      <c r="BU339" s="107"/>
      <c r="BV339" s="107"/>
      <c r="BW339" s="107"/>
      <c r="BX339" s="107"/>
      <c r="BY339" s="107"/>
      <c r="BZ339" s="118"/>
      <c r="CA339" s="107"/>
      <c r="CB339" s="118"/>
      <c r="CC339" s="107"/>
      <c r="CD339" s="57"/>
      <c r="CE339" s="107"/>
      <c r="CF339" s="107"/>
      <c r="CG339" s="107"/>
      <c r="CH339" s="107"/>
      <c r="CI339" s="114"/>
      <c r="CJ339" s="60" t="e">
        <f>VLOOKUP(A339,[2]CHAMCONG!A$7:CI$333,79,0)</f>
        <v>#N/A</v>
      </c>
      <c r="CK339" s="61" t="e">
        <f t="shared" si="132"/>
        <v>#N/A</v>
      </c>
    </row>
    <row r="340" spans="1:89" s="127" customFormat="1" ht="15" customHeight="1" x14ac:dyDescent="0.25">
      <c r="A340" s="129"/>
      <c r="B340" s="108"/>
      <c r="C340" s="107"/>
      <c r="D340" s="120"/>
      <c r="E340" s="107"/>
      <c r="F340" s="107"/>
      <c r="G340" s="121"/>
      <c r="H340" s="121"/>
      <c r="I340" s="122"/>
      <c r="J340" s="122"/>
      <c r="K340" s="121"/>
      <c r="L340" s="121"/>
      <c r="M340" s="121"/>
      <c r="N340" s="121"/>
      <c r="O340" s="122"/>
      <c r="P340" s="122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  <c r="AB340" s="123"/>
      <c r="AC340" s="121"/>
      <c r="AD340" s="121"/>
      <c r="AE340" s="121"/>
      <c r="AF340" s="121"/>
      <c r="AG340" s="121"/>
      <c r="AH340" s="121"/>
      <c r="AI340" s="121"/>
      <c r="AJ340" s="121"/>
      <c r="AK340" s="121"/>
      <c r="AL340" s="121"/>
      <c r="AM340" s="121"/>
      <c r="AN340" s="123"/>
      <c r="AO340" s="121"/>
      <c r="AP340" s="124"/>
      <c r="AQ340" s="121"/>
      <c r="AR340" s="123"/>
      <c r="AS340" s="121"/>
      <c r="AT340" s="121"/>
      <c r="AU340" s="121"/>
      <c r="AV340" s="121"/>
      <c r="AW340" s="121"/>
      <c r="AX340" s="121"/>
      <c r="AY340" s="121"/>
      <c r="AZ340" s="121"/>
      <c r="BA340" s="121"/>
      <c r="BB340" s="121"/>
      <c r="BC340" s="121"/>
      <c r="BD340" s="124"/>
      <c r="BE340" s="121"/>
      <c r="BF340" s="125"/>
      <c r="BG340" s="121"/>
      <c r="BH340" s="121"/>
      <c r="BI340" s="121"/>
      <c r="BJ340" s="121"/>
      <c r="BK340" s="121"/>
      <c r="BL340" s="121"/>
      <c r="BM340" s="121"/>
      <c r="BN340" s="121"/>
      <c r="BO340" s="121"/>
      <c r="BP340" s="121"/>
      <c r="BQ340" s="107"/>
      <c r="BR340" s="107"/>
      <c r="BS340" s="107"/>
      <c r="BT340" s="107"/>
      <c r="BU340" s="107"/>
      <c r="BV340" s="107"/>
      <c r="BW340" s="107"/>
      <c r="BX340" s="107"/>
      <c r="BY340" s="107"/>
      <c r="BZ340" s="118"/>
      <c r="CA340" s="107"/>
      <c r="CB340" s="118"/>
      <c r="CC340" s="107"/>
      <c r="CD340" s="57"/>
      <c r="CE340" s="107"/>
      <c r="CF340" s="107"/>
      <c r="CG340" s="107"/>
      <c r="CH340" s="107"/>
      <c r="CI340" s="114"/>
      <c r="CJ340" s="60" t="e">
        <f>VLOOKUP(A340,[2]CHAMCONG!A$7:CI$333,79,0)</f>
        <v>#N/A</v>
      </c>
      <c r="CK340" s="61" t="e">
        <f t="shared" si="132"/>
        <v>#N/A</v>
      </c>
    </row>
    <row r="341" spans="1:89" s="127" customFormat="1" ht="15" customHeight="1" x14ac:dyDescent="0.25">
      <c r="A341" s="119"/>
      <c r="B341" s="108"/>
      <c r="C341" s="107"/>
      <c r="D341" s="120"/>
      <c r="E341" s="107"/>
      <c r="F341" s="107"/>
      <c r="G341" s="121"/>
      <c r="H341" s="121"/>
      <c r="I341" s="122"/>
      <c r="J341" s="122"/>
      <c r="K341" s="121"/>
      <c r="L341" s="121"/>
      <c r="M341" s="121"/>
      <c r="N341" s="121"/>
      <c r="O341" s="122"/>
      <c r="P341" s="122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  <c r="AB341" s="123"/>
      <c r="AC341" s="121"/>
      <c r="AD341" s="121"/>
      <c r="AE341" s="121"/>
      <c r="AF341" s="121"/>
      <c r="AG341" s="121"/>
      <c r="AH341" s="121"/>
      <c r="AI341" s="121"/>
      <c r="AJ341" s="121"/>
      <c r="AK341" s="121"/>
      <c r="AL341" s="121"/>
      <c r="AM341" s="121"/>
      <c r="AN341" s="123"/>
      <c r="AO341" s="121"/>
      <c r="AP341" s="124"/>
      <c r="AQ341" s="121"/>
      <c r="AR341" s="123"/>
      <c r="AS341" s="121"/>
      <c r="AT341" s="121"/>
      <c r="AU341" s="121"/>
      <c r="AV341" s="121"/>
      <c r="AW341" s="121"/>
      <c r="AX341" s="121"/>
      <c r="AY341" s="121"/>
      <c r="AZ341" s="121"/>
      <c r="BA341" s="121"/>
      <c r="BB341" s="121"/>
      <c r="BC341" s="121"/>
      <c r="BD341" s="124"/>
      <c r="BE341" s="121"/>
      <c r="BF341" s="125"/>
      <c r="BG341" s="121"/>
      <c r="BH341" s="121"/>
      <c r="BI341" s="121"/>
      <c r="BJ341" s="121"/>
      <c r="BK341" s="121"/>
      <c r="BL341" s="121"/>
      <c r="BM341" s="121"/>
      <c r="BN341" s="121"/>
      <c r="BO341" s="121"/>
      <c r="BP341" s="121"/>
      <c r="BQ341" s="107"/>
      <c r="BR341" s="107"/>
      <c r="BS341" s="107"/>
      <c r="BT341" s="107"/>
      <c r="BU341" s="107"/>
      <c r="BV341" s="107"/>
      <c r="BW341" s="107"/>
      <c r="BX341" s="107"/>
      <c r="BY341" s="107"/>
      <c r="BZ341" s="118"/>
      <c r="CA341" s="107"/>
      <c r="CB341" s="118"/>
      <c r="CC341" s="107"/>
      <c r="CD341" s="57"/>
      <c r="CE341" s="107"/>
      <c r="CF341" s="107"/>
      <c r="CG341" s="107"/>
      <c r="CH341" s="107"/>
      <c r="CI341" s="114"/>
      <c r="CJ341" s="60" t="e">
        <f>VLOOKUP(A341,[2]CHAMCONG!A$7:CI$333,79,0)</f>
        <v>#N/A</v>
      </c>
      <c r="CK341" s="61" t="e">
        <f t="shared" si="132"/>
        <v>#N/A</v>
      </c>
    </row>
    <row r="342" spans="1:89" s="127" customFormat="1" ht="15" customHeight="1" x14ac:dyDescent="0.25">
      <c r="A342" s="119"/>
      <c r="B342" s="108"/>
      <c r="C342" s="107"/>
      <c r="D342" s="120"/>
      <c r="E342" s="107"/>
      <c r="F342" s="107"/>
      <c r="G342" s="121"/>
      <c r="H342" s="121"/>
      <c r="I342" s="122"/>
      <c r="J342" s="122"/>
      <c r="K342" s="121"/>
      <c r="L342" s="121"/>
      <c r="M342" s="121"/>
      <c r="N342" s="121"/>
      <c r="O342" s="122"/>
      <c r="P342" s="122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  <c r="AB342" s="123"/>
      <c r="AC342" s="121"/>
      <c r="AD342" s="121"/>
      <c r="AE342" s="121"/>
      <c r="AF342" s="121"/>
      <c r="AG342" s="121"/>
      <c r="AH342" s="121"/>
      <c r="AI342" s="121"/>
      <c r="AJ342" s="121"/>
      <c r="AK342" s="121"/>
      <c r="AL342" s="121"/>
      <c r="AM342" s="121"/>
      <c r="AN342" s="123"/>
      <c r="AO342" s="121"/>
      <c r="AP342" s="124"/>
      <c r="AQ342" s="121"/>
      <c r="AR342" s="123"/>
      <c r="AS342" s="121"/>
      <c r="AT342" s="121"/>
      <c r="AU342" s="121"/>
      <c r="AV342" s="121"/>
      <c r="AW342" s="121"/>
      <c r="AX342" s="121"/>
      <c r="AY342" s="121"/>
      <c r="AZ342" s="121"/>
      <c r="BA342" s="121"/>
      <c r="BB342" s="121"/>
      <c r="BC342" s="121"/>
      <c r="BD342" s="124"/>
      <c r="BE342" s="121"/>
      <c r="BF342" s="125"/>
      <c r="BG342" s="121"/>
      <c r="BH342" s="121"/>
      <c r="BI342" s="121"/>
      <c r="BJ342" s="121"/>
      <c r="BK342" s="121"/>
      <c r="BL342" s="121"/>
      <c r="BM342" s="121"/>
      <c r="BN342" s="121"/>
      <c r="BO342" s="121"/>
      <c r="BP342" s="121"/>
      <c r="BQ342" s="107"/>
      <c r="BR342" s="107"/>
      <c r="BS342" s="107"/>
      <c r="BT342" s="107"/>
      <c r="BU342" s="107"/>
      <c r="BV342" s="107"/>
      <c r="BW342" s="107"/>
      <c r="BX342" s="107"/>
      <c r="BY342" s="107"/>
      <c r="BZ342" s="118"/>
      <c r="CA342" s="107"/>
      <c r="CB342" s="118"/>
      <c r="CC342" s="107"/>
      <c r="CD342" s="57"/>
      <c r="CE342" s="107"/>
      <c r="CF342" s="107"/>
      <c r="CG342" s="107"/>
      <c r="CH342" s="107"/>
      <c r="CI342" s="114"/>
      <c r="CJ342" s="60" t="e">
        <f>VLOOKUP(A342,[2]CHAMCONG!A$7:CI$333,79,0)</f>
        <v>#N/A</v>
      </c>
      <c r="CK342" s="61" t="e">
        <f t="shared" si="132"/>
        <v>#N/A</v>
      </c>
    </row>
    <row r="343" spans="1:89" s="127" customFormat="1" ht="15" customHeight="1" x14ac:dyDescent="0.25">
      <c r="A343" s="119"/>
      <c r="B343" s="108"/>
      <c r="C343" s="107"/>
      <c r="D343" s="120"/>
      <c r="E343" s="107"/>
      <c r="F343" s="107"/>
      <c r="G343" s="121"/>
      <c r="H343" s="121"/>
      <c r="I343" s="122"/>
      <c r="J343" s="122"/>
      <c r="K343" s="121"/>
      <c r="L343" s="121"/>
      <c r="M343" s="121"/>
      <c r="N343" s="121"/>
      <c r="O343" s="122"/>
      <c r="P343" s="122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  <c r="AB343" s="123"/>
      <c r="AC343" s="121"/>
      <c r="AD343" s="121"/>
      <c r="AE343" s="121"/>
      <c r="AF343" s="121"/>
      <c r="AG343" s="121"/>
      <c r="AH343" s="121"/>
      <c r="AI343" s="121"/>
      <c r="AJ343" s="121"/>
      <c r="AK343" s="121"/>
      <c r="AL343" s="121"/>
      <c r="AM343" s="121"/>
      <c r="AN343" s="123"/>
      <c r="AO343" s="121"/>
      <c r="AP343" s="124"/>
      <c r="AQ343" s="121"/>
      <c r="AR343" s="123"/>
      <c r="AS343" s="121"/>
      <c r="AT343" s="121"/>
      <c r="AU343" s="121"/>
      <c r="AV343" s="121"/>
      <c r="AW343" s="121"/>
      <c r="AX343" s="121"/>
      <c r="AY343" s="121"/>
      <c r="AZ343" s="121"/>
      <c r="BA343" s="121"/>
      <c r="BB343" s="121"/>
      <c r="BC343" s="121"/>
      <c r="BD343" s="124"/>
      <c r="BE343" s="121"/>
      <c r="BF343" s="125"/>
      <c r="BG343" s="121"/>
      <c r="BH343" s="121"/>
      <c r="BI343" s="121"/>
      <c r="BJ343" s="121"/>
      <c r="BK343" s="121"/>
      <c r="BL343" s="121"/>
      <c r="BM343" s="121"/>
      <c r="BN343" s="121"/>
      <c r="BO343" s="121"/>
      <c r="BP343" s="121"/>
      <c r="BQ343" s="107"/>
      <c r="BR343" s="107"/>
      <c r="BS343" s="107"/>
      <c r="BT343" s="107"/>
      <c r="BU343" s="107"/>
      <c r="BV343" s="107"/>
      <c r="BW343" s="107"/>
      <c r="BX343" s="107"/>
      <c r="BY343" s="107"/>
      <c r="BZ343" s="118"/>
      <c r="CA343" s="107"/>
      <c r="CB343" s="118"/>
      <c r="CC343" s="107"/>
      <c r="CD343" s="121"/>
      <c r="CE343" s="107"/>
      <c r="CF343" s="107"/>
      <c r="CG343" s="107"/>
      <c r="CH343" s="107"/>
      <c r="CI343" s="114"/>
      <c r="CJ343" s="60" t="e">
        <f>VLOOKUP(A343,[2]CHAMCONG!A$7:CI$333,79,0)</f>
        <v>#N/A</v>
      </c>
      <c r="CK343" s="61" t="e">
        <f t="shared" si="132"/>
        <v>#N/A</v>
      </c>
    </row>
    <row r="344" spans="1:89" s="127" customFormat="1" ht="15" customHeight="1" x14ac:dyDescent="0.25">
      <c r="A344" s="119"/>
      <c r="B344" s="108"/>
      <c r="C344" s="107"/>
      <c r="D344" s="120"/>
      <c r="E344" s="107"/>
      <c r="F344" s="107"/>
      <c r="G344" s="121"/>
      <c r="H344" s="121"/>
      <c r="I344" s="122"/>
      <c r="J344" s="122"/>
      <c r="K344" s="121"/>
      <c r="L344" s="121"/>
      <c r="M344" s="121"/>
      <c r="N344" s="121"/>
      <c r="O344" s="122"/>
      <c r="P344" s="122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  <c r="AB344" s="123"/>
      <c r="AC344" s="121"/>
      <c r="AD344" s="121"/>
      <c r="AE344" s="121"/>
      <c r="AF344" s="121"/>
      <c r="AG344" s="121"/>
      <c r="AH344" s="121"/>
      <c r="AI344" s="121"/>
      <c r="AJ344" s="121"/>
      <c r="AK344" s="121"/>
      <c r="AL344" s="121"/>
      <c r="AM344" s="121"/>
      <c r="AN344" s="123"/>
      <c r="AO344" s="121"/>
      <c r="AP344" s="124"/>
      <c r="AQ344" s="121"/>
      <c r="AR344" s="123"/>
      <c r="AS344" s="121"/>
      <c r="AT344" s="121"/>
      <c r="AU344" s="121"/>
      <c r="AV344" s="121"/>
      <c r="AW344" s="121"/>
      <c r="AX344" s="121"/>
      <c r="AY344" s="121"/>
      <c r="AZ344" s="121"/>
      <c r="BA344" s="121"/>
      <c r="BB344" s="121"/>
      <c r="BC344" s="121"/>
      <c r="BD344" s="124"/>
      <c r="BE344" s="121"/>
      <c r="BF344" s="125"/>
      <c r="BG344" s="121"/>
      <c r="BH344" s="121"/>
      <c r="BI344" s="121"/>
      <c r="BJ344" s="121"/>
      <c r="BK344" s="121"/>
      <c r="BL344" s="121"/>
      <c r="BM344" s="121"/>
      <c r="BN344" s="121"/>
      <c r="BO344" s="121"/>
      <c r="BP344" s="121"/>
      <c r="BQ344" s="107"/>
      <c r="BR344" s="107"/>
      <c r="BS344" s="107"/>
      <c r="BT344" s="107"/>
      <c r="BU344" s="107"/>
      <c r="BV344" s="107"/>
      <c r="BW344" s="107"/>
      <c r="BX344" s="107"/>
      <c r="BY344" s="107"/>
      <c r="BZ344" s="118"/>
      <c r="CA344" s="107"/>
      <c r="CB344" s="118"/>
      <c r="CC344" s="107"/>
      <c r="CD344" s="121"/>
      <c r="CE344" s="107"/>
      <c r="CF344" s="107"/>
      <c r="CG344" s="107"/>
      <c r="CH344" s="107"/>
      <c r="CI344" s="114"/>
      <c r="CJ344" s="60" t="e">
        <f>VLOOKUP(A344,[2]CHAMCONG!A$7:CI$333,79,0)</f>
        <v>#N/A</v>
      </c>
      <c r="CK344" s="61" t="e">
        <f t="shared" si="132"/>
        <v>#N/A</v>
      </c>
    </row>
    <row r="345" spans="1:89" s="127" customFormat="1" x14ac:dyDescent="0.25">
      <c r="A345" s="119"/>
      <c r="B345" s="108"/>
      <c r="C345" s="107"/>
      <c r="D345" s="120"/>
      <c r="E345" s="107"/>
      <c r="F345" s="107"/>
      <c r="G345" s="121"/>
      <c r="H345" s="121"/>
      <c r="I345" s="122"/>
      <c r="J345" s="122"/>
      <c r="K345" s="121"/>
      <c r="L345" s="121"/>
      <c r="M345" s="121"/>
      <c r="N345" s="121"/>
      <c r="O345" s="122"/>
      <c r="P345" s="122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  <c r="AB345" s="123"/>
      <c r="AC345" s="121"/>
      <c r="AD345" s="121"/>
      <c r="AE345" s="121"/>
      <c r="AF345" s="121"/>
      <c r="AG345" s="121"/>
      <c r="AH345" s="121"/>
      <c r="AI345" s="121"/>
      <c r="AJ345" s="121"/>
      <c r="AK345" s="121"/>
      <c r="AL345" s="121"/>
      <c r="AM345" s="121"/>
      <c r="AN345" s="123"/>
      <c r="AO345" s="121"/>
      <c r="AP345" s="124"/>
      <c r="AQ345" s="121"/>
      <c r="AR345" s="123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  <c r="BC345" s="121"/>
      <c r="BD345" s="124"/>
      <c r="BE345" s="121"/>
      <c r="BF345" s="125"/>
      <c r="BG345" s="121"/>
      <c r="BH345" s="121"/>
      <c r="BI345" s="121"/>
      <c r="BJ345" s="121"/>
      <c r="BK345" s="121"/>
      <c r="BL345" s="121"/>
      <c r="BM345" s="121"/>
      <c r="BN345" s="121"/>
      <c r="BO345" s="121"/>
      <c r="BP345" s="121"/>
      <c r="BQ345" s="107"/>
      <c r="BR345" s="107"/>
      <c r="BS345" s="107"/>
      <c r="BT345" s="107"/>
      <c r="BU345" s="107"/>
      <c r="BV345" s="107"/>
      <c r="BW345" s="107"/>
      <c r="BX345" s="107"/>
      <c r="BY345" s="107"/>
      <c r="BZ345" s="118"/>
      <c r="CA345" s="107"/>
      <c r="CB345" s="118"/>
      <c r="CC345" s="107"/>
      <c r="CD345" s="121"/>
      <c r="CE345" s="107"/>
      <c r="CF345" s="107"/>
      <c r="CG345" s="107"/>
      <c r="CH345" s="107"/>
      <c r="CI345" s="114"/>
      <c r="CJ345" s="60" t="e">
        <f>VLOOKUP(A345,[2]CHAMCONG!A$7:CI$333,79,0)</f>
        <v>#N/A</v>
      </c>
      <c r="CK345" s="61" t="e">
        <f t="shared" si="132"/>
        <v>#N/A</v>
      </c>
    </row>
    <row r="346" spans="1:89" s="127" customFormat="1" x14ac:dyDescent="0.25">
      <c r="A346" s="119"/>
      <c r="B346" s="108"/>
      <c r="C346" s="107"/>
      <c r="D346" s="120"/>
      <c r="E346" s="107"/>
      <c r="F346" s="107"/>
      <c r="G346" s="121"/>
      <c r="H346" s="121"/>
      <c r="I346" s="122"/>
      <c r="J346" s="122"/>
      <c r="K346" s="121"/>
      <c r="L346" s="121"/>
      <c r="M346" s="121"/>
      <c r="N346" s="121"/>
      <c r="O346" s="122"/>
      <c r="P346" s="122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  <c r="AB346" s="123"/>
      <c r="AC346" s="121"/>
      <c r="AD346" s="121"/>
      <c r="AE346" s="121"/>
      <c r="AF346" s="121"/>
      <c r="AG346" s="121"/>
      <c r="AH346" s="121"/>
      <c r="AI346" s="121"/>
      <c r="AJ346" s="121"/>
      <c r="AK346" s="121"/>
      <c r="AL346" s="121"/>
      <c r="AM346" s="121"/>
      <c r="AN346" s="123"/>
      <c r="AO346" s="121"/>
      <c r="AP346" s="124"/>
      <c r="AQ346" s="121"/>
      <c r="AR346" s="123"/>
      <c r="AS346" s="121"/>
      <c r="AT346" s="121"/>
      <c r="AU346" s="121"/>
      <c r="AV346" s="121"/>
      <c r="AW346" s="121"/>
      <c r="AX346" s="121"/>
      <c r="AY346" s="121"/>
      <c r="AZ346" s="121"/>
      <c r="BA346" s="121"/>
      <c r="BB346" s="121"/>
      <c r="BC346" s="121"/>
      <c r="BD346" s="124"/>
      <c r="BE346" s="121"/>
      <c r="BF346" s="125"/>
      <c r="BG346" s="121"/>
      <c r="BH346" s="121"/>
      <c r="BI346" s="121"/>
      <c r="BJ346" s="121"/>
      <c r="BK346" s="121"/>
      <c r="BL346" s="121"/>
      <c r="BM346" s="121"/>
      <c r="BN346" s="121"/>
      <c r="BO346" s="121"/>
      <c r="BP346" s="121"/>
      <c r="BQ346" s="107"/>
      <c r="BR346" s="107"/>
      <c r="BS346" s="107"/>
      <c r="BT346" s="107"/>
      <c r="BU346" s="107"/>
      <c r="BV346" s="107"/>
      <c r="BW346" s="107"/>
      <c r="BX346" s="107"/>
      <c r="BY346" s="107"/>
      <c r="BZ346" s="118"/>
      <c r="CA346" s="107"/>
      <c r="CB346" s="118"/>
      <c r="CC346" s="107"/>
      <c r="CD346" s="121"/>
      <c r="CE346" s="107"/>
      <c r="CF346" s="107"/>
      <c r="CG346" s="107"/>
      <c r="CH346" s="107"/>
      <c r="CI346" s="114"/>
      <c r="CJ346" s="60" t="e">
        <f>VLOOKUP(A346,[2]CHAMCONG!A$7:CI$333,79,0)</f>
        <v>#N/A</v>
      </c>
      <c r="CK346" s="61" t="e">
        <f t="shared" si="132"/>
        <v>#N/A</v>
      </c>
    </row>
    <row r="347" spans="1:89" s="127" customFormat="1" x14ac:dyDescent="0.25">
      <c r="A347" s="119"/>
      <c r="B347" s="108"/>
      <c r="C347" s="107"/>
      <c r="D347" s="120"/>
      <c r="E347" s="107"/>
      <c r="F347" s="107"/>
      <c r="G347" s="121"/>
      <c r="H347" s="121"/>
      <c r="I347" s="122"/>
      <c r="J347" s="122"/>
      <c r="K347" s="121"/>
      <c r="L347" s="121"/>
      <c r="M347" s="121"/>
      <c r="N347" s="121"/>
      <c r="O347" s="122"/>
      <c r="P347" s="122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  <c r="AB347" s="123"/>
      <c r="AC347" s="121"/>
      <c r="AD347" s="121"/>
      <c r="AE347" s="121"/>
      <c r="AF347" s="121"/>
      <c r="AG347" s="121"/>
      <c r="AH347" s="121"/>
      <c r="AI347" s="121"/>
      <c r="AJ347" s="121"/>
      <c r="AK347" s="121"/>
      <c r="AL347" s="121"/>
      <c r="AM347" s="121"/>
      <c r="AN347" s="123"/>
      <c r="AO347" s="121"/>
      <c r="AP347" s="124"/>
      <c r="AQ347" s="121"/>
      <c r="AR347" s="123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  <c r="BC347" s="121"/>
      <c r="BD347" s="124"/>
      <c r="BE347" s="121"/>
      <c r="BF347" s="125"/>
      <c r="BG347" s="121"/>
      <c r="BH347" s="121"/>
      <c r="BI347" s="121"/>
      <c r="BJ347" s="121"/>
      <c r="BK347" s="121"/>
      <c r="BL347" s="121"/>
      <c r="BM347" s="121"/>
      <c r="BN347" s="121"/>
      <c r="BO347" s="121"/>
      <c r="BP347" s="121"/>
      <c r="BQ347" s="107"/>
      <c r="BR347" s="107"/>
      <c r="BS347" s="107"/>
      <c r="BT347" s="107"/>
      <c r="BU347" s="107"/>
      <c r="BV347" s="107"/>
      <c r="BW347" s="107"/>
      <c r="BX347" s="107"/>
      <c r="BY347" s="107"/>
      <c r="BZ347" s="118"/>
      <c r="CA347" s="107"/>
      <c r="CB347" s="118"/>
      <c r="CC347" s="107"/>
      <c r="CD347" s="121"/>
      <c r="CE347" s="107"/>
      <c r="CF347" s="107"/>
      <c r="CG347" s="107"/>
      <c r="CH347" s="107"/>
      <c r="CI347" s="114"/>
      <c r="CJ347" s="60" t="e">
        <f>VLOOKUP(A347,[2]CHAMCONG!A$7:CI$333,79,0)</f>
        <v>#N/A</v>
      </c>
      <c r="CK347" s="61" t="e">
        <f t="shared" si="132"/>
        <v>#N/A</v>
      </c>
    </row>
    <row r="348" spans="1:89" s="127" customFormat="1" x14ac:dyDescent="0.25">
      <c r="A348" s="129"/>
      <c r="B348" s="108"/>
      <c r="C348" s="107"/>
      <c r="D348" s="120"/>
      <c r="E348" s="107"/>
      <c r="F348" s="107"/>
      <c r="G348" s="121"/>
      <c r="H348" s="121"/>
      <c r="I348" s="122"/>
      <c r="J348" s="122"/>
      <c r="K348" s="121"/>
      <c r="L348" s="121"/>
      <c r="M348" s="121"/>
      <c r="N348" s="121"/>
      <c r="O348" s="122"/>
      <c r="P348" s="122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  <c r="AB348" s="123"/>
      <c r="AC348" s="121"/>
      <c r="AD348" s="121"/>
      <c r="AE348" s="121"/>
      <c r="AF348" s="121"/>
      <c r="AG348" s="121"/>
      <c r="AH348" s="121"/>
      <c r="AI348" s="121"/>
      <c r="AJ348" s="121"/>
      <c r="AK348" s="121"/>
      <c r="AL348" s="121"/>
      <c r="AM348" s="121"/>
      <c r="AN348" s="123"/>
      <c r="AO348" s="121"/>
      <c r="AP348" s="124"/>
      <c r="AQ348" s="121"/>
      <c r="AR348" s="123"/>
      <c r="AS348" s="121"/>
      <c r="AT348" s="121"/>
      <c r="AU348" s="121"/>
      <c r="AV348" s="121"/>
      <c r="AW348" s="121"/>
      <c r="AX348" s="121"/>
      <c r="AY348" s="121"/>
      <c r="AZ348" s="121"/>
      <c r="BA348" s="121"/>
      <c r="BB348" s="121"/>
      <c r="BC348" s="121"/>
      <c r="BD348" s="124"/>
      <c r="BE348" s="121"/>
      <c r="BF348" s="125"/>
      <c r="BG348" s="121"/>
      <c r="BH348" s="121"/>
      <c r="BI348" s="121"/>
      <c r="BJ348" s="121"/>
      <c r="BK348" s="121"/>
      <c r="BL348" s="121"/>
      <c r="BM348" s="121"/>
      <c r="BN348" s="121"/>
      <c r="BO348" s="121"/>
      <c r="BP348" s="121"/>
      <c r="BQ348" s="107"/>
      <c r="BR348" s="107"/>
      <c r="BS348" s="107"/>
      <c r="BT348" s="107"/>
      <c r="BU348" s="107"/>
      <c r="BV348" s="107"/>
      <c r="BW348" s="107"/>
      <c r="BX348" s="107"/>
      <c r="BY348" s="107"/>
      <c r="BZ348" s="118"/>
      <c r="CA348" s="107"/>
      <c r="CB348" s="118"/>
      <c r="CC348" s="107"/>
      <c r="CD348" s="121"/>
      <c r="CE348" s="107"/>
      <c r="CF348" s="107"/>
      <c r="CG348" s="107"/>
      <c r="CH348" s="107"/>
      <c r="CI348" s="114"/>
      <c r="CJ348" s="60" t="e">
        <f>VLOOKUP(A348,[2]CHAMCONG!A$7:CI$333,79,0)</f>
        <v>#N/A</v>
      </c>
      <c r="CK348" s="61" t="e">
        <f t="shared" si="132"/>
        <v>#N/A</v>
      </c>
    </row>
    <row r="349" spans="1:89" s="127" customFormat="1" x14ac:dyDescent="0.25">
      <c r="A349" s="119"/>
      <c r="B349" s="108"/>
      <c r="C349" s="107"/>
      <c r="D349" s="120"/>
      <c r="E349" s="107"/>
      <c r="F349" s="107"/>
      <c r="G349" s="121"/>
      <c r="H349" s="121"/>
      <c r="I349" s="122"/>
      <c r="J349" s="122"/>
      <c r="K349" s="121"/>
      <c r="L349" s="121"/>
      <c r="M349" s="121"/>
      <c r="N349" s="121"/>
      <c r="O349" s="122"/>
      <c r="P349" s="122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  <c r="AB349" s="123"/>
      <c r="AC349" s="121"/>
      <c r="AD349" s="121"/>
      <c r="AE349" s="121"/>
      <c r="AF349" s="121"/>
      <c r="AG349" s="121"/>
      <c r="AH349" s="121"/>
      <c r="AI349" s="121"/>
      <c r="AJ349" s="121"/>
      <c r="AK349" s="121"/>
      <c r="AL349" s="121"/>
      <c r="AM349" s="121"/>
      <c r="AN349" s="123"/>
      <c r="AO349" s="121"/>
      <c r="AP349" s="124"/>
      <c r="AQ349" s="121"/>
      <c r="AR349" s="123"/>
      <c r="AS349" s="121"/>
      <c r="AT349" s="121"/>
      <c r="AU349" s="121"/>
      <c r="AV349" s="121"/>
      <c r="AW349" s="121"/>
      <c r="AX349" s="121"/>
      <c r="AY349" s="121"/>
      <c r="AZ349" s="121"/>
      <c r="BA349" s="121"/>
      <c r="BB349" s="121"/>
      <c r="BC349" s="121"/>
      <c r="BD349" s="124"/>
      <c r="BE349" s="121"/>
      <c r="BF349" s="125"/>
      <c r="BG349" s="121"/>
      <c r="BH349" s="121"/>
      <c r="BI349" s="121"/>
      <c r="BJ349" s="121"/>
      <c r="BK349" s="121"/>
      <c r="BL349" s="121"/>
      <c r="BM349" s="121"/>
      <c r="BN349" s="121"/>
      <c r="BO349" s="121"/>
      <c r="BP349" s="121"/>
      <c r="BQ349" s="107"/>
      <c r="BR349" s="107"/>
      <c r="BS349" s="107"/>
      <c r="BT349" s="107"/>
      <c r="BU349" s="107"/>
      <c r="BV349" s="107"/>
      <c r="BW349" s="107"/>
      <c r="BX349" s="107"/>
      <c r="BY349" s="107"/>
      <c r="BZ349" s="118"/>
      <c r="CA349" s="107"/>
      <c r="CB349" s="118"/>
      <c r="CC349" s="107"/>
      <c r="CD349" s="121"/>
      <c r="CE349" s="107"/>
      <c r="CF349" s="107"/>
      <c r="CG349" s="107"/>
      <c r="CH349" s="107"/>
      <c r="CI349" s="114"/>
      <c r="CJ349" s="60" t="e">
        <f>VLOOKUP(A349,[2]CHAMCONG!A$7:CI$333,79,0)</f>
        <v>#N/A</v>
      </c>
      <c r="CK349" s="61" t="e">
        <f t="shared" si="132"/>
        <v>#N/A</v>
      </c>
    </row>
    <row r="350" spans="1:89" s="127" customFormat="1" x14ac:dyDescent="0.25">
      <c r="A350" s="119"/>
      <c r="B350" s="108"/>
      <c r="C350" s="107"/>
      <c r="D350" s="120"/>
      <c r="E350" s="107"/>
      <c r="F350" s="107"/>
      <c r="G350" s="121"/>
      <c r="H350" s="121"/>
      <c r="I350" s="122"/>
      <c r="J350" s="122"/>
      <c r="K350" s="121"/>
      <c r="L350" s="121"/>
      <c r="M350" s="121"/>
      <c r="N350" s="121"/>
      <c r="O350" s="122"/>
      <c r="P350" s="122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  <c r="AB350" s="123"/>
      <c r="AC350" s="121"/>
      <c r="AD350" s="121"/>
      <c r="AE350" s="121"/>
      <c r="AF350" s="121"/>
      <c r="AG350" s="121"/>
      <c r="AH350" s="121"/>
      <c r="AI350" s="121"/>
      <c r="AJ350" s="121"/>
      <c r="AK350" s="121"/>
      <c r="AL350" s="121"/>
      <c r="AM350" s="121"/>
      <c r="AN350" s="123"/>
      <c r="AO350" s="121"/>
      <c r="AP350" s="124"/>
      <c r="AQ350" s="121"/>
      <c r="AR350" s="123"/>
      <c r="AS350" s="121"/>
      <c r="AT350" s="121"/>
      <c r="AU350" s="121"/>
      <c r="AV350" s="121"/>
      <c r="AW350" s="121"/>
      <c r="AX350" s="121"/>
      <c r="AY350" s="121"/>
      <c r="AZ350" s="121"/>
      <c r="BA350" s="121"/>
      <c r="BB350" s="121"/>
      <c r="BC350" s="121"/>
      <c r="BD350" s="124"/>
      <c r="BE350" s="121"/>
      <c r="BF350" s="125"/>
      <c r="BG350" s="121"/>
      <c r="BH350" s="121"/>
      <c r="BI350" s="121"/>
      <c r="BJ350" s="121"/>
      <c r="BK350" s="121"/>
      <c r="BL350" s="121"/>
      <c r="BM350" s="121"/>
      <c r="BN350" s="121"/>
      <c r="BO350" s="121"/>
      <c r="BP350" s="121"/>
      <c r="BQ350" s="107"/>
      <c r="BR350" s="107"/>
      <c r="BS350" s="107"/>
      <c r="BT350" s="107"/>
      <c r="BU350" s="107"/>
      <c r="BV350" s="107"/>
      <c r="BW350" s="107"/>
      <c r="BX350" s="107"/>
      <c r="BY350" s="107"/>
      <c r="BZ350" s="118"/>
      <c r="CA350" s="107"/>
      <c r="CB350" s="118"/>
      <c r="CC350" s="107"/>
      <c r="CD350" s="121"/>
      <c r="CE350" s="107"/>
      <c r="CF350" s="107"/>
      <c r="CG350" s="107"/>
      <c r="CH350" s="107"/>
      <c r="CI350" s="114"/>
      <c r="CJ350" s="60" t="e">
        <f>VLOOKUP(A350,[2]CHAMCONG!A$7:CI$333,79,0)</f>
        <v>#N/A</v>
      </c>
      <c r="CK350" s="61" t="e">
        <f t="shared" si="132"/>
        <v>#N/A</v>
      </c>
    </row>
    <row r="351" spans="1:89" s="127" customFormat="1" x14ac:dyDescent="0.25">
      <c r="A351" s="119"/>
      <c r="B351" s="108"/>
      <c r="C351" s="107"/>
      <c r="D351" s="120"/>
      <c r="E351" s="107"/>
      <c r="F351" s="107"/>
      <c r="G351" s="121"/>
      <c r="H351" s="121"/>
      <c r="I351" s="122"/>
      <c r="J351" s="122"/>
      <c r="K351" s="121"/>
      <c r="L351" s="121"/>
      <c r="M351" s="121"/>
      <c r="N351" s="121"/>
      <c r="O351" s="122"/>
      <c r="P351" s="122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  <c r="AB351" s="123"/>
      <c r="AC351" s="121"/>
      <c r="AD351" s="121"/>
      <c r="AE351" s="121"/>
      <c r="AF351" s="121"/>
      <c r="AG351" s="121"/>
      <c r="AH351" s="121"/>
      <c r="AI351" s="121"/>
      <c r="AJ351" s="121"/>
      <c r="AK351" s="121"/>
      <c r="AL351" s="121"/>
      <c r="AM351" s="121"/>
      <c r="AN351" s="123"/>
      <c r="AO351" s="121"/>
      <c r="AP351" s="124"/>
      <c r="AQ351" s="121"/>
      <c r="AR351" s="123"/>
      <c r="AS351" s="121"/>
      <c r="AT351" s="121"/>
      <c r="AU351" s="121"/>
      <c r="AV351" s="121"/>
      <c r="AW351" s="121"/>
      <c r="AX351" s="121"/>
      <c r="AY351" s="121"/>
      <c r="AZ351" s="121"/>
      <c r="BA351" s="121"/>
      <c r="BB351" s="121"/>
      <c r="BC351" s="121"/>
      <c r="BD351" s="124"/>
      <c r="BE351" s="121"/>
      <c r="BF351" s="125"/>
      <c r="BG351" s="121"/>
      <c r="BH351" s="121"/>
      <c r="BI351" s="121"/>
      <c r="BJ351" s="121"/>
      <c r="BK351" s="121"/>
      <c r="BL351" s="121"/>
      <c r="BM351" s="121"/>
      <c r="BN351" s="121"/>
      <c r="BO351" s="121"/>
      <c r="BP351" s="121"/>
      <c r="BQ351" s="107"/>
      <c r="BR351" s="107"/>
      <c r="BS351" s="107"/>
      <c r="BT351" s="107"/>
      <c r="BU351" s="107"/>
      <c r="BV351" s="107"/>
      <c r="BW351" s="107"/>
      <c r="BX351" s="107"/>
      <c r="BY351" s="107"/>
      <c r="BZ351" s="118"/>
      <c r="CA351" s="107"/>
      <c r="CB351" s="118"/>
      <c r="CC351" s="107"/>
      <c r="CD351" s="121"/>
      <c r="CE351" s="107"/>
      <c r="CF351" s="107"/>
      <c r="CG351" s="107"/>
      <c r="CH351" s="107"/>
      <c r="CI351" s="114"/>
      <c r="CJ351" s="60" t="e">
        <f>VLOOKUP(A351,[2]CHAMCONG!A$7:CI$333,79,0)</f>
        <v>#N/A</v>
      </c>
      <c r="CK351" s="61" t="e">
        <f t="shared" si="132"/>
        <v>#N/A</v>
      </c>
    </row>
    <row r="352" spans="1:89" s="127" customFormat="1" x14ac:dyDescent="0.25">
      <c r="A352" s="119"/>
      <c r="B352" s="108"/>
      <c r="C352" s="107"/>
      <c r="D352" s="120"/>
      <c r="E352" s="107"/>
      <c r="F352" s="107"/>
      <c r="G352" s="121"/>
      <c r="H352" s="121"/>
      <c r="I352" s="122"/>
      <c r="J352" s="122"/>
      <c r="K352" s="121"/>
      <c r="L352" s="121"/>
      <c r="M352" s="121"/>
      <c r="N352" s="121"/>
      <c r="O352" s="122"/>
      <c r="P352" s="122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  <c r="AB352" s="123"/>
      <c r="AC352" s="121"/>
      <c r="AD352" s="121"/>
      <c r="AE352" s="121"/>
      <c r="AF352" s="121"/>
      <c r="AG352" s="121"/>
      <c r="AH352" s="121"/>
      <c r="AI352" s="121"/>
      <c r="AJ352" s="121"/>
      <c r="AK352" s="121"/>
      <c r="AL352" s="121"/>
      <c r="AM352" s="121"/>
      <c r="AN352" s="123"/>
      <c r="AO352" s="121"/>
      <c r="AP352" s="124"/>
      <c r="AQ352" s="121"/>
      <c r="AR352" s="123"/>
      <c r="AS352" s="121"/>
      <c r="AT352" s="121"/>
      <c r="AU352" s="121"/>
      <c r="AV352" s="121"/>
      <c r="AW352" s="121"/>
      <c r="AX352" s="121"/>
      <c r="AY352" s="121"/>
      <c r="AZ352" s="121"/>
      <c r="BA352" s="121"/>
      <c r="BB352" s="121"/>
      <c r="BC352" s="121"/>
      <c r="BD352" s="124"/>
      <c r="BE352" s="121"/>
      <c r="BF352" s="125"/>
      <c r="BG352" s="121"/>
      <c r="BH352" s="121"/>
      <c r="BI352" s="121"/>
      <c r="BJ352" s="121"/>
      <c r="BK352" s="121"/>
      <c r="BL352" s="121"/>
      <c r="BM352" s="121"/>
      <c r="BN352" s="121"/>
      <c r="BO352" s="121"/>
      <c r="BP352" s="121"/>
      <c r="BQ352" s="107"/>
      <c r="BR352" s="107"/>
      <c r="BS352" s="107"/>
      <c r="BT352" s="107"/>
      <c r="BU352" s="107"/>
      <c r="BV352" s="107"/>
      <c r="BW352" s="107"/>
      <c r="BX352" s="107"/>
      <c r="BY352" s="107"/>
      <c r="BZ352" s="118"/>
      <c r="CA352" s="107"/>
      <c r="CB352" s="118"/>
      <c r="CC352" s="107"/>
      <c r="CD352" s="121"/>
      <c r="CE352" s="107"/>
      <c r="CF352" s="107"/>
      <c r="CG352" s="107"/>
      <c r="CH352" s="107"/>
      <c r="CI352" s="114"/>
      <c r="CJ352" s="60" t="e">
        <f>VLOOKUP(A352,[2]CHAMCONG!A$7:CI$333,79,0)</f>
        <v>#N/A</v>
      </c>
      <c r="CK352" s="61" t="e">
        <f t="shared" si="132"/>
        <v>#N/A</v>
      </c>
    </row>
    <row r="353" spans="1:89" s="127" customFormat="1" x14ac:dyDescent="0.25">
      <c r="A353" s="119"/>
      <c r="B353" s="108"/>
      <c r="C353" s="107"/>
      <c r="D353" s="120"/>
      <c r="E353" s="107"/>
      <c r="F353" s="107"/>
      <c r="G353" s="121"/>
      <c r="H353" s="121"/>
      <c r="I353" s="122"/>
      <c r="J353" s="122"/>
      <c r="K353" s="121"/>
      <c r="L353" s="121"/>
      <c r="M353" s="121"/>
      <c r="N353" s="121"/>
      <c r="O353" s="122"/>
      <c r="P353" s="122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  <c r="AB353" s="123"/>
      <c r="AC353" s="121"/>
      <c r="AD353" s="121"/>
      <c r="AE353" s="121"/>
      <c r="AF353" s="121"/>
      <c r="AG353" s="121"/>
      <c r="AH353" s="121"/>
      <c r="AI353" s="121"/>
      <c r="AJ353" s="121"/>
      <c r="AK353" s="121"/>
      <c r="AL353" s="121"/>
      <c r="AM353" s="121"/>
      <c r="AN353" s="123"/>
      <c r="AO353" s="121"/>
      <c r="AP353" s="124"/>
      <c r="AQ353" s="121"/>
      <c r="AR353" s="123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  <c r="BC353" s="121"/>
      <c r="BD353" s="124"/>
      <c r="BE353" s="121"/>
      <c r="BF353" s="125"/>
      <c r="BG353" s="121"/>
      <c r="BH353" s="121"/>
      <c r="BI353" s="121"/>
      <c r="BJ353" s="121"/>
      <c r="BK353" s="121"/>
      <c r="BL353" s="121"/>
      <c r="BM353" s="121"/>
      <c r="BN353" s="121"/>
      <c r="BO353" s="121"/>
      <c r="BP353" s="121"/>
      <c r="BQ353" s="107"/>
      <c r="BR353" s="107"/>
      <c r="BS353" s="107"/>
      <c r="BT353" s="107"/>
      <c r="BU353" s="107"/>
      <c r="BV353" s="107"/>
      <c r="BW353" s="107"/>
      <c r="BX353" s="107"/>
      <c r="BY353" s="107"/>
      <c r="BZ353" s="118"/>
      <c r="CA353" s="107"/>
      <c r="CB353" s="118"/>
      <c r="CC353" s="107"/>
      <c r="CD353" s="121"/>
      <c r="CE353" s="107"/>
      <c r="CF353" s="107"/>
      <c r="CG353" s="107"/>
      <c r="CH353" s="107"/>
      <c r="CI353" s="114"/>
      <c r="CK353" s="61">
        <f t="shared" si="132"/>
        <v>0</v>
      </c>
    </row>
    <row r="354" spans="1:89" s="127" customFormat="1" x14ac:dyDescent="0.25">
      <c r="A354" s="119"/>
      <c r="B354" s="108"/>
      <c r="C354" s="107"/>
      <c r="D354" s="120"/>
      <c r="E354" s="107"/>
      <c r="F354" s="107"/>
      <c r="G354" s="121"/>
      <c r="H354" s="121"/>
      <c r="I354" s="122"/>
      <c r="J354" s="122"/>
      <c r="K354" s="121"/>
      <c r="L354" s="121"/>
      <c r="M354" s="121"/>
      <c r="N354" s="121"/>
      <c r="O354" s="122"/>
      <c r="P354" s="122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  <c r="AB354" s="123"/>
      <c r="AC354" s="121"/>
      <c r="AD354" s="121"/>
      <c r="AE354" s="121"/>
      <c r="AF354" s="121"/>
      <c r="AG354" s="121"/>
      <c r="AH354" s="121"/>
      <c r="AI354" s="121"/>
      <c r="AJ354" s="121"/>
      <c r="AK354" s="121"/>
      <c r="AL354" s="121"/>
      <c r="AM354" s="121"/>
      <c r="AN354" s="123"/>
      <c r="AO354" s="121"/>
      <c r="AP354" s="124"/>
      <c r="AQ354" s="121"/>
      <c r="AR354" s="123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  <c r="BC354" s="121"/>
      <c r="BD354" s="124"/>
      <c r="BE354" s="121"/>
      <c r="BF354" s="125"/>
      <c r="BG354" s="121"/>
      <c r="BH354" s="121"/>
      <c r="BI354" s="121"/>
      <c r="BJ354" s="121"/>
      <c r="BK354" s="121"/>
      <c r="BL354" s="121"/>
      <c r="BM354" s="121"/>
      <c r="BN354" s="121"/>
      <c r="BO354" s="121"/>
      <c r="BP354" s="121"/>
      <c r="BQ354" s="107"/>
      <c r="BR354" s="107"/>
      <c r="BS354" s="107"/>
      <c r="BT354" s="107"/>
      <c r="BU354" s="107"/>
      <c r="BV354" s="107"/>
      <c r="BW354" s="107"/>
      <c r="BX354" s="107"/>
      <c r="BY354" s="107"/>
      <c r="BZ354" s="118"/>
      <c r="CA354" s="107"/>
      <c r="CB354" s="118"/>
      <c r="CC354" s="107"/>
      <c r="CD354" s="121"/>
      <c r="CE354" s="107"/>
      <c r="CF354" s="107"/>
      <c r="CG354" s="107"/>
      <c r="CH354" s="107"/>
      <c r="CI354" s="114"/>
      <c r="CK354" s="61">
        <f t="shared" si="132"/>
        <v>0</v>
      </c>
    </row>
    <row r="355" spans="1:89" s="127" customFormat="1" x14ac:dyDescent="0.25">
      <c r="A355" s="119"/>
      <c r="B355" s="108"/>
      <c r="C355" s="107"/>
      <c r="D355" s="120"/>
      <c r="E355" s="107"/>
      <c r="F355" s="107"/>
      <c r="G355" s="121"/>
      <c r="H355" s="121"/>
      <c r="I355" s="122"/>
      <c r="J355" s="122"/>
      <c r="K355" s="121"/>
      <c r="L355" s="121"/>
      <c r="M355" s="121"/>
      <c r="N355" s="121"/>
      <c r="O355" s="122"/>
      <c r="P355" s="122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  <c r="AB355" s="123"/>
      <c r="AC355" s="121"/>
      <c r="AD355" s="121"/>
      <c r="AE355" s="121"/>
      <c r="AF355" s="121"/>
      <c r="AG355" s="121"/>
      <c r="AH355" s="121"/>
      <c r="AI355" s="121"/>
      <c r="AJ355" s="121"/>
      <c r="AK355" s="121"/>
      <c r="AL355" s="121"/>
      <c r="AM355" s="121"/>
      <c r="AN355" s="123"/>
      <c r="AO355" s="121"/>
      <c r="AP355" s="124"/>
      <c r="AQ355" s="121"/>
      <c r="AR355" s="123"/>
      <c r="AS355" s="121"/>
      <c r="AT355" s="121"/>
      <c r="AU355" s="121"/>
      <c r="AV355" s="121"/>
      <c r="AW355" s="121"/>
      <c r="AX355" s="121"/>
      <c r="AY355" s="121"/>
      <c r="AZ355" s="121"/>
      <c r="BA355" s="121"/>
      <c r="BB355" s="121"/>
      <c r="BC355" s="121"/>
      <c r="BD355" s="124"/>
      <c r="BE355" s="121"/>
      <c r="BF355" s="125"/>
      <c r="BG355" s="121"/>
      <c r="BH355" s="121"/>
      <c r="BI355" s="121"/>
      <c r="BJ355" s="121"/>
      <c r="BK355" s="121"/>
      <c r="BL355" s="121"/>
      <c r="BM355" s="121"/>
      <c r="BN355" s="121"/>
      <c r="BO355" s="121"/>
      <c r="BP355" s="121"/>
      <c r="BQ355" s="107"/>
      <c r="BR355" s="107"/>
      <c r="BS355" s="107"/>
      <c r="BT355" s="107"/>
      <c r="BU355" s="107"/>
      <c r="BV355" s="107"/>
      <c r="BW355" s="107"/>
      <c r="BX355" s="107"/>
      <c r="BY355" s="107"/>
      <c r="BZ355" s="118"/>
      <c r="CA355" s="107"/>
      <c r="CB355" s="118"/>
      <c r="CC355" s="107"/>
      <c r="CD355" s="121"/>
      <c r="CE355" s="107"/>
      <c r="CF355" s="107"/>
      <c r="CG355" s="107"/>
      <c r="CH355" s="107"/>
      <c r="CI355" s="114"/>
      <c r="CK355" s="61">
        <f t="shared" si="132"/>
        <v>0</v>
      </c>
    </row>
    <row r="356" spans="1:89" s="127" customFormat="1" x14ac:dyDescent="0.25">
      <c r="A356" s="119"/>
      <c r="B356" s="108"/>
      <c r="C356" s="107"/>
      <c r="D356" s="120"/>
      <c r="E356" s="107"/>
      <c r="F356" s="107"/>
      <c r="G356" s="121"/>
      <c r="H356" s="121"/>
      <c r="I356" s="122"/>
      <c r="J356" s="122"/>
      <c r="K356" s="121"/>
      <c r="L356" s="121"/>
      <c r="M356" s="121"/>
      <c r="N356" s="121"/>
      <c r="O356" s="122"/>
      <c r="P356" s="122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  <c r="AB356" s="123"/>
      <c r="AC356" s="121"/>
      <c r="AD356" s="121"/>
      <c r="AE356" s="121"/>
      <c r="AF356" s="121"/>
      <c r="AG356" s="121"/>
      <c r="AH356" s="121"/>
      <c r="AI356" s="121"/>
      <c r="AJ356" s="121"/>
      <c r="AK356" s="121"/>
      <c r="AL356" s="121"/>
      <c r="AM356" s="121"/>
      <c r="AN356" s="123"/>
      <c r="AO356" s="121"/>
      <c r="AP356" s="124"/>
      <c r="AQ356" s="121"/>
      <c r="AR356" s="123"/>
      <c r="AS356" s="121"/>
      <c r="AT356" s="121"/>
      <c r="AU356" s="121"/>
      <c r="AV356" s="121"/>
      <c r="AW356" s="121"/>
      <c r="AX356" s="121"/>
      <c r="AY356" s="121"/>
      <c r="AZ356" s="121"/>
      <c r="BA356" s="121"/>
      <c r="BB356" s="121"/>
      <c r="BC356" s="121"/>
      <c r="BD356" s="124"/>
      <c r="BE356" s="121"/>
      <c r="BF356" s="125"/>
      <c r="BG356" s="121"/>
      <c r="BH356" s="121"/>
      <c r="BI356" s="121"/>
      <c r="BJ356" s="121"/>
      <c r="BK356" s="121"/>
      <c r="BL356" s="121"/>
      <c r="BM356" s="121"/>
      <c r="BN356" s="121"/>
      <c r="BO356" s="121"/>
      <c r="BP356" s="121"/>
      <c r="BQ356" s="107"/>
      <c r="BR356" s="107"/>
      <c r="BS356" s="107"/>
      <c r="BT356" s="107"/>
      <c r="BU356" s="107"/>
      <c r="BV356" s="107"/>
      <c r="BW356" s="107"/>
      <c r="BX356" s="107"/>
      <c r="BY356" s="107"/>
      <c r="BZ356" s="118"/>
      <c r="CA356" s="107"/>
      <c r="CB356" s="118"/>
      <c r="CC356" s="107"/>
      <c r="CD356" s="121"/>
      <c r="CE356" s="107"/>
      <c r="CF356" s="107"/>
      <c r="CG356" s="107"/>
      <c r="CH356" s="107"/>
      <c r="CI356" s="114"/>
      <c r="CK356" s="61">
        <f t="shared" si="132"/>
        <v>0</v>
      </c>
    </row>
    <row r="357" spans="1:89" s="127" customFormat="1" x14ac:dyDescent="0.25">
      <c r="A357" s="119"/>
      <c r="B357" s="108"/>
      <c r="C357" s="107"/>
      <c r="D357" s="120"/>
      <c r="E357" s="107"/>
      <c r="F357" s="107"/>
      <c r="G357" s="121"/>
      <c r="H357" s="121"/>
      <c r="I357" s="122"/>
      <c r="J357" s="122"/>
      <c r="K357" s="121"/>
      <c r="L357" s="121"/>
      <c r="M357" s="121"/>
      <c r="N357" s="121"/>
      <c r="O357" s="122"/>
      <c r="P357" s="122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  <c r="AB357" s="123"/>
      <c r="AC357" s="121"/>
      <c r="AD357" s="121"/>
      <c r="AE357" s="121"/>
      <c r="AF357" s="121"/>
      <c r="AG357" s="121"/>
      <c r="AH357" s="121"/>
      <c r="AI357" s="121"/>
      <c r="AJ357" s="121"/>
      <c r="AK357" s="121"/>
      <c r="AL357" s="121"/>
      <c r="AM357" s="121"/>
      <c r="AN357" s="123"/>
      <c r="AO357" s="121"/>
      <c r="AP357" s="124"/>
      <c r="AQ357" s="121"/>
      <c r="AR357" s="123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  <c r="BC357" s="121"/>
      <c r="BD357" s="124"/>
      <c r="BE357" s="121"/>
      <c r="BF357" s="125"/>
      <c r="BG357" s="121"/>
      <c r="BH357" s="121"/>
      <c r="BI357" s="121"/>
      <c r="BJ357" s="121"/>
      <c r="BK357" s="121"/>
      <c r="BL357" s="121"/>
      <c r="BM357" s="121"/>
      <c r="BN357" s="121"/>
      <c r="BO357" s="121"/>
      <c r="BP357" s="121"/>
      <c r="BQ357" s="107"/>
      <c r="BR357" s="107"/>
      <c r="BS357" s="107"/>
      <c r="BT357" s="107"/>
      <c r="BU357" s="107"/>
      <c r="BV357" s="107"/>
      <c r="BW357" s="107"/>
      <c r="BX357" s="107"/>
      <c r="BY357" s="107"/>
      <c r="BZ357" s="118"/>
      <c r="CA357" s="107"/>
      <c r="CB357" s="118"/>
      <c r="CC357" s="107"/>
      <c r="CD357" s="121"/>
      <c r="CE357" s="107"/>
      <c r="CF357" s="107"/>
      <c r="CG357" s="107"/>
      <c r="CH357" s="107"/>
      <c r="CI357" s="114"/>
      <c r="CK357" s="61">
        <f t="shared" si="132"/>
        <v>0</v>
      </c>
    </row>
    <row r="358" spans="1:89" s="127" customFormat="1" x14ac:dyDescent="0.25">
      <c r="A358" s="119"/>
      <c r="B358" s="108"/>
      <c r="C358" s="107"/>
      <c r="D358" s="120"/>
      <c r="E358" s="107"/>
      <c r="F358" s="107"/>
      <c r="G358" s="121"/>
      <c r="H358" s="121"/>
      <c r="I358" s="122"/>
      <c r="J358" s="122"/>
      <c r="K358" s="121"/>
      <c r="L358" s="121"/>
      <c r="M358" s="121"/>
      <c r="N358" s="121"/>
      <c r="O358" s="122"/>
      <c r="P358" s="122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  <c r="AB358" s="123"/>
      <c r="AC358" s="121"/>
      <c r="AD358" s="121"/>
      <c r="AE358" s="121"/>
      <c r="AF358" s="121"/>
      <c r="AG358" s="121"/>
      <c r="AH358" s="121"/>
      <c r="AI358" s="121"/>
      <c r="AJ358" s="121"/>
      <c r="AK358" s="121"/>
      <c r="AL358" s="121"/>
      <c r="AM358" s="121"/>
      <c r="AN358" s="123"/>
      <c r="AO358" s="121"/>
      <c r="AP358" s="124"/>
      <c r="AQ358" s="121"/>
      <c r="AR358" s="123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  <c r="BC358" s="121"/>
      <c r="BD358" s="124"/>
      <c r="BE358" s="121"/>
      <c r="BF358" s="125"/>
      <c r="BG358" s="121"/>
      <c r="BH358" s="121"/>
      <c r="BI358" s="121"/>
      <c r="BJ358" s="121"/>
      <c r="BK358" s="121"/>
      <c r="BL358" s="121"/>
      <c r="BM358" s="121"/>
      <c r="BN358" s="121"/>
      <c r="BO358" s="121"/>
      <c r="BP358" s="121"/>
      <c r="BQ358" s="107"/>
      <c r="BR358" s="107"/>
      <c r="BS358" s="107"/>
      <c r="BT358" s="107"/>
      <c r="BU358" s="107"/>
      <c r="BV358" s="107"/>
      <c r="BW358" s="107"/>
      <c r="BX358" s="107"/>
      <c r="BY358" s="107"/>
      <c r="BZ358" s="118"/>
      <c r="CA358" s="107"/>
      <c r="CB358" s="118"/>
      <c r="CC358" s="107"/>
      <c r="CD358" s="121"/>
      <c r="CE358" s="107"/>
      <c r="CF358" s="107"/>
      <c r="CG358" s="107"/>
      <c r="CH358" s="107"/>
      <c r="CI358" s="114"/>
      <c r="CK358" s="61">
        <f t="shared" si="132"/>
        <v>0</v>
      </c>
    </row>
    <row r="359" spans="1:89" s="127" customFormat="1" x14ac:dyDescent="0.25">
      <c r="A359" s="119"/>
      <c r="B359" s="108"/>
      <c r="C359" s="107"/>
      <c r="D359" s="120"/>
      <c r="E359" s="107"/>
      <c r="F359" s="107"/>
      <c r="G359" s="121"/>
      <c r="H359" s="121"/>
      <c r="I359" s="122"/>
      <c r="J359" s="122"/>
      <c r="K359" s="121"/>
      <c r="L359" s="121"/>
      <c r="M359" s="121"/>
      <c r="N359" s="121"/>
      <c r="O359" s="122"/>
      <c r="P359" s="122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  <c r="AB359" s="123"/>
      <c r="AC359" s="121"/>
      <c r="AD359" s="121"/>
      <c r="AE359" s="121"/>
      <c r="AF359" s="121"/>
      <c r="AG359" s="121"/>
      <c r="AH359" s="121"/>
      <c r="AI359" s="121"/>
      <c r="AJ359" s="121"/>
      <c r="AK359" s="121"/>
      <c r="AL359" s="121"/>
      <c r="AM359" s="121"/>
      <c r="AN359" s="123"/>
      <c r="AO359" s="121"/>
      <c r="AP359" s="124"/>
      <c r="AQ359" s="121"/>
      <c r="AR359" s="123"/>
      <c r="AS359" s="121"/>
      <c r="AT359" s="121"/>
      <c r="AU359" s="121"/>
      <c r="AV359" s="121"/>
      <c r="AW359" s="121"/>
      <c r="AX359" s="121"/>
      <c r="AY359" s="121"/>
      <c r="AZ359" s="121"/>
      <c r="BA359" s="121"/>
      <c r="BB359" s="121"/>
      <c r="BC359" s="121"/>
      <c r="BD359" s="124"/>
      <c r="BE359" s="121"/>
      <c r="BF359" s="125"/>
      <c r="BG359" s="121"/>
      <c r="BH359" s="121"/>
      <c r="BI359" s="121"/>
      <c r="BJ359" s="121"/>
      <c r="BK359" s="121"/>
      <c r="BL359" s="121"/>
      <c r="BM359" s="121"/>
      <c r="BN359" s="121"/>
      <c r="BO359" s="121"/>
      <c r="BP359" s="121"/>
      <c r="BQ359" s="130"/>
      <c r="BR359" s="107"/>
      <c r="BS359" s="107"/>
      <c r="BT359" s="107"/>
      <c r="BU359" s="107"/>
      <c r="BV359" s="107"/>
      <c r="BW359" s="107"/>
      <c r="BX359" s="107"/>
      <c r="BY359" s="107"/>
      <c r="BZ359" s="118"/>
      <c r="CA359" s="107"/>
      <c r="CB359" s="118"/>
      <c r="CC359" s="107"/>
      <c r="CD359" s="121"/>
      <c r="CE359" s="107"/>
      <c r="CF359" s="107"/>
      <c r="CG359" s="107"/>
      <c r="CH359" s="107"/>
      <c r="CI359" s="114"/>
      <c r="CK359" s="61">
        <f t="shared" si="132"/>
        <v>0</v>
      </c>
    </row>
    <row r="360" spans="1:89" s="127" customFormat="1" x14ac:dyDescent="0.25">
      <c r="A360" s="119"/>
      <c r="B360" s="108"/>
      <c r="C360" s="107"/>
      <c r="D360" s="120"/>
      <c r="E360" s="107"/>
      <c r="F360" s="107"/>
      <c r="G360" s="121"/>
      <c r="H360" s="121"/>
      <c r="I360" s="122"/>
      <c r="J360" s="122"/>
      <c r="K360" s="121"/>
      <c r="L360" s="121"/>
      <c r="M360" s="121"/>
      <c r="N360" s="121"/>
      <c r="O360" s="122"/>
      <c r="P360" s="122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  <c r="AB360" s="123"/>
      <c r="AC360" s="121"/>
      <c r="AD360" s="121"/>
      <c r="AE360" s="121"/>
      <c r="AF360" s="121"/>
      <c r="AG360" s="121"/>
      <c r="AH360" s="121"/>
      <c r="AI360" s="121"/>
      <c r="AJ360" s="121"/>
      <c r="AK360" s="121"/>
      <c r="AL360" s="121"/>
      <c r="AM360" s="121"/>
      <c r="AN360" s="123"/>
      <c r="AO360" s="121"/>
      <c r="AP360" s="124"/>
      <c r="AQ360" s="121"/>
      <c r="AR360" s="123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  <c r="BC360" s="121"/>
      <c r="BD360" s="124"/>
      <c r="BE360" s="121"/>
      <c r="BF360" s="125"/>
      <c r="BG360" s="121"/>
      <c r="BH360" s="121"/>
      <c r="BI360" s="121"/>
      <c r="BJ360" s="121"/>
      <c r="BK360" s="121"/>
      <c r="BL360" s="121"/>
      <c r="BM360" s="121"/>
      <c r="BN360" s="121"/>
      <c r="BO360" s="121"/>
      <c r="BP360" s="121"/>
      <c r="BQ360" s="107"/>
      <c r="BR360" s="107"/>
      <c r="BS360" s="107"/>
      <c r="BT360" s="107"/>
      <c r="BU360" s="107"/>
      <c r="BV360" s="107"/>
      <c r="BW360" s="107"/>
      <c r="BX360" s="107"/>
      <c r="BY360" s="107"/>
      <c r="BZ360" s="118"/>
      <c r="CA360" s="107"/>
      <c r="CB360" s="118"/>
      <c r="CC360" s="107"/>
      <c r="CD360" s="121"/>
      <c r="CE360" s="107"/>
      <c r="CF360" s="107"/>
      <c r="CG360" s="107"/>
      <c r="CH360" s="107"/>
      <c r="CI360" s="114"/>
      <c r="CK360" s="61">
        <f t="shared" si="132"/>
        <v>0</v>
      </c>
    </row>
    <row r="361" spans="1:89" s="127" customFormat="1" x14ac:dyDescent="0.25">
      <c r="A361" s="119"/>
      <c r="B361" s="108"/>
      <c r="C361" s="107"/>
      <c r="D361" s="120"/>
      <c r="E361" s="107"/>
      <c r="F361" s="107"/>
      <c r="G361" s="121"/>
      <c r="H361" s="125"/>
      <c r="I361" s="122"/>
      <c r="J361" s="122"/>
      <c r="K361" s="121"/>
      <c r="L361" s="121"/>
      <c r="M361" s="121"/>
      <c r="N361" s="121"/>
      <c r="O361" s="122"/>
      <c r="P361" s="122"/>
      <c r="Q361" s="121"/>
      <c r="R361" s="121"/>
      <c r="S361" s="121"/>
      <c r="T361" s="121"/>
      <c r="U361" s="121"/>
      <c r="V361" s="125"/>
      <c r="W361" s="121"/>
      <c r="X361" s="121"/>
      <c r="Y361" s="121"/>
      <c r="Z361" s="121"/>
      <c r="AA361" s="121"/>
      <c r="AB361" s="123"/>
      <c r="AC361" s="121"/>
      <c r="AD361" s="121"/>
      <c r="AE361" s="121"/>
      <c r="AF361" s="121"/>
      <c r="AG361" s="121"/>
      <c r="AH361" s="121"/>
      <c r="AI361" s="121"/>
      <c r="AJ361" s="121"/>
      <c r="AK361" s="121"/>
      <c r="AL361" s="121"/>
      <c r="AM361" s="121"/>
      <c r="AN361" s="123"/>
      <c r="AO361" s="121"/>
      <c r="AP361" s="124"/>
      <c r="AQ361" s="121"/>
      <c r="AR361" s="123"/>
      <c r="AS361" s="121"/>
      <c r="AT361" s="121"/>
      <c r="AU361" s="121"/>
      <c r="AV361" s="121"/>
      <c r="AW361" s="121"/>
      <c r="AX361" s="121"/>
      <c r="AY361" s="121"/>
      <c r="AZ361" s="121"/>
      <c r="BA361" s="121"/>
      <c r="BB361" s="121"/>
      <c r="BC361" s="121"/>
      <c r="BD361" s="124"/>
      <c r="BE361" s="121"/>
      <c r="BF361" s="125"/>
      <c r="BG361" s="121"/>
      <c r="BH361" s="121"/>
      <c r="BI361" s="121"/>
      <c r="BJ361" s="121"/>
      <c r="BK361" s="121"/>
      <c r="BL361" s="121"/>
      <c r="BM361" s="121"/>
      <c r="BN361" s="121"/>
      <c r="BO361" s="121"/>
      <c r="BP361" s="121"/>
      <c r="BQ361" s="107"/>
      <c r="BR361" s="107"/>
      <c r="BS361" s="107"/>
      <c r="BT361" s="107"/>
      <c r="BU361" s="107"/>
      <c r="BV361" s="107"/>
      <c r="BW361" s="107"/>
      <c r="BX361" s="107"/>
      <c r="BY361" s="107"/>
      <c r="BZ361" s="118"/>
      <c r="CA361" s="107"/>
      <c r="CB361" s="118"/>
      <c r="CC361" s="107"/>
      <c r="CD361" s="121"/>
      <c r="CE361" s="107"/>
      <c r="CF361" s="107"/>
      <c r="CG361" s="107"/>
      <c r="CH361" s="107"/>
      <c r="CI361" s="114"/>
      <c r="CK361" s="61">
        <f t="shared" si="132"/>
        <v>0</v>
      </c>
    </row>
    <row r="362" spans="1:89" x14ac:dyDescent="0.25">
      <c r="A362" s="119"/>
      <c r="CK362" s="61">
        <f t="shared" si="132"/>
        <v>0</v>
      </c>
    </row>
    <row r="363" spans="1:89" x14ac:dyDescent="0.25">
      <c r="A363" s="119"/>
      <c r="CK363" s="61">
        <f t="shared" si="132"/>
        <v>0</v>
      </c>
    </row>
    <row r="364" spans="1:89" x14ac:dyDescent="0.25">
      <c r="A364" s="119"/>
      <c r="CK364" s="61">
        <f t="shared" si="132"/>
        <v>0</v>
      </c>
    </row>
    <row r="365" spans="1:89" x14ac:dyDescent="0.25">
      <c r="A365" s="119"/>
      <c r="CK365" s="61">
        <f t="shared" si="132"/>
        <v>0</v>
      </c>
    </row>
    <row r="366" spans="1:89" x14ac:dyDescent="0.25">
      <c r="A366" s="119"/>
      <c r="CK366" s="61">
        <f t="shared" si="132"/>
        <v>0</v>
      </c>
    </row>
    <row r="367" spans="1:89" x14ac:dyDescent="0.25">
      <c r="A367" s="119"/>
      <c r="CK367" s="61">
        <f t="shared" si="132"/>
        <v>0</v>
      </c>
    </row>
    <row r="368" spans="1:89" x14ac:dyDescent="0.25">
      <c r="A368" s="119"/>
      <c r="CK368" s="61">
        <f t="shared" si="132"/>
        <v>0</v>
      </c>
    </row>
    <row r="369" spans="1:89" x14ac:dyDescent="0.25">
      <c r="A369" s="119"/>
      <c r="CK369" s="61">
        <f t="shared" si="132"/>
        <v>0</v>
      </c>
    </row>
    <row r="370" spans="1:89" x14ac:dyDescent="0.25">
      <c r="A370" s="119"/>
      <c r="CK370" s="61">
        <f t="shared" si="132"/>
        <v>0</v>
      </c>
    </row>
    <row r="371" spans="1:89" x14ac:dyDescent="0.25">
      <c r="A371" s="119"/>
      <c r="CK371" s="61">
        <f t="shared" si="132"/>
        <v>0</v>
      </c>
    </row>
    <row r="372" spans="1:89" x14ac:dyDescent="0.25">
      <c r="A372" s="119"/>
      <c r="CK372" s="61">
        <f t="shared" si="132"/>
        <v>0</v>
      </c>
    </row>
    <row r="373" spans="1:89" x14ac:dyDescent="0.25">
      <c r="A373" s="119"/>
      <c r="CK373" s="61">
        <f t="shared" si="132"/>
        <v>0</v>
      </c>
    </row>
    <row r="374" spans="1:89" x14ac:dyDescent="0.25">
      <c r="A374" s="119"/>
      <c r="CK374" s="61">
        <f t="shared" si="132"/>
        <v>0</v>
      </c>
    </row>
    <row r="375" spans="1:89" x14ac:dyDescent="0.25">
      <c r="A375" s="129"/>
      <c r="CK375" s="61">
        <f t="shared" si="132"/>
        <v>0</v>
      </c>
    </row>
    <row r="376" spans="1:89" x14ac:dyDescent="0.25">
      <c r="A376" s="131"/>
      <c r="CK376" s="61">
        <f t="shared" si="132"/>
        <v>0</v>
      </c>
    </row>
    <row r="377" spans="1:89" x14ac:dyDescent="0.25">
      <c r="A377" s="119"/>
      <c r="CK377" s="61">
        <f t="shared" si="132"/>
        <v>0</v>
      </c>
    </row>
    <row r="378" spans="1:89" x14ac:dyDescent="0.25">
      <c r="A378" s="119"/>
      <c r="CK378" s="61">
        <f t="shared" si="132"/>
        <v>0</v>
      </c>
    </row>
    <row r="379" spans="1:89" x14ac:dyDescent="0.25">
      <c r="A379" s="132"/>
      <c r="CK379" s="61">
        <f t="shared" si="132"/>
        <v>0</v>
      </c>
    </row>
    <row r="380" spans="1:89" x14ac:dyDescent="0.25">
      <c r="A380" s="119"/>
      <c r="CK380" s="61">
        <f t="shared" si="132"/>
        <v>0</v>
      </c>
    </row>
    <row r="381" spans="1:89" x14ac:dyDescent="0.25">
      <c r="A381" s="119"/>
      <c r="CK381" s="61">
        <f t="shared" si="132"/>
        <v>0</v>
      </c>
    </row>
    <row r="382" spans="1:89" x14ac:dyDescent="0.25">
      <c r="A382" s="119"/>
      <c r="CK382" s="61">
        <f t="shared" si="132"/>
        <v>0</v>
      </c>
    </row>
    <row r="383" spans="1:89" x14ac:dyDescent="0.25">
      <c r="A383" s="119"/>
      <c r="CK383" s="61">
        <f t="shared" si="132"/>
        <v>0</v>
      </c>
    </row>
    <row r="384" spans="1:89" x14ac:dyDescent="0.25">
      <c r="A384" s="119"/>
      <c r="CK384" s="61">
        <f t="shared" si="132"/>
        <v>0</v>
      </c>
    </row>
    <row r="385" spans="1:89" x14ac:dyDescent="0.25">
      <c r="A385" s="119"/>
      <c r="CK385" s="61">
        <f t="shared" si="132"/>
        <v>0</v>
      </c>
    </row>
    <row r="386" spans="1:89" x14ac:dyDescent="0.25">
      <c r="A386" s="119"/>
      <c r="CK386" s="61">
        <f t="shared" si="132"/>
        <v>0</v>
      </c>
    </row>
    <row r="387" spans="1:89" x14ac:dyDescent="0.25">
      <c r="A387" s="119"/>
      <c r="CK387" s="61">
        <f t="shared" si="132"/>
        <v>0</v>
      </c>
    </row>
    <row r="388" spans="1:89" x14ac:dyDescent="0.25">
      <c r="A388" s="119"/>
      <c r="CK388" s="61">
        <f t="shared" si="132"/>
        <v>0</v>
      </c>
    </row>
    <row r="389" spans="1:89" x14ac:dyDescent="0.25">
      <c r="A389" s="119"/>
      <c r="CK389" s="61">
        <f t="shared" si="132"/>
        <v>0</v>
      </c>
    </row>
    <row r="390" spans="1:89" x14ac:dyDescent="0.25">
      <c r="A390" s="119"/>
      <c r="CK390" s="61">
        <f t="shared" si="132"/>
        <v>0</v>
      </c>
    </row>
    <row r="391" spans="1:89" x14ac:dyDescent="0.25">
      <c r="A391" s="119"/>
      <c r="CK391" s="61">
        <f t="shared" si="132"/>
        <v>0</v>
      </c>
    </row>
    <row r="392" spans="1:89" x14ac:dyDescent="0.25">
      <c r="A392" s="119"/>
      <c r="CK392" s="61">
        <f t="shared" si="132"/>
        <v>0</v>
      </c>
    </row>
    <row r="393" spans="1:89" x14ac:dyDescent="0.25">
      <c r="A393" s="119"/>
      <c r="CK393" s="61">
        <f t="shared" si="132"/>
        <v>0</v>
      </c>
    </row>
    <row r="394" spans="1:89" x14ac:dyDescent="0.25">
      <c r="A394" s="119"/>
      <c r="CK394" s="61">
        <f t="shared" si="132"/>
        <v>0</v>
      </c>
    </row>
    <row r="395" spans="1:89" x14ac:dyDescent="0.25">
      <c r="A395" s="119"/>
      <c r="CK395" s="61">
        <f t="shared" si="132"/>
        <v>0</v>
      </c>
    </row>
    <row r="396" spans="1:89" x14ac:dyDescent="0.25">
      <c r="A396" s="119"/>
      <c r="CK396" s="61">
        <f t="shared" si="132"/>
        <v>0</v>
      </c>
    </row>
    <row r="397" spans="1:89" x14ac:dyDescent="0.25">
      <c r="A397" s="119"/>
      <c r="CK397" s="61">
        <f t="shared" si="132"/>
        <v>0</v>
      </c>
    </row>
    <row r="398" spans="1:89" x14ac:dyDescent="0.25">
      <c r="A398" s="119"/>
      <c r="CK398" s="61">
        <f t="shared" si="132"/>
        <v>0</v>
      </c>
    </row>
    <row r="399" spans="1:89" x14ac:dyDescent="0.25">
      <c r="A399" s="119"/>
      <c r="CK399" s="61">
        <f t="shared" si="132"/>
        <v>0</v>
      </c>
    </row>
    <row r="400" spans="1:89" x14ac:dyDescent="0.25">
      <c r="A400" s="119"/>
      <c r="CK400" s="61">
        <f t="shared" si="132"/>
        <v>0</v>
      </c>
    </row>
    <row r="401" spans="1:89" x14ac:dyDescent="0.25">
      <c r="A401" s="119"/>
      <c r="CK401" s="61">
        <f t="shared" si="132"/>
        <v>0</v>
      </c>
    </row>
    <row r="402" spans="1:89" x14ac:dyDescent="0.25">
      <c r="A402" s="119"/>
      <c r="CK402" s="61">
        <f t="shared" si="132"/>
        <v>0</v>
      </c>
    </row>
    <row r="403" spans="1:89" x14ac:dyDescent="0.25">
      <c r="A403" s="119"/>
      <c r="CK403" s="61">
        <f t="shared" si="132"/>
        <v>0</v>
      </c>
    </row>
    <row r="404" spans="1:89" x14ac:dyDescent="0.25">
      <c r="A404" s="119"/>
      <c r="CK404" s="61">
        <f t="shared" si="132"/>
        <v>0</v>
      </c>
    </row>
    <row r="405" spans="1:89" x14ac:dyDescent="0.25">
      <c r="A405" s="133"/>
      <c r="CK405" s="61">
        <f t="shared" si="132"/>
        <v>0</v>
      </c>
    </row>
    <row r="406" spans="1:89" x14ac:dyDescent="0.25">
      <c r="A406" s="119"/>
      <c r="CK406" s="61">
        <f t="shared" ref="CK406:CK469" si="134">CJ406-CA406</f>
        <v>0</v>
      </c>
    </row>
    <row r="407" spans="1:89" x14ac:dyDescent="0.25">
      <c r="A407" s="119"/>
      <c r="CK407" s="61">
        <f t="shared" si="134"/>
        <v>0</v>
      </c>
    </row>
    <row r="408" spans="1:89" x14ac:dyDescent="0.25">
      <c r="A408" s="119"/>
      <c r="CK408" s="61">
        <f t="shared" si="134"/>
        <v>0</v>
      </c>
    </row>
    <row r="409" spans="1:89" x14ac:dyDescent="0.25">
      <c r="A409" s="119"/>
      <c r="CK409" s="61">
        <f t="shared" si="134"/>
        <v>0</v>
      </c>
    </row>
    <row r="410" spans="1:89" x14ac:dyDescent="0.25">
      <c r="A410" s="119"/>
      <c r="CK410" s="61">
        <f t="shared" si="134"/>
        <v>0</v>
      </c>
    </row>
    <row r="411" spans="1:89" x14ac:dyDescent="0.25">
      <c r="A411" s="119"/>
      <c r="CK411" s="61">
        <f t="shared" si="134"/>
        <v>0</v>
      </c>
    </row>
    <row r="412" spans="1:89" x14ac:dyDescent="0.25">
      <c r="A412" s="119"/>
      <c r="CK412" s="61">
        <f t="shared" si="134"/>
        <v>0</v>
      </c>
    </row>
    <row r="413" spans="1:89" x14ac:dyDescent="0.25">
      <c r="A413" s="119"/>
      <c r="CK413" s="61">
        <f t="shared" si="134"/>
        <v>0</v>
      </c>
    </row>
    <row r="414" spans="1:89" x14ac:dyDescent="0.25">
      <c r="A414" s="119"/>
      <c r="CK414" s="61">
        <f t="shared" si="134"/>
        <v>0</v>
      </c>
    </row>
    <row r="415" spans="1:89" x14ac:dyDescent="0.25">
      <c r="A415" s="119"/>
      <c r="CK415" s="61">
        <f t="shared" si="134"/>
        <v>0</v>
      </c>
    </row>
    <row r="416" spans="1:89" x14ac:dyDescent="0.25">
      <c r="A416" s="119"/>
      <c r="CK416" s="61">
        <f t="shared" si="134"/>
        <v>0</v>
      </c>
    </row>
    <row r="417" spans="1:89" x14ac:dyDescent="0.25">
      <c r="A417" s="119"/>
      <c r="CK417" s="61">
        <f t="shared" si="134"/>
        <v>0</v>
      </c>
    </row>
    <row r="418" spans="1:89" x14ac:dyDescent="0.25">
      <c r="A418" s="119"/>
      <c r="CK418" s="61">
        <f t="shared" si="134"/>
        <v>0</v>
      </c>
    </row>
    <row r="419" spans="1:89" x14ac:dyDescent="0.25">
      <c r="A419" s="119"/>
      <c r="CK419" s="61">
        <f t="shared" si="134"/>
        <v>0</v>
      </c>
    </row>
    <row r="420" spans="1:89" x14ac:dyDescent="0.25">
      <c r="A420" s="119"/>
      <c r="CK420" s="61">
        <f t="shared" si="134"/>
        <v>0</v>
      </c>
    </row>
    <row r="421" spans="1:89" x14ac:dyDescent="0.25">
      <c r="A421" s="119"/>
      <c r="CK421" s="61">
        <f t="shared" si="134"/>
        <v>0</v>
      </c>
    </row>
    <row r="422" spans="1:89" x14ac:dyDescent="0.25">
      <c r="A422" s="119"/>
      <c r="CK422" s="61">
        <f t="shared" si="134"/>
        <v>0</v>
      </c>
    </row>
    <row r="423" spans="1:89" x14ac:dyDescent="0.25">
      <c r="A423" s="119"/>
      <c r="CK423" s="61">
        <f t="shared" si="134"/>
        <v>0</v>
      </c>
    </row>
    <row r="424" spans="1:89" x14ac:dyDescent="0.25">
      <c r="A424" s="134"/>
      <c r="CK424" s="61">
        <f t="shared" si="134"/>
        <v>0</v>
      </c>
    </row>
    <row r="425" spans="1:89" x14ac:dyDescent="0.25">
      <c r="A425" s="119"/>
      <c r="CK425" s="61">
        <f t="shared" si="134"/>
        <v>0</v>
      </c>
    </row>
    <row r="426" spans="1:89" x14ac:dyDescent="0.25">
      <c r="A426" s="119"/>
      <c r="CK426" s="61">
        <f t="shared" si="134"/>
        <v>0</v>
      </c>
    </row>
    <row r="427" spans="1:89" x14ac:dyDescent="0.25">
      <c r="A427" s="119"/>
      <c r="CK427" s="61">
        <f t="shared" si="134"/>
        <v>0</v>
      </c>
    </row>
    <row r="428" spans="1:89" x14ac:dyDescent="0.25">
      <c r="A428" s="119"/>
      <c r="CK428" s="61">
        <f t="shared" si="134"/>
        <v>0</v>
      </c>
    </row>
    <row r="429" spans="1:89" x14ac:dyDescent="0.25">
      <c r="A429" s="119"/>
      <c r="CK429" s="61">
        <f t="shared" si="134"/>
        <v>0</v>
      </c>
    </row>
    <row r="430" spans="1:89" x14ac:dyDescent="0.25">
      <c r="A430" s="119"/>
      <c r="CK430" s="61">
        <f t="shared" si="134"/>
        <v>0</v>
      </c>
    </row>
    <row r="431" spans="1:89" x14ac:dyDescent="0.25">
      <c r="A431" s="119"/>
      <c r="CK431" s="61">
        <f t="shared" si="134"/>
        <v>0</v>
      </c>
    </row>
    <row r="432" spans="1:89" x14ac:dyDescent="0.25">
      <c r="A432" s="119"/>
      <c r="CK432" s="61">
        <f t="shared" si="134"/>
        <v>0</v>
      </c>
    </row>
    <row r="433" spans="1:89" x14ac:dyDescent="0.25">
      <c r="A433" s="119"/>
      <c r="CK433" s="61">
        <f t="shared" si="134"/>
        <v>0</v>
      </c>
    </row>
    <row r="434" spans="1:89" x14ac:dyDescent="0.25">
      <c r="A434" s="119"/>
      <c r="CK434" s="61">
        <f t="shared" si="134"/>
        <v>0</v>
      </c>
    </row>
    <row r="435" spans="1:89" x14ac:dyDescent="0.25">
      <c r="A435" s="119"/>
      <c r="CK435" s="61">
        <f t="shared" si="134"/>
        <v>0</v>
      </c>
    </row>
    <row r="436" spans="1:89" x14ac:dyDescent="0.25">
      <c r="A436" s="119"/>
      <c r="CK436" s="61">
        <f t="shared" si="134"/>
        <v>0</v>
      </c>
    </row>
    <row r="437" spans="1:89" x14ac:dyDescent="0.25">
      <c r="A437" s="119"/>
      <c r="CK437" s="61">
        <f t="shared" si="134"/>
        <v>0</v>
      </c>
    </row>
    <row r="438" spans="1:89" x14ac:dyDescent="0.25">
      <c r="A438" s="132"/>
      <c r="CK438" s="61">
        <f t="shared" si="134"/>
        <v>0</v>
      </c>
    </row>
    <row r="439" spans="1:89" x14ac:dyDescent="0.25">
      <c r="A439" s="119"/>
      <c r="CK439" s="61">
        <f t="shared" si="134"/>
        <v>0</v>
      </c>
    </row>
    <row r="440" spans="1:89" x14ac:dyDescent="0.25">
      <c r="A440" s="119"/>
      <c r="CK440" s="61">
        <f t="shared" si="134"/>
        <v>0</v>
      </c>
    </row>
    <row r="441" spans="1:89" x14ac:dyDescent="0.25">
      <c r="A441" s="132"/>
      <c r="CK441" s="61">
        <f t="shared" si="134"/>
        <v>0</v>
      </c>
    </row>
    <row r="442" spans="1:89" x14ac:dyDescent="0.25">
      <c r="A442" s="119"/>
      <c r="CK442" s="61">
        <f t="shared" si="134"/>
        <v>0</v>
      </c>
    </row>
    <row r="443" spans="1:89" x14ac:dyDescent="0.25">
      <c r="A443" s="119"/>
      <c r="CK443" s="61">
        <f t="shared" si="134"/>
        <v>0</v>
      </c>
    </row>
    <row r="444" spans="1:89" x14ac:dyDescent="0.25">
      <c r="A444" s="132"/>
      <c r="CK444" s="61">
        <f t="shared" si="134"/>
        <v>0</v>
      </c>
    </row>
    <row r="445" spans="1:89" x14ac:dyDescent="0.25">
      <c r="A445" s="119"/>
      <c r="CK445" s="61">
        <f t="shared" si="134"/>
        <v>0</v>
      </c>
    </row>
    <row r="446" spans="1:89" x14ac:dyDescent="0.25">
      <c r="A446" s="119"/>
      <c r="CK446" s="61">
        <f t="shared" si="134"/>
        <v>0</v>
      </c>
    </row>
    <row r="447" spans="1:89" x14ac:dyDescent="0.25">
      <c r="A447" s="132"/>
      <c r="CK447" s="61">
        <f t="shared" si="134"/>
        <v>0</v>
      </c>
    </row>
    <row r="448" spans="1:89" x14ac:dyDescent="0.25">
      <c r="A448" s="119"/>
      <c r="CK448" s="61">
        <f t="shared" si="134"/>
        <v>0</v>
      </c>
    </row>
    <row r="449" spans="1:89" x14ac:dyDescent="0.25">
      <c r="A449" s="132"/>
      <c r="CK449" s="61">
        <f t="shared" si="134"/>
        <v>0</v>
      </c>
    </row>
    <row r="450" spans="1:89" x14ac:dyDescent="0.25">
      <c r="A450" s="132"/>
      <c r="CK450" s="61">
        <f t="shared" si="134"/>
        <v>0</v>
      </c>
    </row>
    <row r="451" spans="1:89" x14ac:dyDescent="0.25">
      <c r="A451" s="132"/>
      <c r="CK451" s="61">
        <f t="shared" si="134"/>
        <v>0</v>
      </c>
    </row>
    <row r="452" spans="1:89" x14ac:dyDescent="0.25">
      <c r="A452" s="132"/>
      <c r="CK452" s="61">
        <f t="shared" si="134"/>
        <v>0</v>
      </c>
    </row>
    <row r="453" spans="1:89" x14ac:dyDescent="0.25">
      <c r="A453" s="132"/>
      <c r="CK453" s="61">
        <f t="shared" si="134"/>
        <v>0</v>
      </c>
    </row>
    <row r="454" spans="1:89" x14ac:dyDescent="0.25">
      <c r="A454" s="132"/>
      <c r="CK454" s="61">
        <f t="shared" si="134"/>
        <v>0</v>
      </c>
    </row>
    <row r="455" spans="1:89" x14ac:dyDescent="0.25">
      <c r="A455" s="132"/>
      <c r="CK455" s="61">
        <f t="shared" si="134"/>
        <v>0</v>
      </c>
    </row>
    <row r="456" spans="1:89" x14ac:dyDescent="0.25">
      <c r="A456" s="132"/>
      <c r="CK456" s="61">
        <f t="shared" si="134"/>
        <v>0</v>
      </c>
    </row>
    <row r="457" spans="1:89" x14ac:dyDescent="0.25">
      <c r="A457" s="132"/>
      <c r="CK457" s="61">
        <f t="shared" si="134"/>
        <v>0</v>
      </c>
    </row>
    <row r="458" spans="1:89" x14ac:dyDescent="0.25">
      <c r="A458" s="132"/>
      <c r="CK458" s="61">
        <f t="shared" si="134"/>
        <v>0</v>
      </c>
    </row>
    <row r="459" spans="1:89" x14ac:dyDescent="0.25">
      <c r="A459" s="132"/>
      <c r="CK459" s="61">
        <f t="shared" si="134"/>
        <v>0</v>
      </c>
    </row>
    <row r="460" spans="1:89" x14ac:dyDescent="0.25">
      <c r="A460" s="132"/>
      <c r="CK460" s="61">
        <f t="shared" si="134"/>
        <v>0</v>
      </c>
    </row>
    <row r="461" spans="1:89" x14ac:dyDescent="0.25">
      <c r="A461" s="132"/>
      <c r="CK461" s="61">
        <f t="shared" si="134"/>
        <v>0</v>
      </c>
    </row>
    <row r="462" spans="1:89" x14ac:dyDescent="0.25">
      <c r="A462" s="132"/>
      <c r="CK462" s="61">
        <f t="shared" si="134"/>
        <v>0</v>
      </c>
    </row>
    <row r="463" spans="1:89" x14ac:dyDescent="0.25">
      <c r="A463" s="132"/>
      <c r="CK463" s="61">
        <f t="shared" si="134"/>
        <v>0</v>
      </c>
    </row>
    <row r="464" spans="1:89" x14ac:dyDescent="0.25">
      <c r="A464" s="132"/>
      <c r="CK464" s="61">
        <f t="shared" si="134"/>
        <v>0</v>
      </c>
    </row>
    <row r="465" spans="1:89" x14ac:dyDescent="0.25">
      <c r="A465" s="132"/>
      <c r="CK465" s="61">
        <f t="shared" si="134"/>
        <v>0</v>
      </c>
    </row>
    <row r="466" spans="1:89" x14ac:dyDescent="0.25">
      <c r="A466" s="132"/>
      <c r="CK466" s="61">
        <f t="shared" si="134"/>
        <v>0</v>
      </c>
    </row>
    <row r="467" spans="1:89" x14ac:dyDescent="0.25">
      <c r="A467" s="132"/>
      <c r="CK467" s="61">
        <f t="shared" si="134"/>
        <v>0</v>
      </c>
    </row>
    <row r="468" spans="1:89" x14ac:dyDescent="0.25">
      <c r="A468" s="132"/>
      <c r="CK468" s="61">
        <f t="shared" si="134"/>
        <v>0</v>
      </c>
    </row>
    <row r="469" spans="1:89" x14ac:dyDescent="0.25">
      <c r="A469" s="132"/>
      <c r="CK469" s="61">
        <f t="shared" si="134"/>
        <v>0</v>
      </c>
    </row>
    <row r="470" spans="1:89" x14ac:dyDescent="0.25">
      <c r="A470" s="132"/>
      <c r="CK470" s="61">
        <f t="shared" ref="CK470:CK533" si="135">CJ470-CA470</f>
        <v>0</v>
      </c>
    </row>
    <row r="471" spans="1:89" x14ac:dyDescent="0.25">
      <c r="A471" s="132"/>
      <c r="CK471" s="61">
        <f t="shared" si="135"/>
        <v>0</v>
      </c>
    </row>
    <row r="472" spans="1:89" x14ac:dyDescent="0.25">
      <c r="A472" s="132"/>
      <c r="CK472" s="61">
        <f t="shared" si="135"/>
        <v>0</v>
      </c>
    </row>
    <row r="473" spans="1:89" x14ac:dyDescent="0.25">
      <c r="A473" s="132"/>
      <c r="CK473" s="61">
        <f t="shared" si="135"/>
        <v>0</v>
      </c>
    </row>
    <row r="474" spans="1:89" x14ac:dyDescent="0.25">
      <c r="A474" s="132"/>
      <c r="CK474" s="61">
        <f t="shared" si="135"/>
        <v>0</v>
      </c>
    </row>
    <row r="475" spans="1:89" x14ac:dyDescent="0.25">
      <c r="A475" s="132"/>
      <c r="CK475" s="61">
        <f t="shared" si="135"/>
        <v>0</v>
      </c>
    </row>
    <row r="476" spans="1:89" x14ac:dyDescent="0.25">
      <c r="A476" s="132"/>
      <c r="CK476" s="61">
        <f t="shared" si="135"/>
        <v>0</v>
      </c>
    </row>
    <row r="477" spans="1:89" x14ac:dyDescent="0.25">
      <c r="A477" s="132"/>
      <c r="CK477" s="61">
        <f t="shared" si="135"/>
        <v>0</v>
      </c>
    </row>
    <row r="478" spans="1:89" x14ac:dyDescent="0.25">
      <c r="A478" s="132"/>
      <c r="CK478" s="61">
        <f t="shared" si="135"/>
        <v>0</v>
      </c>
    </row>
    <row r="479" spans="1:89" x14ac:dyDescent="0.25">
      <c r="A479" s="132"/>
      <c r="CK479" s="61">
        <f t="shared" si="135"/>
        <v>0</v>
      </c>
    </row>
    <row r="480" spans="1:89" x14ac:dyDescent="0.25">
      <c r="A480" s="132"/>
      <c r="CK480" s="61">
        <f t="shared" si="135"/>
        <v>0</v>
      </c>
    </row>
    <row r="481" spans="1:89" x14ac:dyDescent="0.25">
      <c r="A481" s="132"/>
      <c r="CK481" s="61">
        <f t="shared" si="135"/>
        <v>0</v>
      </c>
    </row>
    <row r="482" spans="1:89" x14ac:dyDescent="0.25">
      <c r="A482" s="132"/>
      <c r="CK482" s="61">
        <f t="shared" si="135"/>
        <v>0</v>
      </c>
    </row>
    <row r="483" spans="1:89" x14ac:dyDescent="0.25">
      <c r="A483" s="132"/>
      <c r="CK483" s="61">
        <f t="shared" si="135"/>
        <v>0</v>
      </c>
    </row>
    <row r="484" spans="1:89" x14ac:dyDescent="0.25">
      <c r="A484" s="132"/>
      <c r="CK484" s="61">
        <f t="shared" si="135"/>
        <v>0</v>
      </c>
    </row>
    <row r="485" spans="1:89" x14ac:dyDescent="0.25">
      <c r="A485" s="132"/>
      <c r="CK485" s="61">
        <f t="shared" si="135"/>
        <v>0</v>
      </c>
    </row>
    <row r="486" spans="1:89" x14ac:dyDescent="0.25">
      <c r="A486" s="132"/>
      <c r="CK486" s="61">
        <f t="shared" si="135"/>
        <v>0</v>
      </c>
    </row>
    <row r="487" spans="1:89" x14ac:dyDescent="0.25">
      <c r="A487" s="132"/>
      <c r="CK487" s="61">
        <f t="shared" si="135"/>
        <v>0</v>
      </c>
    </row>
    <row r="488" spans="1:89" x14ac:dyDescent="0.25">
      <c r="A488" s="132"/>
      <c r="CK488" s="61">
        <f t="shared" si="135"/>
        <v>0</v>
      </c>
    </row>
    <row r="489" spans="1:89" x14ac:dyDescent="0.25">
      <c r="A489" s="132"/>
      <c r="CK489" s="61">
        <f t="shared" si="135"/>
        <v>0</v>
      </c>
    </row>
    <row r="490" spans="1:89" x14ac:dyDescent="0.25">
      <c r="A490" s="132"/>
      <c r="CK490" s="61">
        <f t="shared" si="135"/>
        <v>0</v>
      </c>
    </row>
    <row r="491" spans="1:89" x14ac:dyDescent="0.25">
      <c r="A491" s="132"/>
      <c r="CK491" s="61">
        <f t="shared" si="135"/>
        <v>0</v>
      </c>
    </row>
    <row r="492" spans="1:89" x14ac:dyDescent="0.25">
      <c r="A492" s="133"/>
      <c r="CK492" s="61">
        <f t="shared" si="135"/>
        <v>0</v>
      </c>
    </row>
    <row r="493" spans="1:89" x14ac:dyDescent="0.25">
      <c r="A493" s="132"/>
      <c r="CK493" s="61">
        <f t="shared" si="135"/>
        <v>0</v>
      </c>
    </row>
    <row r="494" spans="1:89" x14ac:dyDescent="0.25">
      <c r="A494" s="132"/>
      <c r="CK494" s="61">
        <f t="shared" si="135"/>
        <v>0</v>
      </c>
    </row>
    <row r="495" spans="1:89" x14ac:dyDescent="0.25">
      <c r="A495" s="132"/>
      <c r="CK495" s="61">
        <f t="shared" si="135"/>
        <v>0</v>
      </c>
    </row>
    <row r="496" spans="1:89" x14ac:dyDescent="0.25">
      <c r="A496" s="132"/>
      <c r="CK496" s="61">
        <f t="shared" si="135"/>
        <v>0</v>
      </c>
    </row>
    <row r="497" spans="1:89" x14ac:dyDescent="0.25">
      <c r="A497" s="132"/>
      <c r="CK497" s="61">
        <f t="shared" si="135"/>
        <v>0</v>
      </c>
    </row>
    <row r="498" spans="1:89" x14ac:dyDescent="0.25">
      <c r="A498" s="132"/>
      <c r="CK498" s="61">
        <f t="shared" si="135"/>
        <v>0</v>
      </c>
    </row>
    <row r="499" spans="1:89" x14ac:dyDescent="0.25">
      <c r="A499" s="132"/>
      <c r="CK499" s="61">
        <f t="shared" si="135"/>
        <v>0</v>
      </c>
    </row>
    <row r="500" spans="1:89" x14ac:dyDescent="0.25">
      <c r="A500" s="132"/>
      <c r="CK500" s="61">
        <f t="shared" si="135"/>
        <v>0</v>
      </c>
    </row>
    <row r="501" spans="1:89" x14ac:dyDescent="0.25">
      <c r="A501" s="132"/>
      <c r="CK501" s="61">
        <f t="shared" si="135"/>
        <v>0</v>
      </c>
    </row>
    <row r="502" spans="1:89" x14ac:dyDescent="0.25">
      <c r="A502" s="132"/>
      <c r="CK502" s="61">
        <f t="shared" si="135"/>
        <v>0</v>
      </c>
    </row>
    <row r="503" spans="1:89" x14ac:dyDescent="0.25">
      <c r="A503" s="132"/>
      <c r="CK503" s="61">
        <f t="shared" si="135"/>
        <v>0</v>
      </c>
    </row>
    <row r="504" spans="1:89" x14ac:dyDescent="0.25">
      <c r="A504" s="132"/>
      <c r="CK504" s="61">
        <f t="shared" si="135"/>
        <v>0</v>
      </c>
    </row>
    <row r="505" spans="1:89" x14ac:dyDescent="0.25">
      <c r="A505" s="132"/>
      <c r="CK505" s="61">
        <f t="shared" si="135"/>
        <v>0</v>
      </c>
    </row>
    <row r="506" spans="1:89" x14ac:dyDescent="0.25">
      <c r="A506" s="132"/>
      <c r="CK506" s="61">
        <f t="shared" si="135"/>
        <v>0</v>
      </c>
    </row>
    <row r="507" spans="1:89" x14ac:dyDescent="0.25">
      <c r="A507" s="132"/>
      <c r="CK507" s="61">
        <f t="shared" si="135"/>
        <v>0</v>
      </c>
    </row>
    <row r="508" spans="1:89" x14ac:dyDescent="0.25">
      <c r="A508" s="132"/>
      <c r="CK508" s="61">
        <f t="shared" si="135"/>
        <v>0</v>
      </c>
    </row>
    <row r="509" spans="1:89" x14ac:dyDescent="0.25">
      <c r="A509" s="132"/>
      <c r="CK509" s="61">
        <f t="shared" si="135"/>
        <v>0</v>
      </c>
    </row>
    <row r="510" spans="1:89" x14ac:dyDescent="0.25">
      <c r="A510" s="132"/>
      <c r="CK510" s="61">
        <f t="shared" si="135"/>
        <v>0</v>
      </c>
    </row>
    <row r="511" spans="1:89" x14ac:dyDescent="0.25">
      <c r="A511" s="132"/>
      <c r="CK511" s="61">
        <f t="shared" si="135"/>
        <v>0</v>
      </c>
    </row>
    <row r="512" spans="1:89" x14ac:dyDescent="0.25">
      <c r="A512" s="132"/>
      <c r="CK512" s="61">
        <f t="shared" si="135"/>
        <v>0</v>
      </c>
    </row>
    <row r="513" spans="1:89" x14ac:dyDescent="0.25">
      <c r="A513" s="132"/>
      <c r="CK513" s="61">
        <f t="shared" si="135"/>
        <v>0</v>
      </c>
    </row>
    <row r="514" spans="1:89" x14ac:dyDescent="0.25">
      <c r="A514" s="132"/>
      <c r="CK514" s="61">
        <f t="shared" si="135"/>
        <v>0</v>
      </c>
    </row>
    <row r="515" spans="1:89" x14ac:dyDescent="0.25">
      <c r="A515" s="132"/>
      <c r="CK515" s="61">
        <f t="shared" si="135"/>
        <v>0</v>
      </c>
    </row>
    <row r="516" spans="1:89" x14ac:dyDescent="0.25">
      <c r="A516" s="132"/>
      <c r="CK516" s="61">
        <f t="shared" si="135"/>
        <v>0</v>
      </c>
    </row>
    <row r="517" spans="1:89" x14ac:dyDescent="0.25">
      <c r="A517" s="132"/>
      <c r="CK517" s="61">
        <f t="shared" si="135"/>
        <v>0</v>
      </c>
    </row>
    <row r="518" spans="1:89" x14ac:dyDescent="0.25">
      <c r="A518" s="132"/>
      <c r="CK518" s="61">
        <f t="shared" si="135"/>
        <v>0</v>
      </c>
    </row>
    <row r="519" spans="1:89" x14ac:dyDescent="0.25">
      <c r="A519" s="132"/>
      <c r="CK519" s="61">
        <f t="shared" si="135"/>
        <v>0</v>
      </c>
    </row>
    <row r="520" spans="1:89" x14ac:dyDescent="0.25">
      <c r="A520" s="132"/>
      <c r="CK520" s="61">
        <f t="shared" si="135"/>
        <v>0</v>
      </c>
    </row>
    <row r="521" spans="1:89" x14ac:dyDescent="0.25">
      <c r="A521" s="132"/>
      <c r="CK521" s="61">
        <f t="shared" si="135"/>
        <v>0</v>
      </c>
    </row>
    <row r="522" spans="1:89" x14ac:dyDescent="0.25">
      <c r="A522" s="132"/>
      <c r="CK522" s="61">
        <f t="shared" si="135"/>
        <v>0</v>
      </c>
    </row>
    <row r="523" spans="1:89" x14ac:dyDescent="0.25">
      <c r="A523" s="132"/>
      <c r="CK523" s="61">
        <f t="shared" si="135"/>
        <v>0</v>
      </c>
    </row>
    <row r="524" spans="1:89" x14ac:dyDescent="0.25">
      <c r="A524" s="132"/>
      <c r="CK524" s="61">
        <f t="shared" si="135"/>
        <v>0</v>
      </c>
    </row>
    <row r="525" spans="1:89" x14ac:dyDescent="0.25">
      <c r="A525" s="132"/>
      <c r="CK525" s="61">
        <f t="shared" si="135"/>
        <v>0</v>
      </c>
    </row>
    <row r="526" spans="1:89" x14ac:dyDescent="0.25">
      <c r="A526" s="132"/>
      <c r="CK526" s="61">
        <f t="shared" si="135"/>
        <v>0</v>
      </c>
    </row>
    <row r="527" spans="1:89" x14ac:dyDescent="0.25">
      <c r="A527" s="132"/>
      <c r="CK527" s="61">
        <f t="shared" si="135"/>
        <v>0</v>
      </c>
    </row>
    <row r="528" spans="1:89" x14ac:dyDescent="0.25">
      <c r="A528" s="132"/>
      <c r="CK528" s="61">
        <f t="shared" si="135"/>
        <v>0</v>
      </c>
    </row>
    <row r="529" spans="1:89" x14ac:dyDescent="0.25">
      <c r="A529" s="132"/>
      <c r="CK529" s="61">
        <f t="shared" si="135"/>
        <v>0</v>
      </c>
    </row>
    <row r="530" spans="1:89" x14ac:dyDescent="0.25">
      <c r="A530" s="132"/>
      <c r="CK530" s="61">
        <f t="shared" si="135"/>
        <v>0</v>
      </c>
    </row>
    <row r="531" spans="1:89" x14ac:dyDescent="0.25">
      <c r="A531" s="132"/>
      <c r="CK531" s="61">
        <f t="shared" si="135"/>
        <v>0</v>
      </c>
    </row>
    <row r="532" spans="1:89" x14ac:dyDescent="0.25">
      <c r="A532" s="132"/>
      <c r="CK532" s="61">
        <f t="shared" si="135"/>
        <v>0</v>
      </c>
    </row>
    <row r="533" spans="1:89" x14ac:dyDescent="0.25">
      <c r="A533" s="132"/>
      <c r="CK533" s="61">
        <f t="shared" si="135"/>
        <v>0</v>
      </c>
    </row>
    <row r="534" spans="1:89" x14ac:dyDescent="0.25">
      <c r="A534" s="132"/>
      <c r="CK534" s="61">
        <f t="shared" ref="CK534:CK597" si="136">CJ534-CA534</f>
        <v>0</v>
      </c>
    </row>
    <row r="535" spans="1:89" x14ac:dyDescent="0.25">
      <c r="A535" s="132"/>
      <c r="CK535" s="61">
        <f t="shared" si="136"/>
        <v>0</v>
      </c>
    </row>
    <row r="536" spans="1:89" x14ac:dyDescent="0.25">
      <c r="A536" s="132"/>
      <c r="CK536" s="61">
        <f t="shared" si="136"/>
        <v>0</v>
      </c>
    </row>
    <row r="537" spans="1:89" x14ac:dyDescent="0.25">
      <c r="A537" s="132"/>
      <c r="CK537" s="61">
        <f t="shared" si="136"/>
        <v>0</v>
      </c>
    </row>
    <row r="538" spans="1:89" x14ac:dyDescent="0.25">
      <c r="A538" s="132"/>
      <c r="CK538" s="61">
        <f t="shared" si="136"/>
        <v>0</v>
      </c>
    </row>
    <row r="539" spans="1:89" x14ac:dyDescent="0.25">
      <c r="A539" s="132"/>
      <c r="CK539" s="61">
        <f t="shared" si="136"/>
        <v>0</v>
      </c>
    </row>
    <row r="540" spans="1:89" x14ac:dyDescent="0.25">
      <c r="A540" s="132"/>
      <c r="CK540" s="61">
        <f t="shared" si="136"/>
        <v>0</v>
      </c>
    </row>
    <row r="541" spans="1:89" x14ac:dyDescent="0.25">
      <c r="A541" s="132"/>
      <c r="CK541" s="61">
        <f t="shared" si="136"/>
        <v>0</v>
      </c>
    </row>
    <row r="542" spans="1:89" x14ac:dyDescent="0.25">
      <c r="A542" s="132"/>
      <c r="CK542" s="61">
        <f t="shared" si="136"/>
        <v>0</v>
      </c>
    </row>
    <row r="543" spans="1:89" x14ac:dyDescent="0.25">
      <c r="A543" s="132"/>
      <c r="CK543" s="61">
        <f t="shared" si="136"/>
        <v>0</v>
      </c>
    </row>
    <row r="544" spans="1:89" x14ac:dyDescent="0.25">
      <c r="A544" s="132"/>
      <c r="CK544" s="61">
        <f t="shared" si="136"/>
        <v>0</v>
      </c>
    </row>
    <row r="545" spans="1:89" x14ac:dyDescent="0.25">
      <c r="A545" s="132"/>
      <c r="CK545" s="61">
        <f t="shared" si="136"/>
        <v>0</v>
      </c>
    </row>
    <row r="546" spans="1:89" x14ac:dyDescent="0.25">
      <c r="A546" s="132"/>
      <c r="CK546" s="61">
        <f t="shared" si="136"/>
        <v>0</v>
      </c>
    </row>
    <row r="547" spans="1:89" x14ac:dyDescent="0.25">
      <c r="A547" s="132"/>
      <c r="CK547" s="61">
        <f t="shared" si="136"/>
        <v>0</v>
      </c>
    </row>
    <row r="548" spans="1:89" x14ac:dyDescent="0.25">
      <c r="A548" s="132"/>
      <c r="CK548" s="61">
        <f t="shared" si="136"/>
        <v>0</v>
      </c>
    </row>
    <row r="549" spans="1:89" x14ac:dyDescent="0.25">
      <c r="A549" s="132"/>
      <c r="CK549" s="61">
        <f t="shared" si="136"/>
        <v>0</v>
      </c>
    </row>
    <row r="550" spans="1:89" x14ac:dyDescent="0.25">
      <c r="A550" s="132"/>
      <c r="CK550" s="61">
        <f t="shared" si="136"/>
        <v>0</v>
      </c>
    </row>
    <row r="551" spans="1:89" x14ac:dyDescent="0.25">
      <c r="A551" s="132"/>
      <c r="CK551" s="61">
        <f t="shared" si="136"/>
        <v>0</v>
      </c>
    </row>
    <row r="552" spans="1:89" x14ac:dyDescent="0.25">
      <c r="A552" s="132"/>
      <c r="CK552" s="61">
        <f t="shared" si="136"/>
        <v>0</v>
      </c>
    </row>
    <row r="553" spans="1:89" x14ac:dyDescent="0.25">
      <c r="A553" s="132"/>
      <c r="CK553" s="61">
        <f t="shared" si="136"/>
        <v>0</v>
      </c>
    </row>
    <row r="554" spans="1:89" x14ac:dyDescent="0.25">
      <c r="A554" s="132"/>
      <c r="CK554" s="61">
        <f t="shared" si="136"/>
        <v>0</v>
      </c>
    </row>
    <row r="555" spans="1:89" x14ac:dyDescent="0.25">
      <c r="A555" s="132"/>
      <c r="CK555" s="61">
        <f t="shared" si="136"/>
        <v>0</v>
      </c>
    </row>
    <row r="556" spans="1:89" x14ac:dyDescent="0.25">
      <c r="A556" s="132"/>
      <c r="CK556" s="61">
        <f t="shared" si="136"/>
        <v>0</v>
      </c>
    </row>
    <row r="557" spans="1:89" x14ac:dyDescent="0.25">
      <c r="A557" s="132"/>
      <c r="CK557" s="61">
        <f t="shared" si="136"/>
        <v>0</v>
      </c>
    </row>
    <row r="558" spans="1:89" x14ac:dyDescent="0.25">
      <c r="A558" s="132"/>
      <c r="CK558" s="61">
        <f t="shared" si="136"/>
        <v>0</v>
      </c>
    </row>
    <row r="559" spans="1:89" x14ac:dyDescent="0.25">
      <c r="A559" s="132"/>
      <c r="CK559" s="61">
        <f t="shared" si="136"/>
        <v>0</v>
      </c>
    </row>
    <row r="560" spans="1:89" x14ac:dyDescent="0.25">
      <c r="A560" s="132"/>
      <c r="CK560" s="61">
        <f t="shared" si="136"/>
        <v>0</v>
      </c>
    </row>
    <row r="561" spans="1:89" x14ac:dyDescent="0.25">
      <c r="A561" s="132"/>
      <c r="CK561" s="61">
        <f t="shared" si="136"/>
        <v>0</v>
      </c>
    </row>
    <row r="562" spans="1:89" x14ac:dyDescent="0.25">
      <c r="A562" s="132"/>
      <c r="CK562" s="61">
        <f t="shared" si="136"/>
        <v>0</v>
      </c>
    </row>
    <row r="563" spans="1:89" x14ac:dyDescent="0.25">
      <c r="A563" s="132"/>
      <c r="CK563" s="61">
        <f t="shared" si="136"/>
        <v>0</v>
      </c>
    </row>
    <row r="564" spans="1:89" x14ac:dyDescent="0.25">
      <c r="A564" s="132"/>
      <c r="CK564" s="61">
        <f t="shared" si="136"/>
        <v>0</v>
      </c>
    </row>
    <row r="565" spans="1:89" x14ac:dyDescent="0.25">
      <c r="A565" s="132"/>
      <c r="CK565" s="61">
        <f t="shared" si="136"/>
        <v>0</v>
      </c>
    </row>
    <row r="566" spans="1:89" x14ac:dyDescent="0.25">
      <c r="A566" s="132"/>
      <c r="CK566" s="61">
        <f t="shared" si="136"/>
        <v>0</v>
      </c>
    </row>
    <row r="567" spans="1:89" x14ac:dyDescent="0.25">
      <c r="A567" s="132"/>
      <c r="CK567" s="61">
        <f t="shared" si="136"/>
        <v>0</v>
      </c>
    </row>
    <row r="568" spans="1:89" x14ac:dyDescent="0.25">
      <c r="A568" s="132"/>
      <c r="CK568" s="61">
        <f t="shared" si="136"/>
        <v>0</v>
      </c>
    </row>
    <row r="569" spans="1:89" x14ac:dyDescent="0.25">
      <c r="A569" s="132"/>
      <c r="CK569" s="61">
        <f t="shared" si="136"/>
        <v>0</v>
      </c>
    </row>
    <row r="570" spans="1:89" x14ac:dyDescent="0.25">
      <c r="A570" s="132"/>
      <c r="CK570" s="61">
        <f t="shared" si="136"/>
        <v>0</v>
      </c>
    </row>
    <row r="571" spans="1:89" x14ac:dyDescent="0.25">
      <c r="A571" s="132"/>
      <c r="CK571" s="61">
        <f t="shared" si="136"/>
        <v>0</v>
      </c>
    </row>
    <row r="572" spans="1:89" x14ac:dyDescent="0.25">
      <c r="A572" s="135"/>
      <c r="CK572" s="61">
        <f t="shared" si="136"/>
        <v>0</v>
      </c>
    </row>
    <row r="573" spans="1:89" x14ac:dyDescent="0.25">
      <c r="A573" s="135"/>
      <c r="CK573" s="61">
        <f t="shared" si="136"/>
        <v>0</v>
      </c>
    </row>
    <row r="574" spans="1:89" x14ac:dyDescent="0.25">
      <c r="A574" s="135"/>
      <c r="CK574" s="61">
        <f t="shared" si="136"/>
        <v>0</v>
      </c>
    </row>
    <row r="575" spans="1:89" x14ac:dyDescent="0.25">
      <c r="A575" s="135"/>
      <c r="CK575" s="61">
        <f t="shared" si="136"/>
        <v>0</v>
      </c>
    </row>
    <row r="576" spans="1:89" x14ac:dyDescent="0.25">
      <c r="A576" s="135"/>
      <c r="CK576" s="61">
        <f t="shared" si="136"/>
        <v>0</v>
      </c>
    </row>
    <row r="577" spans="1:89" x14ac:dyDescent="0.25">
      <c r="A577" s="135"/>
      <c r="CK577" s="61">
        <f t="shared" si="136"/>
        <v>0</v>
      </c>
    </row>
    <row r="578" spans="1:89" x14ac:dyDescent="0.25">
      <c r="A578" s="135"/>
      <c r="CK578" s="61">
        <f t="shared" si="136"/>
        <v>0</v>
      </c>
    </row>
    <row r="579" spans="1:89" x14ac:dyDescent="0.25">
      <c r="A579" s="135"/>
      <c r="CK579" s="61">
        <f t="shared" si="136"/>
        <v>0</v>
      </c>
    </row>
    <row r="580" spans="1:89" x14ac:dyDescent="0.25">
      <c r="A580" s="135"/>
      <c r="CK580" s="61">
        <f t="shared" si="136"/>
        <v>0</v>
      </c>
    </row>
    <row r="581" spans="1:89" x14ac:dyDescent="0.25">
      <c r="A581" s="135"/>
      <c r="CK581" s="61">
        <f t="shared" si="136"/>
        <v>0</v>
      </c>
    </row>
    <row r="582" spans="1:89" x14ac:dyDescent="0.25">
      <c r="A582" s="135"/>
      <c r="CK582" s="61">
        <f t="shared" si="136"/>
        <v>0</v>
      </c>
    </row>
    <row r="583" spans="1:89" x14ac:dyDescent="0.25">
      <c r="A583" s="135"/>
      <c r="CK583" s="61">
        <f t="shared" si="136"/>
        <v>0</v>
      </c>
    </row>
    <row r="584" spans="1:89" x14ac:dyDescent="0.25">
      <c r="A584" s="135"/>
      <c r="CK584" s="61">
        <f t="shared" si="136"/>
        <v>0</v>
      </c>
    </row>
    <row r="585" spans="1:89" x14ac:dyDescent="0.25">
      <c r="A585" s="135"/>
      <c r="CK585" s="61">
        <f t="shared" si="136"/>
        <v>0</v>
      </c>
    </row>
    <row r="586" spans="1:89" x14ac:dyDescent="0.25">
      <c r="A586" s="135"/>
      <c r="CK586" s="61">
        <f t="shared" si="136"/>
        <v>0</v>
      </c>
    </row>
    <row r="587" spans="1:89" x14ac:dyDescent="0.25">
      <c r="A587" s="135"/>
      <c r="CK587" s="61">
        <f t="shared" si="136"/>
        <v>0</v>
      </c>
    </row>
    <row r="588" spans="1:89" x14ac:dyDescent="0.25">
      <c r="A588" s="135"/>
      <c r="CK588" s="61">
        <f t="shared" si="136"/>
        <v>0</v>
      </c>
    </row>
    <row r="589" spans="1:89" x14ac:dyDescent="0.25">
      <c r="A589" s="135"/>
      <c r="CK589" s="61">
        <f t="shared" si="136"/>
        <v>0</v>
      </c>
    </row>
    <row r="590" spans="1:89" x14ac:dyDescent="0.25">
      <c r="A590" s="135"/>
      <c r="CK590" s="61">
        <f t="shared" si="136"/>
        <v>0</v>
      </c>
    </row>
    <row r="591" spans="1:89" x14ac:dyDescent="0.25">
      <c r="A591" s="135"/>
      <c r="CK591" s="61">
        <f t="shared" si="136"/>
        <v>0</v>
      </c>
    </row>
    <row r="592" spans="1:89" x14ac:dyDescent="0.25">
      <c r="A592" s="135"/>
      <c r="CK592" s="61">
        <f t="shared" si="136"/>
        <v>0</v>
      </c>
    </row>
    <row r="593" spans="1:89" x14ac:dyDescent="0.25">
      <c r="A593" s="135"/>
      <c r="CK593" s="61">
        <f t="shared" si="136"/>
        <v>0</v>
      </c>
    </row>
    <row r="594" spans="1:89" x14ac:dyDescent="0.25">
      <c r="A594" s="135"/>
      <c r="CK594" s="61">
        <f t="shared" si="136"/>
        <v>0</v>
      </c>
    </row>
    <row r="595" spans="1:89" x14ac:dyDescent="0.25">
      <c r="A595" s="135"/>
      <c r="CK595" s="61">
        <f t="shared" si="136"/>
        <v>0</v>
      </c>
    </row>
    <row r="596" spans="1:89" x14ac:dyDescent="0.25">
      <c r="A596" s="135"/>
      <c r="CK596" s="61">
        <f t="shared" si="136"/>
        <v>0</v>
      </c>
    </row>
    <row r="597" spans="1:89" x14ac:dyDescent="0.25">
      <c r="A597" s="135"/>
      <c r="CK597" s="61">
        <f t="shared" si="136"/>
        <v>0</v>
      </c>
    </row>
    <row r="598" spans="1:89" x14ac:dyDescent="0.25">
      <c r="A598" s="135"/>
      <c r="CK598" s="61">
        <f t="shared" ref="CK598:CK661" si="137">CJ598-CA598</f>
        <v>0</v>
      </c>
    </row>
    <row r="599" spans="1:89" x14ac:dyDescent="0.25">
      <c r="A599" s="135"/>
      <c r="CK599" s="61">
        <f t="shared" si="137"/>
        <v>0</v>
      </c>
    </row>
    <row r="600" spans="1:89" x14ac:dyDescent="0.25">
      <c r="A600" s="135"/>
      <c r="CK600" s="61">
        <f t="shared" si="137"/>
        <v>0</v>
      </c>
    </row>
    <row r="601" spans="1:89" x14ac:dyDescent="0.25">
      <c r="A601" s="135"/>
      <c r="CK601" s="61">
        <f t="shared" si="137"/>
        <v>0</v>
      </c>
    </row>
    <row r="602" spans="1:89" x14ac:dyDescent="0.25">
      <c r="A602" s="135"/>
      <c r="CK602" s="61">
        <f t="shared" si="137"/>
        <v>0</v>
      </c>
    </row>
    <row r="603" spans="1:89" x14ac:dyDescent="0.25">
      <c r="A603" s="135"/>
      <c r="CK603" s="61">
        <f t="shared" si="137"/>
        <v>0</v>
      </c>
    </row>
    <row r="604" spans="1:89" x14ac:dyDescent="0.25">
      <c r="A604" s="135"/>
      <c r="CK604" s="61">
        <f t="shared" si="137"/>
        <v>0</v>
      </c>
    </row>
    <row r="605" spans="1:89" x14ac:dyDescent="0.25">
      <c r="A605" s="135"/>
      <c r="CK605" s="61">
        <f t="shared" si="137"/>
        <v>0</v>
      </c>
    </row>
    <row r="606" spans="1:89" x14ac:dyDescent="0.25">
      <c r="A606" s="135"/>
      <c r="CK606" s="61">
        <f t="shared" si="137"/>
        <v>0</v>
      </c>
    </row>
    <row r="607" spans="1:89" x14ac:dyDescent="0.25">
      <c r="A607" s="135"/>
      <c r="CK607" s="61">
        <f t="shared" si="137"/>
        <v>0</v>
      </c>
    </row>
    <row r="608" spans="1:89" x14ac:dyDescent="0.25">
      <c r="A608" s="135"/>
      <c r="CK608" s="61">
        <f t="shared" si="137"/>
        <v>0</v>
      </c>
    </row>
    <row r="609" spans="1:89" x14ac:dyDescent="0.25">
      <c r="A609" s="135"/>
      <c r="CK609" s="61">
        <f t="shared" si="137"/>
        <v>0</v>
      </c>
    </row>
    <row r="610" spans="1:89" x14ac:dyDescent="0.25">
      <c r="A610" s="135"/>
      <c r="CK610" s="61">
        <f t="shared" si="137"/>
        <v>0</v>
      </c>
    </row>
    <row r="611" spans="1:89" x14ac:dyDescent="0.25">
      <c r="A611" s="135"/>
      <c r="CK611" s="61">
        <f t="shared" si="137"/>
        <v>0</v>
      </c>
    </row>
    <row r="612" spans="1:89" x14ac:dyDescent="0.25">
      <c r="A612" s="135"/>
      <c r="CK612" s="61">
        <f t="shared" si="137"/>
        <v>0</v>
      </c>
    </row>
    <row r="613" spans="1:89" x14ac:dyDescent="0.25">
      <c r="A613" s="135"/>
      <c r="CK613" s="61">
        <f t="shared" si="137"/>
        <v>0</v>
      </c>
    </row>
    <row r="614" spans="1:89" x14ac:dyDescent="0.25">
      <c r="A614" s="135"/>
      <c r="CK614" s="61">
        <f t="shared" si="137"/>
        <v>0</v>
      </c>
    </row>
    <row r="615" spans="1:89" x14ac:dyDescent="0.25">
      <c r="A615" s="135"/>
      <c r="CK615" s="61">
        <f t="shared" si="137"/>
        <v>0</v>
      </c>
    </row>
    <row r="616" spans="1:89" x14ac:dyDescent="0.25">
      <c r="A616" s="135"/>
      <c r="CK616" s="61">
        <f t="shared" si="137"/>
        <v>0</v>
      </c>
    </row>
    <row r="617" spans="1:89" x14ac:dyDescent="0.25">
      <c r="A617" s="135"/>
      <c r="CK617" s="61">
        <f t="shared" si="137"/>
        <v>0</v>
      </c>
    </row>
    <row r="618" spans="1:89" x14ac:dyDescent="0.25">
      <c r="A618" s="135"/>
      <c r="CK618" s="61">
        <f t="shared" si="137"/>
        <v>0</v>
      </c>
    </row>
    <row r="619" spans="1:89" x14ac:dyDescent="0.25">
      <c r="A619" s="135"/>
      <c r="CK619" s="61">
        <f t="shared" si="137"/>
        <v>0</v>
      </c>
    </row>
    <row r="620" spans="1:89" x14ac:dyDescent="0.25">
      <c r="A620" s="135"/>
      <c r="CK620" s="61">
        <f t="shared" si="137"/>
        <v>0</v>
      </c>
    </row>
    <row r="621" spans="1:89" x14ac:dyDescent="0.25">
      <c r="A621" s="135"/>
      <c r="CK621" s="61">
        <f t="shared" si="137"/>
        <v>0</v>
      </c>
    </row>
    <row r="622" spans="1:89" x14ac:dyDescent="0.25">
      <c r="A622" s="135"/>
      <c r="CK622" s="61">
        <f t="shared" si="137"/>
        <v>0</v>
      </c>
    </row>
    <row r="623" spans="1:89" x14ac:dyDescent="0.25">
      <c r="A623" s="135"/>
      <c r="CK623" s="61">
        <f t="shared" si="137"/>
        <v>0</v>
      </c>
    </row>
    <row r="624" spans="1:89" x14ac:dyDescent="0.25">
      <c r="A624" s="135"/>
      <c r="CK624" s="61">
        <f t="shared" si="137"/>
        <v>0</v>
      </c>
    </row>
    <row r="625" spans="1:89" x14ac:dyDescent="0.25">
      <c r="A625" s="135"/>
      <c r="CK625" s="61">
        <f t="shared" si="137"/>
        <v>0</v>
      </c>
    </row>
    <row r="626" spans="1:89" x14ac:dyDescent="0.25">
      <c r="A626" s="135"/>
      <c r="CK626" s="61">
        <f t="shared" si="137"/>
        <v>0</v>
      </c>
    </row>
    <row r="627" spans="1:89" x14ac:dyDescent="0.25">
      <c r="A627" s="135"/>
      <c r="CK627" s="61">
        <f t="shared" si="137"/>
        <v>0</v>
      </c>
    </row>
    <row r="628" spans="1:89" x14ac:dyDescent="0.25">
      <c r="A628" s="135"/>
      <c r="CK628" s="61">
        <f t="shared" si="137"/>
        <v>0</v>
      </c>
    </row>
    <row r="629" spans="1:89" x14ac:dyDescent="0.25">
      <c r="A629" s="135"/>
      <c r="CK629" s="61">
        <f t="shared" si="137"/>
        <v>0</v>
      </c>
    </row>
    <row r="630" spans="1:89" x14ac:dyDescent="0.25">
      <c r="A630" s="135"/>
      <c r="CK630" s="61">
        <f t="shared" si="137"/>
        <v>0</v>
      </c>
    </row>
    <row r="631" spans="1:89" x14ac:dyDescent="0.25">
      <c r="A631" s="135"/>
      <c r="CK631" s="61">
        <f t="shared" si="137"/>
        <v>0</v>
      </c>
    </row>
    <row r="632" spans="1:89" x14ac:dyDescent="0.25">
      <c r="A632" s="135"/>
      <c r="CK632" s="61">
        <f t="shared" si="137"/>
        <v>0</v>
      </c>
    </row>
    <row r="633" spans="1:89" x14ac:dyDescent="0.25">
      <c r="A633" s="135"/>
      <c r="CK633" s="61">
        <f t="shared" si="137"/>
        <v>0</v>
      </c>
    </row>
    <row r="634" spans="1:89" x14ac:dyDescent="0.25">
      <c r="A634" s="135"/>
      <c r="CK634" s="61">
        <f t="shared" si="137"/>
        <v>0</v>
      </c>
    </row>
    <row r="635" spans="1:89" x14ac:dyDescent="0.25">
      <c r="A635" s="135"/>
      <c r="CK635" s="61">
        <f t="shared" si="137"/>
        <v>0</v>
      </c>
    </row>
    <row r="636" spans="1:89" x14ac:dyDescent="0.25">
      <c r="A636" s="135"/>
      <c r="CK636" s="61">
        <f t="shared" si="137"/>
        <v>0</v>
      </c>
    </row>
    <row r="637" spans="1:89" x14ac:dyDescent="0.25">
      <c r="A637" s="135"/>
      <c r="CK637" s="61">
        <f t="shared" si="137"/>
        <v>0</v>
      </c>
    </row>
    <row r="638" spans="1:89" x14ac:dyDescent="0.25">
      <c r="A638" s="135"/>
      <c r="CK638" s="61">
        <f t="shared" si="137"/>
        <v>0</v>
      </c>
    </row>
    <row r="639" spans="1:89" x14ac:dyDescent="0.25">
      <c r="A639" s="135"/>
      <c r="CK639" s="61">
        <f t="shared" si="137"/>
        <v>0</v>
      </c>
    </row>
    <row r="640" spans="1:89" x14ac:dyDescent="0.25">
      <c r="A640" s="135"/>
      <c r="CK640" s="61">
        <f t="shared" si="137"/>
        <v>0</v>
      </c>
    </row>
    <row r="641" spans="1:89" x14ac:dyDescent="0.25">
      <c r="A641" s="135"/>
      <c r="CK641" s="61">
        <f t="shared" si="137"/>
        <v>0</v>
      </c>
    </row>
    <row r="642" spans="1:89" x14ac:dyDescent="0.25">
      <c r="A642" s="45"/>
      <c r="CK642" s="61">
        <f t="shared" si="137"/>
        <v>0</v>
      </c>
    </row>
    <row r="643" spans="1:89" x14ac:dyDescent="0.25">
      <c r="A643" s="45"/>
      <c r="CK643" s="61">
        <f t="shared" si="137"/>
        <v>0</v>
      </c>
    </row>
    <row r="644" spans="1:89" x14ac:dyDescent="0.25">
      <c r="A644" s="45"/>
      <c r="CK644" s="61">
        <f t="shared" si="137"/>
        <v>0</v>
      </c>
    </row>
    <row r="645" spans="1:89" x14ac:dyDescent="0.25">
      <c r="A645" s="45"/>
      <c r="CK645" s="61">
        <f t="shared" si="137"/>
        <v>0</v>
      </c>
    </row>
    <row r="646" spans="1:89" x14ac:dyDescent="0.25">
      <c r="A646" s="45"/>
      <c r="CK646" s="61">
        <f t="shared" si="137"/>
        <v>0</v>
      </c>
    </row>
    <row r="647" spans="1:89" x14ac:dyDescent="0.25">
      <c r="A647" s="45"/>
      <c r="CK647" s="61">
        <f t="shared" si="137"/>
        <v>0</v>
      </c>
    </row>
    <row r="648" spans="1:89" x14ac:dyDescent="0.25">
      <c r="A648" s="45"/>
      <c r="CK648" s="61">
        <f t="shared" si="137"/>
        <v>0</v>
      </c>
    </row>
    <row r="649" spans="1:89" x14ac:dyDescent="0.25">
      <c r="A649" s="45"/>
      <c r="CK649" s="61">
        <f t="shared" si="137"/>
        <v>0</v>
      </c>
    </row>
    <row r="650" spans="1:89" x14ac:dyDescent="0.25">
      <c r="A650" s="45"/>
      <c r="CK650" s="61">
        <f t="shared" si="137"/>
        <v>0</v>
      </c>
    </row>
    <row r="651" spans="1:89" x14ac:dyDescent="0.25">
      <c r="A651" s="45"/>
      <c r="CK651" s="61">
        <f t="shared" si="137"/>
        <v>0</v>
      </c>
    </row>
    <row r="652" spans="1:89" x14ac:dyDescent="0.25">
      <c r="A652" s="45"/>
      <c r="CK652" s="61">
        <f t="shared" si="137"/>
        <v>0</v>
      </c>
    </row>
    <row r="653" spans="1:89" x14ac:dyDescent="0.25">
      <c r="A653" s="45"/>
      <c r="CK653" s="61">
        <f t="shared" si="137"/>
        <v>0</v>
      </c>
    </row>
    <row r="654" spans="1:89" x14ac:dyDescent="0.25">
      <c r="A654" s="45"/>
      <c r="CK654" s="61">
        <f t="shared" si="137"/>
        <v>0</v>
      </c>
    </row>
    <row r="655" spans="1:89" x14ac:dyDescent="0.25">
      <c r="A655" s="45"/>
      <c r="CK655" s="61">
        <f t="shared" si="137"/>
        <v>0</v>
      </c>
    </row>
    <row r="656" spans="1:89" x14ac:dyDescent="0.25">
      <c r="A656" s="45"/>
      <c r="CK656" s="61">
        <f t="shared" si="137"/>
        <v>0</v>
      </c>
    </row>
    <row r="657" spans="1:89" x14ac:dyDescent="0.25">
      <c r="A657" s="45"/>
      <c r="CK657" s="61">
        <f t="shared" si="137"/>
        <v>0</v>
      </c>
    </row>
    <row r="658" spans="1:89" x14ac:dyDescent="0.25">
      <c r="A658" s="45"/>
      <c r="CK658" s="61">
        <f t="shared" si="137"/>
        <v>0</v>
      </c>
    </row>
    <row r="659" spans="1:89" x14ac:dyDescent="0.25">
      <c r="A659" s="45"/>
      <c r="CK659" s="61">
        <f t="shared" si="137"/>
        <v>0</v>
      </c>
    </row>
    <row r="660" spans="1:89" x14ac:dyDescent="0.25">
      <c r="A660" s="45"/>
      <c r="CK660" s="61">
        <f t="shared" si="137"/>
        <v>0</v>
      </c>
    </row>
    <row r="661" spans="1:89" x14ac:dyDescent="0.25">
      <c r="A661" s="45"/>
      <c r="CK661" s="61">
        <f t="shared" si="137"/>
        <v>0</v>
      </c>
    </row>
    <row r="662" spans="1:89" x14ac:dyDescent="0.25">
      <c r="A662" s="45"/>
      <c r="CK662" s="61">
        <f t="shared" ref="CK662:CK668" si="138">CJ662-CA662</f>
        <v>0</v>
      </c>
    </row>
    <row r="663" spans="1:89" x14ac:dyDescent="0.25">
      <c r="A663" s="45"/>
      <c r="CK663" s="61">
        <f t="shared" si="138"/>
        <v>0</v>
      </c>
    </row>
    <row r="664" spans="1:89" x14ac:dyDescent="0.25">
      <c r="A664" s="45"/>
      <c r="CK664" s="61">
        <f t="shared" si="138"/>
        <v>0</v>
      </c>
    </row>
    <row r="665" spans="1:89" x14ac:dyDescent="0.25">
      <c r="A665" s="45"/>
      <c r="CK665" s="61">
        <f t="shared" si="138"/>
        <v>0</v>
      </c>
    </row>
    <row r="666" spans="1:89" x14ac:dyDescent="0.25">
      <c r="A666" s="45"/>
      <c r="CK666" s="61">
        <f t="shared" si="138"/>
        <v>0</v>
      </c>
    </row>
    <row r="667" spans="1:89" x14ac:dyDescent="0.25">
      <c r="A667" s="45"/>
      <c r="CK667" s="61">
        <f t="shared" si="138"/>
        <v>0</v>
      </c>
    </row>
    <row r="668" spans="1:89" x14ac:dyDescent="0.25">
      <c r="A668" s="45"/>
      <c r="CK668" s="61">
        <f t="shared" si="138"/>
        <v>0</v>
      </c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I9:I10"/>
    <mergeCell ref="J9:J10"/>
    <mergeCell ref="K9:K10"/>
    <mergeCell ref="L9:L10"/>
    <mergeCell ref="M9:M10"/>
    <mergeCell ref="N9:N10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AG8:AH8"/>
    <mergeCell ref="AI8:AJ8"/>
    <mergeCell ref="AK8:AL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dxfId="423" priority="416"/>
  </conditionalFormatting>
  <conditionalFormatting sqref="A8">
    <cfRule type="duplicateValues" dxfId="422" priority="415"/>
  </conditionalFormatting>
  <conditionalFormatting sqref="A8">
    <cfRule type="duplicateValues" dxfId="421" priority="412"/>
    <cfRule type="duplicateValues" dxfId="420" priority="413"/>
    <cfRule type="duplicateValues" dxfId="419" priority="414"/>
  </conditionalFormatting>
  <conditionalFormatting sqref="A175">
    <cfRule type="duplicateValues" dxfId="418" priority="411"/>
  </conditionalFormatting>
  <conditionalFormatting sqref="A174">
    <cfRule type="duplicateValues" dxfId="417" priority="410"/>
  </conditionalFormatting>
  <conditionalFormatting sqref="A179">
    <cfRule type="duplicateValues" dxfId="416" priority="409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5" priority="408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4" priority="405"/>
    <cfRule type="duplicateValues" dxfId="413" priority="406"/>
    <cfRule type="duplicateValues" dxfId="412" priority="407"/>
  </conditionalFormatting>
  <conditionalFormatting sqref="A63">
    <cfRule type="duplicateValues" dxfId="411" priority="404"/>
  </conditionalFormatting>
  <conditionalFormatting sqref="A111">
    <cfRule type="duplicateValues" dxfId="410" priority="403"/>
  </conditionalFormatting>
  <conditionalFormatting sqref="A154">
    <cfRule type="duplicateValues" dxfId="409" priority="402"/>
  </conditionalFormatting>
  <conditionalFormatting sqref="B153 B11:B13 B18:B34 B42:B46 B37:B39">
    <cfRule type="duplicateValues" dxfId="408" priority="401"/>
  </conditionalFormatting>
  <conditionalFormatting sqref="A7">
    <cfRule type="duplicateValues" dxfId="407" priority="400"/>
  </conditionalFormatting>
  <conditionalFormatting sqref="B210:B211">
    <cfRule type="duplicateValues" dxfId="406" priority="399"/>
  </conditionalFormatting>
  <conditionalFormatting sqref="A108">
    <cfRule type="duplicateValues" dxfId="405" priority="398"/>
  </conditionalFormatting>
  <conditionalFormatting sqref="A108">
    <cfRule type="duplicateValues" dxfId="404" priority="395"/>
    <cfRule type="duplicateValues" dxfId="403" priority="396"/>
    <cfRule type="duplicateValues" dxfId="402" priority="397"/>
  </conditionalFormatting>
  <conditionalFormatting sqref="B108">
    <cfRule type="duplicateValues" dxfId="401" priority="394"/>
  </conditionalFormatting>
  <conditionalFormatting sqref="B108:B109">
    <cfRule type="duplicateValues" dxfId="400" priority="39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9" priority="392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8" priority="391"/>
  </conditionalFormatting>
  <conditionalFormatting sqref="A280:A281 A278 A276 A273:A274">
    <cfRule type="duplicateValues" dxfId="397" priority="390"/>
  </conditionalFormatting>
  <conditionalFormatting sqref="A280:A281 A278 A276 A273:A274">
    <cfRule type="duplicateValues" dxfId="396" priority="387"/>
    <cfRule type="duplicateValues" dxfId="395" priority="388"/>
    <cfRule type="duplicateValues" dxfId="394" priority="389"/>
  </conditionalFormatting>
  <conditionalFormatting sqref="B227">
    <cfRule type="duplicateValues" dxfId="393" priority="386"/>
  </conditionalFormatting>
  <conditionalFormatting sqref="B227">
    <cfRule type="duplicateValues" dxfId="392" priority="385"/>
  </conditionalFormatting>
  <conditionalFormatting sqref="B272">
    <cfRule type="duplicateValues" dxfId="391" priority="384"/>
  </conditionalFormatting>
  <conditionalFormatting sqref="B272">
    <cfRule type="duplicateValues" dxfId="390" priority="383"/>
  </conditionalFormatting>
  <conditionalFormatting sqref="A103">
    <cfRule type="duplicateValues" dxfId="389" priority="382"/>
  </conditionalFormatting>
  <conditionalFormatting sqref="A103">
    <cfRule type="duplicateValues" dxfId="388" priority="379"/>
    <cfRule type="duplicateValues" dxfId="387" priority="380"/>
    <cfRule type="duplicateValues" dxfId="386" priority="381"/>
  </conditionalFormatting>
  <conditionalFormatting sqref="B103">
    <cfRule type="duplicateValues" dxfId="385" priority="378"/>
  </conditionalFormatting>
  <conditionalFormatting sqref="B103">
    <cfRule type="duplicateValues" dxfId="384" priority="377"/>
  </conditionalFormatting>
  <conditionalFormatting sqref="A282">
    <cfRule type="duplicateValues" dxfId="383" priority="376"/>
  </conditionalFormatting>
  <conditionalFormatting sqref="A282">
    <cfRule type="duplicateValues" dxfId="382" priority="373"/>
    <cfRule type="duplicateValues" dxfId="381" priority="374"/>
    <cfRule type="duplicateValues" dxfId="380" priority="375"/>
  </conditionalFormatting>
  <conditionalFormatting sqref="A283">
    <cfRule type="duplicateValues" dxfId="379" priority="372"/>
  </conditionalFormatting>
  <conditionalFormatting sqref="A283">
    <cfRule type="duplicateValues" dxfId="378" priority="369"/>
    <cfRule type="duplicateValues" dxfId="377" priority="370"/>
    <cfRule type="duplicateValues" dxfId="376" priority="371"/>
  </conditionalFormatting>
  <conditionalFormatting sqref="A284">
    <cfRule type="duplicateValues" dxfId="375" priority="368"/>
  </conditionalFormatting>
  <conditionalFormatting sqref="A284">
    <cfRule type="duplicateValues" dxfId="374" priority="365"/>
    <cfRule type="duplicateValues" dxfId="373" priority="366"/>
    <cfRule type="duplicateValues" dxfId="372" priority="367"/>
  </conditionalFormatting>
  <conditionalFormatting sqref="A124">
    <cfRule type="duplicateValues" dxfId="371" priority="364"/>
  </conditionalFormatting>
  <conditionalFormatting sqref="A124">
    <cfRule type="duplicateValues" dxfId="370" priority="361"/>
    <cfRule type="duplicateValues" dxfId="369" priority="362"/>
    <cfRule type="duplicateValues" dxfId="368" priority="363"/>
  </conditionalFormatting>
  <conditionalFormatting sqref="B124">
    <cfRule type="duplicateValues" dxfId="367" priority="360"/>
  </conditionalFormatting>
  <conditionalFormatting sqref="B124">
    <cfRule type="duplicateValues" dxfId="366" priority="359"/>
  </conditionalFormatting>
  <conditionalFormatting sqref="A290">
    <cfRule type="duplicateValues" dxfId="365" priority="358"/>
  </conditionalFormatting>
  <conditionalFormatting sqref="A290">
    <cfRule type="duplicateValues" dxfId="364" priority="355"/>
    <cfRule type="duplicateValues" dxfId="363" priority="356"/>
    <cfRule type="duplicateValues" dxfId="362" priority="357"/>
  </conditionalFormatting>
  <conditionalFormatting sqref="A291">
    <cfRule type="duplicateValues" dxfId="361" priority="354"/>
  </conditionalFormatting>
  <conditionalFormatting sqref="A291">
    <cfRule type="duplicateValues" dxfId="360" priority="351"/>
    <cfRule type="duplicateValues" dxfId="359" priority="352"/>
    <cfRule type="duplicateValues" dxfId="358" priority="353"/>
  </conditionalFormatting>
  <conditionalFormatting sqref="A292">
    <cfRule type="duplicateValues" dxfId="357" priority="350"/>
  </conditionalFormatting>
  <conditionalFormatting sqref="A292">
    <cfRule type="duplicateValues" dxfId="356" priority="347"/>
    <cfRule type="duplicateValues" dxfId="355" priority="348"/>
    <cfRule type="duplicateValues" dxfId="354" priority="349"/>
  </conditionalFormatting>
  <conditionalFormatting sqref="A293">
    <cfRule type="duplicateValues" dxfId="353" priority="346"/>
  </conditionalFormatting>
  <conditionalFormatting sqref="A293">
    <cfRule type="duplicateValues" dxfId="352" priority="343"/>
    <cfRule type="duplicateValues" dxfId="351" priority="344"/>
    <cfRule type="duplicateValues" dxfId="350" priority="345"/>
  </conditionalFormatting>
  <conditionalFormatting sqref="A295">
    <cfRule type="duplicateValues" dxfId="349" priority="342"/>
  </conditionalFormatting>
  <conditionalFormatting sqref="A295">
    <cfRule type="duplicateValues" dxfId="348" priority="339"/>
    <cfRule type="duplicateValues" dxfId="347" priority="340"/>
    <cfRule type="duplicateValues" dxfId="346" priority="341"/>
  </conditionalFormatting>
  <conditionalFormatting sqref="A296">
    <cfRule type="duplicateValues" dxfId="345" priority="338"/>
  </conditionalFormatting>
  <conditionalFormatting sqref="A296">
    <cfRule type="duplicateValues" dxfId="344" priority="335"/>
    <cfRule type="duplicateValues" dxfId="343" priority="336"/>
    <cfRule type="duplicateValues" dxfId="342" priority="337"/>
  </conditionalFormatting>
  <conditionalFormatting sqref="A297">
    <cfRule type="duplicateValues" dxfId="341" priority="334"/>
  </conditionalFormatting>
  <conditionalFormatting sqref="A297">
    <cfRule type="duplicateValues" dxfId="340" priority="331"/>
    <cfRule type="duplicateValues" dxfId="339" priority="332"/>
    <cfRule type="duplicateValues" dxfId="338" priority="333"/>
  </conditionalFormatting>
  <conditionalFormatting sqref="A294">
    <cfRule type="duplicateValues" dxfId="337" priority="330"/>
  </conditionalFormatting>
  <conditionalFormatting sqref="A294">
    <cfRule type="duplicateValues" dxfId="336" priority="327"/>
    <cfRule type="duplicateValues" dxfId="335" priority="328"/>
    <cfRule type="duplicateValues" dxfId="334" priority="329"/>
  </conditionalFormatting>
  <conditionalFormatting sqref="A298">
    <cfRule type="duplicateValues" dxfId="333" priority="326"/>
  </conditionalFormatting>
  <conditionalFormatting sqref="A298">
    <cfRule type="duplicateValues" dxfId="332" priority="323"/>
    <cfRule type="duplicateValues" dxfId="331" priority="324"/>
    <cfRule type="duplicateValues" dxfId="330" priority="325"/>
  </conditionalFormatting>
  <conditionalFormatting sqref="A299">
    <cfRule type="duplicateValues" dxfId="329" priority="322"/>
  </conditionalFormatting>
  <conditionalFormatting sqref="A299">
    <cfRule type="duplicateValues" dxfId="328" priority="319"/>
    <cfRule type="duplicateValues" dxfId="327" priority="320"/>
    <cfRule type="duplicateValues" dxfId="326" priority="321"/>
  </conditionalFormatting>
  <conditionalFormatting sqref="A300">
    <cfRule type="duplicateValues" dxfId="325" priority="318"/>
  </conditionalFormatting>
  <conditionalFormatting sqref="A300">
    <cfRule type="duplicateValues" dxfId="324" priority="315"/>
    <cfRule type="duplicateValues" dxfId="323" priority="316"/>
    <cfRule type="duplicateValues" dxfId="322" priority="317"/>
  </conditionalFormatting>
  <conditionalFormatting sqref="A335:A337 A669:A1048576 A5:A300">
    <cfRule type="duplicateValues" dxfId="321" priority="314"/>
  </conditionalFormatting>
  <conditionalFormatting sqref="A303">
    <cfRule type="duplicateValues" dxfId="320" priority="313"/>
  </conditionalFormatting>
  <conditionalFormatting sqref="A303">
    <cfRule type="duplicateValues" dxfId="319" priority="310"/>
    <cfRule type="duplicateValues" dxfId="318" priority="311"/>
    <cfRule type="duplicateValues" dxfId="317" priority="312"/>
  </conditionalFormatting>
  <conditionalFormatting sqref="A303">
    <cfRule type="duplicateValues" dxfId="316" priority="309"/>
  </conditionalFormatting>
  <conditionalFormatting sqref="A312">
    <cfRule type="duplicateValues" dxfId="315" priority="308"/>
  </conditionalFormatting>
  <conditionalFormatting sqref="A312">
    <cfRule type="duplicateValues" dxfId="314" priority="305"/>
    <cfRule type="duplicateValues" dxfId="313" priority="306"/>
    <cfRule type="duplicateValues" dxfId="312" priority="307"/>
  </conditionalFormatting>
  <conditionalFormatting sqref="A312">
    <cfRule type="duplicateValues" dxfId="311" priority="304"/>
  </conditionalFormatting>
  <conditionalFormatting sqref="A307">
    <cfRule type="duplicateValues" dxfId="310" priority="303"/>
  </conditionalFormatting>
  <conditionalFormatting sqref="A307">
    <cfRule type="duplicateValues" dxfId="309" priority="300"/>
    <cfRule type="duplicateValues" dxfId="308" priority="301"/>
    <cfRule type="duplicateValues" dxfId="307" priority="302"/>
  </conditionalFormatting>
  <conditionalFormatting sqref="A307">
    <cfRule type="duplicateValues" dxfId="306" priority="299"/>
  </conditionalFormatting>
  <conditionalFormatting sqref="A305">
    <cfRule type="duplicateValues" dxfId="305" priority="298"/>
  </conditionalFormatting>
  <conditionalFormatting sqref="A305">
    <cfRule type="duplicateValues" dxfId="304" priority="295"/>
    <cfRule type="duplicateValues" dxfId="303" priority="296"/>
    <cfRule type="duplicateValues" dxfId="302" priority="297"/>
  </conditionalFormatting>
  <conditionalFormatting sqref="A305">
    <cfRule type="duplicateValues" dxfId="301" priority="294"/>
  </conditionalFormatting>
  <conditionalFormatting sqref="A315">
    <cfRule type="duplicateValues" dxfId="300" priority="293"/>
  </conditionalFormatting>
  <conditionalFormatting sqref="A315">
    <cfRule type="duplicateValues" dxfId="299" priority="290"/>
    <cfRule type="duplicateValues" dxfId="298" priority="291"/>
    <cfRule type="duplicateValues" dxfId="297" priority="292"/>
  </conditionalFormatting>
  <conditionalFormatting sqref="A315">
    <cfRule type="duplicateValues" dxfId="296" priority="289"/>
  </conditionalFormatting>
  <conditionalFormatting sqref="B315">
    <cfRule type="duplicateValues" dxfId="295" priority="288"/>
  </conditionalFormatting>
  <conditionalFormatting sqref="A311">
    <cfRule type="duplicateValues" dxfId="294" priority="287"/>
  </conditionalFormatting>
  <conditionalFormatting sqref="A311">
    <cfRule type="duplicateValues" dxfId="293" priority="284"/>
    <cfRule type="duplicateValues" dxfId="292" priority="285"/>
    <cfRule type="duplicateValues" dxfId="291" priority="286"/>
  </conditionalFormatting>
  <conditionalFormatting sqref="A311">
    <cfRule type="duplicateValues" dxfId="290" priority="283"/>
  </conditionalFormatting>
  <conditionalFormatting sqref="B311">
    <cfRule type="duplicateValues" dxfId="289" priority="282"/>
  </conditionalFormatting>
  <conditionalFormatting sqref="A309">
    <cfRule type="duplicateValues" dxfId="288" priority="281"/>
  </conditionalFormatting>
  <conditionalFormatting sqref="A309">
    <cfRule type="duplicateValues" dxfId="287" priority="278"/>
    <cfRule type="duplicateValues" dxfId="286" priority="279"/>
    <cfRule type="duplicateValues" dxfId="285" priority="280"/>
  </conditionalFormatting>
  <conditionalFormatting sqref="A309">
    <cfRule type="duplicateValues" dxfId="284" priority="277"/>
  </conditionalFormatting>
  <conditionalFormatting sqref="B309">
    <cfRule type="duplicateValues" dxfId="283" priority="276"/>
  </conditionalFormatting>
  <conditionalFormatting sqref="A301">
    <cfRule type="duplicateValues" dxfId="282" priority="275"/>
  </conditionalFormatting>
  <conditionalFormatting sqref="A301">
    <cfRule type="duplicateValues" dxfId="281" priority="272"/>
    <cfRule type="duplicateValues" dxfId="280" priority="273"/>
    <cfRule type="duplicateValues" dxfId="279" priority="274"/>
  </conditionalFormatting>
  <conditionalFormatting sqref="A301">
    <cfRule type="duplicateValues" dxfId="278" priority="271"/>
  </conditionalFormatting>
  <conditionalFormatting sqref="B301">
    <cfRule type="duplicateValues" dxfId="277" priority="270"/>
  </conditionalFormatting>
  <conditionalFormatting sqref="A304">
    <cfRule type="duplicateValues" dxfId="276" priority="269"/>
  </conditionalFormatting>
  <conditionalFormatting sqref="A304">
    <cfRule type="duplicateValues" dxfId="275" priority="266"/>
    <cfRule type="duplicateValues" dxfId="274" priority="267"/>
    <cfRule type="duplicateValues" dxfId="273" priority="268"/>
  </conditionalFormatting>
  <conditionalFormatting sqref="A304">
    <cfRule type="duplicateValues" dxfId="272" priority="265"/>
  </conditionalFormatting>
  <conditionalFormatting sqref="B304">
    <cfRule type="duplicateValues" dxfId="271" priority="264"/>
  </conditionalFormatting>
  <conditionalFormatting sqref="A306">
    <cfRule type="duplicateValues" dxfId="270" priority="263"/>
  </conditionalFormatting>
  <conditionalFormatting sqref="A306">
    <cfRule type="duplicateValues" dxfId="269" priority="260"/>
    <cfRule type="duplicateValues" dxfId="268" priority="261"/>
    <cfRule type="duplicateValues" dxfId="267" priority="262"/>
  </conditionalFormatting>
  <conditionalFormatting sqref="A306">
    <cfRule type="duplicateValues" dxfId="266" priority="259"/>
  </conditionalFormatting>
  <conditionalFormatting sqref="B306">
    <cfRule type="duplicateValues" dxfId="265" priority="258"/>
  </conditionalFormatting>
  <conditionalFormatting sqref="A316">
    <cfRule type="duplicateValues" dxfId="264" priority="257"/>
  </conditionalFormatting>
  <conditionalFormatting sqref="A316">
    <cfRule type="duplicateValues" dxfId="263" priority="254"/>
    <cfRule type="duplicateValues" dxfId="262" priority="255"/>
    <cfRule type="duplicateValues" dxfId="261" priority="256"/>
  </conditionalFormatting>
  <conditionalFormatting sqref="A316">
    <cfRule type="duplicateValues" dxfId="260" priority="253"/>
  </conditionalFormatting>
  <conditionalFormatting sqref="B316">
    <cfRule type="duplicateValues" dxfId="259" priority="252"/>
  </conditionalFormatting>
  <conditionalFormatting sqref="A302">
    <cfRule type="duplicateValues" dxfId="258" priority="251"/>
  </conditionalFormatting>
  <conditionalFormatting sqref="A302">
    <cfRule type="duplicateValues" dxfId="257" priority="248"/>
    <cfRule type="duplicateValues" dxfId="256" priority="249"/>
    <cfRule type="duplicateValues" dxfId="255" priority="250"/>
  </conditionalFormatting>
  <conditionalFormatting sqref="A302">
    <cfRule type="duplicateValues" dxfId="254" priority="247"/>
  </conditionalFormatting>
  <conditionalFormatting sqref="B302">
    <cfRule type="duplicateValues" dxfId="253" priority="246"/>
  </conditionalFormatting>
  <conditionalFormatting sqref="A310">
    <cfRule type="duplicateValues" dxfId="252" priority="245"/>
  </conditionalFormatting>
  <conditionalFormatting sqref="A310">
    <cfRule type="duplicateValues" dxfId="251" priority="242"/>
    <cfRule type="duplicateValues" dxfId="250" priority="243"/>
    <cfRule type="duplicateValues" dxfId="249" priority="244"/>
  </conditionalFormatting>
  <conditionalFormatting sqref="A310">
    <cfRule type="duplicateValues" dxfId="248" priority="241"/>
  </conditionalFormatting>
  <conditionalFormatting sqref="B310">
    <cfRule type="duplicateValues" dxfId="247" priority="240"/>
  </conditionalFormatting>
  <conditionalFormatting sqref="A314">
    <cfRule type="duplicateValues" dxfId="246" priority="239"/>
  </conditionalFormatting>
  <conditionalFormatting sqref="A314">
    <cfRule type="duplicateValues" dxfId="245" priority="236"/>
    <cfRule type="duplicateValues" dxfId="244" priority="237"/>
    <cfRule type="duplicateValues" dxfId="243" priority="238"/>
  </conditionalFormatting>
  <conditionalFormatting sqref="A314">
    <cfRule type="duplicateValues" dxfId="242" priority="235"/>
  </conditionalFormatting>
  <conditionalFormatting sqref="B314">
    <cfRule type="duplicateValues" dxfId="241" priority="234"/>
  </conditionalFormatting>
  <conditionalFormatting sqref="B213:B215">
    <cfRule type="duplicateValues" dxfId="240" priority="233"/>
  </conditionalFormatting>
  <conditionalFormatting sqref="A285:A289">
    <cfRule type="duplicateValues" dxfId="239" priority="232"/>
  </conditionalFormatting>
  <conditionalFormatting sqref="A285:A289">
    <cfRule type="duplicateValues" dxfId="238" priority="229"/>
    <cfRule type="duplicateValues" dxfId="237" priority="230"/>
    <cfRule type="duplicateValues" dxfId="236" priority="231"/>
  </conditionalFormatting>
  <conditionalFormatting sqref="A308">
    <cfRule type="duplicateValues" dxfId="235" priority="228"/>
  </conditionalFormatting>
  <conditionalFormatting sqref="A308">
    <cfRule type="duplicateValues" dxfId="234" priority="225"/>
    <cfRule type="duplicateValues" dxfId="233" priority="226"/>
    <cfRule type="duplicateValues" dxfId="232" priority="227"/>
  </conditionalFormatting>
  <conditionalFormatting sqref="A308">
    <cfRule type="duplicateValues" dxfId="231" priority="224"/>
  </conditionalFormatting>
  <conditionalFormatting sqref="B308">
    <cfRule type="duplicateValues" dxfId="230" priority="223"/>
  </conditionalFormatting>
  <conditionalFormatting sqref="A317:A319">
    <cfRule type="duplicateValues" dxfId="229" priority="222"/>
  </conditionalFormatting>
  <conditionalFormatting sqref="A317:A319">
    <cfRule type="duplicateValues" dxfId="228" priority="219"/>
    <cfRule type="duplicateValues" dxfId="227" priority="220"/>
    <cfRule type="duplicateValues" dxfId="226" priority="221"/>
  </conditionalFormatting>
  <conditionalFormatting sqref="A317:A319">
    <cfRule type="duplicateValues" dxfId="225" priority="218"/>
  </conditionalFormatting>
  <conditionalFormatting sqref="B335:B1048576 B317:B319 B5:B300 B305 B307 B312 B303">
    <cfRule type="duplicateValues" dxfId="224" priority="217"/>
  </conditionalFormatting>
  <conditionalFormatting sqref="A313">
    <cfRule type="duplicateValues" dxfId="223" priority="216"/>
  </conditionalFormatting>
  <conditionalFormatting sqref="A313">
    <cfRule type="duplicateValues" dxfId="222" priority="213"/>
    <cfRule type="duplicateValues" dxfId="221" priority="214"/>
    <cfRule type="duplicateValues" dxfId="220" priority="215"/>
  </conditionalFormatting>
  <conditionalFormatting sqref="A313">
    <cfRule type="duplicateValues" dxfId="219" priority="212"/>
  </conditionalFormatting>
  <conditionalFormatting sqref="B313">
    <cfRule type="duplicateValues" dxfId="218" priority="211"/>
  </conditionalFormatting>
  <conditionalFormatting sqref="A335:A337 A5:A319 A669:A1048576">
    <cfRule type="duplicateValues" dxfId="217" priority="210"/>
  </conditionalFormatting>
  <conditionalFormatting sqref="A320">
    <cfRule type="duplicateValues" dxfId="216" priority="209"/>
  </conditionalFormatting>
  <conditionalFormatting sqref="A320">
    <cfRule type="duplicateValues" dxfId="215" priority="206"/>
    <cfRule type="duplicateValues" dxfId="214" priority="207"/>
    <cfRule type="duplicateValues" dxfId="213" priority="208"/>
  </conditionalFormatting>
  <conditionalFormatting sqref="A320">
    <cfRule type="duplicateValues" dxfId="212" priority="205"/>
  </conditionalFormatting>
  <conditionalFormatting sqref="B320">
    <cfRule type="duplicateValues" dxfId="211" priority="204"/>
  </conditionalFormatting>
  <conditionalFormatting sqref="A320">
    <cfRule type="duplicateValues" dxfId="210" priority="203"/>
  </conditionalFormatting>
  <conditionalFormatting sqref="A321:A322">
    <cfRule type="duplicateValues" dxfId="209" priority="202"/>
  </conditionalFormatting>
  <conditionalFormatting sqref="A321:A322">
    <cfRule type="duplicateValues" dxfId="208" priority="199"/>
    <cfRule type="duplicateValues" dxfId="207" priority="200"/>
    <cfRule type="duplicateValues" dxfId="206" priority="201"/>
  </conditionalFormatting>
  <conditionalFormatting sqref="A321:A322">
    <cfRule type="duplicateValues" dxfId="205" priority="198"/>
  </conditionalFormatting>
  <conditionalFormatting sqref="B321:B322">
    <cfRule type="duplicateValues" dxfId="204" priority="197"/>
  </conditionalFormatting>
  <conditionalFormatting sqref="A321:A322">
    <cfRule type="duplicateValues" dxfId="203" priority="196"/>
  </conditionalFormatting>
  <conditionalFormatting sqref="A323">
    <cfRule type="duplicateValues" dxfId="202" priority="195"/>
  </conditionalFormatting>
  <conditionalFormatting sqref="A323">
    <cfRule type="duplicateValues" dxfId="201" priority="192"/>
    <cfRule type="duplicateValues" dxfId="200" priority="193"/>
    <cfRule type="duplicateValues" dxfId="199" priority="194"/>
  </conditionalFormatting>
  <conditionalFormatting sqref="A323">
    <cfRule type="duplicateValues" dxfId="198" priority="191"/>
  </conditionalFormatting>
  <conditionalFormatting sqref="B323">
    <cfRule type="duplicateValues" dxfId="197" priority="190"/>
  </conditionalFormatting>
  <conditionalFormatting sqref="A323">
    <cfRule type="duplicateValues" dxfId="196" priority="189"/>
  </conditionalFormatting>
  <conditionalFormatting sqref="A376">
    <cfRule type="duplicateValues" dxfId="195" priority="188"/>
  </conditionalFormatting>
  <conditionalFormatting sqref="A376">
    <cfRule type="duplicateValues" dxfId="194" priority="187"/>
  </conditionalFormatting>
  <conditionalFormatting sqref="A376">
    <cfRule type="duplicateValues" dxfId="193" priority="186"/>
  </conditionalFormatting>
  <conditionalFormatting sqref="A376">
    <cfRule type="duplicateValues" dxfId="192" priority="185"/>
  </conditionalFormatting>
  <conditionalFormatting sqref="A376">
    <cfRule type="duplicateValues" dxfId="191" priority="184"/>
  </conditionalFormatting>
  <conditionalFormatting sqref="A376">
    <cfRule type="duplicateValues" dxfId="190" priority="183"/>
  </conditionalFormatting>
  <conditionalFormatting sqref="A376">
    <cfRule type="duplicateValues" dxfId="189" priority="182"/>
  </conditionalFormatting>
  <conditionalFormatting sqref="A376">
    <cfRule type="duplicateValues" dxfId="188" priority="181"/>
  </conditionalFormatting>
  <conditionalFormatting sqref="A338:A353 A508 A510:A511 A389:A506 A355:A387">
    <cfRule type="duplicateValues" dxfId="187" priority="180"/>
  </conditionalFormatting>
  <conditionalFormatting sqref="A338:A353 A377:A387 A389:A463 A355:A375">
    <cfRule type="duplicateValues" dxfId="186" priority="178"/>
    <cfRule type="duplicateValues" dxfId="185" priority="179"/>
  </conditionalFormatting>
  <conditionalFormatting sqref="A338:A353 A377:A387 A389:A463 A355:A375">
    <cfRule type="duplicateValues" dxfId="184" priority="177"/>
  </conditionalFormatting>
  <conditionalFormatting sqref="A338:A353 A377:A387 A389:A487 A355:A375">
    <cfRule type="duplicateValues" dxfId="183" priority="176"/>
  </conditionalFormatting>
  <conditionalFormatting sqref="A377:A387 A338:A353 A389:A487 A355:A375">
    <cfRule type="duplicateValues" dxfId="182" priority="175"/>
  </conditionalFormatting>
  <conditionalFormatting sqref="A338:A353 A389:A487 A355:A387">
    <cfRule type="duplicateValues" dxfId="181" priority="174"/>
  </conditionalFormatting>
  <conditionalFormatting sqref="A338:A353 A389:A487 A355:A387">
    <cfRule type="duplicateValues" dxfId="180" priority="172"/>
    <cfRule type="duplicateValues" dxfId="179" priority="173"/>
  </conditionalFormatting>
  <conditionalFormatting sqref="A338:A353 A508 A510:A511 A389:A506 A355:A387">
    <cfRule type="duplicateValues" dxfId="178" priority="170"/>
    <cfRule type="duplicateValues" dxfId="177" priority="171"/>
  </conditionalFormatting>
  <conditionalFormatting sqref="A338:A353">
    <cfRule type="duplicateValues" dxfId="176" priority="169"/>
  </conditionalFormatting>
  <conditionalFormatting sqref="A508 A338:A353 A510:A511 A389:A506 A355:A387">
    <cfRule type="duplicateValues" dxfId="175" priority="168"/>
  </conditionalFormatting>
  <conditionalFormatting sqref="A507">
    <cfRule type="duplicateValues" dxfId="174" priority="167"/>
  </conditionalFormatting>
  <conditionalFormatting sqref="A507">
    <cfRule type="duplicateValues" dxfId="173" priority="165"/>
    <cfRule type="duplicateValues" dxfId="172" priority="166"/>
  </conditionalFormatting>
  <conditionalFormatting sqref="A507">
    <cfRule type="duplicateValues" dxfId="171" priority="164"/>
  </conditionalFormatting>
  <conditionalFormatting sqref="A507">
    <cfRule type="duplicateValues" dxfId="170" priority="163"/>
  </conditionalFormatting>
  <conditionalFormatting sqref="A507">
    <cfRule type="duplicateValues" dxfId="169" priority="162"/>
  </conditionalFormatting>
  <conditionalFormatting sqref="A507">
    <cfRule type="duplicateValues" dxfId="168" priority="160"/>
    <cfRule type="duplicateValues" dxfId="167" priority="161"/>
  </conditionalFormatting>
  <conditionalFormatting sqref="A509">
    <cfRule type="duplicateValues" dxfId="166" priority="159"/>
  </conditionalFormatting>
  <conditionalFormatting sqref="A509">
    <cfRule type="duplicateValues" dxfId="165" priority="157"/>
    <cfRule type="duplicateValues" dxfId="164" priority="158"/>
  </conditionalFormatting>
  <conditionalFormatting sqref="A509">
    <cfRule type="duplicateValues" dxfId="163" priority="156"/>
  </conditionalFormatting>
  <conditionalFormatting sqref="A509">
    <cfRule type="duplicateValues" dxfId="162" priority="155"/>
  </conditionalFormatting>
  <conditionalFormatting sqref="A509">
    <cfRule type="duplicateValues" dxfId="161" priority="154"/>
  </conditionalFormatting>
  <conditionalFormatting sqref="A509">
    <cfRule type="duplicateValues" dxfId="160" priority="152"/>
    <cfRule type="duplicateValues" dxfId="159" priority="153"/>
  </conditionalFormatting>
  <conditionalFormatting sqref="A338:A353 A389:A511 A355:A387">
    <cfRule type="duplicateValues" dxfId="158" priority="151"/>
  </conditionalFormatting>
  <conditionalFormatting sqref="A338:A353">
    <cfRule type="duplicateValues" dxfId="157" priority="150"/>
  </conditionalFormatting>
  <conditionalFormatting sqref="A478:A487">
    <cfRule type="duplicateValues" dxfId="156" priority="149"/>
  </conditionalFormatting>
  <conditionalFormatting sqref="A338:A353 A389:A524 A355:A387">
    <cfRule type="duplicateValues" dxfId="155" priority="148"/>
  </conditionalFormatting>
  <conditionalFormatting sqref="A388">
    <cfRule type="duplicateValues" dxfId="154" priority="147"/>
  </conditionalFormatting>
  <conditionalFormatting sqref="A388">
    <cfRule type="duplicateValues" dxfId="153" priority="145"/>
    <cfRule type="duplicateValues" dxfId="152" priority="146"/>
  </conditionalFormatting>
  <conditionalFormatting sqref="A388">
    <cfRule type="duplicateValues" dxfId="151" priority="144"/>
  </conditionalFormatting>
  <conditionalFormatting sqref="A388">
    <cfRule type="duplicateValues" dxfId="150" priority="143"/>
  </conditionalFormatting>
  <conditionalFormatting sqref="A388">
    <cfRule type="duplicateValues" dxfId="149" priority="142"/>
  </conditionalFormatting>
  <conditionalFormatting sqref="A388">
    <cfRule type="duplicateValues" dxfId="148" priority="141"/>
  </conditionalFormatting>
  <conditionalFormatting sqref="A388">
    <cfRule type="duplicateValues" dxfId="147" priority="140"/>
  </conditionalFormatting>
  <conditionalFormatting sqref="A388">
    <cfRule type="duplicateValues" dxfId="146" priority="139"/>
  </conditionalFormatting>
  <conditionalFormatting sqref="A388">
    <cfRule type="duplicateValues" dxfId="145" priority="137"/>
    <cfRule type="duplicateValues" dxfId="144" priority="138"/>
  </conditionalFormatting>
  <conditionalFormatting sqref="A388">
    <cfRule type="duplicateValues" dxfId="143" priority="135"/>
    <cfRule type="duplicateValues" dxfId="142" priority="136"/>
  </conditionalFormatting>
  <conditionalFormatting sqref="A388">
    <cfRule type="duplicateValues" dxfId="141" priority="134"/>
  </conditionalFormatting>
  <conditionalFormatting sqref="A388">
    <cfRule type="duplicateValues" dxfId="140" priority="133"/>
  </conditionalFormatting>
  <conditionalFormatting sqref="A388">
    <cfRule type="duplicateValues" dxfId="139" priority="132"/>
  </conditionalFormatting>
  <conditionalFormatting sqref="A388">
    <cfRule type="duplicateValues" dxfId="138" priority="131"/>
  </conditionalFormatting>
  <conditionalFormatting sqref="A388">
    <cfRule type="duplicateValues" dxfId="137" priority="130"/>
  </conditionalFormatting>
  <conditionalFormatting sqref="A388">
    <cfRule type="duplicateValues" dxfId="136" priority="129"/>
  </conditionalFormatting>
  <conditionalFormatting sqref="A388">
    <cfRule type="duplicateValues" dxfId="135" priority="128"/>
  </conditionalFormatting>
  <conditionalFormatting sqref="A388">
    <cfRule type="duplicateValues" dxfId="134" priority="127"/>
  </conditionalFormatting>
  <conditionalFormatting sqref="A525">
    <cfRule type="duplicateValues" dxfId="133" priority="126"/>
  </conditionalFormatting>
  <conditionalFormatting sqref="A525">
    <cfRule type="duplicateValues" dxfId="132" priority="125"/>
  </conditionalFormatting>
  <conditionalFormatting sqref="A525">
    <cfRule type="duplicateValues" dxfId="131" priority="124"/>
  </conditionalFormatting>
  <conditionalFormatting sqref="A525">
    <cfRule type="duplicateValues" dxfId="130" priority="122"/>
    <cfRule type="duplicateValues" dxfId="129" priority="123"/>
  </conditionalFormatting>
  <conditionalFormatting sqref="A338:A353 A355:A621">
    <cfRule type="duplicateValues" dxfId="128" priority="121"/>
  </conditionalFormatting>
  <conditionalFormatting sqref="A354">
    <cfRule type="duplicateValues" dxfId="127" priority="120"/>
  </conditionalFormatting>
  <conditionalFormatting sqref="A354">
    <cfRule type="duplicateValues" dxfId="126" priority="118"/>
    <cfRule type="duplicateValues" dxfId="125" priority="119"/>
  </conditionalFormatting>
  <conditionalFormatting sqref="A354">
    <cfRule type="duplicateValues" dxfId="124" priority="117"/>
  </conditionalFormatting>
  <conditionalFormatting sqref="A354">
    <cfRule type="duplicateValues" dxfId="123" priority="116"/>
  </conditionalFormatting>
  <conditionalFormatting sqref="A354">
    <cfRule type="duplicateValues" dxfId="122" priority="115"/>
  </conditionalFormatting>
  <conditionalFormatting sqref="A354">
    <cfRule type="duplicateValues" dxfId="121" priority="114"/>
  </conditionalFormatting>
  <conditionalFormatting sqref="A354">
    <cfRule type="duplicateValues" dxfId="120" priority="113"/>
  </conditionalFormatting>
  <conditionalFormatting sqref="A354">
    <cfRule type="duplicateValues" dxfId="119" priority="112"/>
  </conditionalFormatting>
  <conditionalFormatting sqref="A354">
    <cfRule type="duplicateValues" dxfId="118" priority="110"/>
    <cfRule type="duplicateValues" dxfId="117" priority="111"/>
  </conditionalFormatting>
  <conditionalFormatting sqref="A354">
    <cfRule type="duplicateValues" dxfId="116" priority="108"/>
    <cfRule type="duplicateValues" dxfId="115" priority="109"/>
  </conditionalFormatting>
  <conditionalFormatting sqref="A354">
    <cfRule type="duplicateValues" dxfId="114" priority="107"/>
  </conditionalFormatting>
  <conditionalFormatting sqref="A354">
    <cfRule type="duplicateValues" dxfId="113" priority="106"/>
  </conditionalFormatting>
  <conditionalFormatting sqref="A354">
    <cfRule type="duplicateValues" dxfId="112" priority="105"/>
  </conditionalFormatting>
  <conditionalFormatting sqref="A354">
    <cfRule type="duplicateValues" dxfId="111" priority="104"/>
  </conditionalFormatting>
  <conditionalFormatting sqref="A354">
    <cfRule type="duplicateValues" dxfId="110" priority="103"/>
  </conditionalFormatting>
  <conditionalFormatting sqref="A354">
    <cfRule type="duplicateValues" dxfId="109" priority="102"/>
  </conditionalFormatting>
  <conditionalFormatting sqref="A354">
    <cfRule type="duplicateValues" dxfId="108" priority="101"/>
  </conditionalFormatting>
  <conditionalFormatting sqref="A354">
    <cfRule type="duplicateValues" dxfId="107" priority="100"/>
  </conditionalFormatting>
  <conditionalFormatting sqref="A354">
    <cfRule type="duplicateValues" dxfId="106" priority="99"/>
  </conditionalFormatting>
  <conditionalFormatting sqref="A354">
    <cfRule type="duplicateValues" dxfId="105" priority="98"/>
  </conditionalFormatting>
  <conditionalFormatting sqref="A354">
    <cfRule type="duplicateValues" dxfId="104" priority="97"/>
  </conditionalFormatting>
  <conditionalFormatting sqref="A354">
    <cfRule type="duplicateValues" dxfId="103" priority="96"/>
  </conditionalFormatting>
  <conditionalFormatting sqref="A354">
    <cfRule type="duplicateValues" dxfId="102" priority="95"/>
  </conditionalFormatting>
  <conditionalFormatting sqref="A338:A621">
    <cfRule type="duplicateValues" dxfId="101" priority="94"/>
  </conditionalFormatting>
  <conditionalFormatting sqref="A338:A621">
    <cfRule type="duplicateValues" dxfId="100" priority="93"/>
  </conditionalFormatting>
  <conditionalFormatting sqref="A338:A621">
    <cfRule type="duplicateValues" dxfId="99" priority="92"/>
  </conditionalFormatting>
  <conditionalFormatting sqref="A338:A621">
    <cfRule type="duplicateValues" dxfId="98" priority="91"/>
  </conditionalFormatting>
  <conditionalFormatting sqref="A510:A511 A508 A488:A506">
    <cfRule type="duplicateValues" dxfId="97" priority="90"/>
  </conditionalFormatting>
  <conditionalFormatting sqref="A510:A511 A508 A488:A506">
    <cfRule type="duplicateValues" dxfId="96" priority="88"/>
    <cfRule type="duplicateValues" dxfId="95" priority="89"/>
  </conditionalFormatting>
  <conditionalFormatting sqref="A622">
    <cfRule type="duplicateValues" dxfId="94" priority="87"/>
  </conditionalFormatting>
  <conditionalFormatting sqref="A622">
    <cfRule type="duplicateValues" dxfId="93" priority="86"/>
  </conditionalFormatting>
  <conditionalFormatting sqref="A622">
    <cfRule type="duplicateValues" dxfId="92" priority="85"/>
  </conditionalFormatting>
  <conditionalFormatting sqref="A622">
    <cfRule type="duplicateValues" dxfId="91" priority="84"/>
  </conditionalFormatting>
  <conditionalFormatting sqref="A622">
    <cfRule type="duplicateValues" dxfId="90" priority="83"/>
  </conditionalFormatting>
  <conditionalFormatting sqref="A622">
    <cfRule type="duplicateValues" dxfId="89" priority="82"/>
  </conditionalFormatting>
  <conditionalFormatting sqref="A622">
    <cfRule type="duplicateValues" dxfId="88" priority="81"/>
  </conditionalFormatting>
  <conditionalFormatting sqref="A622">
    <cfRule type="duplicateValues" dxfId="87" priority="80"/>
  </conditionalFormatting>
  <conditionalFormatting sqref="A622">
    <cfRule type="duplicateValues" dxfId="86" priority="78"/>
    <cfRule type="duplicateValues" dxfId="85" priority="79"/>
  </conditionalFormatting>
  <conditionalFormatting sqref="A338:A622">
    <cfRule type="duplicateValues" dxfId="84" priority="77"/>
  </conditionalFormatting>
  <conditionalFormatting sqref="A338:A622">
    <cfRule type="duplicateValues" dxfId="83" priority="76"/>
  </conditionalFormatting>
  <conditionalFormatting sqref="A338:A630">
    <cfRule type="duplicateValues" dxfId="82" priority="75"/>
  </conditionalFormatting>
  <conditionalFormatting sqref="A338:A630">
    <cfRule type="duplicateValues" dxfId="81" priority="74"/>
  </conditionalFormatting>
  <conditionalFormatting sqref="A624:A630">
    <cfRule type="duplicateValues" dxfId="80" priority="73"/>
  </conditionalFormatting>
  <conditionalFormatting sqref="A624:A630">
    <cfRule type="duplicateValues" dxfId="79" priority="71"/>
    <cfRule type="duplicateValues" dxfId="78" priority="72"/>
  </conditionalFormatting>
  <conditionalFormatting sqref="A631">
    <cfRule type="duplicateValues" dxfId="77" priority="70"/>
  </conditionalFormatting>
  <conditionalFormatting sqref="A631">
    <cfRule type="duplicateValues" dxfId="76" priority="69"/>
  </conditionalFormatting>
  <conditionalFormatting sqref="A631">
    <cfRule type="duplicateValues" dxfId="75" priority="68"/>
  </conditionalFormatting>
  <conditionalFormatting sqref="A631">
    <cfRule type="duplicateValues" dxfId="74" priority="66"/>
    <cfRule type="duplicateValues" dxfId="73" priority="67"/>
  </conditionalFormatting>
  <conditionalFormatting sqref="A632">
    <cfRule type="duplicateValues" dxfId="72" priority="65"/>
  </conditionalFormatting>
  <conditionalFormatting sqref="A632">
    <cfRule type="duplicateValues" dxfId="71" priority="64"/>
  </conditionalFormatting>
  <conditionalFormatting sqref="A632">
    <cfRule type="duplicateValues" dxfId="70" priority="63"/>
  </conditionalFormatting>
  <conditionalFormatting sqref="A632">
    <cfRule type="duplicateValues" dxfId="69" priority="61"/>
    <cfRule type="duplicateValues" dxfId="68" priority="62"/>
  </conditionalFormatting>
  <conditionalFormatting sqref="A633">
    <cfRule type="duplicateValues" dxfId="67" priority="60"/>
  </conditionalFormatting>
  <conditionalFormatting sqref="A633">
    <cfRule type="duplicateValues" dxfId="66" priority="59"/>
  </conditionalFormatting>
  <conditionalFormatting sqref="A633">
    <cfRule type="duplicateValues" dxfId="65" priority="58"/>
  </conditionalFormatting>
  <conditionalFormatting sqref="A633">
    <cfRule type="duplicateValues" dxfId="64" priority="56"/>
    <cfRule type="duplicateValues" dxfId="63" priority="57"/>
  </conditionalFormatting>
  <conditionalFormatting sqref="A634">
    <cfRule type="duplicateValues" dxfId="62" priority="55"/>
  </conditionalFormatting>
  <conditionalFormatting sqref="A634">
    <cfRule type="duplicateValues" dxfId="61" priority="54"/>
  </conditionalFormatting>
  <conditionalFormatting sqref="A634">
    <cfRule type="duplicateValues" dxfId="60" priority="53"/>
  </conditionalFormatting>
  <conditionalFormatting sqref="A634">
    <cfRule type="duplicateValues" dxfId="59" priority="51"/>
    <cfRule type="duplicateValues" dxfId="58" priority="52"/>
  </conditionalFormatting>
  <conditionalFormatting sqref="A635">
    <cfRule type="duplicateValues" dxfId="57" priority="50"/>
  </conditionalFormatting>
  <conditionalFormatting sqref="A635">
    <cfRule type="duplicateValues" dxfId="56" priority="49"/>
  </conditionalFormatting>
  <conditionalFormatting sqref="A635">
    <cfRule type="duplicateValues" dxfId="55" priority="48"/>
  </conditionalFormatting>
  <conditionalFormatting sqref="A635">
    <cfRule type="duplicateValues" dxfId="54" priority="46"/>
    <cfRule type="duplicateValues" dxfId="53" priority="47"/>
  </conditionalFormatting>
  <conditionalFormatting sqref="A636">
    <cfRule type="duplicateValues" dxfId="52" priority="45"/>
  </conditionalFormatting>
  <conditionalFormatting sqref="A636">
    <cfRule type="duplicateValues" dxfId="51" priority="44"/>
  </conditionalFormatting>
  <conditionalFormatting sqref="A636">
    <cfRule type="duplicateValues" dxfId="50" priority="43"/>
  </conditionalFormatting>
  <conditionalFormatting sqref="A636">
    <cfRule type="duplicateValues" dxfId="49" priority="41"/>
    <cfRule type="duplicateValues" dxfId="48" priority="42"/>
  </conditionalFormatting>
  <conditionalFormatting sqref="A637">
    <cfRule type="duplicateValues" dxfId="47" priority="40"/>
  </conditionalFormatting>
  <conditionalFormatting sqref="A637">
    <cfRule type="duplicateValues" dxfId="46" priority="39"/>
  </conditionalFormatting>
  <conditionalFormatting sqref="A637">
    <cfRule type="duplicateValues" dxfId="45" priority="38"/>
  </conditionalFormatting>
  <conditionalFormatting sqref="A637">
    <cfRule type="duplicateValues" dxfId="44" priority="36"/>
    <cfRule type="duplicateValues" dxfId="43" priority="37"/>
  </conditionalFormatting>
  <conditionalFormatting sqref="A638">
    <cfRule type="duplicateValues" dxfId="42" priority="35"/>
  </conditionalFormatting>
  <conditionalFormatting sqref="A638">
    <cfRule type="duplicateValues" dxfId="41" priority="34"/>
  </conditionalFormatting>
  <conditionalFormatting sqref="A638">
    <cfRule type="duplicateValues" dxfId="40" priority="33"/>
  </conditionalFormatting>
  <conditionalFormatting sqref="A638">
    <cfRule type="duplicateValues" dxfId="39" priority="31"/>
    <cfRule type="duplicateValues" dxfId="38" priority="32"/>
  </conditionalFormatting>
  <conditionalFormatting sqref="A639">
    <cfRule type="duplicateValues" dxfId="37" priority="30"/>
  </conditionalFormatting>
  <conditionalFormatting sqref="A639">
    <cfRule type="duplicateValues" dxfId="36" priority="29"/>
  </conditionalFormatting>
  <conditionalFormatting sqref="A639">
    <cfRule type="duplicateValues" dxfId="35" priority="28"/>
  </conditionalFormatting>
  <conditionalFormatting sqref="A639">
    <cfRule type="duplicateValues" dxfId="34" priority="26"/>
    <cfRule type="duplicateValues" dxfId="33" priority="27"/>
  </conditionalFormatting>
  <conditionalFormatting sqref="A640">
    <cfRule type="duplicateValues" dxfId="32" priority="25"/>
  </conditionalFormatting>
  <conditionalFormatting sqref="A640">
    <cfRule type="duplicateValues" dxfId="31" priority="24"/>
  </conditionalFormatting>
  <conditionalFormatting sqref="A640">
    <cfRule type="duplicateValues" dxfId="30" priority="23"/>
  </conditionalFormatting>
  <conditionalFormatting sqref="A640">
    <cfRule type="duplicateValues" dxfId="29" priority="21"/>
    <cfRule type="duplicateValues" dxfId="28" priority="22"/>
  </conditionalFormatting>
  <conditionalFormatting sqref="A641">
    <cfRule type="duplicateValues" dxfId="27" priority="20"/>
  </conditionalFormatting>
  <conditionalFormatting sqref="A641">
    <cfRule type="duplicateValues" dxfId="26" priority="19"/>
  </conditionalFormatting>
  <conditionalFormatting sqref="A641">
    <cfRule type="duplicateValues" dxfId="25" priority="18"/>
  </conditionalFormatting>
  <conditionalFormatting sqref="A641">
    <cfRule type="duplicateValues" dxfId="24" priority="16"/>
    <cfRule type="duplicateValues" dxfId="23" priority="17"/>
  </conditionalFormatting>
  <conditionalFormatting sqref="A338:A641">
    <cfRule type="duplicateValues" dxfId="22" priority="15"/>
  </conditionalFormatting>
  <conditionalFormatting sqref="A338:A641">
    <cfRule type="duplicateValues" dxfId="21" priority="14"/>
  </conditionalFormatting>
  <conditionalFormatting sqref="A623">
    <cfRule type="duplicateValues" dxfId="20" priority="13"/>
  </conditionalFormatting>
  <conditionalFormatting sqref="A623">
    <cfRule type="duplicateValues" dxfId="19" priority="11"/>
    <cfRule type="duplicateValues" dxfId="18" priority="12"/>
  </conditionalFormatting>
  <conditionalFormatting sqref="A525:A621">
    <cfRule type="duplicateValues" dxfId="17" priority="10"/>
  </conditionalFormatting>
  <conditionalFormatting sqref="A526:A621">
    <cfRule type="duplicateValues" dxfId="16" priority="9"/>
  </conditionalFormatting>
  <conditionalFormatting sqref="A526:A621">
    <cfRule type="duplicateValues" dxfId="15" priority="7"/>
    <cfRule type="duplicateValues" dxfId="14" priority="8"/>
  </conditionalFormatting>
  <conditionalFormatting sqref="A512:A524">
    <cfRule type="duplicateValues" dxfId="13" priority="6"/>
  </conditionalFormatting>
  <conditionalFormatting sqref="A512:A524">
    <cfRule type="duplicateValues" dxfId="12" priority="4"/>
    <cfRule type="duplicateValues" dxfId="11" priority="5"/>
  </conditionalFormatting>
  <conditionalFormatting sqref="A1:A1048576">
    <cfRule type="duplicateValues" dxfId="10" priority="3"/>
  </conditionalFormatting>
  <conditionalFormatting sqref="A63">
    <cfRule type="expression" dxfId="9" priority="417">
      <formula>COUNTIF(A63:A268,A63)&gt;1</formula>
    </cfRule>
  </conditionalFormatting>
  <conditionalFormatting sqref="A111">
    <cfRule type="expression" dxfId="8" priority="418">
      <formula>COUNTIF(A111:A300,A111)&gt;1</formula>
    </cfRule>
  </conditionalFormatting>
  <conditionalFormatting sqref="A324:A334">
    <cfRule type="duplicateValues" dxfId="7" priority="419"/>
  </conditionalFormatting>
  <conditionalFormatting sqref="A324:A334">
    <cfRule type="duplicateValues" dxfId="6" priority="420"/>
    <cfRule type="duplicateValues" dxfId="5" priority="421"/>
    <cfRule type="duplicateValues" dxfId="4" priority="422"/>
  </conditionalFormatting>
  <conditionalFormatting sqref="B324:B334">
    <cfRule type="duplicateValues" dxfId="3" priority="423"/>
  </conditionalFormatting>
  <conditionalFormatting sqref="A154">
    <cfRule type="expression" dxfId="2" priority="424">
      <formula>COUNTIF(A154:A361,A154)&gt;1</formula>
    </cfRule>
  </conditionalFormatting>
  <conditionalFormatting sqref="G8:BP8">
    <cfRule type="expression" dxfId="1" priority="1">
      <formula>G$9="CN"</formula>
    </cfRule>
    <cfRule type="expression" dxfId="0" priority="2">
      <formula>G$9=7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2021-12-25T00:55:03Z</dcterms:created>
  <dcterms:modified xsi:type="dcterms:W3CDTF">2021-12-25T01:04:37Z</dcterms:modified>
</cp:coreProperties>
</file>