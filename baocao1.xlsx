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CL29"/>
  <sheetViews>
    <sheetView tabSelected="1" workbookViewId="0">
      <selection activeCell="A1" sqref="A1"/>
    </sheetView>
  </sheetViews>
  <sheetFormatPr baseColWidth="8" defaultRowHeight="15"/>
  <sheetData>
    <row r="6">
      <c r="G6" t="inlineStr">
        <is>
          <t>2021-10-01</t>
        </is>
      </c>
      <c r="I6" t="inlineStr">
        <is>
          <t>2021-10-02</t>
        </is>
      </c>
      <c r="K6" t="inlineStr">
        <is>
          <t>2021-10-03</t>
        </is>
      </c>
      <c r="M6" t="inlineStr">
        <is>
          <t>2021-10-04</t>
        </is>
      </c>
      <c r="O6" t="inlineStr">
        <is>
          <t>2021-10-05</t>
        </is>
      </c>
      <c r="Q6" t="inlineStr">
        <is>
          <t>2021-10-06</t>
        </is>
      </c>
      <c r="S6" t="inlineStr">
        <is>
          <t>2021-10-07</t>
        </is>
      </c>
      <c r="U6" t="inlineStr">
        <is>
          <t>2021-10-08</t>
        </is>
      </c>
      <c r="W6" t="inlineStr">
        <is>
          <t>2021-10-09</t>
        </is>
      </c>
      <c r="Y6" t="inlineStr">
        <is>
          <t>2021-10-10</t>
        </is>
      </c>
      <c r="AA6" t="inlineStr">
        <is>
          <t>2021-10-11</t>
        </is>
      </c>
      <c r="AC6" t="inlineStr">
        <is>
          <t>2021-10-12</t>
        </is>
      </c>
      <c r="AE6" t="inlineStr">
        <is>
          <t>2021-10-13</t>
        </is>
      </c>
      <c r="AG6" t="inlineStr">
        <is>
          <t>2021-10-14</t>
        </is>
      </c>
      <c r="AI6" t="inlineStr">
        <is>
          <t>2021-10-15</t>
        </is>
      </c>
      <c r="AK6" t="inlineStr">
        <is>
          <t>2021-10-16</t>
        </is>
      </c>
      <c r="AM6" t="inlineStr">
        <is>
          <t>2021-10-17</t>
        </is>
      </c>
      <c r="AO6" t="inlineStr">
        <is>
          <t>2021-10-18</t>
        </is>
      </c>
      <c r="AQ6" t="inlineStr">
        <is>
          <t>2021-10-19</t>
        </is>
      </c>
      <c r="AS6" t="inlineStr">
        <is>
          <t>2021-10-20</t>
        </is>
      </c>
      <c r="AU6" t="inlineStr">
        <is>
          <t>2021-10-21</t>
        </is>
      </c>
      <c r="AW6" t="inlineStr">
        <is>
          <t>2021-10-22</t>
        </is>
      </c>
      <c r="AY6" t="inlineStr">
        <is>
          <t>2021-10-23</t>
        </is>
      </c>
      <c r="BA6" t="inlineStr">
        <is>
          <t>2021-10-24</t>
        </is>
      </c>
      <c r="BC6" t="inlineStr">
        <is>
          <t>2021-10-25</t>
        </is>
      </c>
      <c r="BE6" t="inlineStr">
        <is>
          <t>2021-10-26</t>
        </is>
      </c>
      <c r="BG6" t="inlineStr">
        <is>
          <t>2021-10-27</t>
        </is>
      </c>
      <c r="BI6" t="inlineStr">
        <is>
          <t>2021-10-28</t>
        </is>
      </c>
      <c r="BK6" t="inlineStr">
        <is>
          <t>2021-10-29</t>
        </is>
      </c>
      <c r="BM6" t="inlineStr">
        <is>
          <t>2021-10-30</t>
        </is>
      </c>
      <c r="BO6" t="inlineStr">
        <is>
          <t>2021-10-31</t>
        </is>
      </c>
      <c r="BQ6" t="n">
        <v>1</v>
      </c>
      <c r="BR6" t="n">
        <v>2</v>
      </c>
      <c r="BS6" t="n">
        <v>3</v>
      </c>
      <c r="BT6" t="n">
        <v>4</v>
      </c>
      <c r="BU6" t="n">
        <v>5</v>
      </c>
      <c r="BV6" t="n">
        <v>6</v>
      </c>
      <c r="BW6" t="n">
        <v>7</v>
      </c>
      <c r="BX6" t="n">
        <v>8</v>
      </c>
      <c r="BY6" t="n">
        <v>9</v>
      </c>
      <c r="BZ6" t="n">
        <v>10</v>
      </c>
      <c r="CA6" t="n">
        <v>11</v>
      </c>
      <c r="CB6" t="n">
        <v>12</v>
      </c>
      <c r="CC6" t="n">
        <v>13</v>
      </c>
      <c r="CD6" t="n">
        <v>14</v>
      </c>
      <c r="CE6" t="n">
        <v>15</v>
      </c>
      <c r="CF6" t="n">
        <v>16</v>
      </c>
      <c r="CG6" t="n">
        <v>17</v>
      </c>
      <c r="CH6" t="n">
        <v>18</v>
      </c>
      <c r="CI6" t="n">
        <v>19</v>
      </c>
      <c r="CJ6" t="n">
        <v>20</v>
      </c>
      <c r="CK6" t="n">
        <v>21</v>
      </c>
      <c r="CL6" t="n">
        <v>22</v>
      </c>
    </row>
    <row r="7"/>
    <row r="8">
      <c r="A8" t="inlineStr">
        <is>
          <t>1</t>
        </is>
      </c>
      <c r="G8" t="inlineStr">
        <is>
          <t>A</t>
        </is>
      </c>
      <c r="H8" t="n">
        <v>0</v>
      </c>
      <c r="I8" t="inlineStr">
        <is>
          <t>A</t>
        </is>
      </c>
      <c r="J8" t="n">
        <v>0</v>
      </c>
      <c r="K8" t="inlineStr">
        <is>
          <t>CN</t>
        </is>
      </c>
      <c r="L8" t="n">
        <v>7.5</v>
      </c>
      <c r="M8" t="inlineStr">
        <is>
          <t>C</t>
        </is>
      </c>
      <c r="N8" t="n">
        <v>4</v>
      </c>
      <c r="O8" t="inlineStr">
        <is>
          <t>C</t>
        </is>
      </c>
      <c r="P8" t="n">
        <v>4</v>
      </c>
      <c r="Q8" t="inlineStr">
        <is>
          <t>C</t>
        </is>
      </c>
      <c r="R8" t="n">
        <v>4</v>
      </c>
      <c r="S8" t="inlineStr">
        <is>
          <t>C</t>
        </is>
      </c>
      <c r="T8" t="n">
        <v>4</v>
      </c>
      <c r="U8" t="inlineStr">
        <is>
          <t>C</t>
        </is>
      </c>
      <c r="V8" t="n">
        <v>4</v>
      </c>
      <c r="W8" t="inlineStr">
        <is>
          <t>C</t>
        </is>
      </c>
      <c r="X8" t="n">
        <v>4</v>
      </c>
      <c r="Y8" t="inlineStr">
        <is>
          <t>CN</t>
        </is>
      </c>
      <c r="Z8" t="n">
        <v>11.5</v>
      </c>
      <c r="AA8" t="inlineStr">
        <is>
          <t>A</t>
        </is>
      </c>
      <c r="AB8" t="n">
        <v>3.8</v>
      </c>
      <c r="AC8" t="inlineStr">
        <is>
          <t>A</t>
        </is>
      </c>
      <c r="AD8" t="n">
        <v>4</v>
      </c>
      <c r="AE8" t="inlineStr">
        <is>
          <t>A</t>
        </is>
      </c>
      <c r="AF8" t="n">
        <v>4</v>
      </c>
      <c r="AG8" t="inlineStr">
        <is>
          <t>A</t>
        </is>
      </c>
      <c r="AH8" t="n">
        <v>4</v>
      </c>
      <c r="AI8" t="inlineStr">
        <is>
          <t>A</t>
        </is>
      </c>
      <c r="AJ8" t="n">
        <v>4</v>
      </c>
      <c r="AK8" t="inlineStr">
        <is>
          <t>A</t>
        </is>
      </c>
      <c r="AL8" t="n">
        <v>4</v>
      </c>
      <c r="AM8" t="inlineStr">
        <is>
          <t>CN</t>
        </is>
      </c>
      <c r="AN8" t="n">
        <v>12</v>
      </c>
      <c r="AO8" t="inlineStr">
        <is>
          <t>C</t>
        </is>
      </c>
      <c r="AP8" t="n">
        <v>4</v>
      </c>
      <c r="AQ8" t="inlineStr">
        <is>
          <t>C</t>
        </is>
      </c>
      <c r="AR8" t="n">
        <v>4</v>
      </c>
      <c r="AS8" t="inlineStr">
        <is>
          <t>C</t>
        </is>
      </c>
      <c r="AT8" t="n">
        <v>4</v>
      </c>
      <c r="AU8" t="inlineStr">
        <is>
          <t>C</t>
        </is>
      </c>
      <c r="AV8" t="n">
        <v>4</v>
      </c>
      <c r="AW8" t="inlineStr">
        <is>
          <t>C</t>
        </is>
      </c>
      <c r="AX8" t="n">
        <v>4</v>
      </c>
      <c r="AY8" t="inlineStr">
        <is>
          <t>C</t>
        </is>
      </c>
      <c r="AZ8" t="n">
        <v>4</v>
      </c>
      <c r="BA8" t="inlineStr">
        <is>
          <t>CN</t>
        </is>
      </c>
      <c r="BB8" t="n">
        <v>11.5</v>
      </c>
      <c r="BC8" t="inlineStr">
        <is>
          <t>A</t>
        </is>
      </c>
      <c r="BD8" t="n">
        <v>3.8</v>
      </c>
      <c r="BE8" t="inlineStr">
        <is>
          <t>A</t>
        </is>
      </c>
      <c r="BF8" t="n">
        <v>4</v>
      </c>
      <c r="BG8" t="inlineStr">
        <is>
          <t>A</t>
        </is>
      </c>
      <c r="BH8" t="n">
        <v>4</v>
      </c>
      <c r="BI8" t="inlineStr">
        <is>
          <t>A</t>
        </is>
      </c>
      <c r="BJ8" t="n">
        <v>4</v>
      </c>
      <c r="BK8" t="inlineStr">
        <is>
          <t>A</t>
        </is>
      </c>
      <c r="BL8" t="n">
        <v>4</v>
      </c>
      <c r="BM8" t="inlineStr">
        <is>
          <t>A</t>
        </is>
      </c>
      <c r="BN8" t="n">
        <v>4</v>
      </c>
      <c r="BO8" t="inlineStr">
        <is>
          <t>CN</t>
        </is>
      </c>
      <c r="BP8" t="n">
        <v>12</v>
      </c>
      <c r="BQ8">
        <f>COUNTIF($G8:BP8,"a")+COUNTIF($G8:BP8,"r0,a5")/2+COUNTIF($G8:BP8,"p5,a5")/2</f>
        <v/>
      </c>
      <c r="BR8">
        <f>COUNTIF($G8:BP8,"d")+COUNTIF($G8:BP8,"r0,d5")/2+COUNTIF($G8:BP8,"p5,d5")/2</f>
        <v/>
      </c>
      <c r="BS8">
        <f>COUNTIF($G8:BP8,"b")+COUNTIF($G8:BP8,"r0,b5")/2+COUNTIF($G8:BP8,"p5,b5")/2</f>
        <v/>
      </c>
      <c r="BT8">
        <f>COUNTIF($G8:BP8,"c")+COUNTIF($G8:BP8,"r0,c5")/2+COUNTIF($G8:BP8,"p5,c5")/2</f>
        <v/>
      </c>
      <c r="BU8">
        <f>COUNTIF($G8:BP8,"KH")+COUNTIF($G8:BP8,"TL")+COUNTIF($G8:BP8,"L")</f>
        <v/>
      </c>
      <c r="BV8" t="inlineStr"/>
      <c r="BW8">
        <f>COUNTIF($G8:BP8,"hh")</f>
        <v/>
      </c>
      <c r="BX8">
        <f>COUNTIF($G8:BP8,"nt7")</f>
        <v/>
      </c>
      <c r="BY8">
        <f>COUNTIF($G8:BP8,"P")+COUNTIF($G8:BP8,"p5,a5")/2+COUNTIF($G8:BP8,"p5,b5")/2+COUNTIF($G8:BP8,"p5,c5")/2+COUNTIF($G8:BP8,"p5,d5")/2</f>
        <v/>
      </c>
      <c r="BZ8">
        <f>SUBTOTAL(9,BQ7:BY7)</f>
        <v/>
      </c>
      <c r="CA8">
        <f>SUM(J7,L7,N7,P7,R7,T7,X7,Z7,AB7,AD7,AF7,AH7,AL7,AN7,AP7,AR7,AT7,AV7,AZ7,BB7,BD7,BF7,BH7,BP7)</f>
        <v/>
      </c>
      <c r="CB8">
        <f>SUM(H7,V7,AJ7,AX7,BL7)</f>
        <v/>
      </c>
      <c r="CC8">
        <f>SUM(BJ7,BN7)</f>
        <v/>
      </c>
      <c r="CD8">
        <f>IF(BZ7&gt;25,4,IF(BZ7&gt;18,3,IF(BZ7&gt;12,2,IF(BZ7&gt;4,1,0))))-BX7-2+1</f>
        <v/>
      </c>
      <c r="CE8" t="inlineStr"/>
      <c r="CF8">
        <f>CD7*CI7</f>
        <v/>
      </c>
      <c r="CG8">
        <f>F7-BY7+1</f>
        <v/>
      </c>
      <c r="CH8">
        <f>CE7*16</f>
        <v/>
      </c>
      <c r="CI8" t="inlineStr"/>
      <c r="CJ8" t="inlineStr"/>
      <c r="CK8" t="inlineStr"/>
      <c r="CL8" t="inlineStr"/>
    </row>
    <row r="9">
      <c r="A9" t="inlineStr">
        <is>
          <t>10</t>
        </is>
      </c>
      <c r="G9" t="inlineStr">
        <is>
          <t>A</t>
        </is>
      </c>
      <c r="H9" t="n">
        <v>7.5</v>
      </c>
      <c r="I9" t="inlineStr">
        <is>
          <t>A</t>
        </is>
      </c>
      <c r="J9" t="n">
        <v>4</v>
      </c>
      <c r="L9" t="n">
        <v>0</v>
      </c>
      <c r="M9" t="inlineStr">
        <is>
          <t>C</t>
        </is>
      </c>
      <c r="N9" t="n">
        <v>4</v>
      </c>
      <c r="O9" t="inlineStr">
        <is>
          <t>C</t>
        </is>
      </c>
      <c r="P9" t="n">
        <v>4</v>
      </c>
      <c r="Q9" t="inlineStr">
        <is>
          <t>C</t>
        </is>
      </c>
      <c r="R9" t="n">
        <v>4</v>
      </c>
      <c r="S9" t="inlineStr">
        <is>
          <t>C</t>
        </is>
      </c>
      <c r="T9" t="n">
        <v>4</v>
      </c>
      <c r="U9" t="inlineStr">
        <is>
          <t>C</t>
        </is>
      </c>
      <c r="V9" t="n">
        <v>4</v>
      </c>
      <c r="W9" t="inlineStr">
        <is>
          <t>C</t>
        </is>
      </c>
      <c r="X9" t="n">
        <v>4</v>
      </c>
      <c r="Z9" t="n">
        <v>0</v>
      </c>
      <c r="AA9" t="inlineStr">
        <is>
          <t>A</t>
        </is>
      </c>
      <c r="AB9" t="n">
        <v>4</v>
      </c>
      <c r="AC9" t="inlineStr">
        <is>
          <t>A</t>
        </is>
      </c>
      <c r="AD9" t="n">
        <v>4</v>
      </c>
      <c r="AE9" t="inlineStr">
        <is>
          <t>A</t>
        </is>
      </c>
      <c r="AF9" t="n">
        <v>4</v>
      </c>
      <c r="AG9" t="inlineStr">
        <is>
          <t>A</t>
        </is>
      </c>
      <c r="AH9" t="n">
        <v>4</v>
      </c>
      <c r="AI9" t="inlineStr">
        <is>
          <t>A</t>
        </is>
      </c>
      <c r="AJ9" t="n">
        <v>4</v>
      </c>
      <c r="AK9" t="inlineStr">
        <is>
          <t>A</t>
        </is>
      </c>
      <c r="AL9" t="n">
        <v>4</v>
      </c>
      <c r="AN9" t="n">
        <v>0</v>
      </c>
      <c r="AO9" t="inlineStr">
        <is>
          <t>C</t>
        </is>
      </c>
      <c r="AP9" t="n">
        <v>4</v>
      </c>
      <c r="AQ9" t="inlineStr">
        <is>
          <t>C</t>
        </is>
      </c>
      <c r="AR9" t="n">
        <v>4</v>
      </c>
      <c r="AS9" t="inlineStr">
        <is>
          <t>C</t>
        </is>
      </c>
      <c r="AT9" t="n">
        <v>4</v>
      </c>
      <c r="AU9" t="inlineStr">
        <is>
          <t>C</t>
        </is>
      </c>
      <c r="AV9" t="n">
        <v>4</v>
      </c>
      <c r="AW9" t="inlineStr">
        <is>
          <t>C</t>
        </is>
      </c>
      <c r="AX9" t="n">
        <v>4</v>
      </c>
      <c r="AY9" t="inlineStr">
        <is>
          <t>C</t>
        </is>
      </c>
      <c r="AZ9" t="n">
        <v>4</v>
      </c>
      <c r="BB9" t="n">
        <v>0</v>
      </c>
      <c r="BC9" t="inlineStr">
        <is>
          <t>A</t>
        </is>
      </c>
      <c r="BD9" t="n">
        <v>4</v>
      </c>
      <c r="BE9" t="inlineStr">
        <is>
          <t>A</t>
        </is>
      </c>
      <c r="BF9" t="n">
        <v>4</v>
      </c>
      <c r="BG9" t="inlineStr">
        <is>
          <t>A</t>
        </is>
      </c>
      <c r="BH9" t="n">
        <v>4</v>
      </c>
      <c r="BI9" t="inlineStr">
        <is>
          <t>A</t>
        </is>
      </c>
      <c r="BJ9" t="n">
        <v>4</v>
      </c>
      <c r="BK9" t="inlineStr">
        <is>
          <t>A</t>
        </is>
      </c>
      <c r="BL9" t="n">
        <v>4</v>
      </c>
      <c r="BM9" t="inlineStr">
        <is>
          <t>A</t>
        </is>
      </c>
      <c r="BN9" t="n">
        <v>4</v>
      </c>
      <c r="BP9" t="n">
        <v>0</v>
      </c>
      <c r="BQ9">
        <f>COUNTIF($G9:BP9,"a")+COUNTIF($G9:BP9,"r0,a5")/2+COUNTIF($G9:BP9,"p5,a5")/2</f>
        <v/>
      </c>
      <c r="BR9">
        <f>COUNTIF($G9:BP9,"d")+COUNTIF($G9:BP9,"r0,d5")/2+COUNTIF($G9:BP9,"p5,d5")/2</f>
        <v/>
      </c>
      <c r="BS9">
        <f>COUNTIF($G9:BP9,"b")+COUNTIF($G9:BP9,"r0,b5")/2+COUNTIF($G9:BP9,"p5,b5")/2</f>
        <v/>
      </c>
      <c r="BT9">
        <f>COUNTIF($G9:BP9,"c")+COUNTIF($G9:BP9,"r0,c5")/2+COUNTIF($G9:BP9,"p5,c5")/2</f>
        <v/>
      </c>
      <c r="BU9">
        <f>COUNTIF($G9:BP9,"KH")+COUNTIF($G9:BP9,"TL")+COUNTIF($G9:BP9,"L")</f>
        <v/>
      </c>
      <c r="BV9" t="inlineStr"/>
      <c r="BW9">
        <f>COUNTIF($G9:BP9,"hh")</f>
        <v/>
      </c>
      <c r="BX9">
        <f>COUNTIF($G9:BP9,"nt7")</f>
        <v/>
      </c>
      <c r="BY9">
        <f>COUNTIF($G9:BP9,"P")+COUNTIF($G9:BP9,"p5,a5")/2+COUNTIF($G9:BP9,"p5,b5")/2+COUNTIF($G9:BP9,"p5,c5")/2+COUNTIF($G9:BP9,"p5,d5")/2</f>
        <v/>
      </c>
      <c r="BZ9">
        <f>SUBTOTAL(9,BQ7:BY7)</f>
        <v/>
      </c>
      <c r="CA9">
        <f>SUM(J7,L7,N7,P7,R7,T7,X7,Z7,AB7,AD7,AF7,AH7,AL7,AN7,AP7,AR7,AT7,AV7,AZ7,BB7,BD7,BF7,BH7,BP7)</f>
        <v/>
      </c>
      <c r="CB9">
        <f>SUM(H7,V7,AJ7,AX7,BL7)</f>
        <v/>
      </c>
      <c r="CC9">
        <f>SUM(BJ7,BN7)</f>
        <v/>
      </c>
      <c r="CD9">
        <f>IF(BZ7&gt;25,4,IF(BZ7&gt;18,3,IF(BZ7&gt;12,2,IF(BZ7&gt;4,1,0))))-BX7-2+1</f>
        <v/>
      </c>
      <c r="CE9" t="inlineStr"/>
      <c r="CF9">
        <f>CD7*CI7</f>
        <v/>
      </c>
      <c r="CG9">
        <f>F7-BY7+1</f>
        <v/>
      </c>
      <c r="CH9">
        <f>CE7*16</f>
        <v/>
      </c>
      <c r="CI9" t="inlineStr"/>
      <c r="CJ9" t="inlineStr"/>
      <c r="CK9" t="inlineStr"/>
      <c r="CL9" t="inlineStr"/>
    </row>
    <row r="10">
      <c r="A10" t="inlineStr">
        <is>
          <t>11</t>
        </is>
      </c>
      <c r="G10" t="inlineStr">
        <is>
          <t>B</t>
        </is>
      </c>
      <c r="H10" t="n">
        <v>4</v>
      </c>
      <c r="I10" t="inlineStr">
        <is>
          <t>B</t>
        </is>
      </c>
      <c r="J10" t="n">
        <v>4</v>
      </c>
      <c r="L10" t="n">
        <v>0</v>
      </c>
      <c r="M10" t="inlineStr">
        <is>
          <t>B</t>
        </is>
      </c>
      <c r="N10" t="n">
        <v>4</v>
      </c>
      <c r="O10" t="inlineStr">
        <is>
          <t>B</t>
        </is>
      </c>
      <c r="P10" t="n">
        <v>3.5</v>
      </c>
      <c r="Q10" t="inlineStr">
        <is>
          <t>B</t>
        </is>
      </c>
      <c r="R10" t="n">
        <v>2.5</v>
      </c>
      <c r="S10" t="inlineStr">
        <is>
          <t>B</t>
        </is>
      </c>
      <c r="T10" t="n">
        <v>1.5</v>
      </c>
      <c r="U10" t="inlineStr">
        <is>
          <t>B</t>
        </is>
      </c>
      <c r="V10" t="n">
        <v>3.3</v>
      </c>
      <c r="W10" t="inlineStr">
        <is>
          <t>B</t>
        </is>
      </c>
      <c r="X10" t="n">
        <v>0</v>
      </c>
      <c r="Z10" t="n">
        <v>0</v>
      </c>
      <c r="AA10" t="inlineStr">
        <is>
          <t>B</t>
        </is>
      </c>
      <c r="AB10" t="n">
        <v>0</v>
      </c>
      <c r="AC10" t="inlineStr">
        <is>
          <t>B</t>
        </is>
      </c>
      <c r="AD10" t="n">
        <v>0</v>
      </c>
      <c r="AE10" t="inlineStr">
        <is>
          <t>B</t>
        </is>
      </c>
      <c r="AF10" t="n">
        <v>2</v>
      </c>
      <c r="AG10" t="inlineStr">
        <is>
          <t>B</t>
        </is>
      </c>
      <c r="AH10" t="n">
        <v>3</v>
      </c>
      <c r="AI10" t="inlineStr">
        <is>
          <t>B</t>
        </is>
      </c>
      <c r="AJ10" t="n">
        <v>2.8</v>
      </c>
      <c r="AK10" t="inlineStr">
        <is>
          <t>R</t>
        </is>
      </c>
      <c r="AL10" t="n">
        <v>0</v>
      </c>
      <c r="AN10" t="n">
        <v>0</v>
      </c>
      <c r="AO10" t="inlineStr">
        <is>
          <t>B</t>
        </is>
      </c>
      <c r="AP10" t="n">
        <v>0</v>
      </c>
      <c r="AQ10" t="inlineStr">
        <is>
          <t>B</t>
        </is>
      </c>
      <c r="AR10" t="n">
        <v>0</v>
      </c>
      <c r="AS10" t="inlineStr">
        <is>
          <t>B</t>
        </is>
      </c>
      <c r="AT10" t="n">
        <v>1.5</v>
      </c>
      <c r="AU10" t="inlineStr">
        <is>
          <t>B</t>
        </is>
      </c>
      <c r="AV10" t="n">
        <v>2.5</v>
      </c>
      <c r="AW10" t="inlineStr">
        <is>
          <t>B</t>
        </is>
      </c>
      <c r="AX10" t="n">
        <v>3</v>
      </c>
      <c r="AY10" t="inlineStr">
        <is>
          <t>B</t>
        </is>
      </c>
      <c r="AZ10" t="n">
        <v>4</v>
      </c>
      <c r="BB10" t="n">
        <v>0</v>
      </c>
      <c r="BC10" t="inlineStr">
        <is>
          <t>B</t>
        </is>
      </c>
      <c r="BD10" t="n">
        <v>4</v>
      </c>
      <c r="BE10" t="inlineStr">
        <is>
          <t>B</t>
        </is>
      </c>
      <c r="BF10" t="n">
        <v>4</v>
      </c>
      <c r="BG10" t="inlineStr">
        <is>
          <t>B</t>
        </is>
      </c>
      <c r="BH10" t="n">
        <v>4</v>
      </c>
      <c r="BI10" t="inlineStr">
        <is>
          <t>B</t>
        </is>
      </c>
      <c r="BJ10" t="n">
        <v>4</v>
      </c>
      <c r="BK10" t="inlineStr">
        <is>
          <t>B</t>
        </is>
      </c>
      <c r="BL10" t="n">
        <v>4</v>
      </c>
      <c r="BM10" t="inlineStr">
        <is>
          <t>B</t>
        </is>
      </c>
      <c r="BN10" t="n">
        <v>4</v>
      </c>
      <c r="BP10" t="n">
        <v>0</v>
      </c>
      <c r="BQ10">
        <f>COUNTIF($G10:BP10,"a")+COUNTIF($G10:BP10,"r0,a5")/2+COUNTIF($G10:BP10,"p5,a5")/2</f>
        <v/>
      </c>
      <c r="BR10">
        <f>COUNTIF($G10:BP10,"d")+COUNTIF($G10:BP10,"r0,d5")/2+COUNTIF($G10:BP10,"p5,d5")/2</f>
        <v/>
      </c>
      <c r="BS10">
        <f>COUNTIF($G10:BP10,"b")+COUNTIF($G10:BP10,"r0,b5")/2+COUNTIF($G10:BP10,"p5,b5")/2</f>
        <v/>
      </c>
      <c r="BT10">
        <f>COUNTIF($G10:BP10,"c")+COUNTIF($G10:BP10,"r0,c5")/2+COUNTIF($G10:BP10,"p5,c5")/2</f>
        <v/>
      </c>
      <c r="BU10">
        <f>COUNTIF($G10:BP10,"KH")+COUNTIF($G10:BP10,"TL")+COUNTIF($G10:BP10,"L")</f>
        <v/>
      </c>
      <c r="BV10" t="inlineStr"/>
      <c r="BW10">
        <f>COUNTIF($G10:BP10,"hh")</f>
        <v/>
      </c>
      <c r="BX10">
        <f>COUNTIF($G10:BP10,"nt7")</f>
        <v/>
      </c>
      <c r="BY10">
        <f>COUNTIF($G10:BP10,"P")+COUNTIF($G10:BP10,"p5,a5")/2+COUNTIF($G10:BP10,"p5,b5")/2+COUNTIF($G10:BP10,"p5,c5")/2+COUNTIF($G10:BP10,"p5,d5")/2</f>
        <v/>
      </c>
      <c r="BZ10">
        <f>SUBTOTAL(9,BQ7:BY7)</f>
        <v/>
      </c>
      <c r="CA10">
        <f>SUM(J7,L7,N7,P7,R7,T7,X7,Z7,AB7,AD7,AF7,AH7,AL7,AN7,AP7,AR7,AT7,AV7,AZ7,BB7,BD7,BF7,BH7,BP7)</f>
        <v/>
      </c>
      <c r="CB10">
        <f>SUM(H7,V7,AJ7,AX7,BL7)</f>
        <v/>
      </c>
      <c r="CC10">
        <f>SUM(BJ7,BN7)</f>
        <v/>
      </c>
      <c r="CD10">
        <f>IF(BZ7&gt;25,4,IF(BZ7&gt;18,3,IF(BZ7&gt;12,2,IF(BZ7&gt;4,1,0))))-BX7-2+1</f>
        <v/>
      </c>
      <c r="CE10" t="inlineStr"/>
      <c r="CF10">
        <f>CD7*CI7</f>
        <v/>
      </c>
      <c r="CG10">
        <f>F7-BY7+1</f>
        <v/>
      </c>
      <c r="CH10">
        <f>CE7*16</f>
        <v/>
      </c>
      <c r="CI10" t="inlineStr"/>
      <c r="CJ10" t="inlineStr"/>
      <c r="CK10" t="inlineStr"/>
      <c r="CL10" t="inlineStr"/>
    </row>
    <row r="11">
      <c r="A11" t="inlineStr">
        <is>
          <t>2</t>
        </is>
      </c>
      <c r="G11" t="inlineStr">
        <is>
          <t>A</t>
        </is>
      </c>
      <c r="H11" t="n">
        <v>0</v>
      </c>
      <c r="I11" t="inlineStr">
        <is>
          <t>A</t>
        </is>
      </c>
      <c r="J11" t="n">
        <v>0</v>
      </c>
      <c r="K11" t="inlineStr">
        <is>
          <t>CN</t>
        </is>
      </c>
      <c r="L11" t="n">
        <v>8</v>
      </c>
      <c r="M11" t="inlineStr">
        <is>
          <t>C</t>
        </is>
      </c>
      <c r="N11" t="n">
        <v>4</v>
      </c>
      <c r="O11" t="inlineStr">
        <is>
          <t>C</t>
        </is>
      </c>
      <c r="P11" t="n">
        <v>4</v>
      </c>
      <c r="Q11" t="inlineStr">
        <is>
          <t>C</t>
        </is>
      </c>
      <c r="R11" t="n">
        <v>4</v>
      </c>
      <c r="S11" t="inlineStr">
        <is>
          <t>C</t>
        </is>
      </c>
      <c r="T11" t="n">
        <v>4</v>
      </c>
      <c r="U11" t="inlineStr">
        <is>
          <t>C</t>
        </is>
      </c>
      <c r="V11" t="n">
        <v>4</v>
      </c>
      <c r="W11" t="inlineStr">
        <is>
          <t>C</t>
        </is>
      </c>
      <c r="X11" t="n">
        <v>4</v>
      </c>
      <c r="Y11" t="inlineStr">
        <is>
          <t>CN</t>
        </is>
      </c>
      <c r="Z11" t="n">
        <v>11.5</v>
      </c>
      <c r="AA11" t="inlineStr">
        <is>
          <t>A</t>
        </is>
      </c>
      <c r="AB11" t="n">
        <v>3.8</v>
      </c>
      <c r="AC11" t="inlineStr">
        <is>
          <t>A</t>
        </is>
      </c>
      <c r="AD11" t="n">
        <v>4</v>
      </c>
      <c r="AE11" t="inlineStr">
        <is>
          <t>A</t>
        </is>
      </c>
      <c r="AF11" t="n">
        <v>4</v>
      </c>
      <c r="AG11" t="inlineStr">
        <is>
          <t>A</t>
        </is>
      </c>
      <c r="AH11" t="n">
        <v>4</v>
      </c>
      <c r="AI11" t="inlineStr">
        <is>
          <t>A</t>
        </is>
      </c>
      <c r="AJ11" t="n">
        <v>4</v>
      </c>
      <c r="AK11" t="inlineStr">
        <is>
          <t>A</t>
        </is>
      </c>
      <c r="AL11" t="n">
        <v>4</v>
      </c>
      <c r="AM11" t="inlineStr">
        <is>
          <t>CN</t>
        </is>
      </c>
      <c r="AN11" t="n">
        <v>12</v>
      </c>
      <c r="AO11" t="inlineStr">
        <is>
          <t>C</t>
        </is>
      </c>
      <c r="AP11" t="n">
        <v>4</v>
      </c>
      <c r="AQ11" t="inlineStr">
        <is>
          <t>C</t>
        </is>
      </c>
      <c r="AR11" t="n">
        <v>4</v>
      </c>
      <c r="AS11" t="inlineStr">
        <is>
          <t>C</t>
        </is>
      </c>
      <c r="AT11" t="n">
        <v>4</v>
      </c>
      <c r="AU11" t="inlineStr">
        <is>
          <t>C</t>
        </is>
      </c>
      <c r="AV11" t="n">
        <v>4</v>
      </c>
      <c r="AW11" t="inlineStr">
        <is>
          <t>C</t>
        </is>
      </c>
      <c r="AX11" t="n">
        <v>4</v>
      </c>
      <c r="AY11" t="inlineStr">
        <is>
          <t>C</t>
        </is>
      </c>
      <c r="AZ11" t="n">
        <v>4</v>
      </c>
      <c r="BA11" t="inlineStr">
        <is>
          <t>CN</t>
        </is>
      </c>
      <c r="BB11" t="n">
        <v>11.5</v>
      </c>
      <c r="BC11" t="inlineStr">
        <is>
          <t>A</t>
        </is>
      </c>
      <c r="BD11" t="n">
        <v>3.8</v>
      </c>
      <c r="BE11" t="inlineStr">
        <is>
          <t>A</t>
        </is>
      </c>
      <c r="BF11" t="n">
        <v>4</v>
      </c>
      <c r="BG11" t="inlineStr">
        <is>
          <t>A</t>
        </is>
      </c>
      <c r="BH11" t="n">
        <v>4</v>
      </c>
      <c r="BI11" t="inlineStr">
        <is>
          <t>A</t>
        </is>
      </c>
      <c r="BJ11" t="n">
        <v>4</v>
      </c>
      <c r="BK11" t="inlineStr">
        <is>
          <t>A</t>
        </is>
      </c>
      <c r="BL11" t="n">
        <v>4</v>
      </c>
      <c r="BM11" t="inlineStr">
        <is>
          <t>A</t>
        </is>
      </c>
      <c r="BN11" t="n">
        <v>4</v>
      </c>
      <c r="BO11" t="inlineStr">
        <is>
          <t>CN</t>
        </is>
      </c>
      <c r="BP11" t="n">
        <v>12</v>
      </c>
      <c r="BQ11">
        <f>COUNTIF($G11:BP11,"a")+COUNTIF($G11:BP11,"r0,a5")/2+COUNTIF($G11:BP11,"p5,a5")/2</f>
        <v/>
      </c>
      <c r="BR11">
        <f>COUNTIF($G11:BP11,"d")+COUNTIF($G11:BP11,"r0,d5")/2+COUNTIF($G11:BP11,"p5,d5")/2</f>
        <v/>
      </c>
      <c r="BS11">
        <f>COUNTIF($G11:BP11,"b")+COUNTIF($G11:BP11,"r0,b5")/2+COUNTIF($G11:BP11,"p5,b5")/2</f>
        <v/>
      </c>
      <c r="BT11">
        <f>COUNTIF($G11:BP11,"c")+COUNTIF($G11:BP11,"r0,c5")/2+COUNTIF($G11:BP11,"p5,c5")/2</f>
        <v/>
      </c>
      <c r="BU11">
        <f>COUNTIF($G11:BP11,"KH")+COUNTIF($G11:BP11,"TL")+COUNTIF($G11:BP11,"L")</f>
        <v/>
      </c>
      <c r="BV11" t="inlineStr"/>
      <c r="BW11">
        <f>COUNTIF($G11:BP11,"hh")</f>
        <v/>
      </c>
      <c r="BX11">
        <f>COUNTIF($G11:BP11,"nt7")</f>
        <v/>
      </c>
      <c r="BY11">
        <f>COUNTIF($G11:BP11,"P")+COUNTIF($G11:BP11,"p5,a5")/2+COUNTIF($G11:BP11,"p5,b5")/2+COUNTIF($G11:BP11,"p5,c5")/2+COUNTIF($G11:BP11,"p5,d5")/2</f>
        <v/>
      </c>
      <c r="BZ11">
        <f>SUBTOTAL(9,BQ7:BY7)</f>
        <v/>
      </c>
      <c r="CA11">
        <f>SUM(J7,L7,N7,P7,R7,T7,X7,Z7,AB7,AD7,AF7,AH7,AL7,AN7,AP7,AR7,AT7,AV7,AZ7,BB7,BD7,BF7,BH7,BP7)</f>
        <v/>
      </c>
      <c r="CB11">
        <f>SUM(H7,V7,AJ7,AX7,BL7)</f>
        <v/>
      </c>
      <c r="CC11">
        <f>SUM(BJ7,BN7)</f>
        <v/>
      </c>
      <c r="CD11">
        <f>IF(BZ7&gt;25,4,IF(BZ7&gt;18,3,IF(BZ7&gt;12,2,IF(BZ7&gt;4,1,0))))-BX7-2+1</f>
        <v/>
      </c>
      <c r="CE11" t="inlineStr"/>
      <c r="CF11">
        <f>CD7*CI7</f>
        <v/>
      </c>
      <c r="CG11">
        <f>F7-BY7+1</f>
        <v/>
      </c>
      <c r="CH11">
        <f>CE7*16</f>
        <v/>
      </c>
      <c r="CI11" t="inlineStr"/>
      <c r="CJ11" t="inlineStr"/>
      <c r="CK11" t="inlineStr"/>
      <c r="CL11" t="inlineStr"/>
    </row>
    <row r="12">
      <c r="A12" t="inlineStr">
        <is>
          <t>3</t>
        </is>
      </c>
      <c r="G12" t="inlineStr">
        <is>
          <t>A</t>
        </is>
      </c>
      <c r="H12" t="n">
        <v>0.5</v>
      </c>
      <c r="I12" t="inlineStr">
        <is>
          <t>A</t>
        </is>
      </c>
      <c r="J12" t="n">
        <v>0.5</v>
      </c>
      <c r="K12" t="inlineStr">
        <is>
          <t>CN</t>
        </is>
      </c>
      <c r="L12" t="n">
        <v>8.5</v>
      </c>
      <c r="M12" t="inlineStr">
        <is>
          <t>C</t>
        </is>
      </c>
      <c r="N12" t="n">
        <v>4</v>
      </c>
      <c r="O12" t="inlineStr">
        <is>
          <t>C</t>
        </is>
      </c>
      <c r="P12" t="n">
        <v>4</v>
      </c>
      <c r="Q12" t="inlineStr">
        <is>
          <t>C</t>
        </is>
      </c>
      <c r="R12" t="n">
        <v>4</v>
      </c>
      <c r="S12" t="inlineStr">
        <is>
          <t>C</t>
        </is>
      </c>
      <c r="T12" t="n">
        <v>4</v>
      </c>
      <c r="U12" t="inlineStr">
        <is>
          <t>C</t>
        </is>
      </c>
      <c r="V12" t="n">
        <v>4</v>
      </c>
      <c r="W12" t="inlineStr">
        <is>
          <t>C</t>
        </is>
      </c>
      <c r="X12" t="n">
        <v>4</v>
      </c>
      <c r="Y12" t="inlineStr">
        <is>
          <t>CN</t>
        </is>
      </c>
      <c r="Z12" t="n">
        <v>11.5</v>
      </c>
      <c r="AA12" t="inlineStr">
        <is>
          <t>A</t>
        </is>
      </c>
      <c r="AB12" t="n">
        <v>3.8</v>
      </c>
      <c r="AC12" t="inlineStr">
        <is>
          <t>A</t>
        </is>
      </c>
      <c r="AD12" t="n">
        <v>4</v>
      </c>
      <c r="AE12" t="inlineStr">
        <is>
          <t>A</t>
        </is>
      </c>
      <c r="AF12" t="n">
        <v>4</v>
      </c>
      <c r="AG12" t="inlineStr">
        <is>
          <t>A</t>
        </is>
      </c>
      <c r="AH12" t="n">
        <v>4</v>
      </c>
      <c r="AI12" t="inlineStr">
        <is>
          <t>A</t>
        </is>
      </c>
      <c r="AJ12" t="n">
        <v>4</v>
      </c>
      <c r="AK12" t="inlineStr">
        <is>
          <t>A</t>
        </is>
      </c>
      <c r="AL12" t="n">
        <v>4</v>
      </c>
      <c r="AM12" t="inlineStr">
        <is>
          <t>CN</t>
        </is>
      </c>
      <c r="AN12" t="n">
        <v>12</v>
      </c>
      <c r="AO12" t="inlineStr">
        <is>
          <t>C</t>
        </is>
      </c>
      <c r="AP12" t="n">
        <v>4</v>
      </c>
      <c r="AQ12" t="inlineStr">
        <is>
          <t>C</t>
        </is>
      </c>
      <c r="AR12" t="n">
        <v>4</v>
      </c>
      <c r="AS12" t="inlineStr">
        <is>
          <t>C</t>
        </is>
      </c>
      <c r="AT12" t="n">
        <v>4</v>
      </c>
      <c r="AU12" t="inlineStr">
        <is>
          <t>C</t>
        </is>
      </c>
      <c r="AV12" t="n">
        <v>4</v>
      </c>
      <c r="AW12" t="inlineStr">
        <is>
          <t>C</t>
        </is>
      </c>
      <c r="AX12" t="n">
        <v>4</v>
      </c>
      <c r="AY12" t="inlineStr">
        <is>
          <t>C</t>
        </is>
      </c>
      <c r="AZ12" t="n">
        <v>4</v>
      </c>
      <c r="BA12" t="inlineStr">
        <is>
          <t>CN</t>
        </is>
      </c>
      <c r="BB12" t="n">
        <v>11.5</v>
      </c>
      <c r="BC12" t="inlineStr">
        <is>
          <t>A</t>
        </is>
      </c>
      <c r="BD12" t="n">
        <v>3.8</v>
      </c>
      <c r="BE12" t="inlineStr">
        <is>
          <t>A</t>
        </is>
      </c>
      <c r="BF12" t="n">
        <v>4</v>
      </c>
      <c r="BG12" t="inlineStr">
        <is>
          <t>A</t>
        </is>
      </c>
      <c r="BH12" t="n">
        <v>4</v>
      </c>
      <c r="BI12" t="inlineStr">
        <is>
          <t>A</t>
        </is>
      </c>
      <c r="BJ12" t="n">
        <v>4</v>
      </c>
      <c r="BK12" t="inlineStr">
        <is>
          <t>A</t>
        </is>
      </c>
      <c r="BL12" t="n">
        <v>4</v>
      </c>
      <c r="BM12" t="inlineStr">
        <is>
          <t>A</t>
        </is>
      </c>
      <c r="BN12" t="n">
        <v>4</v>
      </c>
      <c r="BO12" t="inlineStr">
        <is>
          <t>CN</t>
        </is>
      </c>
      <c r="BP12" t="n">
        <v>12</v>
      </c>
      <c r="BQ12">
        <f>COUNTIF($G12:BP12,"a")+COUNTIF($G12:BP12,"r0,a5")/2+COUNTIF($G12:BP12,"p5,a5")/2</f>
        <v/>
      </c>
      <c r="BR12">
        <f>COUNTIF($G12:BP12,"d")+COUNTIF($G12:BP12,"r0,d5")/2+COUNTIF($G12:BP12,"p5,d5")/2</f>
        <v/>
      </c>
      <c r="BS12">
        <f>COUNTIF($G12:BP12,"b")+COUNTIF($G12:BP12,"r0,b5")/2+COUNTIF($G12:BP12,"p5,b5")/2</f>
        <v/>
      </c>
      <c r="BT12">
        <f>COUNTIF($G12:BP12,"c")+COUNTIF($G12:BP12,"r0,c5")/2+COUNTIF($G12:BP12,"p5,c5")/2</f>
        <v/>
      </c>
      <c r="BU12">
        <f>COUNTIF($G12:BP12,"KH")+COUNTIF($G12:BP12,"TL")+COUNTIF($G12:BP12,"L")</f>
        <v/>
      </c>
      <c r="BV12" t="inlineStr"/>
      <c r="BW12">
        <f>COUNTIF($G12:BP12,"hh")</f>
        <v/>
      </c>
      <c r="BX12">
        <f>COUNTIF($G12:BP12,"nt7")</f>
        <v/>
      </c>
      <c r="BY12">
        <f>COUNTIF($G12:BP12,"P")+COUNTIF($G12:BP12,"p5,a5")/2+COUNTIF($G12:BP12,"p5,b5")/2+COUNTIF($G12:BP12,"p5,c5")/2+COUNTIF($G12:BP12,"p5,d5")/2</f>
        <v/>
      </c>
      <c r="BZ12">
        <f>SUBTOTAL(9,BQ7:BY7)</f>
        <v/>
      </c>
      <c r="CA12">
        <f>SUM(J7,L7,N7,P7,R7,T7,X7,Z7,AB7,AD7,AF7,AH7,AL7,AN7,AP7,AR7,AT7,AV7,AZ7,BB7,BD7,BF7,BH7,BP7)</f>
        <v/>
      </c>
      <c r="CB12">
        <f>SUM(H7,V7,AJ7,AX7,BL7)</f>
        <v/>
      </c>
      <c r="CC12">
        <f>SUM(BJ7,BN7)</f>
        <v/>
      </c>
      <c r="CD12">
        <f>IF(BZ7&gt;25,4,IF(BZ7&gt;18,3,IF(BZ7&gt;12,2,IF(BZ7&gt;4,1,0))))-BX7-2+1</f>
        <v/>
      </c>
      <c r="CE12" t="inlineStr"/>
      <c r="CF12">
        <f>CD7*CI7</f>
        <v/>
      </c>
      <c r="CG12">
        <f>F7-BY7+1</f>
        <v/>
      </c>
      <c r="CH12">
        <f>CE7*16</f>
        <v/>
      </c>
      <c r="CI12" t="inlineStr"/>
      <c r="CJ12" t="inlineStr"/>
      <c r="CK12" t="inlineStr"/>
      <c r="CL12" t="inlineStr"/>
    </row>
    <row r="13">
      <c r="A13" t="inlineStr">
        <is>
          <t>4</t>
        </is>
      </c>
      <c r="G13" t="inlineStr">
        <is>
          <t>A</t>
        </is>
      </c>
      <c r="H13" t="n">
        <v>1</v>
      </c>
      <c r="I13" t="inlineStr">
        <is>
          <t>A</t>
        </is>
      </c>
      <c r="J13" t="n">
        <v>1</v>
      </c>
      <c r="K13" t="inlineStr">
        <is>
          <t>CN</t>
        </is>
      </c>
      <c r="L13" t="n">
        <v>9.5</v>
      </c>
      <c r="M13" t="inlineStr">
        <is>
          <t>C</t>
        </is>
      </c>
      <c r="N13" t="n">
        <v>4</v>
      </c>
      <c r="O13" t="inlineStr">
        <is>
          <t>C</t>
        </is>
      </c>
      <c r="P13" t="n">
        <v>4</v>
      </c>
      <c r="Q13" t="inlineStr">
        <is>
          <t>C</t>
        </is>
      </c>
      <c r="R13" t="n">
        <v>4</v>
      </c>
      <c r="S13" t="inlineStr">
        <is>
          <t>C</t>
        </is>
      </c>
      <c r="T13" t="n">
        <v>4</v>
      </c>
      <c r="U13" t="inlineStr">
        <is>
          <t>C</t>
        </is>
      </c>
      <c r="V13" t="n">
        <v>4</v>
      </c>
      <c r="W13" t="inlineStr">
        <is>
          <t>C</t>
        </is>
      </c>
      <c r="X13" t="n">
        <v>4</v>
      </c>
      <c r="Y13" t="inlineStr">
        <is>
          <t>CN</t>
        </is>
      </c>
      <c r="Z13" t="n">
        <v>11.5</v>
      </c>
      <c r="AA13" t="inlineStr">
        <is>
          <t>A</t>
        </is>
      </c>
      <c r="AB13" t="n">
        <v>3.8</v>
      </c>
      <c r="AC13" t="inlineStr">
        <is>
          <t>A</t>
        </is>
      </c>
      <c r="AD13" t="n">
        <v>4</v>
      </c>
      <c r="AE13" t="inlineStr">
        <is>
          <t>A</t>
        </is>
      </c>
      <c r="AF13" t="n">
        <v>4</v>
      </c>
      <c r="AG13" t="inlineStr">
        <is>
          <t>A</t>
        </is>
      </c>
      <c r="AH13" t="n">
        <v>4</v>
      </c>
      <c r="AI13" t="inlineStr">
        <is>
          <t>A</t>
        </is>
      </c>
      <c r="AJ13" t="n">
        <v>4</v>
      </c>
      <c r="AK13" t="inlineStr">
        <is>
          <t>A</t>
        </is>
      </c>
      <c r="AL13" t="n">
        <v>4</v>
      </c>
      <c r="AM13" t="inlineStr">
        <is>
          <t>CN</t>
        </is>
      </c>
      <c r="AN13" t="n">
        <v>12</v>
      </c>
      <c r="AO13" t="inlineStr">
        <is>
          <t>C</t>
        </is>
      </c>
      <c r="AP13" t="n">
        <v>4</v>
      </c>
      <c r="AQ13" t="inlineStr">
        <is>
          <t>C</t>
        </is>
      </c>
      <c r="AR13" t="n">
        <v>4</v>
      </c>
      <c r="AS13" t="inlineStr">
        <is>
          <t>C</t>
        </is>
      </c>
      <c r="AT13" t="n">
        <v>4</v>
      </c>
      <c r="AU13" t="inlineStr">
        <is>
          <t>C</t>
        </is>
      </c>
      <c r="AV13" t="n">
        <v>4</v>
      </c>
      <c r="AW13" t="inlineStr">
        <is>
          <t>C</t>
        </is>
      </c>
      <c r="AX13" t="n">
        <v>4</v>
      </c>
      <c r="AY13" t="inlineStr">
        <is>
          <t>C</t>
        </is>
      </c>
      <c r="AZ13" t="n">
        <v>4</v>
      </c>
      <c r="BA13" t="inlineStr">
        <is>
          <t>CN</t>
        </is>
      </c>
      <c r="BB13" t="n">
        <v>11.5</v>
      </c>
      <c r="BC13" t="inlineStr">
        <is>
          <t>A</t>
        </is>
      </c>
      <c r="BD13" t="n">
        <v>3.8</v>
      </c>
      <c r="BE13" t="inlineStr">
        <is>
          <t>A</t>
        </is>
      </c>
      <c r="BF13" t="n">
        <v>4</v>
      </c>
      <c r="BG13" t="inlineStr">
        <is>
          <t>A</t>
        </is>
      </c>
      <c r="BH13" t="n">
        <v>4</v>
      </c>
      <c r="BI13" t="inlineStr">
        <is>
          <t>A</t>
        </is>
      </c>
      <c r="BJ13" t="n">
        <v>4</v>
      </c>
      <c r="BK13" t="inlineStr">
        <is>
          <t>A</t>
        </is>
      </c>
      <c r="BL13" t="n">
        <v>4</v>
      </c>
      <c r="BM13" t="inlineStr">
        <is>
          <t>A</t>
        </is>
      </c>
      <c r="BN13" t="n">
        <v>4</v>
      </c>
      <c r="BO13" t="inlineStr">
        <is>
          <t>CN</t>
        </is>
      </c>
      <c r="BP13" t="n">
        <v>12</v>
      </c>
      <c r="BQ13">
        <f>COUNTIF($G13:BP13,"a")+COUNTIF($G13:BP13,"r0,a5")/2+COUNTIF($G13:BP13,"p5,a5")/2</f>
        <v/>
      </c>
      <c r="BR13">
        <f>COUNTIF($G13:BP13,"d")+COUNTIF($G13:BP13,"r0,d5")/2+COUNTIF($G13:BP13,"p5,d5")/2</f>
        <v/>
      </c>
      <c r="BS13">
        <f>COUNTIF($G13:BP13,"b")+COUNTIF($G13:BP13,"r0,b5")/2+COUNTIF($G13:BP13,"p5,b5")/2</f>
        <v/>
      </c>
      <c r="BT13">
        <f>COUNTIF($G13:BP13,"c")+COUNTIF($G13:BP13,"r0,c5")/2+COUNTIF($G13:BP13,"p5,c5")/2</f>
        <v/>
      </c>
      <c r="BU13">
        <f>COUNTIF($G13:BP13,"KH")+COUNTIF($G13:BP13,"TL")+COUNTIF($G13:BP13,"L")</f>
        <v/>
      </c>
      <c r="BV13" t="inlineStr"/>
      <c r="BW13">
        <f>COUNTIF($G13:BP13,"hh")</f>
        <v/>
      </c>
      <c r="BX13">
        <f>COUNTIF($G13:BP13,"nt7")</f>
        <v/>
      </c>
      <c r="BY13">
        <f>COUNTIF($G13:BP13,"P")+COUNTIF($G13:BP13,"p5,a5")/2+COUNTIF($G13:BP13,"p5,b5")/2+COUNTIF($G13:BP13,"p5,c5")/2+COUNTIF($G13:BP13,"p5,d5")/2</f>
        <v/>
      </c>
      <c r="BZ13">
        <f>SUBTOTAL(9,BQ7:BY7)</f>
        <v/>
      </c>
      <c r="CA13">
        <f>SUM(J7,L7,N7,P7,R7,T7,X7,Z7,AB7,AD7,AF7,AH7,AL7,AN7,AP7,AR7,AT7,AV7,AZ7,BB7,BD7,BF7,BH7,BP7)</f>
        <v/>
      </c>
      <c r="CB13">
        <f>SUM(H7,V7,AJ7,AX7,BL7)</f>
        <v/>
      </c>
      <c r="CC13">
        <f>SUM(BJ7,BN7)</f>
        <v/>
      </c>
      <c r="CD13">
        <f>IF(BZ7&gt;25,4,IF(BZ7&gt;18,3,IF(BZ7&gt;12,2,IF(BZ7&gt;4,1,0))))-BX7-2+1</f>
        <v/>
      </c>
      <c r="CE13" t="inlineStr"/>
      <c r="CF13">
        <f>CD7*CI7</f>
        <v/>
      </c>
      <c r="CG13">
        <f>F7-BY7+1</f>
        <v/>
      </c>
      <c r="CH13">
        <f>CE7*16</f>
        <v/>
      </c>
      <c r="CI13" t="inlineStr"/>
      <c r="CJ13" t="inlineStr"/>
      <c r="CK13" t="inlineStr"/>
      <c r="CL13" t="inlineStr"/>
    </row>
    <row r="14">
      <c r="A14" t="inlineStr">
        <is>
          <t>5</t>
        </is>
      </c>
      <c r="G14" t="inlineStr">
        <is>
          <t>A</t>
        </is>
      </c>
      <c r="H14" t="n">
        <v>1</v>
      </c>
      <c r="I14" t="inlineStr">
        <is>
          <t>A</t>
        </is>
      </c>
      <c r="J14" t="n">
        <v>1</v>
      </c>
      <c r="K14" t="inlineStr">
        <is>
          <t>CN</t>
        </is>
      </c>
      <c r="L14" t="n">
        <v>10.5</v>
      </c>
      <c r="M14" t="inlineStr">
        <is>
          <t>C</t>
        </is>
      </c>
      <c r="N14" t="n">
        <v>4</v>
      </c>
      <c r="O14" t="inlineStr">
        <is>
          <t>C</t>
        </is>
      </c>
      <c r="P14" t="n">
        <v>4</v>
      </c>
      <c r="Q14" t="inlineStr">
        <is>
          <t>C</t>
        </is>
      </c>
      <c r="R14" t="n">
        <v>4</v>
      </c>
      <c r="S14" t="inlineStr">
        <is>
          <t>C</t>
        </is>
      </c>
      <c r="T14" t="n">
        <v>4</v>
      </c>
      <c r="U14" t="inlineStr">
        <is>
          <t>C</t>
        </is>
      </c>
      <c r="V14" t="n">
        <v>4</v>
      </c>
      <c r="W14" t="inlineStr">
        <is>
          <t>C</t>
        </is>
      </c>
      <c r="X14" t="n">
        <v>4</v>
      </c>
      <c r="Y14" t="inlineStr">
        <is>
          <t>CN</t>
        </is>
      </c>
      <c r="Z14" t="n">
        <v>11.5</v>
      </c>
      <c r="AA14" t="inlineStr">
        <is>
          <t>A</t>
        </is>
      </c>
      <c r="AB14" t="n">
        <v>3.8</v>
      </c>
      <c r="AC14" t="inlineStr">
        <is>
          <t>A</t>
        </is>
      </c>
      <c r="AD14" t="n">
        <v>4</v>
      </c>
      <c r="AE14" t="inlineStr">
        <is>
          <t>A</t>
        </is>
      </c>
      <c r="AF14" t="n">
        <v>4</v>
      </c>
      <c r="AG14" t="inlineStr">
        <is>
          <t>A</t>
        </is>
      </c>
      <c r="AH14" t="n">
        <v>4</v>
      </c>
      <c r="AI14" t="inlineStr">
        <is>
          <t>A</t>
        </is>
      </c>
      <c r="AJ14" t="n">
        <v>4</v>
      </c>
      <c r="AK14" t="inlineStr">
        <is>
          <t>A</t>
        </is>
      </c>
      <c r="AL14" t="n">
        <v>4</v>
      </c>
      <c r="AM14" t="inlineStr">
        <is>
          <t>CN</t>
        </is>
      </c>
      <c r="AN14" t="n">
        <v>12</v>
      </c>
      <c r="AO14" t="inlineStr">
        <is>
          <t>C</t>
        </is>
      </c>
      <c r="AP14" t="n">
        <v>4</v>
      </c>
      <c r="AQ14" t="inlineStr">
        <is>
          <t>C</t>
        </is>
      </c>
      <c r="AR14" t="n">
        <v>4</v>
      </c>
      <c r="AS14" t="inlineStr">
        <is>
          <t>C</t>
        </is>
      </c>
      <c r="AT14" t="n">
        <v>4</v>
      </c>
      <c r="AU14" t="inlineStr">
        <is>
          <t>C</t>
        </is>
      </c>
      <c r="AV14" t="n">
        <v>4</v>
      </c>
      <c r="AW14" t="inlineStr">
        <is>
          <t>C</t>
        </is>
      </c>
      <c r="AX14" t="n">
        <v>4</v>
      </c>
      <c r="AY14" t="inlineStr">
        <is>
          <t>C</t>
        </is>
      </c>
      <c r="AZ14" t="n">
        <v>4</v>
      </c>
      <c r="BA14" t="inlineStr">
        <is>
          <t>CN</t>
        </is>
      </c>
      <c r="BB14" t="n">
        <v>11.5</v>
      </c>
      <c r="BC14" t="inlineStr">
        <is>
          <t>A</t>
        </is>
      </c>
      <c r="BD14" t="n">
        <v>3.8</v>
      </c>
      <c r="BE14" t="inlineStr">
        <is>
          <t>A</t>
        </is>
      </c>
      <c r="BF14" t="n">
        <v>4</v>
      </c>
      <c r="BG14" t="inlineStr">
        <is>
          <t>A</t>
        </is>
      </c>
      <c r="BH14" t="n">
        <v>4</v>
      </c>
      <c r="BI14" t="inlineStr">
        <is>
          <t>A</t>
        </is>
      </c>
      <c r="BJ14" t="n">
        <v>4</v>
      </c>
      <c r="BK14" t="inlineStr">
        <is>
          <t>A</t>
        </is>
      </c>
      <c r="BL14" t="n">
        <v>4</v>
      </c>
      <c r="BM14" t="inlineStr">
        <is>
          <t>A</t>
        </is>
      </c>
      <c r="BN14" t="n">
        <v>4</v>
      </c>
      <c r="BO14" t="inlineStr">
        <is>
          <t>CN</t>
        </is>
      </c>
      <c r="BP14" t="n">
        <v>12</v>
      </c>
      <c r="BQ14">
        <f>COUNTIF($G14:BP14,"a")+COUNTIF($G14:BP14,"r0,a5")/2+COUNTIF($G14:BP14,"p5,a5")/2</f>
        <v/>
      </c>
      <c r="BR14">
        <f>COUNTIF($G14:BP14,"d")+COUNTIF($G14:BP14,"r0,d5")/2+COUNTIF($G14:BP14,"p5,d5")/2</f>
        <v/>
      </c>
      <c r="BS14">
        <f>COUNTIF($G14:BP14,"b")+COUNTIF($G14:BP14,"r0,b5")/2+COUNTIF($G14:BP14,"p5,b5")/2</f>
        <v/>
      </c>
      <c r="BT14">
        <f>COUNTIF($G14:BP14,"c")+COUNTIF($G14:BP14,"r0,c5")/2+COUNTIF($G14:BP14,"p5,c5")/2</f>
        <v/>
      </c>
      <c r="BU14">
        <f>COUNTIF($G14:BP14,"KH")+COUNTIF($G14:BP14,"TL")+COUNTIF($G14:BP14,"L")</f>
        <v/>
      </c>
      <c r="BV14" t="inlineStr"/>
      <c r="BW14">
        <f>COUNTIF($G14:BP14,"hh")</f>
        <v/>
      </c>
      <c r="BX14">
        <f>COUNTIF($G14:BP14,"nt7")</f>
        <v/>
      </c>
      <c r="BY14">
        <f>COUNTIF($G14:BP14,"P")+COUNTIF($G14:BP14,"p5,a5")/2+COUNTIF($G14:BP14,"p5,b5")/2+COUNTIF($G14:BP14,"p5,c5")/2+COUNTIF($G14:BP14,"p5,d5")/2</f>
        <v/>
      </c>
      <c r="BZ14">
        <f>SUBTOTAL(9,BQ7:BY7)</f>
        <v/>
      </c>
      <c r="CA14">
        <f>SUM(J7,L7,N7,P7,R7,T7,X7,Z7,AB7,AD7,AF7,AH7,AL7,AN7,AP7,AR7,AT7,AV7,AZ7,BB7,BD7,BF7,BH7,BP7)</f>
        <v/>
      </c>
      <c r="CB14">
        <f>SUM(H7,V7,AJ7,AX7,BL7)</f>
        <v/>
      </c>
      <c r="CC14">
        <f>SUM(BJ7,BN7)</f>
        <v/>
      </c>
      <c r="CD14">
        <f>IF(BZ7&gt;25,4,IF(BZ7&gt;18,3,IF(BZ7&gt;12,2,IF(BZ7&gt;4,1,0))))-BX7-2+1</f>
        <v/>
      </c>
      <c r="CE14" t="inlineStr"/>
      <c r="CF14">
        <f>CD7*CI7</f>
        <v/>
      </c>
      <c r="CG14">
        <f>F7-BY7+1</f>
        <v/>
      </c>
      <c r="CH14">
        <f>CE7*16</f>
        <v/>
      </c>
      <c r="CI14" t="inlineStr"/>
      <c r="CJ14" t="inlineStr"/>
      <c r="CK14" t="inlineStr"/>
      <c r="CL14" t="inlineStr"/>
    </row>
    <row r="15">
      <c r="A15" t="inlineStr">
        <is>
          <t>6</t>
        </is>
      </c>
      <c r="G15" t="inlineStr">
        <is>
          <t>A</t>
        </is>
      </c>
      <c r="H15" t="n">
        <v>1</v>
      </c>
      <c r="I15" t="inlineStr">
        <is>
          <t>A</t>
        </is>
      </c>
      <c r="J15" t="n">
        <v>1</v>
      </c>
      <c r="L15" t="n">
        <v>0</v>
      </c>
      <c r="M15" t="inlineStr">
        <is>
          <t>C</t>
        </is>
      </c>
      <c r="N15" t="n">
        <v>4</v>
      </c>
      <c r="O15" t="inlineStr">
        <is>
          <t>C</t>
        </is>
      </c>
      <c r="P15" t="n">
        <v>4</v>
      </c>
      <c r="Q15" t="inlineStr">
        <is>
          <t>C</t>
        </is>
      </c>
      <c r="R15" t="n">
        <v>4</v>
      </c>
      <c r="S15" t="inlineStr">
        <is>
          <t>C</t>
        </is>
      </c>
      <c r="T15" t="n">
        <v>4</v>
      </c>
      <c r="U15" t="inlineStr">
        <is>
          <t>C</t>
        </is>
      </c>
      <c r="V15" t="n">
        <v>4</v>
      </c>
      <c r="W15" t="inlineStr">
        <is>
          <t>C</t>
        </is>
      </c>
      <c r="X15" t="n">
        <v>4</v>
      </c>
      <c r="Z15" t="n">
        <v>0</v>
      </c>
      <c r="AA15" t="inlineStr">
        <is>
          <t>A</t>
        </is>
      </c>
      <c r="AB15" t="n">
        <v>4</v>
      </c>
      <c r="AC15" t="inlineStr">
        <is>
          <t>A</t>
        </is>
      </c>
      <c r="AD15" t="n">
        <v>4</v>
      </c>
      <c r="AE15" t="inlineStr">
        <is>
          <t>A</t>
        </is>
      </c>
      <c r="AF15" t="n">
        <v>4</v>
      </c>
      <c r="AG15" t="inlineStr">
        <is>
          <t>A</t>
        </is>
      </c>
      <c r="AH15" t="n">
        <v>4</v>
      </c>
      <c r="AI15" t="inlineStr">
        <is>
          <t>A</t>
        </is>
      </c>
      <c r="AJ15" t="n">
        <v>4</v>
      </c>
      <c r="AK15" t="inlineStr">
        <is>
          <t>A</t>
        </is>
      </c>
      <c r="AL15" t="n">
        <v>4</v>
      </c>
      <c r="AN15" t="n">
        <v>0</v>
      </c>
      <c r="AO15" t="inlineStr">
        <is>
          <t>C</t>
        </is>
      </c>
      <c r="AP15" t="n">
        <v>4</v>
      </c>
      <c r="AQ15" t="inlineStr">
        <is>
          <t>C</t>
        </is>
      </c>
      <c r="AR15" t="n">
        <v>4</v>
      </c>
      <c r="AS15" t="inlineStr">
        <is>
          <t>C</t>
        </is>
      </c>
      <c r="AT15" t="n">
        <v>4</v>
      </c>
      <c r="AU15" t="inlineStr">
        <is>
          <t>C</t>
        </is>
      </c>
      <c r="AV15" t="n">
        <v>4</v>
      </c>
      <c r="AW15" t="inlineStr">
        <is>
          <t>C</t>
        </is>
      </c>
      <c r="AX15" t="n">
        <v>4</v>
      </c>
      <c r="AY15" t="inlineStr">
        <is>
          <t>C</t>
        </is>
      </c>
      <c r="AZ15" t="n">
        <v>4</v>
      </c>
      <c r="BB15" t="n">
        <v>0</v>
      </c>
      <c r="BC15" t="inlineStr">
        <is>
          <t>A</t>
        </is>
      </c>
      <c r="BD15" t="n">
        <v>4</v>
      </c>
      <c r="BE15" t="inlineStr">
        <is>
          <t>A</t>
        </is>
      </c>
      <c r="BF15" t="n">
        <v>4</v>
      </c>
      <c r="BG15" t="inlineStr">
        <is>
          <t>A</t>
        </is>
      </c>
      <c r="BH15" t="n">
        <v>4</v>
      </c>
      <c r="BI15" t="inlineStr">
        <is>
          <t>A</t>
        </is>
      </c>
      <c r="BJ15" t="n">
        <v>4</v>
      </c>
      <c r="BK15" t="inlineStr">
        <is>
          <t>A</t>
        </is>
      </c>
      <c r="BL15" t="n">
        <v>4</v>
      </c>
      <c r="BM15" t="inlineStr">
        <is>
          <t>A</t>
        </is>
      </c>
      <c r="BN15" t="n">
        <v>4</v>
      </c>
      <c r="BP15" t="n">
        <v>0</v>
      </c>
      <c r="BQ15">
        <f>COUNTIF($G15:BP15,"a")+COUNTIF($G15:BP15,"r0,a5")/2+COUNTIF($G15:BP15,"p5,a5")/2</f>
        <v/>
      </c>
      <c r="BR15">
        <f>COUNTIF($G15:BP15,"d")+COUNTIF($G15:BP15,"r0,d5")/2+COUNTIF($G15:BP15,"p5,d5")/2</f>
        <v/>
      </c>
      <c r="BS15">
        <f>COUNTIF($G15:BP15,"b")+COUNTIF($G15:BP15,"r0,b5")/2+COUNTIF($G15:BP15,"p5,b5")/2</f>
        <v/>
      </c>
      <c r="BT15">
        <f>COUNTIF($G15:BP15,"c")+COUNTIF($G15:BP15,"r0,c5")/2+COUNTIF($G15:BP15,"p5,c5")/2</f>
        <v/>
      </c>
      <c r="BU15">
        <f>COUNTIF($G15:BP15,"KH")+COUNTIF($G15:BP15,"TL")+COUNTIF($G15:BP15,"L")</f>
        <v/>
      </c>
      <c r="BV15" t="inlineStr"/>
      <c r="BW15">
        <f>COUNTIF($G15:BP15,"hh")</f>
        <v/>
      </c>
      <c r="BX15">
        <f>COUNTIF($G15:BP15,"nt7")</f>
        <v/>
      </c>
      <c r="BY15">
        <f>COUNTIF($G15:BP15,"P")+COUNTIF($G15:BP15,"p5,a5")/2+COUNTIF($G15:BP15,"p5,b5")/2+COUNTIF($G15:BP15,"p5,c5")/2+COUNTIF($G15:BP15,"p5,d5")/2</f>
        <v/>
      </c>
      <c r="BZ15">
        <f>SUBTOTAL(9,BQ7:BY7)</f>
        <v/>
      </c>
      <c r="CA15">
        <f>SUM(J7,L7,N7,P7,R7,T7,X7,Z7,AB7,AD7,AF7,AH7,AL7,AN7,AP7,AR7,AT7,AV7,AZ7,BB7,BD7,BF7,BH7,BP7)</f>
        <v/>
      </c>
      <c r="CB15">
        <f>SUM(H7,V7,AJ7,AX7,BL7)</f>
        <v/>
      </c>
      <c r="CC15">
        <f>SUM(BJ7,BN7)</f>
        <v/>
      </c>
      <c r="CD15">
        <f>IF(BZ7&gt;25,4,IF(BZ7&gt;18,3,IF(BZ7&gt;12,2,IF(BZ7&gt;4,1,0))))-BX7-2+1</f>
        <v/>
      </c>
      <c r="CE15" t="inlineStr"/>
      <c r="CF15">
        <f>CD7*CI7</f>
        <v/>
      </c>
      <c r="CG15">
        <f>F7-BY7+1</f>
        <v/>
      </c>
      <c r="CH15">
        <f>CE7*16</f>
        <v/>
      </c>
      <c r="CI15" t="inlineStr"/>
      <c r="CJ15" t="inlineStr"/>
      <c r="CK15" t="inlineStr"/>
      <c r="CL15" t="inlineStr"/>
    </row>
    <row r="16">
      <c r="A16" t="inlineStr">
        <is>
          <t>7</t>
        </is>
      </c>
      <c r="G16" t="inlineStr">
        <is>
          <t>A</t>
        </is>
      </c>
      <c r="H16" t="n">
        <v>4</v>
      </c>
      <c r="I16" t="inlineStr">
        <is>
          <t>A</t>
        </is>
      </c>
      <c r="J16" t="n">
        <v>4</v>
      </c>
      <c r="L16" t="n">
        <v>0</v>
      </c>
      <c r="M16" t="inlineStr">
        <is>
          <t>C</t>
        </is>
      </c>
      <c r="N16" t="n">
        <v>4</v>
      </c>
      <c r="O16" t="inlineStr">
        <is>
          <t>C</t>
        </is>
      </c>
      <c r="P16" t="n">
        <v>4</v>
      </c>
      <c r="Q16" t="inlineStr">
        <is>
          <t>C</t>
        </is>
      </c>
      <c r="R16" t="n">
        <v>4</v>
      </c>
      <c r="S16" t="inlineStr">
        <is>
          <t>C</t>
        </is>
      </c>
      <c r="T16" t="n">
        <v>4</v>
      </c>
      <c r="U16" t="inlineStr">
        <is>
          <t>C</t>
        </is>
      </c>
      <c r="V16" t="n">
        <v>4</v>
      </c>
      <c r="W16" t="inlineStr">
        <is>
          <t>C</t>
        </is>
      </c>
      <c r="X16" t="n">
        <v>4</v>
      </c>
      <c r="Z16" t="n">
        <v>0</v>
      </c>
      <c r="AA16" t="inlineStr">
        <is>
          <t>A</t>
        </is>
      </c>
      <c r="AB16" t="n">
        <v>4</v>
      </c>
      <c r="AC16" t="inlineStr">
        <is>
          <t>A</t>
        </is>
      </c>
      <c r="AD16" t="n">
        <v>4</v>
      </c>
      <c r="AE16" t="inlineStr">
        <is>
          <t>A</t>
        </is>
      </c>
      <c r="AF16" t="n">
        <v>4</v>
      </c>
      <c r="AG16" t="inlineStr">
        <is>
          <t>A</t>
        </is>
      </c>
      <c r="AH16" t="n">
        <v>4</v>
      </c>
      <c r="AI16" t="inlineStr">
        <is>
          <t>A</t>
        </is>
      </c>
      <c r="AJ16" t="n">
        <v>4</v>
      </c>
      <c r="AK16" t="inlineStr">
        <is>
          <t>A</t>
        </is>
      </c>
      <c r="AL16" t="n">
        <v>4</v>
      </c>
      <c r="AN16" t="n">
        <v>0</v>
      </c>
      <c r="AO16" t="inlineStr">
        <is>
          <t>C</t>
        </is>
      </c>
      <c r="AP16" t="n">
        <v>4</v>
      </c>
      <c r="AQ16" t="inlineStr">
        <is>
          <t>C</t>
        </is>
      </c>
      <c r="AR16" t="n">
        <v>4</v>
      </c>
      <c r="AS16" t="inlineStr">
        <is>
          <t>C</t>
        </is>
      </c>
      <c r="AT16" t="n">
        <v>4</v>
      </c>
      <c r="AU16" t="inlineStr">
        <is>
          <t>C</t>
        </is>
      </c>
      <c r="AV16" t="n">
        <v>4</v>
      </c>
      <c r="AW16" t="inlineStr">
        <is>
          <t>C</t>
        </is>
      </c>
      <c r="AX16" t="n">
        <v>4</v>
      </c>
      <c r="AY16" t="inlineStr">
        <is>
          <t>C</t>
        </is>
      </c>
      <c r="AZ16" t="n">
        <v>4</v>
      </c>
      <c r="BB16" t="n">
        <v>0</v>
      </c>
      <c r="BC16" t="inlineStr">
        <is>
          <t>A</t>
        </is>
      </c>
      <c r="BD16" t="n">
        <v>4</v>
      </c>
      <c r="BE16" t="inlineStr">
        <is>
          <t>A</t>
        </is>
      </c>
      <c r="BF16" t="n">
        <v>4</v>
      </c>
      <c r="BG16" t="inlineStr">
        <is>
          <t>A</t>
        </is>
      </c>
      <c r="BH16" t="n">
        <v>4</v>
      </c>
      <c r="BI16" t="inlineStr">
        <is>
          <t>A</t>
        </is>
      </c>
      <c r="BJ16" t="n">
        <v>4</v>
      </c>
      <c r="BK16" t="inlineStr">
        <is>
          <t>A</t>
        </is>
      </c>
      <c r="BL16" t="n">
        <v>4</v>
      </c>
      <c r="BM16" t="inlineStr">
        <is>
          <t>A</t>
        </is>
      </c>
      <c r="BN16" t="n">
        <v>4</v>
      </c>
      <c r="BP16" t="n">
        <v>0</v>
      </c>
      <c r="BQ16">
        <f>COUNTIF($G16:BP16,"a")+COUNTIF($G16:BP16,"r0,a5")/2+COUNTIF($G16:BP16,"p5,a5")/2</f>
        <v/>
      </c>
      <c r="BR16">
        <f>COUNTIF($G16:BP16,"d")+COUNTIF($G16:BP16,"r0,d5")/2+COUNTIF($G16:BP16,"p5,d5")/2</f>
        <v/>
      </c>
      <c r="BS16">
        <f>COUNTIF($G16:BP16,"b")+COUNTIF($G16:BP16,"r0,b5")/2+COUNTIF($G16:BP16,"p5,b5")/2</f>
        <v/>
      </c>
      <c r="BT16">
        <f>COUNTIF($G16:BP16,"c")+COUNTIF($G16:BP16,"r0,c5")/2+COUNTIF($G16:BP16,"p5,c5")/2</f>
        <v/>
      </c>
      <c r="BU16">
        <f>COUNTIF($G16:BP16,"KH")+COUNTIF($G16:BP16,"TL")+COUNTIF($G16:BP16,"L")</f>
        <v/>
      </c>
      <c r="BV16" t="inlineStr"/>
      <c r="BW16">
        <f>COUNTIF($G16:BP16,"hh")</f>
        <v/>
      </c>
      <c r="BX16">
        <f>COUNTIF($G16:BP16,"nt7")</f>
        <v/>
      </c>
      <c r="BY16">
        <f>COUNTIF($G16:BP16,"P")+COUNTIF($G16:BP16,"p5,a5")/2+COUNTIF($G16:BP16,"p5,b5")/2+COUNTIF($G16:BP16,"p5,c5")/2+COUNTIF($G16:BP16,"p5,d5")/2</f>
        <v/>
      </c>
      <c r="BZ16">
        <f>SUBTOTAL(9,BQ7:BY7)</f>
        <v/>
      </c>
      <c r="CA16">
        <f>SUM(J7,L7,N7,P7,R7,T7,X7,Z7,AB7,AD7,AF7,AH7,AL7,AN7,AP7,AR7,AT7,AV7,AZ7,BB7,BD7,BF7,BH7,BP7)</f>
        <v/>
      </c>
      <c r="CB16">
        <f>SUM(H7,V7,AJ7,AX7,BL7)</f>
        <v/>
      </c>
      <c r="CC16">
        <f>SUM(BJ7,BN7)</f>
        <v/>
      </c>
      <c r="CD16">
        <f>IF(BZ7&gt;25,4,IF(BZ7&gt;18,3,IF(BZ7&gt;12,2,IF(BZ7&gt;4,1,0))))-BX7-2+1</f>
        <v/>
      </c>
      <c r="CE16" t="inlineStr"/>
      <c r="CF16">
        <f>CD7*CI7</f>
        <v/>
      </c>
      <c r="CG16">
        <f>F7-BY7+1</f>
        <v/>
      </c>
      <c r="CH16">
        <f>CE7*16</f>
        <v/>
      </c>
      <c r="CI16" t="inlineStr"/>
      <c r="CJ16" t="inlineStr"/>
      <c r="CK16" t="inlineStr"/>
      <c r="CL16" t="inlineStr"/>
    </row>
    <row r="17">
      <c r="A17" t="inlineStr">
        <is>
          <t>8</t>
        </is>
      </c>
      <c r="G17" t="inlineStr">
        <is>
          <t>A</t>
        </is>
      </c>
      <c r="H17" t="n">
        <v>4</v>
      </c>
      <c r="I17" t="inlineStr">
        <is>
          <t>A</t>
        </is>
      </c>
      <c r="J17" t="n">
        <v>4</v>
      </c>
      <c r="L17" t="n">
        <v>0</v>
      </c>
      <c r="M17" t="inlineStr">
        <is>
          <t>C</t>
        </is>
      </c>
      <c r="N17" t="n">
        <v>4</v>
      </c>
      <c r="O17" t="inlineStr">
        <is>
          <t>C</t>
        </is>
      </c>
      <c r="P17" t="n">
        <v>4</v>
      </c>
      <c r="Q17" t="inlineStr">
        <is>
          <t>C</t>
        </is>
      </c>
      <c r="R17" t="n">
        <v>4</v>
      </c>
      <c r="S17" t="inlineStr">
        <is>
          <t>C</t>
        </is>
      </c>
      <c r="T17" t="n">
        <v>4</v>
      </c>
      <c r="U17" t="inlineStr">
        <is>
          <t>C</t>
        </is>
      </c>
      <c r="V17" t="n">
        <v>4</v>
      </c>
      <c r="W17" t="inlineStr">
        <is>
          <t>C</t>
        </is>
      </c>
      <c r="X17" t="n">
        <v>4</v>
      </c>
      <c r="Z17" t="n">
        <v>0</v>
      </c>
      <c r="AA17" t="inlineStr">
        <is>
          <t>A</t>
        </is>
      </c>
      <c r="AB17" t="n">
        <v>4</v>
      </c>
      <c r="AC17" t="inlineStr">
        <is>
          <t>A</t>
        </is>
      </c>
      <c r="AD17" t="n">
        <v>4</v>
      </c>
      <c r="AE17" t="inlineStr">
        <is>
          <t>A</t>
        </is>
      </c>
      <c r="AF17" t="n">
        <v>4</v>
      </c>
      <c r="AG17" t="inlineStr">
        <is>
          <t>A</t>
        </is>
      </c>
      <c r="AH17" t="n">
        <v>4</v>
      </c>
      <c r="AI17" t="inlineStr">
        <is>
          <t>A</t>
        </is>
      </c>
      <c r="AJ17" t="n">
        <v>4</v>
      </c>
      <c r="AK17" t="inlineStr">
        <is>
          <t>A</t>
        </is>
      </c>
      <c r="AL17" t="n">
        <v>4</v>
      </c>
      <c r="AN17" t="n">
        <v>0</v>
      </c>
      <c r="AO17" t="inlineStr">
        <is>
          <t>C</t>
        </is>
      </c>
      <c r="AP17" t="n">
        <v>4</v>
      </c>
      <c r="AQ17" t="inlineStr">
        <is>
          <t>C</t>
        </is>
      </c>
      <c r="AR17" t="n">
        <v>4</v>
      </c>
      <c r="AS17" t="inlineStr">
        <is>
          <t>C</t>
        </is>
      </c>
      <c r="AT17" t="n">
        <v>4</v>
      </c>
      <c r="AU17" t="inlineStr">
        <is>
          <t>C</t>
        </is>
      </c>
      <c r="AV17" t="n">
        <v>4</v>
      </c>
      <c r="AW17" t="inlineStr">
        <is>
          <t>C</t>
        </is>
      </c>
      <c r="AX17" t="n">
        <v>4</v>
      </c>
      <c r="AY17" t="inlineStr">
        <is>
          <t>C</t>
        </is>
      </c>
      <c r="AZ17" t="n">
        <v>4</v>
      </c>
      <c r="BB17" t="n">
        <v>0</v>
      </c>
      <c r="BC17" t="inlineStr">
        <is>
          <t>A</t>
        </is>
      </c>
      <c r="BD17" t="n">
        <v>4</v>
      </c>
      <c r="BE17" t="inlineStr">
        <is>
          <t>A</t>
        </is>
      </c>
      <c r="BF17" t="n">
        <v>4</v>
      </c>
      <c r="BG17" t="inlineStr">
        <is>
          <t>A</t>
        </is>
      </c>
      <c r="BH17" t="n">
        <v>4</v>
      </c>
      <c r="BI17" t="inlineStr">
        <is>
          <t>A</t>
        </is>
      </c>
      <c r="BJ17" t="n">
        <v>4</v>
      </c>
      <c r="BK17" t="inlineStr">
        <is>
          <t>A</t>
        </is>
      </c>
      <c r="BL17" t="n">
        <v>4</v>
      </c>
      <c r="BM17" t="inlineStr">
        <is>
          <t>A</t>
        </is>
      </c>
      <c r="BN17" t="n">
        <v>4</v>
      </c>
      <c r="BP17" t="n">
        <v>0</v>
      </c>
      <c r="BQ17">
        <f>COUNTIF($G17:BP17,"a")+COUNTIF($G17:BP17,"r0,a5")/2+COUNTIF($G17:BP17,"p5,a5")/2</f>
        <v/>
      </c>
      <c r="BR17">
        <f>COUNTIF($G17:BP17,"d")+COUNTIF($G17:BP17,"r0,d5")/2+COUNTIF($G17:BP17,"p5,d5")/2</f>
        <v/>
      </c>
      <c r="BS17">
        <f>COUNTIF($G17:BP17,"b")+COUNTIF($G17:BP17,"r0,b5")/2+COUNTIF($G17:BP17,"p5,b5")/2</f>
        <v/>
      </c>
      <c r="BT17">
        <f>COUNTIF($G17:BP17,"c")+COUNTIF($G17:BP17,"r0,c5")/2+COUNTIF($G17:BP17,"p5,c5")/2</f>
        <v/>
      </c>
      <c r="BU17">
        <f>COUNTIF($G17:BP17,"KH")+COUNTIF($G17:BP17,"TL")+COUNTIF($G17:BP17,"L")</f>
        <v/>
      </c>
      <c r="BV17" t="inlineStr"/>
      <c r="BW17">
        <f>COUNTIF($G17:BP17,"hh")</f>
        <v/>
      </c>
      <c r="BX17">
        <f>COUNTIF($G17:BP17,"nt7")</f>
        <v/>
      </c>
      <c r="BY17">
        <f>COUNTIF($G17:BP17,"P")+COUNTIF($G17:BP17,"p5,a5")/2+COUNTIF($G17:BP17,"p5,b5")/2+COUNTIF($G17:BP17,"p5,c5")/2+COUNTIF($G17:BP17,"p5,d5")/2</f>
        <v/>
      </c>
      <c r="BZ17">
        <f>SUBTOTAL(9,BQ7:BY7)</f>
        <v/>
      </c>
      <c r="CA17">
        <f>SUM(J7,L7,N7,P7,R7,T7,X7,Z7,AB7,AD7,AF7,AH7,AL7,AN7,AP7,AR7,AT7,AV7,AZ7,BB7,BD7,BF7,BH7,BP7)</f>
        <v/>
      </c>
      <c r="CB17">
        <f>SUM(H7,V7,AJ7,AX7,BL7)</f>
        <v/>
      </c>
      <c r="CC17">
        <f>SUM(BJ7,BN7)</f>
        <v/>
      </c>
      <c r="CD17">
        <f>IF(BZ7&gt;25,4,IF(BZ7&gt;18,3,IF(BZ7&gt;12,2,IF(BZ7&gt;4,1,0))))-BX7-2+1</f>
        <v/>
      </c>
      <c r="CE17" t="inlineStr"/>
      <c r="CF17">
        <f>CD7*CI7</f>
        <v/>
      </c>
      <c r="CG17">
        <f>F7-BY7+1</f>
        <v/>
      </c>
      <c r="CH17">
        <f>CE7*16</f>
        <v/>
      </c>
      <c r="CI17" t="inlineStr"/>
      <c r="CJ17" t="inlineStr"/>
      <c r="CK17" t="inlineStr"/>
      <c r="CL17" t="inlineStr"/>
    </row>
    <row r="18">
      <c r="A18" t="inlineStr">
        <is>
          <t>9</t>
        </is>
      </c>
      <c r="G18" t="inlineStr">
        <is>
          <t>A</t>
        </is>
      </c>
      <c r="H18" t="n">
        <v>4</v>
      </c>
      <c r="I18" t="inlineStr">
        <is>
          <t>A</t>
        </is>
      </c>
      <c r="J18" t="n">
        <v>4</v>
      </c>
      <c r="L18" t="n">
        <v>0</v>
      </c>
      <c r="M18" t="inlineStr">
        <is>
          <t>C</t>
        </is>
      </c>
      <c r="N18" t="n">
        <v>4</v>
      </c>
      <c r="O18" t="inlineStr">
        <is>
          <t>C</t>
        </is>
      </c>
      <c r="P18" t="n">
        <v>4</v>
      </c>
      <c r="Q18" t="inlineStr">
        <is>
          <t>C</t>
        </is>
      </c>
      <c r="R18" t="n">
        <v>4</v>
      </c>
      <c r="S18" t="inlineStr">
        <is>
          <t>C</t>
        </is>
      </c>
      <c r="T18" t="n">
        <v>4</v>
      </c>
      <c r="U18" t="inlineStr">
        <is>
          <t>C</t>
        </is>
      </c>
      <c r="V18" t="n">
        <v>4</v>
      </c>
      <c r="W18" t="inlineStr">
        <is>
          <t>C</t>
        </is>
      </c>
      <c r="X18" t="n">
        <v>4</v>
      </c>
      <c r="Z18" t="n">
        <v>0</v>
      </c>
      <c r="AA18" t="inlineStr">
        <is>
          <t>A</t>
        </is>
      </c>
      <c r="AB18" t="n">
        <v>4</v>
      </c>
      <c r="AC18" t="inlineStr">
        <is>
          <t>A</t>
        </is>
      </c>
      <c r="AD18" t="n">
        <v>4</v>
      </c>
      <c r="AE18" t="inlineStr">
        <is>
          <t>A</t>
        </is>
      </c>
      <c r="AF18" t="n">
        <v>4</v>
      </c>
      <c r="AG18" t="inlineStr">
        <is>
          <t>A</t>
        </is>
      </c>
      <c r="AH18" t="n">
        <v>4</v>
      </c>
      <c r="AI18" t="inlineStr">
        <is>
          <t>A</t>
        </is>
      </c>
      <c r="AJ18" t="n">
        <v>4</v>
      </c>
      <c r="AK18" t="inlineStr">
        <is>
          <t>A</t>
        </is>
      </c>
      <c r="AL18" t="n">
        <v>4</v>
      </c>
      <c r="AN18" t="n">
        <v>0</v>
      </c>
      <c r="AO18" t="inlineStr">
        <is>
          <t>C</t>
        </is>
      </c>
      <c r="AP18" t="n">
        <v>4</v>
      </c>
      <c r="AQ18" t="inlineStr">
        <is>
          <t>C</t>
        </is>
      </c>
      <c r="AR18" t="n">
        <v>4</v>
      </c>
      <c r="AS18" t="inlineStr">
        <is>
          <t>C</t>
        </is>
      </c>
      <c r="AT18" t="n">
        <v>4</v>
      </c>
      <c r="AU18" t="inlineStr">
        <is>
          <t>C</t>
        </is>
      </c>
      <c r="AV18" t="n">
        <v>4</v>
      </c>
      <c r="AW18" t="inlineStr">
        <is>
          <t>C</t>
        </is>
      </c>
      <c r="AX18" t="n">
        <v>4</v>
      </c>
      <c r="AY18" t="inlineStr">
        <is>
          <t>C</t>
        </is>
      </c>
      <c r="AZ18" t="n">
        <v>4</v>
      </c>
      <c r="BB18" t="n">
        <v>0</v>
      </c>
      <c r="BC18" t="inlineStr">
        <is>
          <t>A</t>
        </is>
      </c>
      <c r="BD18" t="n">
        <v>4</v>
      </c>
      <c r="BE18" t="inlineStr">
        <is>
          <t>A</t>
        </is>
      </c>
      <c r="BF18" t="n">
        <v>4</v>
      </c>
      <c r="BG18" t="inlineStr">
        <is>
          <t>A</t>
        </is>
      </c>
      <c r="BH18" t="n">
        <v>4</v>
      </c>
      <c r="BI18" t="inlineStr">
        <is>
          <t>A</t>
        </is>
      </c>
      <c r="BJ18" t="n">
        <v>4</v>
      </c>
      <c r="BK18" t="inlineStr">
        <is>
          <t>A</t>
        </is>
      </c>
      <c r="BL18" t="n">
        <v>4</v>
      </c>
      <c r="BM18" t="inlineStr">
        <is>
          <t>A</t>
        </is>
      </c>
      <c r="BN18" t="n">
        <v>4</v>
      </c>
      <c r="BP18" t="n">
        <v>0</v>
      </c>
      <c r="BQ18">
        <f>COUNTIF($G18:BP18,"a")+COUNTIF($G18:BP18,"r0,a5")/2+COUNTIF($G18:BP18,"p5,a5")/2</f>
        <v/>
      </c>
      <c r="BR18">
        <f>COUNTIF($G18:BP18,"d")+COUNTIF($G18:BP18,"r0,d5")/2+COUNTIF($G18:BP18,"p5,d5")/2</f>
        <v/>
      </c>
      <c r="BS18">
        <f>COUNTIF($G18:BP18,"b")+COUNTIF($G18:BP18,"r0,b5")/2+COUNTIF($G18:BP18,"p5,b5")/2</f>
        <v/>
      </c>
      <c r="BT18">
        <f>COUNTIF($G18:BP18,"c")+COUNTIF($G18:BP18,"r0,c5")/2+COUNTIF($G18:BP18,"p5,c5")/2</f>
        <v/>
      </c>
      <c r="BU18">
        <f>COUNTIF($G18:BP18,"KH")+COUNTIF($G18:BP18,"TL")+COUNTIF($G18:BP18,"L")</f>
        <v/>
      </c>
      <c r="BV18" t="inlineStr"/>
      <c r="BW18">
        <f>COUNTIF($G18:BP18,"hh")</f>
        <v/>
      </c>
      <c r="BX18">
        <f>COUNTIF($G18:BP18,"nt7")</f>
        <v/>
      </c>
      <c r="BY18">
        <f>COUNTIF($G18:BP18,"P")+COUNTIF($G18:BP18,"p5,a5")/2+COUNTIF($G18:BP18,"p5,b5")/2+COUNTIF($G18:BP18,"p5,c5")/2+COUNTIF($G18:BP18,"p5,d5")/2</f>
        <v/>
      </c>
      <c r="BZ18">
        <f>SUBTOTAL(9,BQ7:BY7)</f>
        <v/>
      </c>
      <c r="CA18">
        <f>SUM(J7,L7,N7,P7,R7,T7,X7,Z7,AB7,AD7,AF7,AH7,AL7,AN7,AP7,AR7,AT7,AV7,AZ7,BB7,BD7,BF7,BH7,BP7)</f>
        <v/>
      </c>
      <c r="CB18">
        <f>SUM(H7,V7,AJ7,AX7,BL7)</f>
        <v/>
      </c>
      <c r="CC18">
        <f>SUM(BJ7,BN7)</f>
        <v/>
      </c>
      <c r="CD18">
        <f>IF(BZ7&gt;25,4,IF(BZ7&gt;18,3,IF(BZ7&gt;12,2,IF(BZ7&gt;4,1,0))))-BX7-2+1</f>
        <v/>
      </c>
      <c r="CE18" t="inlineStr"/>
      <c r="CF18">
        <f>CD7*CI7</f>
        <v/>
      </c>
      <c r="CG18">
        <f>F7-BY7+1</f>
        <v/>
      </c>
      <c r="CH18">
        <f>CE7*16</f>
        <v/>
      </c>
      <c r="CI18" t="inlineStr"/>
      <c r="CJ18" t="inlineStr"/>
      <c r="CK18" t="inlineStr"/>
      <c r="CL18" t="inlineStr"/>
    </row>
    <row r="19">
      <c r="A19" t="inlineStr">
        <is>
          <t>A1083</t>
        </is>
      </c>
      <c r="G19" t="inlineStr">
        <is>
          <t>RRRRR</t>
        </is>
      </c>
      <c r="H19" t="n">
        <v>0</v>
      </c>
      <c r="I19" t="inlineStr">
        <is>
          <t>RRRRR</t>
        </is>
      </c>
      <c r="J19" t="n">
        <v>0</v>
      </c>
      <c r="K19" t="inlineStr">
        <is>
          <t>RR</t>
        </is>
      </c>
      <c r="L19" t="n">
        <v>0</v>
      </c>
      <c r="M19" t="inlineStr">
        <is>
          <t>RRRRR</t>
        </is>
      </c>
      <c r="N19" t="n">
        <v>0</v>
      </c>
      <c r="O19" t="inlineStr">
        <is>
          <t>RRRRR</t>
        </is>
      </c>
      <c r="P19" t="n">
        <v>0</v>
      </c>
      <c r="Q19" t="inlineStr">
        <is>
          <t>RRRRR</t>
        </is>
      </c>
      <c r="R19" t="n">
        <v>0</v>
      </c>
      <c r="S19" t="inlineStr">
        <is>
          <t>RRRRR</t>
        </is>
      </c>
      <c r="T19" t="n">
        <v>0</v>
      </c>
      <c r="U19" t="inlineStr">
        <is>
          <t>RRRRR</t>
        </is>
      </c>
      <c r="V19" t="n">
        <v>0</v>
      </c>
      <c r="W19" t="inlineStr">
        <is>
          <t>RR</t>
        </is>
      </c>
      <c r="X19" t="n">
        <v>0</v>
      </c>
      <c r="Y19" t="inlineStr">
        <is>
          <t>RR</t>
        </is>
      </c>
      <c r="Z19" t="n">
        <v>0</v>
      </c>
      <c r="AA19" t="inlineStr">
        <is>
          <t>RRRRR</t>
        </is>
      </c>
      <c r="AB19" t="n">
        <v>0</v>
      </c>
      <c r="AC19" t="inlineStr">
        <is>
          <t>RRRRR</t>
        </is>
      </c>
      <c r="AD19" t="n">
        <v>0</v>
      </c>
      <c r="AE19" t="inlineStr">
        <is>
          <t>RRRRR</t>
        </is>
      </c>
      <c r="AF19" t="n">
        <v>0</v>
      </c>
      <c r="AG19" t="inlineStr">
        <is>
          <t>RRRRR</t>
        </is>
      </c>
      <c r="AH19" t="n">
        <v>0</v>
      </c>
      <c r="AI19" t="inlineStr">
        <is>
          <t>RRRRR</t>
        </is>
      </c>
      <c r="AJ19" t="n">
        <v>0</v>
      </c>
      <c r="AK19" t="inlineStr">
        <is>
          <t>RRRRR</t>
        </is>
      </c>
      <c r="AL19" t="n">
        <v>0</v>
      </c>
      <c r="AM19" t="inlineStr">
        <is>
          <t>RR</t>
        </is>
      </c>
      <c r="AN19" t="n">
        <v>0</v>
      </c>
      <c r="AO19" t="inlineStr">
        <is>
          <t>RRRRR</t>
        </is>
      </c>
      <c r="AP19" t="n">
        <v>0</v>
      </c>
      <c r="AQ19" t="inlineStr">
        <is>
          <t>RRRRR</t>
        </is>
      </c>
      <c r="AR19" t="n">
        <v>0</v>
      </c>
      <c r="AS19" t="inlineStr">
        <is>
          <t>RRRRR</t>
        </is>
      </c>
      <c r="AT19" t="n">
        <v>0</v>
      </c>
      <c r="AU19" t="inlineStr">
        <is>
          <t>RRRRR</t>
        </is>
      </c>
      <c r="AV19" t="n">
        <v>0</v>
      </c>
      <c r="AW19" t="inlineStr">
        <is>
          <t>RRRRR</t>
        </is>
      </c>
      <c r="AX19" t="n">
        <v>0</v>
      </c>
      <c r="AY19" t="inlineStr">
        <is>
          <t>RR</t>
        </is>
      </c>
      <c r="AZ19" t="n">
        <v>0</v>
      </c>
      <c r="BA19" t="inlineStr">
        <is>
          <t>RR</t>
        </is>
      </c>
      <c r="BB19" t="n">
        <v>0</v>
      </c>
      <c r="BC19" t="inlineStr">
        <is>
          <t>RRRRR</t>
        </is>
      </c>
      <c r="BD19" t="n">
        <v>0</v>
      </c>
      <c r="BE19" t="inlineStr">
        <is>
          <t>RRRRR</t>
        </is>
      </c>
      <c r="BF19" t="n">
        <v>0</v>
      </c>
      <c r="BG19" t="inlineStr">
        <is>
          <t>RRRRR</t>
        </is>
      </c>
      <c r="BH19" t="n">
        <v>0</v>
      </c>
      <c r="BI19" t="inlineStr">
        <is>
          <t>RRRRR</t>
        </is>
      </c>
      <c r="BJ19" t="n">
        <v>0</v>
      </c>
      <c r="BK19" t="inlineStr">
        <is>
          <t>RRRRR</t>
        </is>
      </c>
      <c r="BL19" t="n">
        <v>0</v>
      </c>
      <c r="BM19" t="inlineStr">
        <is>
          <t>RRRRR</t>
        </is>
      </c>
      <c r="BN19" t="n">
        <v>0</v>
      </c>
      <c r="BO19" t="inlineStr">
        <is>
          <t>RR</t>
        </is>
      </c>
      <c r="BP19" t="n">
        <v>0</v>
      </c>
      <c r="BQ19">
        <f>COUNTIF($G19:BP19,"a")+COUNTIF($G19:BP19,"r0,a5")/2+COUNTIF($G19:BP19,"p5,a5")/2</f>
        <v/>
      </c>
      <c r="BR19">
        <f>COUNTIF($G19:BP19,"d")+COUNTIF($G19:BP19,"r0,d5")/2+COUNTIF($G19:BP19,"p5,d5")/2</f>
        <v/>
      </c>
      <c r="BS19">
        <f>COUNTIF($G19:BP19,"b")+COUNTIF($G19:BP19,"r0,b5")/2+COUNTIF($G19:BP19,"p5,b5")/2</f>
        <v/>
      </c>
      <c r="BT19">
        <f>COUNTIF($G19:BP19,"c")+COUNTIF($G19:BP19,"r0,c5")/2+COUNTIF($G19:BP19,"p5,c5")/2</f>
        <v/>
      </c>
      <c r="BU19">
        <f>COUNTIF($G19:BP19,"KH")+COUNTIF($G19:BP19,"TL")+COUNTIF($G19:BP19,"L")</f>
        <v/>
      </c>
      <c r="BV19" t="inlineStr"/>
      <c r="BW19">
        <f>COUNTIF($G19:BP19,"hh")</f>
        <v/>
      </c>
      <c r="BX19">
        <f>COUNTIF($G19:BP19,"nt7")</f>
        <v/>
      </c>
      <c r="BY19">
        <f>COUNTIF($G19:BP19,"P")+COUNTIF($G19:BP19,"p5,a5")/2+COUNTIF($G19:BP19,"p5,b5")/2+COUNTIF($G19:BP19,"p5,c5")/2+COUNTIF($G19:BP19,"p5,d5")/2</f>
        <v/>
      </c>
      <c r="BZ19">
        <f>SUBTOTAL(9,BQ7:BY7)</f>
        <v/>
      </c>
      <c r="CA19">
        <f>SUM(J7,L7,N7,P7,R7,T7,X7,Z7,AB7,AD7,AF7,AH7,AL7,AN7,AP7,AR7,AT7,AV7,AZ7,BB7,BD7,BF7,BH7,BP7)</f>
        <v/>
      </c>
      <c r="CB19">
        <f>SUM(H7,V7,AJ7,AX7,BL7)</f>
        <v/>
      </c>
      <c r="CC19">
        <f>SUM(BJ7,BN7)</f>
        <v/>
      </c>
      <c r="CD19">
        <f>IF(BZ7&gt;25,4,IF(BZ7&gt;18,3,IF(BZ7&gt;12,2,IF(BZ7&gt;4,1,0))))-BX7-2+1</f>
        <v/>
      </c>
      <c r="CE19" t="inlineStr"/>
      <c r="CF19">
        <f>CD7*CI7</f>
        <v/>
      </c>
      <c r="CG19">
        <f>F7-BY7+1</f>
        <v/>
      </c>
      <c r="CH19">
        <f>CE7*16</f>
        <v/>
      </c>
      <c r="CI19" t="inlineStr"/>
      <c r="CJ19" t="inlineStr"/>
      <c r="CK19" t="inlineStr"/>
      <c r="CL19" t="inlineStr"/>
    </row>
    <row r="20">
      <c r="A20" t="inlineStr">
        <is>
          <t>A1144</t>
        </is>
      </c>
      <c r="G20" t="inlineStr">
        <is>
          <t>D</t>
        </is>
      </c>
      <c r="H20" t="n">
        <v>0</v>
      </c>
      <c r="I20" t="inlineStr">
        <is>
          <t>D</t>
        </is>
      </c>
      <c r="J20" t="n">
        <v>0</v>
      </c>
      <c r="K20" t="inlineStr">
        <is>
          <t>RR</t>
        </is>
      </c>
      <c r="L20" t="n">
        <v>0</v>
      </c>
      <c r="M20" t="inlineStr">
        <is>
          <t>D</t>
        </is>
      </c>
      <c r="N20" t="n">
        <v>0</v>
      </c>
      <c r="O20" t="inlineStr">
        <is>
          <t>D</t>
        </is>
      </c>
      <c r="P20" t="n">
        <v>0</v>
      </c>
      <c r="Q20" t="inlineStr">
        <is>
          <t>D</t>
        </is>
      </c>
      <c r="R20" t="n">
        <v>0</v>
      </c>
      <c r="S20" t="inlineStr">
        <is>
          <t>D</t>
        </is>
      </c>
      <c r="T20" t="n">
        <v>0</v>
      </c>
      <c r="U20" t="inlineStr">
        <is>
          <t>D</t>
        </is>
      </c>
      <c r="V20" t="n">
        <v>0</v>
      </c>
      <c r="W20" t="inlineStr">
        <is>
          <t>RR</t>
        </is>
      </c>
      <c r="X20" t="n">
        <v>0</v>
      </c>
      <c r="Y20" t="inlineStr">
        <is>
          <t>RR</t>
        </is>
      </c>
      <c r="Z20" t="n">
        <v>0</v>
      </c>
      <c r="AA20" t="inlineStr">
        <is>
          <t>D</t>
        </is>
      </c>
      <c r="AB20" t="n">
        <v>0</v>
      </c>
      <c r="AC20" t="inlineStr">
        <is>
          <t>D</t>
        </is>
      </c>
      <c r="AD20" t="n">
        <v>0</v>
      </c>
      <c r="AE20" t="inlineStr">
        <is>
          <t>D</t>
        </is>
      </c>
      <c r="AF20" t="n">
        <v>0</v>
      </c>
      <c r="AG20" t="inlineStr">
        <is>
          <t>D</t>
        </is>
      </c>
      <c r="AH20" t="n">
        <v>0</v>
      </c>
      <c r="AI20" t="inlineStr">
        <is>
          <t>D</t>
        </is>
      </c>
      <c r="AJ20" t="n">
        <v>0</v>
      </c>
      <c r="AK20" t="inlineStr">
        <is>
          <t>D</t>
        </is>
      </c>
      <c r="AL20" t="n">
        <v>0</v>
      </c>
      <c r="AM20" t="inlineStr">
        <is>
          <t>RR</t>
        </is>
      </c>
      <c r="AN20" t="n">
        <v>0</v>
      </c>
      <c r="AO20" t="inlineStr">
        <is>
          <t>D</t>
        </is>
      </c>
      <c r="AP20" t="n">
        <v>0</v>
      </c>
      <c r="AQ20" t="inlineStr">
        <is>
          <t>D</t>
        </is>
      </c>
      <c r="AR20" t="n">
        <v>0</v>
      </c>
      <c r="AS20" t="inlineStr">
        <is>
          <t>D</t>
        </is>
      </c>
      <c r="AT20" t="n">
        <v>0</v>
      </c>
      <c r="AU20" t="inlineStr">
        <is>
          <t>D</t>
        </is>
      </c>
      <c r="AV20" t="n">
        <v>0</v>
      </c>
      <c r="AW20" t="inlineStr">
        <is>
          <t>D</t>
        </is>
      </c>
      <c r="AX20" t="n">
        <v>0</v>
      </c>
      <c r="AY20" t="inlineStr">
        <is>
          <t>RR</t>
        </is>
      </c>
      <c r="AZ20" t="n">
        <v>0</v>
      </c>
      <c r="BA20" t="inlineStr">
        <is>
          <t>RR</t>
        </is>
      </c>
      <c r="BB20" t="n">
        <v>0</v>
      </c>
      <c r="BC20" t="inlineStr">
        <is>
          <t>D</t>
        </is>
      </c>
      <c r="BD20" t="n">
        <v>0</v>
      </c>
      <c r="BE20" t="inlineStr">
        <is>
          <t>D</t>
        </is>
      </c>
      <c r="BF20" t="n">
        <v>0</v>
      </c>
      <c r="BG20" t="inlineStr">
        <is>
          <t>D</t>
        </is>
      </c>
      <c r="BH20" t="n">
        <v>0</v>
      </c>
      <c r="BI20" t="inlineStr">
        <is>
          <t>D</t>
        </is>
      </c>
      <c r="BJ20" t="n">
        <v>0</v>
      </c>
      <c r="BK20" t="inlineStr">
        <is>
          <t>D</t>
        </is>
      </c>
      <c r="BL20" t="n">
        <v>0</v>
      </c>
      <c r="BM20" t="inlineStr">
        <is>
          <t>D</t>
        </is>
      </c>
      <c r="BN20" t="n">
        <v>0</v>
      </c>
      <c r="BO20" t="inlineStr">
        <is>
          <t>RR</t>
        </is>
      </c>
      <c r="BP20" t="n">
        <v>0</v>
      </c>
      <c r="BQ20">
        <f>COUNTIF($G20:BP20,"a")+COUNTIF($G20:BP20,"r0,a5")/2+COUNTIF($G20:BP20,"p5,a5")/2</f>
        <v/>
      </c>
      <c r="BR20">
        <f>COUNTIF($G20:BP20,"d")+COUNTIF($G20:BP20,"r0,d5")/2+COUNTIF($G20:BP20,"p5,d5")/2</f>
        <v/>
      </c>
      <c r="BS20">
        <f>COUNTIF($G20:BP20,"b")+COUNTIF($G20:BP20,"r0,b5")/2+COUNTIF($G20:BP20,"p5,b5")/2</f>
        <v/>
      </c>
      <c r="BT20">
        <f>COUNTIF($G20:BP20,"c")+COUNTIF($G20:BP20,"r0,c5")/2+COUNTIF($G20:BP20,"p5,c5")/2</f>
        <v/>
      </c>
      <c r="BU20">
        <f>COUNTIF($G20:BP20,"KH")+COUNTIF($G20:BP20,"TL")+COUNTIF($G20:BP20,"L")</f>
        <v/>
      </c>
      <c r="BV20" t="inlineStr"/>
      <c r="BW20">
        <f>COUNTIF($G20:BP20,"hh")</f>
        <v/>
      </c>
      <c r="BX20">
        <f>COUNTIF($G20:BP20,"nt7")</f>
        <v/>
      </c>
      <c r="BY20">
        <f>COUNTIF($G20:BP20,"P")+COUNTIF($G20:BP20,"p5,a5")/2+COUNTIF($G20:BP20,"p5,b5")/2+COUNTIF($G20:BP20,"p5,c5")/2+COUNTIF($G20:BP20,"p5,d5")/2</f>
        <v/>
      </c>
      <c r="BZ20">
        <f>SUBTOTAL(9,BQ7:BY7)</f>
        <v/>
      </c>
      <c r="CA20">
        <f>SUM(J7,L7,N7,P7,R7,T7,X7,Z7,AB7,AD7,AF7,AH7,AL7,AN7,AP7,AR7,AT7,AV7,AZ7,BB7,BD7,BF7,BH7,BP7)</f>
        <v/>
      </c>
      <c r="CB20">
        <f>SUM(H7,V7,AJ7,AX7,BL7)</f>
        <v/>
      </c>
      <c r="CC20">
        <f>SUM(BJ7,BN7)</f>
        <v/>
      </c>
      <c r="CD20">
        <f>IF(BZ7&gt;25,4,IF(BZ7&gt;18,3,IF(BZ7&gt;12,2,IF(BZ7&gt;4,1,0))))-BX7-2+1</f>
        <v/>
      </c>
      <c r="CE20" t="inlineStr"/>
      <c r="CF20">
        <f>CD7*CI7</f>
        <v/>
      </c>
      <c r="CG20">
        <f>F7-BY7+1</f>
        <v/>
      </c>
      <c r="CH20">
        <f>CE7*16</f>
        <v/>
      </c>
      <c r="CI20" t="inlineStr"/>
      <c r="CJ20" t="inlineStr"/>
      <c r="CK20" t="inlineStr"/>
      <c r="CL20" t="inlineStr"/>
    </row>
    <row r="21">
      <c r="A21" t="inlineStr">
        <is>
          <t>A1148</t>
        </is>
      </c>
      <c r="G21" t="inlineStr">
        <is>
          <t>D</t>
        </is>
      </c>
      <c r="H21" t="n">
        <v>0</v>
      </c>
      <c r="I21" t="inlineStr">
        <is>
          <t>D</t>
        </is>
      </c>
      <c r="J21" t="n">
        <v>0</v>
      </c>
      <c r="K21" t="inlineStr">
        <is>
          <t>RR</t>
        </is>
      </c>
      <c r="L21" t="n">
        <v>0</v>
      </c>
      <c r="M21" t="inlineStr">
        <is>
          <t>D</t>
        </is>
      </c>
      <c r="N21" t="n">
        <v>0</v>
      </c>
      <c r="O21" t="inlineStr">
        <is>
          <t>D</t>
        </is>
      </c>
      <c r="P21" t="n">
        <v>0</v>
      </c>
      <c r="Q21" t="inlineStr">
        <is>
          <t>D</t>
        </is>
      </c>
      <c r="R21" t="n">
        <v>0</v>
      </c>
      <c r="S21" t="inlineStr">
        <is>
          <t>D</t>
        </is>
      </c>
      <c r="T21" t="n">
        <v>0</v>
      </c>
      <c r="U21" t="inlineStr">
        <is>
          <t>D</t>
        </is>
      </c>
      <c r="V21" t="n">
        <v>0</v>
      </c>
      <c r="W21" t="inlineStr">
        <is>
          <t>RR</t>
        </is>
      </c>
      <c r="X21" t="n">
        <v>0</v>
      </c>
      <c r="Y21" t="inlineStr">
        <is>
          <t>RR</t>
        </is>
      </c>
      <c r="Z21" t="n">
        <v>0</v>
      </c>
      <c r="AA21" t="inlineStr">
        <is>
          <t>D</t>
        </is>
      </c>
      <c r="AB21" t="n">
        <v>0</v>
      </c>
      <c r="AC21" t="inlineStr">
        <is>
          <t>D</t>
        </is>
      </c>
      <c r="AD21" t="n">
        <v>0</v>
      </c>
      <c r="AE21" t="inlineStr">
        <is>
          <t>D</t>
        </is>
      </c>
      <c r="AF21" t="n">
        <v>0</v>
      </c>
      <c r="AG21" t="inlineStr">
        <is>
          <t>D</t>
        </is>
      </c>
      <c r="AH21" t="n">
        <v>0</v>
      </c>
      <c r="AI21" t="inlineStr">
        <is>
          <t>D</t>
        </is>
      </c>
      <c r="AJ21" t="n">
        <v>0</v>
      </c>
      <c r="AK21" t="inlineStr">
        <is>
          <t>D</t>
        </is>
      </c>
      <c r="AL21" t="n">
        <v>0</v>
      </c>
      <c r="AM21" t="inlineStr">
        <is>
          <t>RR</t>
        </is>
      </c>
      <c r="AN21" t="n">
        <v>0</v>
      </c>
      <c r="AO21" t="inlineStr">
        <is>
          <t>D</t>
        </is>
      </c>
      <c r="AP21" t="n">
        <v>0</v>
      </c>
      <c r="AQ21" t="inlineStr">
        <is>
          <t>D</t>
        </is>
      </c>
      <c r="AR21" t="n">
        <v>0</v>
      </c>
      <c r="AS21" t="inlineStr">
        <is>
          <t>D</t>
        </is>
      </c>
      <c r="AT21" t="n">
        <v>0</v>
      </c>
      <c r="AU21" t="inlineStr">
        <is>
          <t>D</t>
        </is>
      </c>
      <c r="AV21" t="n">
        <v>0</v>
      </c>
      <c r="AW21" t="inlineStr">
        <is>
          <t>D</t>
        </is>
      </c>
      <c r="AX21" t="n">
        <v>0</v>
      </c>
      <c r="AY21" t="inlineStr">
        <is>
          <t>RR</t>
        </is>
      </c>
      <c r="AZ21" t="n">
        <v>0</v>
      </c>
      <c r="BA21" t="inlineStr">
        <is>
          <t>RR</t>
        </is>
      </c>
      <c r="BB21" t="n">
        <v>0</v>
      </c>
      <c r="BC21" t="inlineStr">
        <is>
          <t>D</t>
        </is>
      </c>
      <c r="BD21" t="n">
        <v>0</v>
      </c>
      <c r="BE21" t="inlineStr">
        <is>
          <t>D</t>
        </is>
      </c>
      <c r="BF21" t="n">
        <v>0</v>
      </c>
      <c r="BG21" t="inlineStr">
        <is>
          <t>D</t>
        </is>
      </c>
      <c r="BH21" t="n">
        <v>0</v>
      </c>
      <c r="BI21" t="inlineStr">
        <is>
          <t>D</t>
        </is>
      </c>
      <c r="BJ21" t="n">
        <v>0</v>
      </c>
      <c r="BK21" t="inlineStr">
        <is>
          <t>D</t>
        </is>
      </c>
      <c r="BL21" t="n">
        <v>0</v>
      </c>
      <c r="BM21" t="inlineStr">
        <is>
          <t>D</t>
        </is>
      </c>
      <c r="BN21" t="n">
        <v>0</v>
      </c>
      <c r="BO21" t="inlineStr">
        <is>
          <t>RR</t>
        </is>
      </c>
      <c r="BP21" t="n">
        <v>0</v>
      </c>
      <c r="BQ21">
        <f>COUNTIF($G21:BP21,"a")+COUNTIF($G21:BP21,"r0,a5")/2+COUNTIF($G21:BP21,"p5,a5")/2</f>
        <v/>
      </c>
      <c r="BR21">
        <f>COUNTIF($G21:BP21,"d")+COUNTIF($G21:BP21,"r0,d5")/2+COUNTIF($G21:BP21,"p5,d5")/2</f>
        <v/>
      </c>
      <c r="BS21">
        <f>COUNTIF($G21:BP21,"b")+COUNTIF($G21:BP21,"r0,b5")/2+COUNTIF($G21:BP21,"p5,b5")/2</f>
        <v/>
      </c>
      <c r="BT21">
        <f>COUNTIF($G21:BP21,"c")+COUNTIF($G21:BP21,"r0,c5")/2+COUNTIF($G21:BP21,"p5,c5")/2</f>
        <v/>
      </c>
      <c r="BU21">
        <f>COUNTIF($G21:BP21,"KH")+COUNTIF($G21:BP21,"TL")+COUNTIF($G21:BP21,"L")</f>
        <v/>
      </c>
      <c r="BV21" t="inlineStr"/>
      <c r="BW21">
        <f>COUNTIF($G21:BP21,"hh")</f>
        <v/>
      </c>
      <c r="BX21">
        <f>COUNTIF($G21:BP21,"nt7")</f>
        <v/>
      </c>
      <c r="BY21">
        <f>COUNTIF($G21:BP21,"P")+COUNTIF($G21:BP21,"p5,a5")/2+COUNTIF($G21:BP21,"p5,b5")/2+COUNTIF($G21:BP21,"p5,c5")/2+COUNTIF($G21:BP21,"p5,d5")/2</f>
        <v/>
      </c>
      <c r="BZ21">
        <f>SUBTOTAL(9,BQ7:BY7)</f>
        <v/>
      </c>
      <c r="CA21">
        <f>SUM(J7,L7,N7,P7,R7,T7,X7,Z7,AB7,AD7,AF7,AH7,AL7,AN7,AP7,AR7,AT7,AV7,AZ7,BB7,BD7,BF7,BH7,BP7)</f>
        <v/>
      </c>
      <c r="CB21">
        <f>SUM(H7,V7,AJ7,AX7,BL7)</f>
        <v/>
      </c>
      <c r="CC21">
        <f>SUM(BJ7,BN7)</f>
        <v/>
      </c>
      <c r="CD21">
        <f>IF(BZ7&gt;25,4,IF(BZ7&gt;18,3,IF(BZ7&gt;12,2,IF(BZ7&gt;4,1,0))))-BX7-2+1</f>
        <v/>
      </c>
      <c r="CE21" t="inlineStr"/>
      <c r="CF21">
        <f>CD7*CI7</f>
        <v/>
      </c>
      <c r="CG21">
        <f>F7-BY7+1</f>
        <v/>
      </c>
      <c r="CH21">
        <f>CE7*16</f>
        <v/>
      </c>
      <c r="CI21" t="inlineStr"/>
      <c r="CJ21" t="inlineStr"/>
      <c r="CK21" t="inlineStr"/>
      <c r="CL21" t="inlineStr"/>
    </row>
    <row r="22">
      <c r="A22" t="inlineStr">
        <is>
          <t>A1637</t>
        </is>
      </c>
      <c r="G22" t="inlineStr">
        <is>
          <t>D</t>
        </is>
      </c>
      <c r="H22" t="n">
        <v>0</v>
      </c>
      <c r="I22" t="inlineStr">
        <is>
          <t>D</t>
        </is>
      </c>
      <c r="J22" t="n">
        <v>0</v>
      </c>
      <c r="K22" t="inlineStr">
        <is>
          <t>RR</t>
        </is>
      </c>
      <c r="L22" t="n">
        <v>0</v>
      </c>
      <c r="M22" t="inlineStr">
        <is>
          <t>D</t>
        </is>
      </c>
      <c r="N22" t="n">
        <v>0</v>
      </c>
      <c r="O22" t="inlineStr">
        <is>
          <t>D</t>
        </is>
      </c>
      <c r="P22" t="n">
        <v>0</v>
      </c>
      <c r="Q22" t="inlineStr">
        <is>
          <t>D</t>
        </is>
      </c>
      <c r="R22" t="n">
        <v>0</v>
      </c>
      <c r="S22" t="inlineStr">
        <is>
          <t>D</t>
        </is>
      </c>
      <c r="T22" t="n">
        <v>0</v>
      </c>
      <c r="U22" t="inlineStr">
        <is>
          <t>D</t>
        </is>
      </c>
      <c r="V22" t="n">
        <v>0</v>
      </c>
      <c r="W22" t="inlineStr">
        <is>
          <t>RR</t>
        </is>
      </c>
      <c r="X22" t="n">
        <v>0</v>
      </c>
      <c r="Y22" t="inlineStr">
        <is>
          <t>RR</t>
        </is>
      </c>
      <c r="Z22" t="n">
        <v>0</v>
      </c>
      <c r="AA22" t="inlineStr">
        <is>
          <t>D</t>
        </is>
      </c>
      <c r="AB22" t="n">
        <v>0</v>
      </c>
      <c r="AC22" t="inlineStr">
        <is>
          <t>D</t>
        </is>
      </c>
      <c r="AD22" t="n">
        <v>0</v>
      </c>
      <c r="AE22" t="inlineStr">
        <is>
          <t>D</t>
        </is>
      </c>
      <c r="AF22" t="n">
        <v>0</v>
      </c>
      <c r="AG22" t="inlineStr">
        <is>
          <t>D</t>
        </is>
      </c>
      <c r="AH22" t="n">
        <v>0</v>
      </c>
      <c r="AI22" t="inlineStr">
        <is>
          <t>D</t>
        </is>
      </c>
      <c r="AJ22" t="n">
        <v>0</v>
      </c>
      <c r="AK22" t="inlineStr">
        <is>
          <t>D</t>
        </is>
      </c>
      <c r="AL22" t="n">
        <v>0</v>
      </c>
      <c r="AM22" t="inlineStr">
        <is>
          <t>RR</t>
        </is>
      </c>
      <c r="AN22" t="n">
        <v>0</v>
      </c>
      <c r="AO22" t="inlineStr">
        <is>
          <t>D</t>
        </is>
      </c>
      <c r="AP22" t="n">
        <v>0</v>
      </c>
      <c r="AQ22" t="inlineStr">
        <is>
          <t>D</t>
        </is>
      </c>
      <c r="AR22" t="n">
        <v>0</v>
      </c>
      <c r="AS22" t="inlineStr">
        <is>
          <t>D</t>
        </is>
      </c>
      <c r="AT22" t="n">
        <v>0</v>
      </c>
      <c r="AU22" t="inlineStr">
        <is>
          <t>D</t>
        </is>
      </c>
      <c r="AV22" t="n">
        <v>0</v>
      </c>
      <c r="AW22" t="inlineStr">
        <is>
          <t>D</t>
        </is>
      </c>
      <c r="AX22" t="n">
        <v>0</v>
      </c>
      <c r="AY22" t="inlineStr">
        <is>
          <t>RR</t>
        </is>
      </c>
      <c r="AZ22" t="n">
        <v>0</v>
      </c>
      <c r="BA22" t="inlineStr">
        <is>
          <t>RR</t>
        </is>
      </c>
      <c r="BB22" t="n">
        <v>0</v>
      </c>
      <c r="BC22" t="inlineStr">
        <is>
          <t>D</t>
        </is>
      </c>
      <c r="BD22" t="n">
        <v>0</v>
      </c>
      <c r="BE22" t="inlineStr">
        <is>
          <t>D</t>
        </is>
      </c>
      <c r="BF22" t="n">
        <v>0</v>
      </c>
      <c r="BG22" t="inlineStr">
        <is>
          <t>D</t>
        </is>
      </c>
      <c r="BH22" t="n">
        <v>0</v>
      </c>
      <c r="BI22" t="inlineStr">
        <is>
          <t>D</t>
        </is>
      </c>
      <c r="BJ22" t="n">
        <v>0</v>
      </c>
      <c r="BK22" t="inlineStr">
        <is>
          <t>D</t>
        </is>
      </c>
      <c r="BL22" t="n">
        <v>0</v>
      </c>
      <c r="BM22" t="inlineStr">
        <is>
          <t>D</t>
        </is>
      </c>
      <c r="BN22" t="n">
        <v>0</v>
      </c>
      <c r="BO22" t="inlineStr">
        <is>
          <t>RR</t>
        </is>
      </c>
      <c r="BP22" t="n">
        <v>0</v>
      </c>
      <c r="BQ22">
        <f>COUNTIF($G22:BP22,"a")+COUNTIF($G22:BP22,"r0,a5")/2+COUNTIF($G22:BP22,"p5,a5")/2</f>
        <v/>
      </c>
      <c r="BR22">
        <f>COUNTIF($G22:BP22,"d")+COUNTIF($G22:BP22,"r0,d5")/2+COUNTIF($G22:BP22,"p5,d5")/2</f>
        <v/>
      </c>
      <c r="BS22">
        <f>COUNTIF($G22:BP22,"b")+COUNTIF($G22:BP22,"r0,b5")/2+COUNTIF($G22:BP22,"p5,b5")/2</f>
        <v/>
      </c>
      <c r="BT22">
        <f>COUNTIF($G22:BP22,"c")+COUNTIF($G22:BP22,"r0,c5")/2+COUNTIF($G22:BP22,"p5,c5")/2</f>
        <v/>
      </c>
      <c r="BU22">
        <f>COUNTIF($G22:BP22,"KH")+COUNTIF($G22:BP22,"TL")+COUNTIF($G22:BP22,"L")</f>
        <v/>
      </c>
      <c r="BV22" t="inlineStr"/>
      <c r="BW22">
        <f>COUNTIF($G22:BP22,"hh")</f>
        <v/>
      </c>
      <c r="BX22">
        <f>COUNTIF($G22:BP22,"nt7")</f>
        <v/>
      </c>
      <c r="BY22">
        <f>COUNTIF($G22:BP22,"P")+COUNTIF($G22:BP22,"p5,a5")/2+COUNTIF($G22:BP22,"p5,b5")/2+COUNTIF($G22:BP22,"p5,c5")/2+COUNTIF($G22:BP22,"p5,d5")/2</f>
        <v/>
      </c>
      <c r="BZ22">
        <f>SUBTOTAL(9,BQ7:BY7)</f>
        <v/>
      </c>
      <c r="CA22">
        <f>SUM(J7,L7,N7,P7,R7,T7,X7,Z7,AB7,AD7,AF7,AH7,AL7,AN7,AP7,AR7,AT7,AV7,AZ7,BB7,BD7,BF7,BH7,BP7)</f>
        <v/>
      </c>
      <c r="CB22">
        <f>SUM(H7,V7,AJ7,AX7,BL7)</f>
        <v/>
      </c>
      <c r="CC22">
        <f>SUM(BJ7,BN7)</f>
        <v/>
      </c>
      <c r="CD22">
        <f>IF(BZ7&gt;25,4,IF(BZ7&gt;18,3,IF(BZ7&gt;12,2,IF(BZ7&gt;4,1,0))))-BX7-2+1</f>
        <v/>
      </c>
      <c r="CE22" t="inlineStr"/>
      <c r="CF22">
        <f>CD7*CI7</f>
        <v/>
      </c>
      <c r="CG22">
        <f>F7-BY7+1</f>
        <v/>
      </c>
      <c r="CH22">
        <f>CE7*16</f>
        <v/>
      </c>
      <c r="CI22" t="inlineStr"/>
      <c r="CJ22" t="inlineStr"/>
      <c r="CK22" t="inlineStr"/>
      <c r="CL22" t="inlineStr"/>
    </row>
    <row r="23">
      <c r="A23" t="inlineStr">
        <is>
          <t>A1675</t>
        </is>
      </c>
      <c r="G23" t="inlineStr">
        <is>
          <t>D</t>
        </is>
      </c>
      <c r="H23" t="n">
        <v>0</v>
      </c>
      <c r="I23" t="inlineStr">
        <is>
          <t>D</t>
        </is>
      </c>
      <c r="J23" t="n">
        <v>0</v>
      </c>
      <c r="K23" t="inlineStr">
        <is>
          <t>RR</t>
        </is>
      </c>
      <c r="L23" t="n">
        <v>0</v>
      </c>
      <c r="M23" t="inlineStr">
        <is>
          <t>D</t>
        </is>
      </c>
      <c r="N23" t="n">
        <v>0</v>
      </c>
      <c r="O23" t="inlineStr">
        <is>
          <t>D</t>
        </is>
      </c>
      <c r="P23" t="n">
        <v>0</v>
      </c>
      <c r="Q23" t="inlineStr">
        <is>
          <t>D</t>
        </is>
      </c>
      <c r="R23" t="n">
        <v>0</v>
      </c>
      <c r="S23" t="inlineStr">
        <is>
          <t>D</t>
        </is>
      </c>
      <c r="T23" t="n">
        <v>0</v>
      </c>
      <c r="U23" t="inlineStr">
        <is>
          <t>D</t>
        </is>
      </c>
      <c r="V23" t="n">
        <v>0</v>
      </c>
      <c r="W23" t="inlineStr">
        <is>
          <t>RR</t>
        </is>
      </c>
      <c r="X23" t="n">
        <v>0</v>
      </c>
      <c r="Y23" t="inlineStr">
        <is>
          <t>RR</t>
        </is>
      </c>
      <c r="Z23" t="n">
        <v>0</v>
      </c>
      <c r="AA23" t="inlineStr">
        <is>
          <t>D</t>
        </is>
      </c>
      <c r="AB23" t="n">
        <v>0</v>
      </c>
      <c r="AC23" t="inlineStr">
        <is>
          <t>D</t>
        </is>
      </c>
      <c r="AD23" t="n">
        <v>0</v>
      </c>
      <c r="AE23" t="inlineStr">
        <is>
          <t>D</t>
        </is>
      </c>
      <c r="AF23" t="n">
        <v>0</v>
      </c>
      <c r="AG23" t="inlineStr">
        <is>
          <t>D</t>
        </is>
      </c>
      <c r="AH23" t="n">
        <v>0</v>
      </c>
      <c r="AI23" t="inlineStr">
        <is>
          <t>D</t>
        </is>
      </c>
      <c r="AJ23" t="n">
        <v>0</v>
      </c>
      <c r="AK23" t="inlineStr">
        <is>
          <t>D</t>
        </is>
      </c>
      <c r="AL23" t="n">
        <v>0</v>
      </c>
      <c r="AM23" t="inlineStr">
        <is>
          <t>RR</t>
        </is>
      </c>
      <c r="AN23" t="n">
        <v>0</v>
      </c>
      <c r="AO23" t="inlineStr">
        <is>
          <t>D</t>
        </is>
      </c>
      <c r="AP23" t="n">
        <v>0</v>
      </c>
      <c r="AQ23" t="inlineStr">
        <is>
          <t>D</t>
        </is>
      </c>
      <c r="AR23" t="n">
        <v>0</v>
      </c>
      <c r="AS23" t="inlineStr">
        <is>
          <t>D</t>
        </is>
      </c>
      <c r="AT23" t="n">
        <v>0</v>
      </c>
      <c r="AU23" t="inlineStr">
        <is>
          <t>D</t>
        </is>
      </c>
      <c r="AV23" t="n">
        <v>0</v>
      </c>
      <c r="AW23" t="inlineStr">
        <is>
          <t>D</t>
        </is>
      </c>
      <c r="AX23" t="n">
        <v>0</v>
      </c>
      <c r="AY23" t="inlineStr">
        <is>
          <t>RR</t>
        </is>
      </c>
      <c r="AZ23" t="n">
        <v>0</v>
      </c>
      <c r="BA23" t="inlineStr">
        <is>
          <t>RR</t>
        </is>
      </c>
      <c r="BB23" t="n">
        <v>0</v>
      </c>
      <c r="BC23" t="inlineStr">
        <is>
          <t>D</t>
        </is>
      </c>
      <c r="BD23" t="n">
        <v>0</v>
      </c>
      <c r="BE23" t="inlineStr">
        <is>
          <t>D</t>
        </is>
      </c>
      <c r="BF23" t="n">
        <v>0</v>
      </c>
      <c r="BG23" t="inlineStr">
        <is>
          <t>D</t>
        </is>
      </c>
      <c r="BH23" t="n">
        <v>0</v>
      </c>
      <c r="BI23" t="inlineStr">
        <is>
          <t>D</t>
        </is>
      </c>
      <c r="BJ23" t="n">
        <v>0</v>
      </c>
      <c r="BK23" t="inlineStr">
        <is>
          <t>D</t>
        </is>
      </c>
      <c r="BL23" t="n">
        <v>0</v>
      </c>
      <c r="BM23" t="inlineStr">
        <is>
          <t>D</t>
        </is>
      </c>
      <c r="BN23" t="n">
        <v>0</v>
      </c>
      <c r="BO23" t="inlineStr">
        <is>
          <t>RR</t>
        </is>
      </c>
      <c r="BP23" t="n">
        <v>0</v>
      </c>
      <c r="BQ23">
        <f>COUNTIF($G23:BP23,"a")+COUNTIF($G23:BP23,"r0,a5")/2+COUNTIF($G23:BP23,"p5,a5")/2</f>
        <v/>
      </c>
      <c r="BR23">
        <f>COUNTIF($G23:BP23,"d")+COUNTIF($G23:BP23,"r0,d5")/2+COUNTIF($G23:BP23,"p5,d5")/2</f>
        <v/>
      </c>
      <c r="BS23">
        <f>COUNTIF($G23:BP23,"b")+COUNTIF($G23:BP23,"r0,b5")/2+COUNTIF($G23:BP23,"p5,b5")/2</f>
        <v/>
      </c>
      <c r="BT23">
        <f>COUNTIF($G23:BP23,"c")+COUNTIF($G23:BP23,"r0,c5")/2+COUNTIF($G23:BP23,"p5,c5")/2</f>
        <v/>
      </c>
      <c r="BU23">
        <f>COUNTIF($G23:BP23,"KH")+COUNTIF($G23:BP23,"TL")+COUNTIF($G23:BP23,"L")</f>
        <v/>
      </c>
      <c r="BV23" t="inlineStr"/>
      <c r="BW23">
        <f>COUNTIF($G23:BP23,"hh")</f>
        <v/>
      </c>
      <c r="BX23">
        <f>COUNTIF($G23:BP23,"nt7")</f>
        <v/>
      </c>
      <c r="BY23">
        <f>COUNTIF($G23:BP23,"P")+COUNTIF($G23:BP23,"p5,a5")/2+COUNTIF($G23:BP23,"p5,b5")/2+COUNTIF($G23:BP23,"p5,c5")/2+COUNTIF($G23:BP23,"p5,d5")/2</f>
        <v/>
      </c>
      <c r="BZ23">
        <f>SUBTOTAL(9,BQ7:BY7)</f>
        <v/>
      </c>
      <c r="CA23">
        <f>SUM(J7,L7,N7,P7,R7,T7,X7,Z7,AB7,AD7,AF7,AH7,AL7,AN7,AP7,AR7,AT7,AV7,AZ7,BB7,BD7,BF7,BH7,BP7)</f>
        <v/>
      </c>
      <c r="CB23">
        <f>SUM(H7,V7,AJ7,AX7,BL7)</f>
        <v/>
      </c>
      <c r="CC23">
        <f>SUM(BJ7,BN7)</f>
        <v/>
      </c>
      <c r="CD23">
        <f>IF(BZ7&gt;25,4,IF(BZ7&gt;18,3,IF(BZ7&gt;12,2,IF(BZ7&gt;4,1,0))))-BX7-2+1</f>
        <v/>
      </c>
      <c r="CE23" t="inlineStr"/>
      <c r="CF23">
        <f>CD7*CI7</f>
        <v/>
      </c>
      <c r="CG23">
        <f>F7-BY7+1</f>
        <v/>
      </c>
      <c r="CH23">
        <f>CE7*16</f>
        <v/>
      </c>
      <c r="CI23" t="inlineStr"/>
      <c r="CJ23" t="inlineStr"/>
      <c r="CK23" t="inlineStr"/>
      <c r="CL23" t="inlineStr"/>
    </row>
    <row r="24">
      <c r="A24" t="inlineStr">
        <is>
          <t>A1795</t>
        </is>
      </c>
      <c r="G24" t="inlineStr">
        <is>
          <t>D</t>
        </is>
      </c>
      <c r="H24" t="n">
        <v>0</v>
      </c>
      <c r="I24" t="inlineStr">
        <is>
          <t>D</t>
        </is>
      </c>
      <c r="J24" t="n">
        <v>0</v>
      </c>
      <c r="K24" t="inlineStr">
        <is>
          <t>RR</t>
        </is>
      </c>
      <c r="L24" t="n">
        <v>0</v>
      </c>
      <c r="M24" t="inlineStr">
        <is>
          <t>D</t>
        </is>
      </c>
      <c r="N24" t="n">
        <v>0</v>
      </c>
      <c r="O24" t="inlineStr">
        <is>
          <t>D</t>
        </is>
      </c>
      <c r="P24" t="n">
        <v>0</v>
      </c>
      <c r="Q24" t="inlineStr">
        <is>
          <t>D</t>
        </is>
      </c>
      <c r="R24" t="n">
        <v>0</v>
      </c>
      <c r="S24" t="inlineStr">
        <is>
          <t>D</t>
        </is>
      </c>
      <c r="T24" t="n">
        <v>0</v>
      </c>
      <c r="U24" t="inlineStr">
        <is>
          <t>D</t>
        </is>
      </c>
      <c r="V24" t="n">
        <v>0</v>
      </c>
      <c r="W24" t="inlineStr">
        <is>
          <t>RR</t>
        </is>
      </c>
      <c r="X24" t="n">
        <v>0</v>
      </c>
      <c r="Y24" t="inlineStr">
        <is>
          <t>RR</t>
        </is>
      </c>
      <c r="Z24" t="n">
        <v>0</v>
      </c>
      <c r="AA24" t="inlineStr">
        <is>
          <t>D</t>
        </is>
      </c>
      <c r="AB24" t="n">
        <v>0</v>
      </c>
      <c r="AC24" t="inlineStr">
        <is>
          <t>D</t>
        </is>
      </c>
      <c r="AD24" t="n">
        <v>0</v>
      </c>
      <c r="AE24" t="inlineStr">
        <is>
          <t>D</t>
        </is>
      </c>
      <c r="AF24" t="n">
        <v>0</v>
      </c>
      <c r="AG24" t="inlineStr">
        <is>
          <t>D</t>
        </is>
      </c>
      <c r="AH24" t="n">
        <v>0</v>
      </c>
      <c r="AI24" t="inlineStr">
        <is>
          <t>D</t>
        </is>
      </c>
      <c r="AJ24" t="n">
        <v>0</v>
      </c>
      <c r="AK24" t="inlineStr">
        <is>
          <t>D</t>
        </is>
      </c>
      <c r="AL24" t="n">
        <v>0</v>
      </c>
      <c r="AM24" t="inlineStr">
        <is>
          <t>RR</t>
        </is>
      </c>
      <c r="AN24" t="n">
        <v>0</v>
      </c>
      <c r="AO24" t="inlineStr">
        <is>
          <t>D</t>
        </is>
      </c>
      <c r="AP24" t="n">
        <v>0</v>
      </c>
      <c r="AQ24" t="inlineStr">
        <is>
          <t>D</t>
        </is>
      </c>
      <c r="AR24" t="n">
        <v>0</v>
      </c>
      <c r="AS24" t="inlineStr">
        <is>
          <t>D</t>
        </is>
      </c>
      <c r="AT24" t="n">
        <v>0</v>
      </c>
      <c r="AU24" t="inlineStr">
        <is>
          <t>D</t>
        </is>
      </c>
      <c r="AV24" t="n">
        <v>0</v>
      </c>
      <c r="AW24" t="inlineStr">
        <is>
          <t>D</t>
        </is>
      </c>
      <c r="AX24" t="n">
        <v>0</v>
      </c>
      <c r="AY24" t="inlineStr">
        <is>
          <t>RR</t>
        </is>
      </c>
      <c r="AZ24" t="n">
        <v>0</v>
      </c>
      <c r="BA24" t="inlineStr">
        <is>
          <t>RR</t>
        </is>
      </c>
      <c r="BB24" t="n">
        <v>0</v>
      </c>
      <c r="BC24" t="inlineStr">
        <is>
          <t>D</t>
        </is>
      </c>
      <c r="BD24" t="n">
        <v>0</v>
      </c>
      <c r="BE24" t="inlineStr">
        <is>
          <t>D</t>
        </is>
      </c>
      <c r="BF24" t="n">
        <v>0</v>
      </c>
      <c r="BG24" t="inlineStr">
        <is>
          <t>D</t>
        </is>
      </c>
      <c r="BH24" t="n">
        <v>0</v>
      </c>
      <c r="BI24" t="inlineStr">
        <is>
          <t>D</t>
        </is>
      </c>
      <c r="BJ24" t="n">
        <v>0</v>
      </c>
      <c r="BK24" t="inlineStr">
        <is>
          <t>D</t>
        </is>
      </c>
      <c r="BL24" t="n">
        <v>0</v>
      </c>
      <c r="BM24" t="inlineStr">
        <is>
          <t>D</t>
        </is>
      </c>
      <c r="BN24" t="n">
        <v>0</v>
      </c>
      <c r="BO24" t="inlineStr">
        <is>
          <t>RR</t>
        </is>
      </c>
      <c r="BP24" t="n">
        <v>0</v>
      </c>
      <c r="BQ24">
        <f>COUNTIF($G24:BP24,"a")+COUNTIF($G24:BP24,"r0,a5")/2+COUNTIF($G24:BP24,"p5,a5")/2</f>
        <v/>
      </c>
      <c r="BR24">
        <f>COUNTIF($G24:BP24,"d")+COUNTIF($G24:BP24,"r0,d5")/2+COUNTIF($G24:BP24,"p5,d5")/2</f>
        <v/>
      </c>
      <c r="BS24">
        <f>COUNTIF($G24:BP24,"b")+COUNTIF($G24:BP24,"r0,b5")/2+COUNTIF($G24:BP24,"p5,b5")/2</f>
        <v/>
      </c>
      <c r="BT24">
        <f>COUNTIF($G24:BP24,"c")+COUNTIF($G24:BP24,"r0,c5")/2+COUNTIF($G24:BP24,"p5,c5")/2</f>
        <v/>
      </c>
      <c r="BU24">
        <f>COUNTIF($G24:BP24,"KH")+COUNTIF($G24:BP24,"TL")+COUNTIF($G24:BP24,"L")</f>
        <v/>
      </c>
      <c r="BV24" t="inlineStr"/>
      <c r="BW24">
        <f>COUNTIF($G24:BP24,"hh")</f>
        <v/>
      </c>
      <c r="BX24">
        <f>COUNTIF($G24:BP24,"nt7")</f>
        <v/>
      </c>
      <c r="BY24">
        <f>COUNTIF($G24:BP24,"P")+COUNTIF($G24:BP24,"p5,a5")/2+COUNTIF($G24:BP24,"p5,b5")/2+COUNTIF($G24:BP24,"p5,c5")/2+COUNTIF($G24:BP24,"p5,d5")/2</f>
        <v/>
      </c>
      <c r="BZ24">
        <f>SUBTOTAL(9,BQ7:BY7)</f>
        <v/>
      </c>
      <c r="CA24">
        <f>SUM(J7,L7,N7,P7,R7,T7,X7,Z7,AB7,AD7,AF7,AH7,AL7,AN7,AP7,AR7,AT7,AV7,AZ7,BB7,BD7,BF7,BH7,BP7)</f>
        <v/>
      </c>
      <c r="CB24">
        <f>SUM(H7,V7,AJ7,AX7,BL7)</f>
        <v/>
      </c>
      <c r="CC24">
        <f>SUM(BJ7,BN7)</f>
        <v/>
      </c>
      <c r="CD24">
        <f>IF(BZ7&gt;25,4,IF(BZ7&gt;18,3,IF(BZ7&gt;12,2,IF(BZ7&gt;4,1,0))))-BX7-2+1</f>
        <v/>
      </c>
      <c r="CE24" t="inlineStr"/>
      <c r="CF24">
        <f>CD7*CI7</f>
        <v/>
      </c>
      <c r="CG24">
        <f>F7-BY7+1</f>
        <v/>
      </c>
      <c r="CH24">
        <f>CE7*16</f>
        <v/>
      </c>
      <c r="CI24" t="inlineStr"/>
      <c r="CJ24" t="inlineStr"/>
      <c r="CK24" t="inlineStr"/>
      <c r="CL24" t="inlineStr"/>
    </row>
    <row r="25">
      <c r="A25" t="inlineStr">
        <is>
          <t>A1888</t>
        </is>
      </c>
      <c r="G25" t="inlineStr">
        <is>
          <t>D</t>
        </is>
      </c>
      <c r="H25" t="n">
        <v>0</v>
      </c>
      <c r="I25" t="inlineStr">
        <is>
          <t>RRRRR</t>
        </is>
      </c>
      <c r="J25" t="n">
        <v>0</v>
      </c>
      <c r="K25" t="inlineStr">
        <is>
          <t>RR</t>
        </is>
      </c>
      <c r="L25" t="n">
        <v>0</v>
      </c>
      <c r="M25" t="inlineStr">
        <is>
          <t>D</t>
        </is>
      </c>
      <c r="N25" t="n">
        <v>0</v>
      </c>
      <c r="O25" t="inlineStr">
        <is>
          <t>D</t>
        </is>
      </c>
      <c r="P25" t="n">
        <v>0</v>
      </c>
      <c r="Q25" t="inlineStr">
        <is>
          <t>D</t>
        </is>
      </c>
      <c r="R25" t="n">
        <v>0</v>
      </c>
      <c r="S25" t="inlineStr">
        <is>
          <t>D</t>
        </is>
      </c>
      <c r="T25" t="n">
        <v>0</v>
      </c>
      <c r="U25" t="inlineStr">
        <is>
          <t>D</t>
        </is>
      </c>
      <c r="V25" t="n">
        <v>0</v>
      </c>
      <c r="W25" t="inlineStr">
        <is>
          <t>RR</t>
        </is>
      </c>
      <c r="X25" t="n">
        <v>0</v>
      </c>
      <c r="Y25" t="inlineStr">
        <is>
          <t>RR</t>
        </is>
      </c>
      <c r="Z25" t="n">
        <v>0</v>
      </c>
      <c r="AA25" t="inlineStr">
        <is>
          <t>D</t>
        </is>
      </c>
      <c r="AB25" t="n">
        <v>0</v>
      </c>
      <c r="AC25" t="inlineStr">
        <is>
          <t>D</t>
        </is>
      </c>
      <c r="AD25" t="n">
        <v>0</v>
      </c>
      <c r="AE25" t="inlineStr">
        <is>
          <t>D</t>
        </is>
      </c>
      <c r="AF25" t="n">
        <v>0</v>
      </c>
      <c r="AG25" t="inlineStr">
        <is>
          <t>D</t>
        </is>
      </c>
      <c r="AH25" t="n">
        <v>0</v>
      </c>
      <c r="AI25" t="inlineStr">
        <is>
          <t>D</t>
        </is>
      </c>
      <c r="AJ25" t="n">
        <v>0</v>
      </c>
      <c r="AK25" t="inlineStr">
        <is>
          <t>RRRRR</t>
        </is>
      </c>
      <c r="AL25" t="n">
        <v>0</v>
      </c>
      <c r="AM25" t="inlineStr">
        <is>
          <t>RR</t>
        </is>
      </c>
      <c r="AN25" t="n">
        <v>0</v>
      </c>
      <c r="AO25" t="inlineStr">
        <is>
          <t>D</t>
        </is>
      </c>
      <c r="AP25" t="n">
        <v>0</v>
      </c>
      <c r="AQ25" t="inlineStr">
        <is>
          <t>D</t>
        </is>
      </c>
      <c r="AR25" t="n">
        <v>0</v>
      </c>
      <c r="AS25" t="inlineStr">
        <is>
          <t>D</t>
        </is>
      </c>
      <c r="AT25" t="n">
        <v>0</v>
      </c>
      <c r="AU25" t="inlineStr">
        <is>
          <t>D</t>
        </is>
      </c>
      <c r="AV25" t="n">
        <v>0</v>
      </c>
      <c r="AW25" t="inlineStr">
        <is>
          <t>D</t>
        </is>
      </c>
      <c r="AX25" t="n">
        <v>0</v>
      </c>
      <c r="AY25" t="inlineStr">
        <is>
          <t>RR</t>
        </is>
      </c>
      <c r="AZ25" t="n">
        <v>0</v>
      </c>
      <c r="BA25" t="inlineStr">
        <is>
          <t>RR</t>
        </is>
      </c>
      <c r="BB25" t="n">
        <v>0</v>
      </c>
      <c r="BC25" t="inlineStr">
        <is>
          <t>D</t>
        </is>
      </c>
      <c r="BD25" t="n">
        <v>0</v>
      </c>
      <c r="BE25" t="inlineStr">
        <is>
          <t>D</t>
        </is>
      </c>
      <c r="BF25" t="n">
        <v>0</v>
      </c>
      <c r="BG25" t="inlineStr">
        <is>
          <t>D</t>
        </is>
      </c>
      <c r="BH25" t="n">
        <v>0</v>
      </c>
      <c r="BI25" t="inlineStr">
        <is>
          <t>D</t>
        </is>
      </c>
      <c r="BJ25" t="n">
        <v>0</v>
      </c>
      <c r="BK25" t="inlineStr">
        <is>
          <t>D</t>
        </is>
      </c>
      <c r="BL25" t="n">
        <v>0</v>
      </c>
      <c r="BM25" t="inlineStr">
        <is>
          <t>RRRRR</t>
        </is>
      </c>
      <c r="BN25" t="n">
        <v>0</v>
      </c>
      <c r="BO25" t="inlineStr">
        <is>
          <t>RR</t>
        </is>
      </c>
      <c r="BP25" t="n">
        <v>0</v>
      </c>
      <c r="BQ25">
        <f>COUNTIF($G25:BP25,"a")+COUNTIF($G25:BP25,"r0,a5")/2+COUNTIF($G25:BP25,"p5,a5")/2</f>
        <v/>
      </c>
      <c r="BR25">
        <f>COUNTIF($G25:BP25,"d")+COUNTIF($G25:BP25,"r0,d5")/2+COUNTIF($G25:BP25,"p5,d5")/2</f>
        <v/>
      </c>
      <c r="BS25">
        <f>COUNTIF($G25:BP25,"b")+COUNTIF($G25:BP25,"r0,b5")/2+COUNTIF($G25:BP25,"p5,b5")/2</f>
        <v/>
      </c>
      <c r="BT25">
        <f>COUNTIF($G25:BP25,"c")+COUNTIF($G25:BP25,"r0,c5")/2+COUNTIF($G25:BP25,"p5,c5")/2</f>
        <v/>
      </c>
      <c r="BU25">
        <f>COUNTIF($G25:BP25,"KH")+COUNTIF($G25:BP25,"TL")+COUNTIF($G25:BP25,"L")</f>
        <v/>
      </c>
      <c r="BV25" t="inlineStr"/>
      <c r="BW25">
        <f>COUNTIF($G25:BP25,"hh")</f>
        <v/>
      </c>
      <c r="BX25">
        <f>COUNTIF($G25:BP25,"nt7")</f>
        <v/>
      </c>
      <c r="BY25">
        <f>COUNTIF($G25:BP25,"P")+COUNTIF($G25:BP25,"p5,a5")/2+COUNTIF($G25:BP25,"p5,b5")/2+COUNTIF($G25:BP25,"p5,c5")/2+COUNTIF($G25:BP25,"p5,d5")/2</f>
        <v/>
      </c>
      <c r="BZ25">
        <f>SUBTOTAL(9,BQ7:BY7)</f>
        <v/>
      </c>
      <c r="CA25">
        <f>SUM(J7,L7,N7,P7,R7,T7,X7,Z7,AB7,AD7,AF7,AH7,AL7,AN7,AP7,AR7,AT7,AV7,AZ7,BB7,BD7,BF7,BH7,BP7)</f>
        <v/>
      </c>
      <c r="CB25">
        <f>SUM(H7,V7,AJ7,AX7,BL7)</f>
        <v/>
      </c>
      <c r="CC25">
        <f>SUM(BJ7,BN7)</f>
        <v/>
      </c>
      <c r="CD25">
        <f>IF(BZ7&gt;25,4,IF(BZ7&gt;18,3,IF(BZ7&gt;12,2,IF(BZ7&gt;4,1,0))))-BX7-2+1</f>
        <v/>
      </c>
      <c r="CE25" t="inlineStr"/>
      <c r="CF25">
        <f>CD7*CI7</f>
        <v/>
      </c>
      <c r="CG25">
        <f>F7-BY7+1</f>
        <v/>
      </c>
      <c r="CH25">
        <f>CE7*16</f>
        <v/>
      </c>
      <c r="CI25" t="inlineStr"/>
      <c r="CJ25" t="inlineStr"/>
      <c r="CK25" t="inlineStr"/>
      <c r="CL25" t="inlineStr"/>
    </row>
    <row r="26">
      <c r="A26" t="inlineStr">
        <is>
          <t>A2065</t>
        </is>
      </c>
      <c r="G26" t="inlineStr">
        <is>
          <t>D</t>
        </is>
      </c>
      <c r="H26" t="n">
        <v>0</v>
      </c>
      <c r="I26" t="inlineStr">
        <is>
          <t>D</t>
        </is>
      </c>
      <c r="J26" t="n">
        <v>0</v>
      </c>
      <c r="K26" t="inlineStr">
        <is>
          <t>RR</t>
        </is>
      </c>
      <c r="L26" t="n">
        <v>0</v>
      </c>
      <c r="M26" t="inlineStr">
        <is>
          <t>D</t>
        </is>
      </c>
      <c r="N26" t="n">
        <v>0</v>
      </c>
      <c r="O26" t="inlineStr">
        <is>
          <t>D</t>
        </is>
      </c>
      <c r="P26" t="n">
        <v>0</v>
      </c>
      <c r="Q26" t="inlineStr">
        <is>
          <t>D</t>
        </is>
      </c>
      <c r="R26" t="n">
        <v>0</v>
      </c>
      <c r="S26" t="inlineStr">
        <is>
          <t>D</t>
        </is>
      </c>
      <c r="T26" t="n">
        <v>0</v>
      </c>
      <c r="U26" t="inlineStr">
        <is>
          <t>D</t>
        </is>
      </c>
      <c r="V26" t="n">
        <v>0</v>
      </c>
      <c r="W26" t="inlineStr">
        <is>
          <t>RR</t>
        </is>
      </c>
      <c r="X26" t="n">
        <v>0</v>
      </c>
      <c r="Y26" t="inlineStr">
        <is>
          <t>RR</t>
        </is>
      </c>
      <c r="Z26" t="n">
        <v>0</v>
      </c>
      <c r="AA26" t="inlineStr">
        <is>
          <t>D</t>
        </is>
      </c>
      <c r="AB26" t="n">
        <v>0</v>
      </c>
      <c r="AC26" t="inlineStr">
        <is>
          <t>D</t>
        </is>
      </c>
      <c r="AD26" t="n">
        <v>0</v>
      </c>
      <c r="AE26" t="inlineStr">
        <is>
          <t>D</t>
        </is>
      </c>
      <c r="AF26" t="n">
        <v>0</v>
      </c>
      <c r="AG26" t="inlineStr">
        <is>
          <t>D</t>
        </is>
      </c>
      <c r="AH26" t="n">
        <v>0</v>
      </c>
      <c r="AI26" t="inlineStr">
        <is>
          <t>D</t>
        </is>
      </c>
      <c r="AJ26" t="n">
        <v>0</v>
      </c>
      <c r="AK26" t="inlineStr">
        <is>
          <t>D</t>
        </is>
      </c>
      <c r="AL26" t="n">
        <v>0</v>
      </c>
      <c r="AM26" t="inlineStr">
        <is>
          <t>RR</t>
        </is>
      </c>
      <c r="AN26" t="n">
        <v>0</v>
      </c>
      <c r="AO26" t="inlineStr">
        <is>
          <t>D</t>
        </is>
      </c>
      <c r="AP26" t="n">
        <v>0</v>
      </c>
      <c r="AQ26" t="inlineStr">
        <is>
          <t>D</t>
        </is>
      </c>
      <c r="AR26" t="n">
        <v>0</v>
      </c>
      <c r="AS26" t="inlineStr">
        <is>
          <t>D</t>
        </is>
      </c>
      <c r="AT26" t="n">
        <v>0</v>
      </c>
      <c r="AU26" t="inlineStr">
        <is>
          <t>D</t>
        </is>
      </c>
      <c r="AV26" t="n">
        <v>0</v>
      </c>
      <c r="AW26" t="inlineStr">
        <is>
          <t>D</t>
        </is>
      </c>
      <c r="AX26" t="n">
        <v>0</v>
      </c>
      <c r="AY26" t="inlineStr">
        <is>
          <t>RR</t>
        </is>
      </c>
      <c r="AZ26" t="n">
        <v>0</v>
      </c>
      <c r="BA26" t="inlineStr">
        <is>
          <t>RR</t>
        </is>
      </c>
      <c r="BB26" t="n">
        <v>0</v>
      </c>
      <c r="BC26" t="inlineStr">
        <is>
          <t>D</t>
        </is>
      </c>
      <c r="BD26" t="n">
        <v>0</v>
      </c>
      <c r="BE26" t="inlineStr">
        <is>
          <t>D</t>
        </is>
      </c>
      <c r="BF26" t="n">
        <v>0</v>
      </c>
      <c r="BG26" t="inlineStr">
        <is>
          <t>D</t>
        </is>
      </c>
      <c r="BH26" t="n">
        <v>0</v>
      </c>
      <c r="BI26" t="inlineStr">
        <is>
          <t>D</t>
        </is>
      </c>
      <c r="BJ26" t="n">
        <v>0</v>
      </c>
      <c r="BK26" t="inlineStr">
        <is>
          <t>D</t>
        </is>
      </c>
      <c r="BL26" t="n">
        <v>0</v>
      </c>
      <c r="BM26" t="inlineStr">
        <is>
          <t>D</t>
        </is>
      </c>
      <c r="BN26" t="n">
        <v>0</v>
      </c>
      <c r="BO26" t="inlineStr">
        <is>
          <t>RR</t>
        </is>
      </c>
      <c r="BP26" t="n">
        <v>0</v>
      </c>
      <c r="BQ26">
        <f>COUNTIF($G26:BP26,"a")+COUNTIF($G26:BP26,"r0,a5")/2+COUNTIF($G26:BP26,"p5,a5")/2</f>
        <v/>
      </c>
      <c r="BR26">
        <f>COUNTIF($G26:BP26,"d")+COUNTIF($G26:BP26,"r0,d5")/2+COUNTIF($G26:BP26,"p5,d5")/2</f>
        <v/>
      </c>
      <c r="BS26">
        <f>COUNTIF($G26:BP26,"b")+COUNTIF($G26:BP26,"r0,b5")/2+COUNTIF($G26:BP26,"p5,b5")/2</f>
        <v/>
      </c>
      <c r="BT26">
        <f>COUNTIF($G26:BP26,"c")+COUNTIF($G26:BP26,"r0,c5")/2+COUNTIF($G26:BP26,"p5,c5")/2</f>
        <v/>
      </c>
      <c r="BU26">
        <f>COUNTIF($G26:BP26,"KH")+COUNTIF($G26:BP26,"TL")+COUNTIF($G26:BP26,"L")</f>
        <v/>
      </c>
      <c r="BV26" t="inlineStr"/>
      <c r="BW26">
        <f>COUNTIF($G26:BP26,"hh")</f>
        <v/>
      </c>
      <c r="BX26">
        <f>COUNTIF($G26:BP26,"nt7")</f>
        <v/>
      </c>
      <c r="BY26">
        <f>COUNTIF($G26:BP26,"P")+COUNTIF($G26:BP26,"p5,a5")/2+COUNTIF($G26:BP26,"p5,b5")/2+COUNTIF($G26:BP26,"p5,c5")/2+COUNTIF($G26:BP26,"p5,d5")/2</f>
        <v/>
      </c>
      <c r="BZ26">
        <f>SUBTOTAL(9,BQ7:BY7)</f>
        <v/>
      </c>
      <c r="CA26">
        <f>SUM(J7,L7,N7,P7,R7,T7,X7,Z7,AB7,AD7,AF7,AH7,AL7,AN7,AP7,AR7,AT7,AV7,AZ7,BB7,BD7,BF7,BH7,BP7)</f>
        <v/>
      </c>
      <c r="CB26">
        <f>SUM(H7,V7,AJ7,AX7,BL7)</f>
        <v/>
      </c>
      <c r="CC26">
        <f>SUM(BJ7,BN7)</f>
        <v/>
      </c>
      <c r="CD26">
        <f>IF(BZ7&gt;25,4,IF(BZ7&gt;18,3,IF(BZ7&gt;12,2,IF(BZ7&gt;4,1,0))))-BX7-2+1</f>
        <v/>
      </c>
      <c r="CE26" t="inlineStr"/>
      <c r="CF26">
        <f>CD7*CI7</f>
        <v/>
      </c>
      <c r="CG26">
        <f>F7-BY7+1</f>
        <v/>
      </c>
      <c r="CH26">
        <f>CE7*16</f>
        <v/>
      </c>
      <c r="CI26" t="inlineStr"/>
      <c r="CJ26" t="inlineStr"/>
      <c r="CK26" t="inlineStr"/>
      <c r="CL26" t="inlineStr"/>
    </row>
    <row r="27">
      <c r="A27" t="inlineStr">
        <is>
          <t>A2071</t>
        </is>
      </c>
      <c r="G27" t="inlineStr">
        <is>
          <t>D</t>
        </is>
      </c>
      <c r="H27" t="n">
        <v>0</v>
      </c>
      <c r="I27" t="inlineStr">
        <is>
          <t>D</t>
        </is>
      </c>
      <c r="J27" t="n">
        <v>0</v>
      </c>
      <c r="K27" t="inlineStr">
        <is>
          <t>RR</t>
        </is>
      </c>
      <c r="L27" t="n">
        <v>0</v>
      </c>
      <c r="M27" t="inlineStr">
        <is>
          <t>D</t>
        </is>
      </c>
      <c r="N27" t="n">
        <v>0</v>
      </c>
      <c r="O27" t="inlineStr">
        <is>
          <t>D</t>
        </is>
      </c>
      <c r="P27" t="n">
        <v>0</v>
      </c>
      <c r="Q27" t="inlineStr">
        <is>
          <t>D</t>
        </is>
      </c>
      <c r="R27" t="n">
        <v>0</v>
      </c>
      <c r="S27" t="inlineStr">
        <is>
          <t>D</t>
        </is>
      </c>
      <c r="T27" t="n">
        <v>0</v>
      </c>
      <c r="U27" t="inlineStr">
        <is>
          <t>D</t>
        </is>
      </c>
      <c r="V27" t="n">
        <v>0</v>
      </c>
      <c r="W27" t="inlineStr">
        <is>
          <t>RR</t>
        </is>
      </c>
      <c r="X27" t="n">
        <v>0</v>
      </c>
      <c r="Y27" t="inlineStr">
        <is>
          <t>RR</t>
        </is>
      </c>
      <c r="Z27" t="n">
        <v>0</v>
      </c>
      <c r="AA27" t="inlineStr">
        <is>
          <t>D</t>
        </is>
      </c>
      <c r="AB27" t="n">
        <v>0</v>
      </c>
      <c r="AC27" t="inlineStr">
        <is>
          <t>D</t>
        </is>
      </c>
      <c r="AD27" t="n">
        <v>0</v>
      </c>
      <c r="AE27" t="inlineStr">
        <is>
          <t>D</t>
        </is>
      </c>
      <c r="AF27" t="n">
        <v>0</v>
      </c>
      <c r="AG27" t="inlineStr">
        <is>
          <t>D</t>
        </is>
      </c>
      <c r="AH27" t="n">
        <v>0</v>
      </c>
      <c r="AI27" t="inlineStr">
        <is>
          <t>D</t>
        </is>
      </c>
      <c r="AJ27" t="n">
        <v>0</v>
      </c>
      <c r="AK27" t="inlineStr">
        <is>
          <t>D</t>
        </is>
      </c>
      <c r="AL27" t="n">
        <v>0</v>
      </c>
      <c r="AM27" t="inlineStr">
        <is>
          <t>RR</t>
        </is>
      </c>
      <c r="AN27" t="n">
        <v>0</v>
      </c>
      <c r="AO27" t="inlineStr">
        <is>
          <t>D</t>
        </is>
      </c>
      <c r="AP27" t="n">
        <v>0</v>
      </c>
      <c r="AQ27" t="inlineStr">
        <is>
          <t>D</t>
        </is>
      </c>
      <c r="AR27" t="n">
        <v>0</v>
      </c>
      <c r="AS27" t="inlineStr">
        <is>
          <t>D</t>
        </is>
      </c>
      <c r="AT27" t="n">
        <v>0</v>
      </c>
      <c r="AU27" t="inlineStr">
        <is>
          <t>D</t>
        </is>
      </c>
      <c r="AV27" t="n">
        <v>0</v>
      </c>
      <c r="AW27" t="inlineStr">
        <is>
          <t>D</t>
        </is>
      </c>
      <c r="AX27" t="n">
        <v>0</v>
      </c>
      <c r="AY27" t="inlineStr">
        <is>
          <t>RR</t>
        </is>
      </c>
      <c r="AZ27" t="n">
        <v>0</v>
      </c>
      <c r="BA27" t="inlineStr">
        <is>
          <t>RR</t>
        </is>
      </c>
      <c r="BB27" t="n">
        <v>0</v>
      </c>
      <c r="BC27" t="inlineStr">
        <is>
          <t>D</t>
        </is>
      </c>
      <c r="BD27" t="n">
        <v>0</v>
      </c>
      <c r="BE27" t="inlineStr">
        <is>
          <t>D</t>
        </is>
      </c>
      <c r="BF27" t="n">
        <v>0</v>
      </c>
      <c r="BG27" t="inlineStr">
        <is>
          <t>D</t>
        </is>
      </c>
      <c r="BH27" t="n">
        <v>0</v>
      </c>
      <c r="BI27" t="inlineStr">
        <is>
          <t>D</t>
        </is>
      </c>
      <c r="BJ27" t="n">
        <v>0</v>
      </c>
      <c r="BK27" t="inlineStr">
        <is>
          <t>D</t>
        </is>
      </c>
      <c r="BL27" t="n">
        <v>0</v>
      </c>
      <c r="BM27" t="inlineStr">
        <is>
          <t>D</t>
        </is>
      </c>
      <c r="BN27" t="n">
        <v>0</v>
      </c>
      <c r="BO27" t="inlineStr">
        <is>
          <t>RR</t>
        </is>
      </c>
      <c r="BP27" t="n">
        <v>0</v>
      </c>
      <c r="BQ27">
        <f>COUNTIF($G27:BP27,"a")+COUNTIF($G27:BP27,"r0,a5")/2+COUNTIF($G27:BP27,"p5,a5")/2</f>
        <v/>
      </c>
      <c r="BR27">
        <f>COUNTIF($G27:BP27,"d")+COUNTIF($G27:BP27,"r0,d5")/2+COUNTIF($G27:BP27,"p5,d5")/2</f>
        <v/>
      </c>
      <c r="BS27">
        <f>COUNTIF($G27:BP27,"b")+COUNTIF($G27:BP27,"r0,b5")/2+COUNTIF($G27:BP27,"p5,b5")/2</f>
        <v/>
      </c>
      <c r="BT27">
        <f>COUNTIF($G27:BP27,"c")+COUNTIF($G27:BP27,"r0,c5")/2+COUNTIF($G27:BP27,"p5,c5")/2</f>
        <v/>
      </c>
      <c r="BU27">
        <f>COUNTIF($G27:BP27,"KH")+COUNTIF($G27:BP27,"TL")+COUNTIF($G27:BP27,"L")</f>
        <v/>
      </c>
      <c r="BV27" t="inlineStr"/>
      <c r="BW27">
        <f>COUNTIF($G27:BP27,"hh")</f>
        <v/>
      </c>
      <c r="BX27">
        <f>COUNTIF($G27:BP27,"nt7")</f>
        <v/>
      </c>
      <c r="BY27">
        <f>COUNTIF($G27:BP27,"P")+COUNTIF($G27:BP27,"p5,a5")/2+COUNTIF($G27:BP27,"p5,b5")/2+COUNTIF($G27:BP27,"p5,c5")/2+COUNTIF($G27:BP27,"p5,d5")/2</f>
        <v/>
      </c>
      <c r="BZ27">
        <f>SUBTOTAL(9,BQ7:BY7)</f>
        <v/>
      </c>
      <c r="CA27">
        <f>SUM(J7,L7,N7,P7,R7,T7,X7,Z7,AB7,AD7,AF7,AH7,AL7,AN7,AP7,AR7,AT7,AV7,AZ7,BB7,BD7,BF7,BH7,BP7)</f>
        <v/>
      </c>
      <c r="CB27">
        <f>SUM(H7,V7,AJ7,AX7,BL7)</f>
        <v/>
      </c>
      <c r="CC27">
        <f>SUM(BJ7,BN7)</f>
        <v/>
      </c>
      <c r="CD27">
        <f>IF(BZ7&gt;25,4,IF(BZ7&gt;18,3,IF(BZ7&gt;12,2,IF(BZ7&gt;4,1,0))))-BX7-2+1</f>
        <v/>
      </c>
      <c r="CE27" t="inlineStr"/>
      <c r="CF27">
        <f>CD7*CI7</f>
        <v/>
      </c>
      <c r="CG27">
        <f>F7-BY7+1</f>
        <v/>
      </c>
      <c r="CH27">
        <f>CE7*16</f>
        <v/>
      </c>
      <c r="CI27" t="inlineStr"/>
      <c r="CJ27" t="inlineStr"/>
      <c r="CK27" t="inlineStr"/>
      <c r="CL27" t="inlineStr"/>
    </row>
    <row r="28">
      <c r="A28" t="inlineStr">
        <is>
          <t>A2078</t>
        </is>
      </c>
      <c r="G28" t="inlineStr">
        <is>
          <t>D</t>
        </is>
      </c>
      <c r="H28" t="n">
        <v>0</v>
      </c>
      <c r="I28" t="inlineStr">
        <is>
          <t>D</t>
        </is>
      </c>
      <c r="J28" t="n">
        <v>0</v>
      </c>
      <c r="K28" t="inlineStr">
        <is>
          <t>RR</t>
        </is>
      </c>
      <c r="L28" t="n">
        <v>0</v>
      </c>
      <c r="M28" t="inlineStr">
        <is>
          <t>D</t>
        </is>
      </c>
      <c r="N28" t="n">
        <v>0</v>
      </c>
      <c r="O28" t="inlineStr">
        <is>
          <t>D</t>
        </is>
      </c>
      <c r="P28" t="n">
        <v>0</v>
      </c>
      <c r="Q28" t="inlineStr">
        <is>
          <t>D</t>
        </is>
      </c>
      <c r="R28" t="n">
        <v>0</v>
      </c>
      <c r="S28" t="inlineStr">
        <is>
          <t>D</t>
        </is>
      </c>
      <c r="T28" t="n">
        <v>0</v>
      </c>
      <c r="U28" t="inlineStr">
        <is>
          <t>D</t>
        </is>
      </c>
      <c r="V28" t="n">
        <v>0</v>
      </c>
      <c r="W28" t="inlineStr">
        <is>
          <t>RR</t>
        </is>
      </c>
      <c r="X28" t="n">
        <v>0</v>
      </c>
      <c r="Y28" t="inlineStr">
        <is>
          <t>RR</t>
        </is>
      </c>
      <c r="Z28" t="n">
        <v>0</v>
      </c>
      <c r="AA28" t="inlineStr">
        <is>
          <t>D</t>
        </is>
      </c>
      <c r="AB28" t="n">
        <v>0</v>
      </c>
      <c r="AC28" t="inlineStr">
        <is>
          <t>D</t>
        </is>
      </c>
      <c r="AD28" t="n">
        <v>0</v>
      </c>
      <c r="AE28" t="inlineStr">
        <is>
          <t>D</t>
        </is>
      </c>
      <c r="AF28" t="n">
        <v>0</v>
      </c>
      <c r="AG28" t="inlineStr">
        <is>
          <t>D</t>
        </is>
      </c>
      <c r="AH28" t="n">
        <v>0</v>
      </c>
      <c r="AI28" t="inlineStr">
        <is>
          <t>D</t>
        </is>
      </c>
      <c r="AJ28" t="n">
        <v>0</v>
      </c>
      <c r="AK28" t="inlineStr">
        <is>
          <t>D</t>
        </is>
      </c>
      <c r="AL28" t="n">
        <v>0</v>
      </c>
      <c r="AM28" t="inlineStr">
        <is>
          <t>RR</t>
        </is>
      </c>
      <c r="AN28" t="n">
        <v>0</v>
      </c>
      <c r="AO28" t="inlineStr">
        <is>
          <t>D</t>
        </is>
      </c>
      <c r="AP28" t="n">
        <v>0</v>
      </c>
      <c r="AQ28" t="inlineStr">
        <is>
          <t>D</t>
        </is>
      </c>
      <c r="AR28" t="n">
        <v>0</v>
      </c>
      <c r="AS28" t="inlineStr">
        <is>
          <t>D</t>
        </is>
      </c>
      <c r="AT28" t="n">
        <v>0</v>
      </c>
      <c r="AU28" t="inlineStr">
        <is>
          <t>D</t>
        </is>
      </c>
      <c r="AV28" t="n">
        <v>0</v>
      </c>
      <c r="AW28" t="inlineStr">
        <is>
          <t>D</t>
        </is>
      </c>
      <c r="AX28" t="n">
        <v>0</v>
      </c>
      <c r="AY28" t="inlineStr">
        <is>
          <t>RR</t>
        </is>
      </c>
      <c r="AZ28" t="n">
        <v>0</v>
      </c>
      <c r="BA28" t="inlineStr">
        <is>
          <t>RR</t>
        </is>
      </c>
      <c r="BB28" t="n">
        <v>0</v>
      </c>
      <c r="BC28" t="inlineStr">
        <is>
          <t>D</t>
        </is>
      </c>
      <c r="BD28" t="n">
        <v>0</v>
      </c>
      <c r="BE28" t="inlineStr">
        <is>
          <t>D</t>
        </is>
      </c>
      <c r="BF28" t="n">
        <v>0</v>
      </c>
      <c r="BG28" t="inlineStr">
        <is>
          <t>D</t>
        </is>
      </c>
      <c r="BH28" t="n">
        <v>0</v>
      </c>
      <c r="BI28" t="inlineStr">
        <is>
          <t>D</t>
        </is>
      </c>
      <c r="BJ28" t="n">
        <v>0</v>
      </c>
      <c r="BK28" t="inlineStr">
        <is>
          <t>D</t>
        </is>
      </c>
      <c r="BL28" t="n">
        <v>0</v>
      </c>
      <c r="BM28" t="inlineStr">
        <is>
          <t>D</t>
        </is>
      </c>
      <c r="BN28" t="n">
        <v>0</v>
      </c>
      <c r="BO28" t="inlineStr">
        <is>
          <t>RR</t>
        </is>
      </c>
      <c r="BP28" t="n">
        <v>0</v>
      </c>
      <c r="BQ28">
        <f>COUNTIF($G28:BP28,"a")+COUNTIF($G28:BP28,"r0,a5")/2+COUNTIF($G28:BP28,"p5,a5")/2</f>
        <v/>
      </c>
      <c r="BR28">
        <f>COUNTIF($G28:BP28,"d")+COUNTIF($G28:BP28,"r0,d5")/2+COUNTIF($G28:BP28,"p5,d5")/2</f>
        <v/>
      </c>
      <c r="BS28">
        <f>COUNTIF($G28:BP28,"b")+COUNTIF($G28:BP28,"r0,b5")/2+COUNTIF($G28:BP28,"p5,b5")/2</f>
        <v/>
      </c>
      <c r="BT28">
        <f>COUNTIF($G28:BP28,"c")+COUNTIF($G28:BP28,"r0,c5")/2+COUNTIF($G28:BP28,"p5,c5")/2</f>
        <v/>
      </c>
      <c r="BU28">
        <f>COUNTIF($G28:BP28,"KH")+COUNTIF($G28:BP28,"TL")+COUNTIF($G28:BP28,"L")</f>
        <v/>
      </c>
      <c r="BV28" t="inlineStr"/>
      <c r="BW28">
        <f>COUNTIF($G28:BP28,"hh")</f>
        <v/>
      </c>
      <c r="BX28">
        <f>COUNTIF($G28:BP28,"nt7")</f>
        <v/>
      </c>
      <c r="BY28">
        <f>COUNTIF($G28:BP28,"P")+COUNTIF($G28:BP28,"p5,a5")/2+COUNTIF($G28:BP28,"p5,b5")/2+COUNTIF($G28:BP28,"p5,c5")/2+COUNTIF($G28:BP28,"p5,d5")/2</f>
        <v/>
      </c>
      <c r="BZ28">
        <f>SUBTOTAL(9,BQ7:BY7)</f>
        <v/>
      </c>
      <c r="CA28">
        <f>SUM(J7,L7,N7,P7,R7,T7,X7,Z7,AB7,AD7,AF7,AH7,AL7,AN7,AP7,AR7,AT7,AV7,AZ7,BB7,BD7,BF7,BH7,BP7)</f>
        <v/>
      </c>
      <c r="CB28">
        <f>SUM(H7,V7,AJ7,AX7,BL7)</f>
        <v/>
      </c>
      <c r="CC28">
        <f>SUM(BJ7,BN7)</f>
        <v/>
      </c>
      <c r="CD28">
        <f>IF(BZ7&gt;25,4,IF(BZ7&gt;18,3,IF(BZ7&gt;12,2,IF(BZ7&gt;4,1,0))))-BX7-2+1</f>
        <v/>
      </c>
      <c r="CE28" t="inlineStr"/>
      <c r="CF28">
        <f>CD7*CI7</f>
        <v/>
      </c>
      <c r="CG28">
        <f>F7-BY7+1</f>
        <v/>
      </c>
      <c r="CH28">
        <f>CE7*16</f>
        <v/>
      </c>
      <c r="CI28" t="inlineStr"/>
      <c r="CJ28" t="inlineStr"/>
      <c r="CK28" t="inlineStr"/>
      <c r="CL28" t="inlineStr"/>
    </row>
    <row r="29">
      <c r="A29" t="inlineStr">
        <is>
          <t>A800</t>
        </is>
      </c>
      <c r="G29" t="inlineStr">
        <is>
          <t>D</t>
        </is>
      </c>
      <c r="H29" t="n">
        <v>0</v>
      </c>
      <c r="I29" t="inlineStr">
        <is>
          <t>D</t>
        </is>
      </c>
      <c r="J29" t="n">
        <v>0</v>
      </c>
      <c r="K29" t="inlineStr">
        <is>
          <t>RR</t>
        </is>
      </c>
      <c r="L29" t="n">
        <v>0</v>
      </c>
      <c r="M29" t="inlineStr">
        <is>
          <t>D</t>
        </is>
      </c>
      <c r="N29" t="n">
        <v>0</v>
      </c>
      <c r="O29" t="inlineStr">
        <is>
          <t>D</t>
        </is>
      </c>
      <c r="P29" t="n">
        <v>0</v>
      </c>
      <c r="Q29" t="inlineStr">
        <is>
          <t>D</t>
        </is>
      </c>
      <c r="R29" t="n">
        <v>0</v>
      </c>
      <c r="S29" t="inlineStr">
        <is>
          <t>D</t>
        </is>
      </c>
      <c r="T29" t="n">
        <v>0</v>
      </c>
      <c r="U29" t="inlineStr">
        <is>
          <t>D</t>
        </is>
      </c>
      <c r="V29" t="n">
        <v>0</v>
      </c>
      <c r="W29" t="inlineStr">
        <is>
          <t>RR</t>
        </is>
      </c>
      <c r="X29" t="n">
        <v>0</v>
      </c>
      <c r="Y29" t="inlineStr">
        <is>
          <t>RR</t>
        </is>
      </c>
      <c r="Z29" t="n">
        <v>0</v>
      </c>
      <c r="AA29" t="inlineStr">
        <is>
          <t>D</t>
        </is>
      </c>
      <c r="AB29" t="n">
        <v>0</v>
      </c>
      <c r="AC29" t="inlineStr">
        <is>
          <t>D</t>
        </is>
      </c>
      <c r="AD29" t="n">
        <v>0</v>
      </c>
      <c r="AE29" t="inlineStr">
        <is>
          <t>D</t>
        </is>
      </c>
      <c r="AF29" t="n">
        <v>0</v>
      </c>
      <c r="AG29" t="inlineStr">
        <is>
          <t>D</t>
        </is>
      </c>
      <c r="AH29" t="n">
        <v>0</v>
      </c>
      <c r="AI29" t="inlineStr">
        <is>
          <t>D</t>
        </is>
      </c>
      <c r="AJ29" t="n">
        <v>0</v>
      </c>
      <c r="AK29" t="inlineStr">
        <is>
          <t>D</t>
        </is>
      </c>
      <c r="AL29" t="n">
        <v>0</v>
      </c>
      <c r="AM29" t="inlineStr">
        <is>
          <t>RR</t>
        </is>
      </c>
      <c r="AN29" t="n">
        <v>0</v>
      </c>
      <c r="AO29" t="inlineStr">
        <is>
          <t>D</t>
        </is>
      </c>
      <c r="AP29" t="n">
        <v>0</v>
      </c>
      <c r="AQ29" t="inlineStr">
        <is>
          <t>D</t>
        </is>
      </c>
      <c r="AR29" t="n">
        <v>0</v>
      </c>
      <c r="AS29" t="inlineStr">
        <is>
          <t>D</t>
        </is>
      </c>
      <c r="AT29" t="n">
        <v>0</v>
      </c>
      <c r="AU29" t="inlineStr">
        <is>
          <t>D</t>
        </is>
      </c>
      <c r="AV29" t="n">
        <v>0</v>
      </c>
      <c r="AW29" t="inlineStr">
        <is>
          <t>D</t>
        </is>
      </c>
      <c r="AX29" t="n">
        <v>0</v>
      </c>
      <c r="AY29" t="inlineStr">
        <is>
          <t>RR</t>
        </is>
      </c>
      <c r="AZ29" t="n">
        <v>0</v>
      </c>
      <c r="BA29" t="inlineStr">
        <is>
          <t>RR</t>
        </is>
      </c>
      <c r="BB29" t="n">
        <v>0</v>
      </c>
      <c r="BC29" t="inlineStr">
        <is>
          <t>D</t>
        </is>
      </c>
      <c r="BD29" t="n">
        <v>0</v>
      </c>
      <c r="BE29" t="inlineStr">
        <is>
          <t>D</t>
        </is>
      </c>
      <c r="BF29" t="n">
        <v>0</v>
      </c>
      <c r="BG29" t="inlineStr">
        <is>
          <t>D</t>
        </is>
      </c>
      <c r="BH29" t="n">
        <v>0</v>
      </c>
      <c r="BI29" t="inlineStr">
        <is>
          <t>D</t>
        </is>
      </c>
      <c r="BJ29" t="n">
        <v>0</v>
      </c>
      <c r="BK29" t="inlineStr">
        <is>
          <t>D</t>
        </is>
      </c>
      <c r="BL29" t="n">
        <v>0</v>
      </c>
      <c r="BM29" t="inlineStr">
        <is>
          <t>D</t>
        </is>
      </c>
      <c r="BN29" t="n">
        <v>0</v>
      </c>
      <c r="BP29" t="n">
        <v>0</v>
      </c>
      <c r="BQ29">
        <f>COUNTIF($G29:BP29,"a")+COUNTIF($G29:BP29,"r0,a5")/2+COUNTIF($G29:BP29,"p5,a5")/2</f>
        <v/>
      </c>
      <c r="BR29">
        <f>COUNTIF($G29:BP29,"d")+COUNTIF($G29:BP29,"r0,d5")/2+COUNTIF($G29:BP29,"p5,d5")/2</f>
        <v/>
      </c>
      <c r="BS29">
        <f>COUNTIF($G29:BP29,"b")+COUNTIF($G29:BP29,"r0,b5")/2+COUNTIF($G29:BP29,"p5,b5")/2</f>
        <v/>
      </c>
      <c r="BT29">
        <f>COUNTIF($G29:BP29,"c")+COUNTIF($G29:BP29,"r0,c5")/2+COUNTIF($G29:BP29,"p5,c5")/2</f>
        <v/>
      </c>
      <c r="BU29">
        <f>COUNTIF($G29:BP29,"KH")+COUNTIF($G29:BP29,"TL")+COUNTIF($G29:BP29,"L")</f>
        <v/>
      </c>
      <c r="BV29" t="inlineStr"/>
      <c r="BW29">
        <f>COUNTIF($G29:BP29,"hh")</f>
        <v/>
      </c>
      <c r="BX29">
        <f>COUNTIF($G29:BP29,"nt7")</f>
        <v/>
      </c>
      <c r="BY29">
        <f>COUNTIF($G29:BP29,"P")+COUNTIF($G29:BP29,"p5,a5")/2+COUNTIF($G29:BP29,"p5,b5")/2+COUNTIF($G29:BP29,"p5,c5")/2+COUNTIF($G29:BP29,"p5,d5")/2</f>
        <v/>
      </c>
      <c r="BZ29">
        <f>SUBTOTAL(9,BQ7:BY7)</f>
        <v/>
      </c>
      <c r="CA29">
        <f>SUM(J7,L7,N7,P7,R7,T7,X7,Z7,AB7,AD7,AF7,AH7,AL7,AN7,AP7,AR7,AT7,AV7,AZ7,BB7,BD7,BF7,BH7,BP7)</f>
        <v/>
      </c>
      <c r="CB29">
        <f>SUM(H7,V7,AJ7,AX7,BL7)</f>
        <v/>
      </c>
      <c r="CC29">
        <f>SUM(BJ7,BN7)</f>
        <v/>
      </c>
      <c r="CD29">
        <f>IF(BZ7&gt;25,4,IF(BZ7&gt;18,3,IF(BZ7&gt;12,2,IF(BZ7&gt;4,1,0))))-BX7-2+1</f>
        <v/>
      </c>
      <c r="CE29" t="inlineStr"/>
      <c r="CF29">
        <f>CD7*CI7</f>
        <v/>
      </c>
      <c r="CG29">
        <f>F7-BY7+1</f>
        <v/>
      </c>
      <c r="CH29">
        <f>CE7*16</f>
        <v/>
      </c>
      <c r="CI29" t="inlineStr"/>
      <c r="CJ29" t="inlineStr"/>
      <c r="CK29" t="inlineStr"/>
      <c r="CL29" t="inlineStr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2021-12-23T19:36:23Z</dcterms:created>
  <dcterms:modified xmlns:dcterms="http://purl.org/dc/terms/" xmlns:xsi="http://www.w3.org/2001/XMLSchema-instance" xsi:type="dcterms:W3CDTF">2021-12-23T19:36:23Z</dcterms:modified>
</cp:coreProperties>
</file>